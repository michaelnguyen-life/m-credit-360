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1" autoFilterDateGrouping="1"/>
  </bookViews>
  <sheets>
    <sheet xmlns:r="http://schemas.openxmlformats.org/officeDocument/2006/relationships" name="Chi tiết NVL" sheetId="1" state="hidden" r:id="rId1"/>
    <sheet xmlns:r="http://schemas.openxmlformats.org/officeDocument/2006/relationships" name="Tổng hợp 154" sheetId="2" state="visible" r:id="rId2"/>
    <sheet xmlns:r="http://schemas.openxmlformats.org/officeDocument/2006/relationships" name="Tổng hợp NVL" sheetId="3" state="visible" r:id="rId3"/>
  </sheets>
  <definedNames>
    <definedName name="_xlnm._FilterDatabase" localSheetId="0" hidden="1">'Chi tiết NVL'!$A$9:$X$9</definedName>
    <definedName name="_xlnm.Print_Area" localSheetId="1">'Tổng hợp 154'!$A$1:$F$63</definedName>
    <definedName name="_xlnm._FilterDatabase" localSheetId="2" hidden="1">'Tổng hợp NVL'!$A$10:$J$10</definedName>
    <definedName name="_xlnm.Print_Titles" localSheetId="2">'Tổng hợp NVL'!$8:$10</definedName>
    <definedName name="_xlnm.Print_Area" localSheetId="2">'Tổng hợp NVL'!$A$1:$J$884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#,##0.0000_);\(#,##0.0000\)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Times New Roman"/>
      <family val="1"/>
      <b val="1"/>
      <sz val="10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family val="2"/>
      <b val="1"/>
      <sz val="11"/>
    </font>
    <font>
      <name val="Times New Roman"/>
      <family val="1"/>
      <color theme="1"/>
      <sz val="11"/>
    </font>
    <font>
      <name val="Calibri"/>
      <family val="2"/>
      <color theme="1"/>
      <sz val="10"/>
      <scheme val="minor"/>
    </font>
    <font>
      <name val="VNI-Times"/>
      <b val="1"/>
      <color theme="1"/>
      <sz val="11"/>
    </font>
    <font>
      <name val="Times New Roman"/>
      <family val="1"/>
      <color theme="1"/>
      <sz val="10"/>
    </font>
    <font>
      <name val="VNI-Times"/>
      <color theme="1"/>
      <sz val="11"/>
    </font>
    <font>
      <name val="Arial"/>
      <family val="2"/>
      <sz val="11"/>
    </font>
    <font>
      <name val="Calibri"/>
      <family val="2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8"/>
      <scheme val="minor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4">
    <xf numFmtId="0" fontId="1" fillId="0" borderId="0"/>
    <xf numFmtId="43" fontId="1" fillId="0" borderId="0"/>
    <xf numFmtId="0" fontId="1" fillId="0" borderId="0"/>
    <xf numFmtId="43" fontId="1" fillId="0" borderId="0"/>
  </cellStyleXfs>
  <cellXfs count="91">
    <xf numFmtId="0" fontId="0" fillId="0" borderId="0" pivotButton="0" quotePrefix="0" xfId="0"/>
    <xf numFmtId="14" fontId="2" fillId="0" borderId="0" pivotButton="0" quotePrefix="0" xfId="2"/>
    <xf numFmtId="14" fontId="3" fillId="0" borderId="0" pivotButton="0" quotePrefix="0" xfId="2"/>
    <xf numFmtId="0" fontId="4" fillId="0" borderId="0" pivotButton="0" quotePrefix="0" xfId="2"/>
    <xf numFmtId="0" fontId="4" fillId="0" borderId="0" applyAlignment="1" pivotButton="0" quotePrefix="0" xfId="2">
      <alignment horizontal="center"/>
    </xf>
    <xf numFmtId="0" fontId="5" fillId="0" borderId="0" applyAlignment="1" pivotButton="0" quotePrefix="0" xfId="2">
      <alignment horizontal="center"/>
    </xf>
    <xf numFmtId="0" fontId="5" fillId="0" borderId="0" pivotButton="0" quotePrefix="0" xfId="2"/>
    <xf numFmtId="37" fontId="5" fillId="0" borderId="0" pivotButton="0" quotePrefix="0" xfId="2"/>
    <xf numFmtId="164" fontId="5" fillId="0" borderId="0" pivotButton="0" quotePrefix="0" xfId="3"/>
    <xf numFmtId="0" fontId="2" fillId="0" borderId="0" pivotButton="0" quotePrefix="0" xfId="2"/>
    <xf numFmtId="0" fontId="3" fillId="0" borderId="0" pivotButton="0" quotePrefix="0" xfId="2"/>
    <xf numFmtId="0" fontId="2" fillId="2" borderId="1" applyAlignment="1" pivotButton="0" quotePrefix="0" xfId="2">
      <alignment horizontal="center" vertical="center" wrapText="1"/>
    </xf>
    <xf numFmtId="0" fontId="7" fillId="2" borderId="4" applyAlignment="1" pivotButton="0" quotePrefix="0" xfId="2">
      <alignment horizontal="center" vertical="center" wrapText="1"/>
    </xf>
    <xf numFmtId="0" fontId="5" fillId="0" borderId="0" applyAlignment="1" pivotButton="0" quotePrefix="0" xfId="2">
      <alignment horizontal="center" vertical="center"/>
    </xf>
    <xf numFmtId="37" fontId="2" fillId="2" borderId="1" applyAlignment="1" pivotButton="0" quotePrefix="0" xfId="2">
      <alignment horizontal="center" vertical="center" wrapText="1"/>
    </xf>
    <xf numFmtId="164" fontId="2" fillId="2" borderId="1" applyAlignment="1" pivotButton="0" quotePrefix="0" xfId="3">
      <alignment horizontal="center" vertical="center" wrapText="1"/>
    </xf>
    <xf numFmtId="14" fontId="0" fillId="0" borderId="4" applyAlignment="1" pivotButton="0" quotePrefix="0" xfId="0">
      <alignment horizontal="center" wrapText="1"/>
    </xf>
    <xf numFmtId="0" fontId="0" fillId="0" borderId="4" applyAlignment="1" pivotButton="0" quotePrefix="0" xfId="0">
      <alignment horizontal="left" wrapText="1"/>
    </xf>
    <xf numFmtId="0" fontId="8" fillId="0" borderId="4" applyAlignment="1" pivotButton="0" quotePrefix="0" xfId="0">
      <alignment horizontal="left" wrapText="1"/>
    </xf>
    <xf numFmtId="39" fontId="0" fillId="0" borderId="4" applyAlignment="1" pivotButton="0" quotePrefix="0" xfId="0">
      <alignment horizontal="right" wrapText="1"/>
    </xf>
    <xf numFmtId="164" fontId="0" fillId="0" borderId="4" applyAlignment="1" pivotButton="0" quotePrefix="0" xfId="1">
      <alignment horizontal="right" wrapText="1"/>
    </xf>
    <xf numFmtId="165" fontId="0" fillId="0" borderId="4" applyAlignment="1" pivotButton="0" quotePrefix="0" xfId="0">
      <alignment horizontal="right" wrapText="1"/>
    </xf>
    <xf numFmtId="37" fontId="0" fillId="0" borderId="4" applyAlignment="1" pivotButton="0" quotePrefix="0" xfId="0">
      <alignment horizontal="right" wrapText="1"/>
    </xf>
    <xf numFmtId="0" fontId="9" fillId="0" borderId="0" pivotButton="0" quotePrefix="0" xfId="2"/>
    <xf numFmtId="0" fontId="11" fillId="0" borderId="0" pivotButton="0" quotePrefix="0" xfId="2"/>
    <xf numFmtId="37" fontId="9" fillId="0" borderId="0" pivotButton="0" quotePrefix="0" xfId="2"/>
    <xf numFmtId="164" fontId="9" fillId="0" borderId="0" pivotButton="0" quotePrefix="0" xfId="3"/>
    <xf numFmtId="164" fontId="12" fillId="0" borderId="4" applyAlignment="1" pivotButton="0" quotePrefix="0" xfId="1">
      <alignment horizontal="right" wrapText="1"/>
    </xf>
    <xf numFmtId="14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39" fontId="0" fillId="0" borderId="1" applyAlignment="1" pivotButton="0" quotePrefix="0" xfId="0">
      <alignment horizontal="right" wrapText="1"/>
    </xf>
    <xf numFmtId="165" fontId="0" fillId="0" borderId="1" applyAlignment="1" pivotButton="0" quotePrefix="0" xfId="0">
      <alignment horizontal="right" wrapText="1"/>
    </xf>
    <xf numFmtId="37" fontId="0" fillId="0" borderId="1" applyAlignment="1" pivotButton="0" quotePrefix="0" xfId="0">
      <alignment horizontal="right" wrapText="1"/>
    </xf>
    <xf numFmtId="0" fontId="9" fillId="0" borderId="4" pivotButton="0" quotePrefix="0" xfId="2"/>
    <xf numFmtId="165" fontId="10" fillId="0" borderId="4" applyAlignment="1" pivotButton="0" quotePrefix="0" xfId="0">
      <alignment horizontal="right" wrapText="1"/>
    </xf>
    <xf numFmtId="37" fontId="10" fillId="0" borderId="4" applyAlignment="1" pivotButton="0" quotePrefix="0" xfId="0">
      <alignment horizontal="right" wrapText="1"/>
    </xf>
    <xf numFmtId="14" fontId="14" fillId="0" borderId="4" applyAlignment="1" pivotButton="0" quotePrefix="0" xfId="0">
      <alignment horizontal="center" wrapText="1"/>
    </xf>
    <xf numFmtId="0" fontId="14" fillId="0" borderId="4" applyAlignment="1" pivotButton="0" quotePrefix="0" xfId="0">
      <alignment horizontal="left" wrapText="1"/>
    </xf>
    <xf numFmtId="39" fontId="14" fillId="0" borderId="4" applyAlignment="1" pivotButton="0" quotePrefix="0" xfId="0">
      <alignment horizontal="right" wrapText="1"/>
    </xf>
    <xf numFmtId="165" fontId="14" fillId="0" borderId="4" applyAlignment="1" pivotButton="0" quotePrefix="0" xfId="0">
      <alignment horizontal="right" wrapText="1"/>
    </xf>
    <xf numFmtId="37" fontId="14" fillId="0" borderId="4" applyAlignment="1" pivotButton="0" quotePrefix="0" xfId="0">
      <alignment horizontal="right" wrapText="1"/>
    </xf>
    <xf numFmtId="0" fontId="15" fillId="0" borderId="0" pivotButton="0" quotePrefix="0" xfId="2"/>
    <xf numFmtId="164" fontId="13" fillId="0" borderId="4" applyAlignment="1" pivotButton="0" quotePrefix="0" xfId="2">
      <alignment horizontal="center" vertical="center" wrapText="1"/>
    </xf>
    <xf numFmtId="37" fontId="0" fillId="0" borderId="4" applyAlignment="1" pivotButton="0" quotePrefix="0" xfId="1">
      <alignment horizontal="right" wrapText="1"/>
    </xf>
    <xf numFmtId="0" fontId="18" fillId="0" borderId="0" pivotButton="0" quotePrefix="0" xfId="0"/>
    <xf numFmtId="164" fontId="18" fillId="0" borderId="0" pivotButton="0" quotePrefix="0" xfId="1"/>
    <xf numFmtId="0" fontId="18" fillId="0" borderId="0" applyAlignment="1" pivotButton="0" quotePrefix="0" xfId="0">
      <alignment horizontal="center"/>
    </xf>
    <xf numFmtId="14" fontId="19" fillId="0" borderId="0" pivotButton="0" quotePrefix="0" xfId="2"/>
    <xf numFmtId="0" fontId="20" fillId="0" borderId="0" pivotButton="0" quotePrefix="0" xfId="2"/>
    <xf numFmtId="0" fontId="20" fillId="0" borderId="0" applyAlignment="1" pivotButton="0" quotePrefix="0" xfId="2">
      <alignment horizontal="center"/>
    </xf>
    <xf numFmtId="37" fontId="20" fillId="0" borderId="0" pivotButton="0" quotePrefix="0" xfId="2"/>
    <xf numFmtId="164" fontId="20" fillId="0" borderId="0" pivotButton="0" quotePrefix="0" xfId="3"/>
    <xf numFmtId="0" fontId="19" fillId="2" borderId="1" applyAlignment="1" pivotButton="0" quotePrefix="0" xfId="2">
      <alignment horizontal="center" vertical="center" wrapText="1"/>
    </xf>
    <xf numFmtId="37" fontId="19" fillId="2" borderId="1" applyAlignment="1" pivotButton="0" quotePrefix="0" xfId="2">
      <alignment horizontal="center" vertical="center" wrapText="1"/>
    </xf>
    <xf numFmtId="164" fontId="19" fillId="2" borderId="1" applyAlignment="1" pivotButton="0" quotePrefix="0" xfId="3">
      <alignment horizontal="center" vertical="center" wrapText="1"/>
    </xf>
    <xf numFmtId="0" fontId="19" fillId="2" borderId="4" applyAlignment="1" pivotButton="0" quotePrefix="0" xfId="2">
      <alignment horizontal="center" wrapText="1"/>
    </xf>
    <xf numFmtId="0" fontId="18" fillId="0" borderId="4" applyAlignment="1" pivotButton="0" quotePrefix="0" xfId="0">
      <alignment horizontal="left" wrapText="1"/>
    </xf>
    <xf numFmtId="164" fontId="18" fillId="0" borderId="4" applyAlignment="1" pivotButton="0" quotePrefix="0" xfId="1">
      <alignment horizontal="right" wrapText="1"/>
    </xf>
    <xf numFmtId="0" fontId="22" fillId="0" borderId="4" pivotButton="0" quotePrefix="0" xfId="0"/>
    <xf numFmtId="164" fontId="22" fillId="0" borderId="4" pivotButton="0" quotePrefix="0" xfId="1"/>
    <xf numFmtId="164" fontId="22" fillId="0" borderId="4" pivotButton="0" quotePrefix="0" xfId="0"/>
    <xf numFmtId="0" fontId="22" fillId="0" borderId="0" pivotButton="0" quotePrefix="0" xfId="0"/>
    <xf numFmtId="37" fontId="18" fillId="0" borderId="0" pivotButton="0" quotePrefix="0" xfId="0"/>
    <xf numFmtId="0" fontId="18" fillId="0" borderId="4" pivotButton="0" quotePrefix="0" xfId="0"/>
    <xf numFmtId="164" fontId="18" fillId="0" borderId="4" pivotButton="0" quotePrefix="0" xfId="1"/>
    <xf numFmtId="0" fontId="19" fillId="0" borderId="0" pivotButton="0" quotePrefix="0" xfId="2"/>
    <xf numFmtId="2" fontId="0" fillId="0" borderId="4" applyAlignment="1" pivotButton="0" quotePrefix="0" xfId="0">
      <alignment horizontal="center" wrapText="1"/>
    </xf>
    <xf numFmtId="0" fontId="11" fillId="0" borderId="4" pivotButton="0" quotePrefix="0" xfId="2"/>
    <xf numFmtId="164" fontId="9" fillId="0" borderId="4" pivotButton="0" quotePrefix="0" xfId="2"/>
    <xf numFmtId="164" fontId="16" fillId="0" borderId="4" pivotButton="0" quotePrefix="0" xfId="2"/>
    <xf numFmtId="0" fontId="2" fillId="2" borderId="2" applyAlignment="1" pivotButton="0" quotePrefix="0" xfId="2">
      <alignment horizontal="center" vertical="center" wrapText="1"/>
    </xf>
    <xf numFmtId="0" fontId="2" fillId="2" borderId="3" applyAlignment="1" pivotButton="0" quotePrefix="0" xfId="2">
      <alignment horizontal="center" vertical="center" wrapText="1"/>
    </xf>
    <xf numFmtId="37" fontId="2" fillId="2" borderId="2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3" fillId="2" borderId="1" applyAlignment="1" pivotButton="0" quotePrefix="0" xfId="2">
      <alignment horizontal="center" vertical="center" wrapText="1"/>
    </xf>
    <xf numFmtId="0" fontId="3" fillId="2" borderId="5" applyAlignment="1" pivotButton="0" quotePrefix="0" xfId="2">
      <alignment horizontal="center" vertical="center" wrapText="1"/>
    </xf>
    <xf numFmtId="0" fontId="2" fillId="2" borderId="1" applyAlignment="1" pivotButton="0" quotePrefix="0" xfId="2">
      <alignment horizontal="center" vertical="center" wrapText="1"/>
    </xf>
    <xf numFmtId="0" fontId="2" fillId="2" borderId="5" applyAlignment="1" pivotButton="0" quotePrefix="0" xfId="2">
      <alignment horizontal="center" vertical="center" wrapText="1"/>
    </xf>
    <xf numFmtId="0" fontId="19" fillId="0" borderId="0" applyAlignment="1" pivotButton="0" quotePrefix="0" xfId="2">
      <alignment horizontal="center"/>
    </xf>
    <xf numFmtId="37" fontId="19" fillId="2" borderId="2" applyAlignment="1" pivotButton="0" quotePrefix="0" xfId="2">
      <alignment horizontal="center" vertical="center" wrapText="1"/>
    </xf>
    <xf numFmtId="0" fontId="19" fillId="2" borderId="3" applyAlignment="1" pivotButton="0" quotePrefix="0" xfId="2">
      <alignment horizontal="center" vertical="center" wrapText="1"/>
    </xf>
    <xf numFmtId="0" fontId="19" fillId="2" borderId="2" applyAlignment="1" pivotButton="0" quotePrefix="0" xfId="2">
      <alignment horizontal="center" vertical="center" wrapText="1"/>
    </xf>
    <xf numFmtId="0" fontId="19" fillId="2" borderId="1" applyAlignment="1" pivotButton="0" quotePrefix="0" xfId="2">
      <alignment horizontal="center" vertical="center" wrapText="1"/>
    </xf>
    <xf numFmtId="0" fontId="19" fillId="2" borderId="5" applyAlignment="1" pivotButton="0" quotePrefix="0" xfId="2">
      <alignment horizontal="center" vertical="center" wrapText="1"/>
    </xf>
    <xf numFmtId="0" fontId="21" fillId="2" borderId="3" applyAlignment="1" pivotButton="0" quotePrefix="0" xfId="2">
      <alignment horizontal="center" vertical="center" wrapText="1"/>
    </xf>
    <xf numFmtId="0" fontId="2" fillId="2" borderId="8" applyAlignment="1" pivotButton="0" quotePrefix="0" xfId="2">
      <alignment horizontal="center" vertical="center" wrapText="1"/>
    </xf>
    <xf numFmtId="0" fontId="0" fillId="0" borderId="11" pivotButton="0" quotePrefix="0" xfId="0"/>
    <xf numFmtId="37" fontId="2" fillId="2" borderId="8" applyAlignment="1" pivotButton="0" quotePrefix="0" xfId="2">
      <alignment horizontal="center" vertical="center" wrapText="1"/>
    </xf>
    <xf numFmtId="0" fontId="0" fillId="0" borderId="7" pivotButton="0" quotePrefix="0" xfId="0"/>
    <xf numFmtId="0" fontId="19" fillId="2" borderId="8" applyAlignment="1" pivotButton="0" quotePrefix="0" xfId="2">
      <alignment horizontal="center" vertical="center" wrapText="1"/>
    </xf>
    <xf numFmtId="37" fontId="19" fillId="2" borderId="8" applyAlignment="1" pivotButton="0" quotePrefix="0" xfId="2">
      <alignment horizontal="center" vertical="center" wrapText="1"/>
    </xf>
  </cellXfs>
  <cellStyles count="4">
    <cellStyle name="Normal" xfId="0" builtinId="0"/>
    <cellStyle name="Comma" xfId="1" builtinId="3"/>
    <cellStyle name="Normal 163 2 2" xfId="2"/>
    <cellStyle name="Comma 73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X4159"/>
  <sheetViews>
    <sheetView topLeftCell="I2413" zoomScale="85" zoomScaleNormal="85" workbookViewId="0">
      <selection activeCell="U2423" sqref="J2423:U2428"/>
    </sheetView>
  </sheetViews>
  <sheetFormatPr baseColWidth="8" defaultColWidth="9.7109375" defaultRowHeight="12.75"/>
  <cols>
    <col width="17.7109375" customWidth="1" style="23" min="1" max="1"/>
    <col width="12.7109375" customWidth="1" style="23" min="2" max="2"/>
    <col width="18.5703125" customWidth="1" style="23" min="3" max="3"/>
    <col width="14.7109375" customWidth="1" style="23" min="4" max="4"/>
    <col width="14.7109375" bestFit="1" customWidth="1" style="23" min="5" max="5"/>
    <col width="14.7109375" customWidth="1" style="23" min="6" max="6"/>
    <col width="13.42578125" customWidth="1" style="23" min="7" max="7"/>
    <col width="43.140625" customWidth="1" style="24" min="8" max="8"/>
    <col width="60.7109375" customWidth="1" style="24" min="9" max="9"/>
    <col width="7" customWidth="1" style="24" min="10" max="10"/>
    <col width="17.85546875" customWidth="1" style="23" min="11" max="11"/>
    <col width="12.7109375" bestFit="1" customWidth="1" style="23" min="12" max="12"/>
    <col width="18.7109375" customWidth="1" style="23" min="13" max="13"/>
    <col width="13.42578125" bestFit="1" customWidth="1" style="25" min="14" max="14"/>
    <col width="21.28515625" bestFit="1" customWidth="1" style="23" min="15" max="15"/>
    <col width="13.85546875" bestFit="1" customWidth="1" style="25" min="16" max="16"/>
    <col width="20.7109375" bestFit="1" customWidth="1" style="26" min="17" max="17"/>
    <col width="14" customWidth="1" style="23" min="18" max="18"/>
    <col width="17.7109375" customWidth="1" style="23" min="19" max="19"/>
    <col width="9.7109375" customWidth="1" style="23" min="20" max="20"/>
    <col width="20.140625" customWidth="1" style="23" min="21" max="21"/>
    <col width="9.7109375" customWidth="1" style="23" min="22" max="16384"/>
  </cols>
  <sheetData>
    <row r="1" ht="14.25" customFormat="1" customHeight="1" s="6">
      <c r="A1" s="1" t="inlineStr">
        <is>
          <t>CÔNG TY CỔ PHẦN KẾT CẤU THÉP STEELTECH</t>
        </is>
      </c>
      <c r="B1" s="1" t="n"/>
      <c r="C1" s="1" t="n"/>
      <c r="D1" s="1" t="n"/>
      <c r="E1" s="1" t="n"/>
      <c r="F1" s="1" t="n"/>
      <c r="G1" s="1" t="n"/>
      <c r="H1" s="2" t="n"/>
      <c r="I1" s="3" t="n"/>
      <c r="J1" s="4" t="n"/>
      <c r="K1" s="5" t="n"/>
      <c r="N1" s="7" t="n"/>
      <c r="P1" s="7" t="n"/>
      <c r="Q1" s="8" t="n"/>
      <c r="S1" s="8" t="n"/>
    </row>
    <row r="2" ht="14.25" customFormat="1" customHeight="1" s="6">
      <c r="A2" s="1" t="inlineStr">
        <is>
          <t>MST: 0319777888</t>
        </is>
      </c>
      <c r="B2" s="1" t="n"/>
      <c r="C2" s="1" t="n"/>
      <c r="D2" s="1" t="n"/>
      <c r="E2" s="1" t="n"/>
      <c r="F2" s="1" t="n"/>
      <c r="G2" s="1" t="n"/>
      <c r="H2" s="2" t="n"/>
      <c r="I2" s="3" t="n"/>
      <c r="J2" s="4" t="n"/>
      <c r="K2" s="5" t="n"/>
      <c r="N2" s="7" t="n"/>
      <c r="P2" s="7" t="n"/>
      <c r="Q2" s="8" t="n"/>
      <c r="S2" s="8" t="n"/>
    </row>
    <row r="3" ht="12.6" customFormat="1" customHeight="1" s="6">
      <c r="H3" s="3" t="n"/>
      <c r="I3" s="3" t="n"/>
      <c r="J3" s="4" t="n"/>
      <c r="K3" s="5" t="n"/>
      <c r="N3" s="7" t="n"/>
      <c r="P3" s="7" t="n"/>
      <c r="Q3" s="8" t="n"/>
      <c r="S3" s="8" t="n"/>
    </row>
    <row r="4" ht="24.95" customFormat="1" customHeight="1" s="6">
      <c r="A4" s="9" t="inlineStr">
        <is>
          <t>NHẬP XUẤT TỒN</t>
        </is>
      </c>
      <c r="B4" s="9" t="n"/>
      <c r="C4" s="9" t="n"/>
      <c r="D4" s="9" t="n"/>
      <c r="E4" s="9" t="n"/>
      <c r="F4" s="9" t="n"/>
      <c r="G4" s="9" t="n"/>
      <c r="H4" s="10" t="n"/>
      <c r="I4" s="3" t="n"/>
      <c r="J4" s="4" t="n"/>
      <c r="K4" s="5" t="n"/>
      <c r="N4" s="7" t="n"/>
      <c r="P4" s="7" t="n"/>
      <c r="Q4" s="8" t="n"/>
      <c r="S4" s="8" t="n"/>
    </row>
    <row r="5" ht="24.95" customFormat="1" customHeight="1" s="6">
      <c r="A5" s="9" t="inlineStr">
        <is>
          <t>Kỳ 01-12/2025</t>
        </is>
      </c>
      <c r="B5" s="9" t="n"/>
      <c r="C5" s="9" t="n"/>
      <c r="D5" s="9" t="n"/>
      <c r="E5" s="9" t="n"/>
      <c r="F5" s="9" t="n"/>
      <c r="G5" s="9" t="n"/>
      <c r="H5" s="10" t="n"/>
      <c r="I5" s="3" t="n"/>
      <c r="J5" s="4" t="n"/>
      <c r="K5" s="5" t="n"/>
      <c r="N5" s="7" t="n"/>
      <c r="P5" s="7" t="n"/>
      <c r="Q5" s="8" t="n"/>
      <c r="S5" s="8" t="n"/>
    </row>
    <row r="6"/>
    <row r="7" ht="24.95" customFormat="1" customHeight="1" s="13">
      <c r="A7" s="76" t="inlineStr">
        <is>
          <t>Ngày chứng từ</t>
        </is>
      </c>
      <c r="B7" s="76" t="inlineStr">
        <is>
          <t>Số chứng từ nhập</t>
        </is>
      </c>
      <c r="C7" s="76" t="inlineStr">
        <is>
          <t>Ngày nhập hàng</t>
        </is>
      </c>
      <c r="D7" s="76" t="inlineStr">
        <is>
          <t>Số hóa đơn</t>
        </is>
      </c>
      <c r="E7" s="76" t="inlineStr">
        <is>
          <t>Ngày hóa đơn</t>
        </is>
      </c>
      <c r="F7" s="76" t="inlineStr">
        <is>
          <t>Số chứng từ xuất</t>
        </is>
      </c>
      <c r="G7" s="76" t="inlineStr">
        <is>
          <t>Ngày xuất hàng</t>
        </is>
      </c>
      <c r="H7" s="74" t="inlineStr">
        <is>
          <t>Nhà cung cấp</t>
        </is>
      </c>
      <c r="I7" s="74" t="inlineStr">
        <is>
          <t>Tên hàng</t>
        </is>
      </c>
      <c r="J7" s="74" t="inlineStr">
        <is>
          <t>ĐVT</t>
        </is>
      </c>
      <c r="K7" s="76" t="inlineStr">
        <is>
          <t>Đơn giá</t>
        </is>
      </c>
      <c r="L7" s="85" t="inlineStr">
        <is>
          <t>Tồn đầu kỳ</t>
        </is>
      </c>
      <c r="M7" s="86" t="n"/>
      <c r="N7" s="87" t="inlineStr">
        <is>
          <t>Nhập trong kỳ</t>
        </is>
      </c>
      <c r="O7" s="86" t="n"/>
      <c r="P7" s="87" t="inlineStr">
        <is>
          <t>Xuất trong kỳ</t>
        </is>
      </c>
      <c r="Q7" s="86" t="n"/>
      <c r="R7" s="85" t="inlineStr">
        <is>
          <t>Tồn cuối kỳ</t>
        </is>
      </c>
      <c r="S7" s="86" t="n"/>
    </row>
    <row r="8" ht="24.95" customFormat="1" customHeight="1" s="13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76" t="inlineStr">
        <is>
          <t>Số lượng</t>
        </is>
      </c>
      <c r="M8" s="76" t="inlineStr">
        <is>
          <t>Thành tiền</t>
        </is>
      </c>
      <c r="N8" s="14" t="inlineStr">
        <is>
          <t>Số lượng</t>
        </is>
      </c>
      <c r="O8" s="76" t="inlineStr">
        <is>
          <t>Thành tiền</t>
        </is>
      </c>
      <c r="P8" s="14" t="inlineStr">
        <is>
          <t>Số lượng</t>
        </is>
      </c>
      <c r="Q8" s="15" t="inlineStr">
        <is>
          <t>Thành tiền</t>
        </is>
      </c>
      <c r="R8" s="76" t="inlineStr">
        <is>
          <t>Số lượng</t>
        </is>
      </c>
      <c r="S8" s="15" t="inlineStr">
        <is>
          <t>Thành tiền</t>
        </is>
      </c>
    </row>
    <row r="9" ht="24.95" customFormat="1" customHeight="1" s="13">
      <c r="A9" s="12" t="n">
        <v>1</v>
      </c>
      <c r="B9" s="12" t="n">
        <v>2</v>
      </c>
      <c r="C9" s="12" t="n">
        <v>3</v>
      </c>
      <c r="D9" s="12" t="n">
        <v>4</v>
      </c>
      <c r="E9" s="12" t="n">
        <v>5</v>
      </c>
      <c r="F9" s="12" t="n">
        <v>6</v>
      </c>
      <c r="G9" s="12" t="n">
        <v>7</v>
      </c>
      <c r="H9" s="12" t="n">
        <v>8</v>
      </c>
      <c r="I9" s="12" t="n">
        <v>9</v>
      </c>
      <c r="J9" s="12" t="n">
        <v>10</v>
      </c>
      <c r="K9" s="12" t="n">
        <v>11</v>
      </c>
      <c r="L9" s="12" t="n">
        <v>12</v>
      </c>
      <c r="M9" s="12" t="n">
        <v>13</v>
      </c>
      <c r="N9" s="12" t="n">
        <v>14</v>
      </c>
      <c r="O9" s="12" t="n">
        <v>15</v>
      </c>
      <c r="P9" s="12" t="n">
        <v>16</v>
      </c>
      <c r="Q9" s="12" t="n">
        <v>17</v>
      </c>
      <c r="R9" s="12" t="n">
        <v>18</v>
      </c>
      <c r="S9" s="12" t="n">
        <v>19</v>
      </c>
    </row>
    <row r="10" ht="15" customHeight="1">
      <c r="A10" s="16" t="n">
        <v>45659</v>
      </c>
      <c r="B10" s="17" t="inlineStr">
        <is>
          <t>MH2501-01</t>
        </is>
      </c>
      <c r="C10" s="16" t="n">
        <v>45659</v>
      </c>
      <c r="D10" s="17" t="inlineStr">
        <is>
          <t>00000012</t>
        </is>
      </c>
      <c r="E10" s="16" t="n">
        <v>45659</v>
      </c>
      <c r="F10" s="16" t="inlineStr">
        <is>
          <t>XK2501-01</t>
        </is>
      </c>
      <c r="G10" s="16" t="n">
        <v>45659</v>
      </c>
      <c r="H10" s="18" t="inlineStr">
        <is>
          <t>CÔNG TY TNHH SƠN JOTUN VIỆT NAM</t>
        </is>
      </c>
      <c r="I10" s="18" t="inlineStr">
        <is>
          <t>SƠN JOTAMASTIC 70 GREY         18L</t>
        </is>
      </c>
      <c r="J10" s="18" t="inlineStr">
        <is>
          <t>Lít</t>
        </is>
      </c>
      <c r="K10" s="19" t="n">
        <v>90000</v>
      </c>
      <c r="L10" s="20" t="n"/>
      <c r="M10" s="20" t="n"/>
      <c r="N10" s="22" t="n">
        <v>1278</v>
      </c>
      <c r="O10" s="22" t="n">
        <v>115020000</v>
      </c>
      <c r="P10" s="22" t="n">
        <v>1278</v>
      </c>
      <c r="Q10" s="22" t="n">
        <v>115020000</v>
      </c>
      <c r="R10" s="42">
        <f>+L10+N10-P10</f>
        <v/>
      </c>
      <c r="S10" s="42">
        <f>+M10+O10-Q10</f>
        <v/>
      </c>
    </row>
    <row r="11" ht="15" customHeight="1">
      <c r="A11" s="16" t="n">
        <v>45659</v>
      </c>
      <c r="B11" s="17" t="inlineStr">
        <is>
          <t>MH2501-01</t>
        </is>
      </c>
      <c r="C11" s="16" t="n">
        <v>45659</v>
      </c>
      <c r="D11" s="17" t="inlineStr">
        <is>
          <t>00000012</t>
        </is>
      </c>
      <c r="E11" s="16" t="n">
        <v>45659</v>
      </c>
      <c r="F11" s="16" t="inlineStr">
        <is>
          <t>XK2501-01</t>
        </is>
      </c>
      <c r="G11" s="16" t="n">
        <v>45659</v>
      </c>
      <c r="H11" s="18" t="inlineStr">
        <is>
          <t>CÔNG TY TNHH SƠN JOTUN VIỆT NAM</t>
        </is>
      </c>
      <c r="I11" s="18" t="inlineStr">
        <is>
          <t>SƠN FUTURA CLASSIC RAL 9010    20L</t>
        </is>
      </c>
      <c r="J11" s="18" t="inlineStr">
        <is>
          <t>Lít</t>
        </is>
      </c>
      <c r="K11" s="19" t="n">
        <v>155000</v>
      </c>
      <c r="L11" s="20" t="n"/>
      <c r="M11" s="20" t="n"/>
      <c r="N11" s="22" t="n">
        <v>200</v>
      </c>
      <c r="O11" s="22" t="n">
        <v>31000000</v>
      </c>
      <c r="P11" s="22" t="n">
        <v>200</v>
      </c>
      <c r="Q11" s="22" t="n">
        <v>31000000</v>
      </c>
      <c r="R11" s="42">
        <f>+L11+N11-P11</f>
        <v/>
      </c>
      <c r="S11" s="42">
        <f>+M11+O11-Q11</f>
        <v/>
      </c>
    </row>
    <row r="12" ht="15" customHeight="1">
      <c r="A12" s="16" t="n">
        <v>45659</v>
      </c>
      <c r="B12" s="17" t="inlineStr">
        <is>
          <t>MH2501-01</t>
        </is>
      </c>
      <c r="C12" s="16" t="n">
        <v>45659</v>
      </c>
      <c r="D12" s="17" t="inlineStr">
        <is>
          <t>00000012</t>
        </is>
      </c>
      <c r="E12" s="16" t="n">
        <v>45659</v>
      </c>
      <c r="F12" s="16" t="inlineStr">
        <is>
          <t>XK2501-01</t>
        </is>
      </c>
      <c r="G12" s="16" t="n">
        <v>45659</v>
      </c>
      <c r="H12" s="18" t="inlineStr">
        <is>
          <t>CÔNG TY TNHH SƠN JOTUN VIỆT NAM</t>
        </is>
      </c>
      <c r="I12" s="18" t="inlineStr">
        <is>
          <t>SƠN FUTURA CLASSIC RAL9010     4.55L</t>
        </is>
      </c>
      <c r="J12" s="18" t="inlineStr">
        <is>
          <t>Lít</t>
        </is>
      </c>
      <c r="K12" s="19" t="n">
        <v>155000</v>
      </c>
      <c r="L12" s="20" t="n"/>
      <c r="M12" s="20" t="n"/>
      <c r="N12" s="22" t="n">
        <v>27.3</v>
      </c>
      <c r="O12" s="22" t="n">
        <v>4231500</v>
      </c>
      <c r="P12" s="22" t="n">
        <v>27.3</v>
      </c>
      <c r="Q12" s="22" t="n">
        <v>4231500</v>
      </c>
      <c r="R12" s="42">
        <f>+L12+N12-P12</f>
        <v/>
      </c>
      <c r="S12" s="42">
        <f>+M12+O12-Q12</f>
        <v/>
      </c>
    </row>
    <row r="13" ht="15" customHeight="1">
      <c r="A13" s="16" t="n">
        <v>45659</v>
      </c>
      <c r="B13" s="17" t="inlineStr">
        <is>
          <t>MH2501-01</t>
        </is>
      </c>
      <c r="C13" s="16" t="n">
        <v>45659</v>
      </c>
      <c r="D13" s="17" t="inlineStr">
        <is>
          <t>00000012</t>
        </is>
      </c>
      <c r="E13" s="16" t="n">
        <v>45659</v>
      </c>
      <c r="F13" s="16" t="inlineStr">
        <is>
          <t>XK2501-01</t>
        </is>
      </c>
      <c r="G13" s="16" t="n">
        <v>45659</v>
      </c>
      <c r="H13" s="18" t="inlineStr">
        <is>
          <t>CÔNG TY TNHH SƠN JOTUN VIỆT NAM</t>
        </is>
      </c>
      <c r="I13" s="18" t="inlineStr">
        <is>
          <t>DUNG MÔI JOTUN THINNER NO. 17       20L</t>
        </is>
      </c>
      <c r="J13" s="18" t="inlineStr">
        <is>
          <t>Lít</t>
        </is>
      </c>
      <c r="K13" s="19" t="n">
        <v>60000</v>
      </c>
      <c r="L13" s="20" t="n"/>
      <c r="M13" s="20" t="n"/>
      <c r="N13" s="22" t="n">
        <v>200</v>
      </c>
      <c r="O13" s="22" t="n">
        <v>12000000</v>
      </c>
      <c r="P13" s="22" t="n">
        <v>200</v>
      </c>
      <c r="Q13" s="22" t="n">
        <v>12000000</v>
      </c>
      <c r="R13" s="42">
        <f>+L13+N13-P13</f>
        <v/>
      </c>
      <c r="S13" s="42">
        <f>+M13+O13-Q13</f>
        <v/>
      </c>
    </row>
    <row r="14" ht="15" customHeight="1">
      <c r="A14" s="16" t="n">
        <v>45659</v>
      </c>
      <c r="B14" s="17" t="inlineStr">
        <is>
          <t>MH2501-01</t>
        </is>
      </c>
      <c r="C14" s="16" t="n">
        <v>45659</v>
      </c>
      <c r="D14" s="17" t="inlineStr">
        <is>
          <t>00000012</t>
        </is>
      </c>
      <c r="E14" s="16" t="n">
        <v>45659</v>
      </c>
      <c r="F14" s="16" t="inlineStr">
        <is>
          <t>XK2501-01</t>
        </is>
      </c>
      <c r="G14" s="16" t="n">
        <v>45659</v>
      </c>
      <c r="H14" s="18" t="inlineStr">
        <is>
          <t>CÔNG TY TNHH SƠN JOTUN VIỆT NAM</t>
        </is>
      </c>
      <c r="I14" s="18" t="inlineStr">
        <is>
          <t>DUNG MÔI JOTUN THINNER NO. 10       20L</t>
        </is>
      </c>
      <c r="J14" s="18" t="inlineStr">
        <is>
          <t>Lít</t>
        </is>
      </c>
      <c r="K14" s="19" t="n">
        <v>60000</v>
      </c>
      <c r="L14" s="20" t="n"/>
      <c r="M14" s="20" t="n"/>
      <c r="N14" s="22" t="n">
        <v>180</v>
      </c>
      <c r="O14" s="22" t="n">
        <v>10800000</v>
      </c>
      <c r="P14" s="22" t="n">
        <v>180</v>
      </c>
      <c r="Q14" s="22" t="n">
        <v>10800000</v>
      </c>
      <c r="R14" s="42">
        <f>+L14+N14-P14</f>
        <v/>
      </c>
      <c r="S14" s="42">
        <f>+M14+O14-Q14</f>
        <v/>
      </c>
    </row>
    <row r="15" ht="15" customHeight="1">
      <c r="A15" s="16" t="n">
        <v>45659</v>
      </c>
      <c r="B15" s="17" t="inlineStr">
        <is>
          <t>MH2501-01</t>
        </is>
      </c>
      <c r="C15" s="16" t="n">
        <v>45659</v>
      </c>
      <c r="D15" s="17" t="inlineStr">
        <is>
          <t>00000012</t>
        </is>
      </c>
      <c r="E15" s="16" t="n">
        <v>45659</v>
      </c>
      <c r="F15" s="16" t="inlineStr">
        <is>
          <t>XK2501-01</t>
        </is>
      </c>
      <c r="G15" s="16" t="n">
        <v>45659</v>
      </c>
      <c r="H15" s="18" t="inlineStr">
        <is>
          <t>CÔNG TY TNHH SƠN JOTUN VIỆT NAM</t>
        </is>
      </c>
      <c r="I15" s="18" t="inlineStr">
        <is>
          <t>SƠN FUTURA CLASSIC RAL9010      18.22L</t>
        </is>
      </c>
      <c r="J15" s="18" t="inlineStr">
        <is>
          <t>Lít</t>
        </is>
      </c>
      <c r="K15" s="19" t="n">
        <v>160000</v>
      </c>
      <c r="L15" s="20" t="n"/>
      <c r="M15" s="20" t="n"/>
      <c r="N15" s="22" t="n">
        <v>819.9</v>
      </c>
      <c r="O15" s="22" t="n">
        <v>131184000</v>
      </c>
      <c r="P15" s="22" t="n">
        <v>819.9</v>
      </c>
      <c r="Q15" s="22" t="n">
        <v>131184000</v>
      </c>
      <c r="R15" s="42">
        <f>+L15+N15-P15</f>
        <v/>
      </c>
      <c r="S15" s="42">
        <f>+M15+O15-Q15</f>
        <v/>
      </c>
    </row>
    <row r="16" ht="15" customHeight="1">
      <c r="A16" s="16" t="n">
        <v>45659</v>
      </c>
      <c r="B16" s="17" t="inlineStr">
        <is>
          <t>MH2501-02</t>
        </is>
      </c>
      <c r="C16" s="16" t="n">
        <v>45659</v>
      </c>
      <c r="D16" s="17" t="inlineStr">
        <is>
          <t>00000008</t>
        </is>
      </c>
      <c r="E16" s="16" t="n">
        <v>45659</v>
      </c>
      <c r="F16" s="16" t="inlineStr">
        <is>
          <t>XK2501-02</t>
        </is>
      </c>
      <c r="G16" s="16" t="n">
        <v>45659</v>
      </c>
      <c r="H16" s="18" t="inlineStr">
        <is>
          <t>CÔNG TY TNHH SƠN JOTUN VIỆT NAM</t>
        </is>
      </c>
      <c r="I16" s="18" t="inlineStr">
        <is>
          <t>SƠN JOTAMASTIC 70 GREY         18L</t>
        </is>
      </c>
      <c r="J16" s="18" t="inlineStr">
        <is>
          <t>Lít</t>
        </is>
      </c>
      <c r="K16" s="19" t="n">
        <v>90000</v>
      </c>
      <c r="L16" s="20" t="n"/>
      <c r="M16" s="20" t="n"/>
      <c r="N16" s="22" t="n">
        <v>396</v>
      </c>
      <c r="O16" s="22" t="n">
        <v>35640000</v>
      </c>
      <c r="P16" s="22" t="n">
        <v>396</v>
      </c>
      <c r="Q16" s="22" t="n">
        <v>35640000</v>
      </c>
      <c r="R16" s="42">
        <f>+L16+N16-P16</f>
        <v/>
      </c>
      <c r="S16" s="42">
        <f>+M16+O16-Q16</f>
        <v/>
      </c>
    </row>
    <row r="17" ht="15" customHeight="1">
      <c r="A17" s="16" t="n">
        <v>45659</v>
      </c>
      <c r="B17" s="17" t="inlineStr">
        <is>
          <t>MH2501-02</t>
        </is>
      </c>
      <c r="C17" s="16" t="n">
        <v>45659</v>
      </c>
      <c r="D17" s="17" t="inlineStr">
        <is>
          <t>00000008</t>
        </is>
      </c>
      <c r="E17" s="16" t="n">
        <v>45659</v>
      </c>
      <c r="F17" s="16" t="inlineStr">
        <is>
          <t>XK2501-02</t>
        </is>
      </c>
      <c r="G17" s="16" t="n">
        <v>45659</v>
      </c>
      <c r="H17" s="18" t="inlineStr">
        <is>
          <t>CÔNG TY TNHH SƠN JOTUN VIỆT NAM</t>
        </is>
      </c>
      <c r="I17" s="18" t="inlineStr">
        <is>
          <t>DUNG MÔI JOTUN THINNER NO. 17       20L</t>
        </is>
      </c>
      <c r="J17" s="18" t="inlineStr">
        <is>
          <t>Lít</t>
        </is>
      </c>
      <c r="K17" s="19" t="n">
        <v>60000</v>
      </c>
      <c r="L17" s="20" t="n"/>
      <c r="M17" s="20" t="n"/>
      <c r="N17" s="22" t="n">
        <v>60</v>
      </c>
      <c r="O17" s="22" t="n">
        <v>3600000</v>
      </c>
      <c r="P17" s="22" t="n">
        <v>60</v>
      </c>
      <c r="Q17" s="22" t="n">
        <v>3600000</v>
      </c>
      <c r="R17" s="42">
        <f>+L17+N17-P17</f>
        <v/>
      </c>
      <c r="S17" s="42">
        <f>+M17+O17-Q17</f>
        <v/>
      </c>
    </row>
    <row r="18" ht="15" customHeight="1">
      <c r="A18" s="16" t="n">
        <v>45659</v>
      </c>
      <c r="B18" s="17" t="inlineStr">
        <is>
          <t>MH2501-02</t>
        </is>
      </c>
      <c r="C18" s="16" t="n">
        <v>45659</v>
      </c>
      <c r="D18" s="17" t="inlineStr">
        <is>
          <t>00000008</t>
        </is>
      </c>
      <c r="E18" s="16" t="n">
        <v>45659</v>
      </c>
      <c r="F18" s="16" t="inlineStr">
        <is>
          <t>XK2501-02</t>
        </is>
      </c>
      <c r="G18" s="16" t="n">
        <v>45659</v>
      </c>
      <c r="H18" s="18" t="inlineStr">
        <is>
          <t>CÔNG TY TNHH SƠN JOTUN VIỆT NAM</t>
        </is>
      </c>
      <c r="I18" s="18" t="inlineStr">
        <is>
          <t>DUNG MÔI JOTUN THINNER NO. 10       20L</t>
        </is>
      </c>
      <c r="J18" s="18" t="inlineStr">
        <is>
          <t>Lít</t>
        </is>
      </c>
      <c r="K18" s="19" t="n">
        <v>60000</v>
      </c>
      <c r="L18" s="20" t="n"/>
      <c r="M18" s="20" t="n"/>
      <c r="N18" s="22" t="n">
        <v>40</v>
      </c>
      <c r="O18" s="22" t="n">
        <v>2400000</v>
      </c>
      <c r="P18" s="22" t="n">
        <v>40</v>
      </c>
      <c r="Q18" s="22" t="n">
        <v>2400000</v>
      </c>
      <c r="R18" s="42">
        <f>+L18+N18-P18</f>
        <v/>
      </c>
      <c r="S18" s="42">
        <f>+M18+O18-Q18</f>
        <v/>
      </c>
    </row>
    <row r="19" ht="15" customHeight="1">
      <c r="A19" s="16" t="n">
        <v>45659</v>
      </c>
      <c r="B19" s="17" t="inlineStr">
        <is>
          <t>MH2501-02</t>
        </is>
      </c>
      <c r="C19" s="16" t="n">
        <v>45659</v>
      </c>
      <c r="D19" s="17" t="inlineStr">
        <is>
          <t>00000008</t>
        </is>
      </c>
      <c r="E19" s="16" t="n">
        <v>45659</v>
      </c>
      <c r="F19" s="16" t="inlineStr">
        <is>
          <t>XK2501-02</t>
        </is>
      </c>
      <c r="G19" s="16" t="n">
        <v>45659</v>
      </c>
      <c r="H19" s="18" t="inlineStr">
        <is>
          <t>CÔNG TY TNHH SƠN JOTUN VIỆT NAM</t>
        </is>
      </c>
      <c r="I19" s="18" t="inlineStr">
        <is>
          <t>SƠN FUTURA CLASSIC RAL7037    19.03L</t>
        </is>
      </c>
      <c r="J19" s="18" t="inlineStr">
        <is>
          <t>Lít</t>
        </is>
      </c>
      <c r="K19" s="19" t="n">
        <v>155000</v>
      </c>
      <c r="L19" s="20" t="n"/>
      <c r="M19" s="20" t="n"/>
      <c r="N19" s="22" t="n">
        <v>228.36</v>
      </c>
      <c r="O19" s="22" t="n">
        <v>35395800</v>
      </c>
      <c r="P19" s="22" t="n">
        <v>228.36</v>
      </c>
      <c r="Q19" s="22" t="n">
        <v>35395800</v>
      </c>
      <c r="R19" s="42">
        <f>+L19+N19-P19</f>
        <v/>
      </c>
      <c r="S19" s="42">
        <f>+M19+O19-Q19</f>
        <v/>
      </c>
    </row>
    <row r="20" ht="15" customHeight="1">
      <c r="A20" s="16" t="n">
        <v>45659</v>
      </c>
      <c r="B20" s="17" t="inlineStr">
        <is>
          <t>MH2501-03</t>
        </is>
      </c>
      <c r="C20" s="16" t="n">
        <v>45659</v>
      </c>
      <c r="D20" s="17" t="inlineStr">
        <is>
          <t>00000001</t>
        </is>
      </c>
      <c r="E20" s="16" t="n">
        <v>45659</v>
      </c>
      <c r="F20" s="16" t="inlineStr">
        <is>
          <t>XK2501-02</t>
        </is>
      </c>
      <c r="G20" s="16" t="n">
        <v>45659</v>
      </c>
      <c r="H20" s="18" t="inlineStr">
        <is>
          <t>CÔNG TY TNHH XNK THÉP KIM NAM</t>
        </is>
      </c>
      <c r="I20" s="18" t="inlineStr">
        <is>
          <t>Thép tấm 6lyx1500x6000</t>
        </is>
      </c>
      <c r="J20" s="18" t="inlineStr">
        <is>
          <t>kg</t>
        </is>
      </c>
      <c r="K20" s="19" t="n">
        <v>13981.82</v>
      </c>
      <c r="L20" s="20" t="n"/>
      <c r="M20" s="20" t="n"/>
      <c r="N20" s="22" t="n">
        <v>32216.4</v>
      </c>
      <c r="O20" s="22" t="n">
        <v>450443847</v>
      </c>
      <c r="P20" s="22" t="n">
        <v>32216.4</v>
      </c>
      <c r="Q20" s="22" t="n">
        <v>450443847</v>
      </c>
      <c r="R20" s="42">
        <f>+L20+N20-P20</f>
        <v/>
      </c>
      <c r="S20" s="42">
        <f>+M20+O20-Q20</f>
        <v/>
      </c>
    </row>
    <row r="21" ht="30" customHeight="1">
      <c r="A21" s="16" t="n">
        <v>45661</v>
      </c>
      <c r="B21" s="17" t="inlineStr">
        <is>
          <t>MH2501-06A</t>
        </is>
      </c>
      <c r="C21" s="16" t="n">
        <v>45661</v>
      </c>
      <c r="D21" s="17" t="inlineStr">
        <is>
          <t>00000039</t>
        </is>
      </c>
      <c r="E21" s="16" t="n">
        <v>45661</v>
      </c>
      <c r="F21" s="16" t="inlineStr">
        <is>
          <t>XK2501-04</t>
        </is>
      </c>
      <c r="G21" s="16" t="n">
        <v>45661</v>
      </c>
      <c r="H21" s="18" t="inlineStr">
        <is>
          <t>CÔNG TY CỔ PHẦN CÔNG NGHIỆP VÀ THƯƠNG MẠI CƯỜNG THỊNH</t>
        </is>
      </c>
      <c r="I21" s="18" t="inlineStr">
        <is>
          <t>Vít B2 Dacromet 12-14x20</t>
        </is>
      </c>
      <c r="J21" s="18" t="inlineStr">
        <is>
          <t>Cái</t>
        </is>
      </c>
      <c r="K21" s="19" t="n">
        <v>600</v>
      </c>
      <c r="L21" s="20" t="n"/>
      <c r="M21" s="20" t="n"/>
      <c r="N21" s="22" t="n">
        <v>1400</v>
      </c>
      <c r="O21" s="22" t="n">
        <v>840000</v>
      </c>
      <c r="P21" s="22" t="n">
        <v>1400</v>
      </c>
      <c r="Q21" s="22" t="n">
        <v>840000</v>
      </c>
      <c r="R21" s="42">
        <f>+L21+N21-P21</f>
        <v/>
      </c>
      <c r="S21" s="42">
        <f>+M21+O21-Q21</f>
        <v/>
      </c>
    </row>
    <row r="22" ht="30" customHeight="1">
      <c r="A22" s="16" t="n">
        <v>45661</v>
      </c>
      <c r="B22" s="17" t="inlineStr">
        <is>
          <t>MH2501-06A</t>
        </is>
      </c>
      <c r="C22" s="16" t="n">
        <v>45661</v>
      </c>
      <c r="D22" s="17" t="inlineStr">
        <is>
          <t>00000039</t>
        </is>
      </c>
      <c r="E22" s="16" t="n">
        <v>45661</v>
      </c>
      <c r="F22" s="16" t="inlineStr">
        <is>
          <t>XK2501-04</t>
        </is>
      </c>
      <c r="G22" s="16" t="n">
        <v>45661</v>
      </c>
      <c r="H22" s="18" t="inlineStr">
        <is>
          <t>CÔNG TY CỔ PHẦN CÔNG NGHIỆP VÀ THƯƠNG MẠI CƯỜNG THỊNH</t>
        </is>
      </c>
      <c r="I22" s="18" t="inlineStr">
        <is>
          <t>Đinh hàn 4.8 M19x100</t>
        </is>
      </c>
      <c r="J22" s="18" t="inlineStr">
        <is>
          <t>Cái</t>
        </is>
      </c>
      <c r="K22" s="19" t="n">
        <v>6600</v>
      </c>
      <c r="L22" s="20" t="n"/>
      <c r="M22" s="20" t="n"/>
      <c r="N22" s="22" t="n">
        <v>1082</v>
      </c>
      <c r="O22" s="22" t="n">
        <v>7141200</v>
      </c>
      <c r="P22" s="22" t="n">
        <v>1082</v>
      </c>
      <c r="Q22" s="22" t="n">
        <v>7141200</v>
      </c>
      <c r="R22" s="42">
        <f>+L22+N22-P22</f>
        <v/>
      </c>
      <c r="S22" s="42">
        <f>+M22+O22-Q22</f>
        <v/>
      </c>
    </row>
    <row r="23" ht="30" customHeight="1">
      <c r="A23" s="16" t="n">
        <v>45661</v>
      </c>
      <c r="B23" s="17" t="inlineStr">
        <is>
          <t>MH2501-06A</t>
        </is>
      </c>
      <c r="C23" s="16" t="n">
        <v>45661</v>
      </c>
      <c r="D23" s="17" t="inlineStr">
        <is>
          <t>00000039</t>
        </is>
      </c>
      <c r="E23" s="16" t="n">
        <v>45661</v>
      </c>
      <c r="F23" s="16" t="inlineStr">
        <is>
          <t>XK2501-04</t>
        </is>
      </c>
      <c r="G23" s="16" t="n">
        <v>45661</v>
      </c>
      <c r="H23" s="18" t="inlineStr">
        <is>
          <t>CÔNG TY CỔ PHẦN CÔNG NGHIỆP VÀ THƯƠNG MẠI CƯỜNG THỊNH</t>
        </is>
      </c>
      <c r="I23" s="18" t="inlineStr">
        <is>
          <t>Vít B2 Dacromet 12-24x38 HWFS (lục giác)</t>
        </is>
      </c>
      <c r="J23" s="18" t="inlineStr">
        <is>
          <t>Cái</t>
        </is>
      </c>
      <c r="K23" s="19" t="n">
        <v>1920</v>
      </c>
      <c r="L23" s="20" t="n"/>
      <c r="M23" s="20" t="n"/>
      <c r="N23" s="22" t="n">
        <v>1200</v>
      </c>
      <c r="O23" s="22" t="n">
        <v>2304000</v>
      </c>
      <c r="P23" s="22" t="n">
        <v>1200</v>
      </c>
      <c r="Q23" s="22" t="n">
        <v>2304000</v>
      </c>
      <c r="R23" s="42">
        <f>+L23+N23-P23</f>
        <v/>
      </c>
      <c r="S23" s="42">
        <f>+M23+O23-Q23</f>
        <v/>
      </c>
    </row>
    <row r="24" ht="30" customHeight="1">
      <c r="A24" s="16" t="n">
        <v>45661</v>
      </c>
      <c r="B24" s="17" t="inlineStr">
        <is>
          <t>MH2501-06A</t>
        </is>
      </c>
      <c r="C24" s="16" t="n">
        <v>45661</v>
      </c>
      <c r="D24" s="17" t="inlineStr">
        <is>
          <t>00000039</t>
        </is>
      </c>
      <c r="E24" s="16" t="n">
        <v>45661</v>
      </c>
      <c r="F24" s="16" t="inlineStr">
        <is>
          <t>XK2501-04</t>
        </is>
      </c>
      <c r="G24" s="16" t="n">
        <v>45661</v>
      </c>
      <c r="H24" s="18" t="inlineStr">
        <is>
          <t>CÔNG TY CỔ PHẦN CÔNG NGHIỆP VÀ THƯƠNG MẠI CƯỜNG THỊNH</t>
        </is>
      </c>
      <c r="I24" s="18" t="inlineStr">
        <is>
          <t>Bulong Din 933 8.8 ZP M20x60</t>
        </is>
      </c>
      <c r="J24" s="18" t="inlineStr">
        <is>
          <t>Cái</t>
        </is>
      </c>
      <c r="K24" s="19" t="n">
        <v>6440</v>
      </c>
      <c r="L24" s="20" t="n"/>
      <c r="M24" s="20" t="n"/>
      <c r="N24" s="22" t="n">
        <v>1090</v>
      </c>
      <c r="O24" s="22" t="n">
        <v>7019600</v>
      </c>
      <c r="P24" s="22" t="n">
        <v>1090</v>
      </c>
      <c r="Q24" s="22" t="n">
        <v>7019600</v>
      </c>
      <c r="R24" s="42">
        <f>+L24+N24-P24</f>
        <v/>
      </c>
      <c r="S24" s="42">
        <f>+M24+O24-Q24</f>
        <v/>
      </c>
    </row>
    <row r="25" ht="30" customHeight="1">
      <c r="A25" s="16" t="n">
        <v>45661</v>
      </c>
      <c r="B25" s="17" t="inlineStr">
        <is>
          <t>MH2501-06A</t>
        </is>
      </c>
      <c r="C25" s="16" t="n">
        <v>45661</v>
      </c>
      <c r="D25" s="17" t="inlineStr">
        <is>
          <t>00000039</t>
        </is>
      </c>
      <c r="E25" s="16" t="n">
        <v>45661</v>
      </c>
      <c r="F25" s="16" t="inlineStr">
        <is>
          <t>XK2501-04</t>
        </is>
      </c>
      <c r="G25" s="16" t="n">
        <v>45661</v>
      </c>
      <c r="H25" s="18" t="inlineStr">
        <is>
          <t>CÔNG TY CỔ PHẦN CÔNG NGHIỆP VÀ THƯƠNG MẠI CƯỜNG THỊNH</t>
        </is>
      </c>
      <c r="I25" s="18" t="inlineStr">
        <is>
          <t>Đai ốc Din 934 8 ZP M20</t>
        </is>
      </c>
      <c r="J25" s="18" t="inlineStr">
        <is>
          <t>Cái</t>
        </is>
      </c>
      <c r="K25" s="19" t="n">
        <v>2030</v>
      </c>
      <c r="L25" s="20" t="n"/>
      <c r="M25" s="20" t="n"/>
      <c r="N25" s="22" t="n">
        <v>1090</v>
      </c>
      <c r="O25" s="22" t="n">
        <v>2212700</v>
      </c>
      <c r="P25" s="22" t="n">
        <v>1090</v>
      </c>
      <c r="Q25" s="22" t="n">
        <v>2212700</v>
      </c>
      <c r="R25" s="42">
        <f>+L25+N25-P25</f>
        <v/>
      </c>
      <c r="S25" s="42">
        <f>+M25+O25-Q25</f>
        <v/>
      </c>
    </row>
    <row r="26" ht="30" customHeight="1">
      <c r="A26" s="16" t="n">
        <v>45661</v>
      </c>
      <c r="B26" s="17" t="inlineStr">
        <is>
          <t>MH2501-06A</t>
        </is>
      </c>
      <c r="C26" s="16" t="n">
        <v>45661</v>
      </c>
      <c r="D26" s="17" t="inlineStr">
        <is>
          <t>00000039</t>
        </is>
      </c>
      <c r="E26" s="16" t="n">
        <v>45661</v>
      </c>
      <c r="F26" s="16" t="inlineStr">
        <is>
          <t>XK2501-04</t>
        </is>
      </c>
      <c r="G26" s="16" t="n">
        <v>45661</v>
      </c>
      <c r="H26" s="18" t="inlineStr">
        <is>
          <t>CÔNG TY CỔ PHẦN CÔNG NGHIỆP VÀ THƯƠNG MẠI CƯỜNG THỊNH</t>
        </is>
      </c>
      <c r="I26" s="18" t="inlineStr">
        <is>
          <t>Long đền thường ZP M20B35D2</t>
        </is>
      </c>
      <c r="J26" s="18" t="inlineStr">
        <is>
          <t>Cái</t>
        </is>
      </c>
      <c r="K26" s="19" t="n">
        <v>350</v>
      </c>
      <c r="L26" s="20" t="n"/>
      <c r="M26" s="20" t="n"/>
      <c r="N26" s="22" t="n">
        <v>1090</v>
      </c>
      <c r="O26" s="22" t="n">
        <v>381500</v>
      </c>
      <c r="P26" s="22" t="n">
        <v>1090</v>
      </c>
      <c r="Q26" s="22" t="n">
        <v>381500</v>
      </c>
      <c r="R26" s="42">
        <f>+L26+N26-P26</f>
        <v/>
      </c>
      <c r="S26" s="42">
        <f>+M26+O26-Q26</f>
        <v/>
      </c>
    </row>
    <row r="27" ht="30" customHeight="1">
      <c r="A27" s="16" t="n">
        <v>45661</v>
      </c>
      <c r="B27" s="17" t="inlineStr">
        <is>
          <t>MH2501-06A</t>
        </is>
      </c>
      <c r="C27" s="16" t="n">
        <v>45661</v>
      </c>
      <c r="D27" s="17" t="inlineStr">
        <is>
          <t>00000039</t>
        </is>
      </c>
      <c r="E27" s="16" t="n">
        <v>45661</v>
      </c>
      <c r="F27" s="16" t="inlineStr">
        <is>
          <t>XK2501-04</t>
        </is>
      </c>
      <c r="G27" s="16" t="n">
        <v>45661</v>
      </c>
      <c r="H27" s="18" t="inlineStr">
        <is>
          <t>CÔNG TY CỔ PHẦN CÔNG NGHIỆP VÀ THƯƠNG MẠI CƯỜNG THỊNH</t>
        </is>
      </c>
      <c r="I27" s="18" t="inlineStr">
        <is>
          <t>Bulong Din 933 8.8 ZP M24x70</t>
        </is>
      </c>
      <c r="J27" s="18" t="inlineStr">
        <is>
          <t>Cái</t>
        </is>
      </c>
      <c r="K27" s="19" t="n">
        <v>11010</v>
      </c>
      <c r="L27" s="20" t="n"/>
      <c r="M27" s="20" t="n"/>
      <c r="N27" s="22" t="n">
        <v>651</v>
      </c>
      <c r="O27" s="22" t="n">
        <v>7167510</v>
      </c>
      <c r="P27" s="22" t="n">
        <v>651</v>
      </c>
      <c r="Q27" s="22" t="n">
        <v>7167510</v>
      </c>
      <c r="R27" s="42">
        <f>+L27+N27-P27</f>
        <v/>
      </c>
      <c r="S27" s="42">
        <f>+M27+O27-Q27</f>
        <v/>
      </c>
    </row>
    <row r="28" ht="30" customHeight="1">
      <c r="A28" s="16" t="n">
        <v>45661</v>
      </c>
      <c r="B28" s="17" t="inlineStr">
        <is>
          <t>MH2501-06A</t>
        </is>
      </c>
      <c r="C28" s="16" t="n">
        <v>45661</v>
      </c>
      <c r="D28" s="17" t="inlineStr">
        <is>
          <t>00000039</t>
        </is>
      </c>
      <c r="E28" s="16" t="n">
        <v>45661</v>
      </c>
      <c r="F28" s="16" t="inlineStr">
        <is>
          <t>XK2501-04</t>
        </is>
      </c>
      <c r="G28" s="16" t="n">
        <v>45661</v>
      </c>
      <c r="H28" s="18" t="inlineStr">
        <is>
          <t>CÔNG TY CỔ PHẦN CÔNG NGHIỆP VÀ THƯƠNG MẠI CƯỜNG THỊNH</t>
        </is>
      </c>
      <c r="I28" s="18" t="inlineStr">
        <is>
          <t>Đai ốc Din 934 8 ZP M24</t>
        </is>
      </c>
      <c r="J28" s="18" t="inlineStr">
        <is>
          <t>Cái</t>
        </is>
      </c>
      <c r="K28" s="19" t="n">
        <v>3500</v>
      </c>
      <c r="L28" s="20" t="n"/>
      <c r="M28" s="20" t="n"/>
      <c r="N28" s="22" t="n">
        <v>651</v>
      </c>
      <c r="O28" s="22" t="n">
        <v>2278500</v>
      </c>
      <c r="P28" s="22" t="n">
        <v>651</v>
      </c>
      <c r="Q28" s="22" t="n">
        <v>2278500</v>
      </c>
      <c r="R28" s="42">
        <f>+L28+N28-P28</f>
        <v/>
      </c>
      <c r="S28" s="42">
        <f>+M28+O28-Q28</f>
        <v/>
      </c>
    </row>
    <row r="29" ht="30" customHeight="1">
      <c r="A29" s="16" t="n">
        <v>45661</v>
      </c>
      <c r="B29" s="17" t="inlineStr">
        <is>
          <t>MH2501-06A</t>
        </is>
      </c>
      <c r="C29" s="16" t="n">
        <v>45661</v>
      </c>
      <c r="D29" s="17" t="inlineStr">
        <is>
          <t>00000039</t>
        </is>
      </c>
      <c r="E29" s="16" t="n">
        <v>45661</v>
      </c>
      <c r="F29" s="16" t="inlineStr">
        <is>
          <t>XK2501-04</t>
        </is>
      </c>
      <c r="G29" s="16" t="n">
        <v>45661</v>
      </c>
      <c r="H29" s="18" t="inlineStr">
        <is>
          <t>CÔNG TY CỔ PHẦN CÔNG NGHIỆP VÀ THƯƠNG MẠI CƯỜNG THỊNH</t>
        </is>
      </c>
      <c r="I29" s="18" t="inlineStr">
        <is>
          <t>Long đền thường ZP M24B42D2</t>
        </is>
      </c>
      <c r="J29" s="18" t="inlineStr">
        <is>
          <t>Cái</t>
        </is>
      </c>
      <c r="K29" s="19" t="n">
        <v>710</v>
      </c>
      <c r="L29" s="20" t="n"/>
      <c r="M29" s="20" t="n"/>
      <c r="N29" s="22" t="n">
        <v>651</v>
      </c>
      <c r="O29" s="22" t="n">
        <v>462210</v>
      </c>
      <c r="P29" s="22" t="n">
        <v>651</v>
      </c>
      <c r="Q29" s="22" t="n">
        <v>462210</v>
      </c>
      <c r="R29" s="42">
        <f>+L29+N29-P29</f>
        <v/>
      </c>
      <c r="S29" s="42">
        <f>+M29+O29-Q29</f>
        <v/>
      </c>
    </row>
    <row r="30" ht="30" customHeight="1">
      <c r="A30" s="16" t="n">
        <v>45661</v>
      </c>
      <c r="B30" s="17" t="inlineStr">
        <is>
          <t>MH2501-06B</t>
        </is>
      </c>
      <c r="C30" s="16" t="n">
        <v>45661</v>
      </c>
      <c r="D30" s="17" t="inlineStr">
        <is>
          <t>00000041</t>
        </is>
      </c>
      <c r="E30" s="16" t="n">
        <v>45661</v>
      </c>
      <c r="F30" s="16" t="inlineStr">
        <is>
          <t>XK2501-05</t>
        </is>
      </c>
      <c r="G30" s="16" t="n">
        <v>45661</v>
      </c>
      <c r="H30" s="18" t="inlineStr">
        <is>
          <t>CÔNG TY CỔ PHẦN CÔNG NGHIỆP VÀ THƯƠNG MẠI CƯỜNG THỊNH</t>
        </is>
      </c>
      <c r="I30" s="18" t="inlineStr">
        <is>
          <t>Bulong nở 5.6 ZP M12x120</t>
        </is>
      </c>
      <c r="J30" s="18" t="inlineStr">
        <is>
          <t>Bộ</t>
        </is>
      </c>
      <c r="K30" s="19" t="n">
        <v>15000</v>
      </c>
      <c r="L30" s="20" t="n"/>
      <c r="M30" s="20" t="n"/>
      <c r="N30" s="22" t="n">
        <v>87</v>
      </c>
      <c r="O30" s="22" t="n">
        <v>1305000</v>
      </c>
      <c r="P30" s="22" t="n">
        <v>87</v>
      </c>
      <c r="Q30" s="22" t="n">
        <v>1305000</v>
      </c>
      <c r="R30" s="42">
        <f>+L30+N30-P30</f>
        <v/>
      </c>
      <c r="S30" s="42">
        <f>+M30+O30-Q30</f>
        <v/>
      </c>
    </row>
    <row r="31" ht="30" customHeight="1">
      <c r="A31" s="16" t="n">
        <v>45661</v>
      </c>
      <c r="B31" s="17" t="inlineStr">
        <is>
          <t>MH2501-06B</t>
        </is>
      </c>
      <c r="C31" s="16" t="n">
        <v>45661</v>
      </c>
      <c r="D31" s="17" t="inlineStr">
        <is>
          <t>00000041</t>
        </is>
      </c>
      <c r="E31" s="16" t="n">
        <v>45661</v>
      </c>
      <c r="F31" s="16" t="inlineStr">
        <is>
          <t>XK2501-05</t>
        </is>
      </c>
      <c r="G31" s="16" t="n">
        <v>45661</v>
      </c>
      <c r="H31" s="18" t="inlineStr">
        <is>
          <t>CÔNG TY CỔ PHẦN CÔNG NGHIỆP VÀ THƯƠNG MẠI CƯỜNG THỊNH</t>
        </is>
      </c>
      <c r="I31" s="18" t="inlineStr">
        <is>
          <t>Bulong nở 5.6 ZP M16x200</t>
        </is>
      </c>
      <c r="J31" s="18" t="inlineStr">
        <is>
          <t>Bộ</t>
        </is>
      </c>
      <c r="K31" s="19" t="n">
        <v>26860</v>
      </c>
      <c r="L31" s="20" t="n"/>
      <c r="M31" s="20" t="n"/>
      <c r="N31" s="22" t="n">
        <v>11</v>
      </c>
      <c r="O31" s="22" t="n">
        <v>295460</v>
      </c>
      <c r="P31" s="22" t="n">
        <v>11</v>
      </c>
      <c r="Q31" s="22" t="n">
        <v>295460</v>
      </c>
      <c r="R31" s="42">
        <f>+L31+N31-P31</f>
        <v/>
      </c>
      <c r="S31" s="42">
        <f>+M31+O31-Q31</f>
        <v/>
      </c>
    </row>
    <row r="32" ht="30" customHeight="1">
      <c r="A32" s="16" t="n">
        <v>45661</v>
      </c>
      <c r="B32" s="17" t="inlineStr">
        <is>
          <t>MH2501-06B</t>
        </is>
      </c>
      <c r="C32" s="16" t="n">
        <v>45661</v>
      </c>
      <c r="D32" s="17" t="inlineStr">
        <is>
          <t>00000041</t>
        </is>
      </c>
      <c r="E32" s="16" t="n">
        <v>45661</v>
      </c>
      <c r="F32" s="16" t="inlineStr">
        <is>
          <t>XK2501-05</t>
        </is>
      </c>
      <c r="G32" s="16" t="n">
        <v>45661</v>
      </c>
      <c r="H32" s="18" t="inlineStr">
        <is>
          <t>CÔNG TY CỔ PHẦN CÔNG NGHIỆP VÀ THƯƠNG MẠI CƯỜNG THỊNH</t>
        </is>
      </c>
      <c r="I32" s="18" t="inlineStr">
        <is>
          <t>Bulong nở 5.6 ZP M20x250</t>
        </is>
      </c>
      <c r="J32" s="18" t="inlineStr">
        <is>
          <t>Bộ</t>
        </is>
      </c>
      <c r="K32" s="19" t="n">
        <v>45000</v>
      </c>
      <c r="L32" s="20" t="n"/>
      <c r="M32" s="20" t="n"/>
      <c r="N32" s="22" t="n">
        <v>11</v>
      </c>
      <c r="O32" s="22" t="n">
        <v>495000</v>
      </c>
      <c r="P32" s="22" t="n">
        <v>11</v>
      </c>
      <c r="Q32" s="22" t="n">
        <v>495000</v>
      </c>
      <c r="R32" s="42">
        <f>+L32+N32-P32</f>
        <v/>
      </c>
      <c r="S32" s="42">
        <f>+M32+O32-Q32</f>
        <v/>
      </c>
    </row>
    <row r="33" ht="30" customHeight="1">
      <c r="A33" s="16" t="n">
        <v>45661</v>
      </c>
      <c r="B33" s="17" t="inlineStr">
        <is>
          <t>MH2501-06B</t>
        </is>
      </c>
      <c r="C33" s="16" t="n">
        <v>45661</v>
      </c>
      <c r="D33" s="17" t="inlineStr">
        <is>
          <t>00000041</t>
        </is>
      </c>
      <c r="E33" s="16" t="n">
        <v>45661</v>
      </c>
      <c r="F33" s="16" t="inlineStr">
        <is>
          <t>XK2501-05</t>
        </is>
      </c>
      <c r="G33" s="16" t="n">
        <v>45661</v>
      </c>
      <c r="H33" s="18" t="inlineStr">
        <is>
          <t>CÔNG TY CỔ PHẦN CÔNG NGHIỆP VÀ THƯƠNG MẠI CƯỜNG THỊNH</t>
        </is>
      </c>
      <c r="I33" s="18" t="inlineStr">
        <is>
          <t>Vít B2 Dacromet 10-24x22 WAF (bake)</t>
        </is>
      </c>
      <c r="J33" s="18" t="inlineStr">
        <is>
          <t>Cái</t>
        </is>
      </c>
      <c r="K33" s="19" t="n">
        <v>440</v>
      </c>
      <c r="L33" s="20" t="n"/>
      <c r="M33" s="20" t="n"/>
      <c r="N33" s="22" t="n">
        <v>600</v>
      </c>
      <c r="O33" s="22" t="n">
        <v>264000</v>
      </c>
      <c r="P33" s="22" t="n">
        <v>600</v>
      </c>
      <c r="Q33" s="22" t="n">
        <v>264000</v>
      </c>
      <c r="R33" s="42">
        <f>+L33+N33-P33</f>
        <v/>
      </c>
      <c r="S33" s="42">
        <f>+M33+O33-Q33</f>
        <v/>
      </c>
    </row>
    <row r="34" ht="30" customHeight="1">
      <c r="A34" s="16" t="n">
        <v>45661</v>
      </c>
      <c r="B34" s="17" t="inlineStr">
        <is>
          <t>MH2501-06B</t>
        </is>
      </c>
      <c r="C34" s="16" t="n">
        <v>45661</v>
      </c>
      <c r="D34" s="17" t="inlineStr">
        <is>
          <t>00000041</t>
        </is>
      </c>
      <c r="E34" s="16" t="n">
        <v>45661</v>
      </c>
      <c r="F34" s="16" t="inlineStr">
        <is>
          <t>XK2501-05</t>
        </is>
      </c>
      <c r="G34" s="16" t="n">
        <v>45661</v>
      </c>
      <c r="H34" s="18" t="inlineStr">
        <is>
          <t>CÔNG TY CỔ PHẦN CÔNG NGHIỆP VÀ THƯƠNG MẠI CƯỜNG THỊNH</t>
        </is>
      </c>
      <c r="I34" s="18" t="inlineStr">
        <is>
          <t>Đinh hàn 4.8 M16x100</t>
        </is>
      </c>
      <c r="J34" s="18" t="inlineStr">
        <is>
          <t>Bộ</t>
        </is>
      </c>
      <c r="K34" s="19" t="n">
        <v>5800</v>
      </c>
      <c r="L34" s="20" t="n"/>
      <c r="M34" s="20" t="n"/>
      <c r="N34" s="22" t="n">
        <v>680</v>
      </c>
      <c r="O34" s="22" t="n">
        <v>3944000</v>
      </c>
      <c r="P34" s="22" t="n">
        <v>680</v>
      </c>
      <c r="Q34" s="22" t="n">
        <v>3944000</v>
      </c>
      <c r="R34" s="42">
        <f>+L34+N34-P34</f>
        <v/>
      </c>
      <c r="S34" s="42">
        <f>+M34+O34-Q34</f>
        <v/>
      </c>
    </row>
    <row r="35" ht="30" customHeight="1">
      <c r="A35" s="16" t="n">
        <v>45661</v>
      </c>
      <c r="B35" s="17" t="inlineStr">
        <is>
          <t>MH2501-06B</t>
        </is>
      </c>
      <c r="C35" s="16" t="n">
        <v>45661</v>
      </c>
      <c r="D35" s="17" t="inlineStr">
        <is>
          <t>00000041</t>
        </is>
      </c>
      <c r="E35" s="16" t="n">
        <v>45661</v>
      </c>
      <c r="F35" s="16" t="inlineStr">
        <is>
          <t>XK2501-05</t>
        </is>
      </c>
      <c r="G35" s="16" t="n">
        <v>45661</v>
      </c>
      <c r="H35" s="18" t="inlineStr">
        <is>
          <t>CÔNG TY CỔ PHẦN CÔNG NGHIỆP VÀ THƯƠNG MẠI CƯỜNG THỊNH</t>
        </is>
      </c>
      <c r="I35" s="18" t="inlineStr">
        <is>
          <t>Vít B2 Dacromet 12-24x38 HWFS (lục giác)</t>
        </is>
      </c>
      <c r="J35" s="18" t="inlineStr">
        <is>
          <t>Cái</t>
        </is>
      </c>
      <c r="K35" s="19" t="n">
        <v>1920</v>
      </c>
      <c r="L35" s="20" t="n"/>
      <c r="M35" s="20" t="n"/>
      <c r="N35" s="22" t="n">
        <v>800</v>
      </c>
      <c r="O35" s="22" t="n">
        <v>1536000</v>
      </c>
      <c r="P35" s="22" t="n">
        <v>800</v>
      </c>
      <c r="Q35" s="22" t="n">
        <v>1536000</v>
      </c>
      <c r="R35" s="42">
        <f>+L35+N35-P35</f>
        <v/>
      </c>
      <c r="S35" s="42">
        <f>+M35+O35-Q35</f>
        <v/>
      </c>
    </row>
    <row r="36" ht="30" customHeight="1">
      <c r="A36" s="16" t="n">
        <v>45661</v>
      </c>
      <c r="B36" s="17" t="inlineStr">
        <is>
          <t>MH2501-06B</t>
        </is>
      </c>
      <c r="C36" s="16" t="n">
        <v>45661</v>
      </c>
      <c r="D36" s="17" t="inlineStr">
        <is>
          <t>00000041</t>
        </is>
      </c>
      <c r="E36" s="16" t="n">
        <v>45661</v>
      </c>
      <c r="F36" s="16" t="inlineStr">
        <is>
          <t>XK2501-05</t>
        </is>
      </c>
      <c r="G36" s="16" t="n">
        <v>45661</v>
      </c>
      <c r="H36" s="18" t="inlineStr">
        <is>
          <t>CÔNG TY CỔ PHẦN CÔNG NGHIỆP VÀ THƯƠNG MẠI CƯỜNG THỊNH</t>
        </is>
      </c>
      <c r="I36" s="18" t="inlineStr">
        <is>
          <t>Vít B2 Dacromet 15-15x20</t>
        </is>
      </c>
      <c r="J36" s="18" t="inlineStr">
        <is>
          <t>Cái</t>
        </is>
      </c>
      <c r="K36" s="19" t="n">
        <v>760</v>
      </c>
      <c r="L36" s="20" t="n"/>
      <c r="M36" s="20" t="n"/>
      <c r="N36" s="22" t="n">
        <v>200</v>
      </c>
      <c r="O36" s="22" t="n">
        <v>152000</v>
      </c>
      <c r="P36" s="22" t="n">
        <v>200</v>
      </c>
      <c r="Q36" s="22" t="n">
        <v>152000</v>
      </c>
      <c r="R36" s="42">
        <f>+L36+N36-P36</f>
        <v/>
      </c>
      <c r="S36" s="42">
        <f>+M36+O36-Q36</f>
        <v/>
      </c>
    </row>
    <row r="37" ht="30" customHeight="1">
      <c r="A37" s="16" t="n">
        <v>45661</v>
      </c>
      <c r="B37" s="17" t="inlineStr">
        <is>
          <t>MH2501-06B</t>
        </is>
      </c>
      <c r="C37" s="16" t="n">
        <v>45661</v>
      </c>
      <c r="D37" s="17" t="inlineStr">
        <is>
          <t>00000041</t>
        </is>
      </c>
      <c r="E37" s="16" t="n">
        <v>45661</v>
      </c>
      <c r="F37" s="16" t="inlineStr">
        <is>
          <t>XK2501-05</t>
        </is>
      </c>
      <c r="G37" s="16" t="n">
        <v>45661</v>
      </c>
      <c r="H37" s="18" t="inlineStr">
        <is>
          <t>CÔNG TY CỔ PHẦN CÔNG NGHIỆP VÀ THƯƠNG MẠI CƯỜNG THỊNH</t>
        </is>
      </c>
      <c r="I37" s="18" t="inlineStr">
        <is>
          <t>Bulong Din 933 8.8 ZP M16x50</t>
        </is>
      </c>
      <c r="J37" s="18" t="inlineStr">
        <is>
          <t>Cái</t>
        </is>
      </c>
      <c r="K37" s="19" t="n">
        <v>3470</v>
      </c>
      <c r="L37" s="20" t="n"/>
      <c r="M37" s="20" t="n"/>
      <c r="N37" s="22" t="n">
        <v>31</v>
      </c>
      <c r="O37" s="22" t="n">
        <v>107570</v>
      </c>
      <c r="P37" s="22" t="n">
        <v>31</v>
      </c>
      <c r="Q37" s="22" t="n">
        <v>107570</v>
      </c>
      <c r="R37" s="42">
        <f>+L37+N37-P37</f>
        <v/>
      </c>
      <c r="S37" s="42">
        <f>+M37+O37-Q37</f>
        <v/>
      </c>
    </row>
    <row r="38" ht="30" customHeight="1">
      <c r="A38" s="16" t="n">
        <v>45661</v>
      </c>
      <c r="B38" s="17" t="inlineStr">
        <is>
          <t>MH2501-06B</t>
        </is>
      </c>
      <c r="C38" s="16" t="n">
        <v>45661</v>
      </c>
      <c r="D38" s="17" t="inlineStr">
        <is>
          <t>00000041</t>
        </is>
      </c>
      <c r="E38" s="16" t="n">
        <v>45661</v>
      </c>
      <c r="F38" s="16" t="inlineStr">
        <is>
          <t>XK2501-05</t>
        </is>
      </c>
      <c r="G38" s="16" t="n">
        <v>45661</v>
      </c>
      <c r="H38" s="18" t="inlineStr">
        <is>
          <t>CÔNG TY CỔ PHẦN CÔNG NGHIỆP VÀ THƯƠNG MẠI CƯỜNG THỊNH</t>
        </is>
      </c>
      <c r="I38" s="18" t="inlineStr">
        <is>
          <t>Đai ốc Din 934 8 ZP M16</t>
        </is>
      </c>
      <c r="J38" s="18" t="inlineStr">
        <is>
          <t>Cái</t>
        </is>
      </c>
      <c r="K38" s="19" t="n">
        <v>1090</v>
      </c>
      <c r="L38" s="20" t="n"/>
      <c r="M38" s="20" t="n"/>
      <c r="N38" s="22" t="n">
        <v>31</v>
      </c>
      <c r="O38" s="22" t="n">
        <v>33790</v>
      </c>
      <c r="P38" s="22" t="n">
        <v>31</v>
      </c>
      <c r="Q38" s="22" t="n">
        <v>33790</v>
      </c>
      <c r="R38" s="42">
        <f>+L38+N38-P38</f>
        <v/>
      </c>
      <c r="S38" s="42">
        <f>+M38+O38-Q38</f>
        <v/>
      </c>
    </row>
    <row r="39" ht="30" customHeight="1">
      <c r="A39" s="16" t="n">
        <v>45661</v>
      </c>
      <c r="B39" s="17" t="inlineStr">
        <is>
          <t>MH2501-06B</t>
        </is>
      </c>
      <c r="C39" s="16" t="n">
        <v>45661</v>
      </c>
      <c r="D39" s="17" t="inlineStr">
        <is>
          <t>00000041</t>
        </is>
      </c>
      <c r="E39" s="16" t="n">
        <v>45661</v>
      </c>
      <c r="F39" s="16" t="inlineStr">
        <is>
          <t>XK2501-05</t>
        </is>
      </c>
      <c r="G39" s="16" t="n">
        <v>45661</v>
      </c>
      <c r="H39" s="18" t="inlineStr">
        <is>
          <t>CÔNG TY CỔ PHẦN CÔNG NGHIỆP VÀ THƯƠNG MẠI CƯỜNG THỊNH</t>
        </is>
      </c>
      <c r="I39" s="18" t="inlineStr">
        <is>
          <t>Long đền thường ZP M16B30D2</t>
        </is>
      </c>
      <c r="J39" s="18" t="inlineStr">
        <is>
          <t>Cái</t>
        </is>
      </c>
      <c r="K39" s="19" t="n">
        <v>350</v>
      </c>
      <c r="L39" s="20" t="n"/>
      <c r="M39" s="20" t="n"/>
      <c r="N39" s="22" t="n">
        <v>31</v>
      </c>
      <c r="O39" s="22" t="n">
        <v>10850</v>
      </c>
      <c r="P39" s="22" t="n">
        <v>31</v>
      </c>
      <c r="Q39" s="22" t="n">
        <v>10850</v>
      </c>
      <c r="R39" s="42">
        <f>+L39+N39-P39</f>
        <v/>
      </c>
      <c r="S39" s="42">
        <f>+M39+O39-Q39</f>
        <v/>
      </c>
    </row>
    <row r="40" ht="30" customHeight="1">
      <c r="A40" s="16" t="n">
        <v>45661</v>
      </c>
      <c r="B40" s="17" t="inlineStr">
        <is>
          <t>MH2501-06B</t>
        </is>
      </c>
      <c r="C40" s="16" t="n">
        <v>45661</v>
      </c>
      <c r="D40" s="17" t="inlineStr">
        <is>
          <t>00000041</t>
        </is>
      </c>
      <c r="E40" s="16" t="n">
        <v>45661</v>
      </c>
      <c r="F40" s="16" t="inlineStr">
        <is>
          <t>XK2501-05</t>
        </is>
      </c>
      <c r="G40" s="16" t="n">
        <v>45661</v>
      </c>
      <c r="H40" s="18" t="inlineStr">
        <is>
          <t>CÔNG TY CỔ PHẦN CÔNG NGHIỆP VÀ THƯƠNG MẠI CƯỜNG THỊNH</t>
        </is>
      </c>
      <c r="I40" s="18" t="inlineStr">
        <is>
          <t>Bulong Din 933 8.8 ZP M20x60</t>
        </is>
      </c>
      <c r="J40" s="18" t="inlineStr">
        <is>
          <t>Cái</t>
        </is>
      </c>
      <c r="K40" s="19" t="n">
        <v>6440</v>
      </c>
      <c r="L40" s="20" t="n"/>
      <c r="M40" s="20" t="n"/>
      <c r="N40" s="22" t="n">
        <v>451</v>
      </c>
      <c r="O40" s="22" t="n">
        <v>2904440</v>
      </c>
      <c r="P40" s="22" t="n">
        <v>451</v>
      </c>
      <c r="Q40" s="22" t="n">
        <v>2904440</v>
      </c>
      <c r="R40" s="42">
        <f>+L40+N40-P40</f>
        <v/>
      </c>
      <c r="S40" s="42">
        <f>+M40+O40-Q40</f>
        <v/>
      </c>
    </row>
    <row r="41" ht="30" customHeight="1">
      <c r="A41" s="16" t="n">
        <v>45661</v>
      </c>
      <c r="B41" s="17" t="inlineStr">
        <is>
          <t>MH2501-06B</t>
        </is>
      </c>
      <c r="C41" s="16" t="n">
        <v>45661</v>
      </c>
      <c r="D41" s="17" t="inlineStr">
        <is>
          <t>00000041</t>
        </is>
      </c>
      <c r="E41" s="16" t="n">
        <v>45661</v>
      </c>
      <c r="F41" s="16" t="inlineStr">
        <is>
          <t>XK2501-05</t>
        </is>
      </c>
      <c r="G41" s="16" t="n">
        <v>45661</v>
      </c>
      <c r="H41" s="18" t="inlineStr">
        <is>
          <t>CÔNG TY CỔ PHẦN CÔNG NGHIỆP VÀ THƯƠNG MẠI CƯỜNG THỊNH</t>
        </is>
      </c>
      <c r="I41" s="18" t="inlineStr">
        <is>
          <t>Đai ốc Din 934 8 ZP M20</t>
        </is>
      </c>
      <c r="J41" s="18" t="inlineStr">
        <is>
          <t>Cái</t>
        </is>
      </c>
      <c r="K41" s="19" t="n">
        <v>2030</v>
      </c>
      <c r="L41" s="20" t="n"/>
      <c r="M41" s="20" t="n"/>
      <c r="N41" s="22" t="n">
        <v>451</v>
      </c>
      <c r="O41" s="22" t="n">
        <v>915530</v>
      </c>
      <c r="P41" s="22" t="n">
        <v>451</v>
      </c>
      <c r="Q41" s="22" t="n">
        <v>915530</v>
      </c>
      <c r="R41" s="42">
        <f>+L41+N41-P41</f>
        <v/>
      </c>
      <c r="S41" s="42">
        <f>+M41+O41-Q41</f>
        <v/>
      </c>
    </row>
    <row r="42" ht="30" customHeight="1">
      <c r="A42" s="16" t="n">
        <v>45661</v>
      </c>
      <c r="B42" s="17" t="inlineStr">
        <is>
          <t>MH2501-06B</t>
        </is>
      </c>
      <c r="C42" s="16" t="n">
        <v>45661</v>
      </c>
      <c r="D42" s="17" t="inlineStr">
        <is>
          <t>00000041</t>
        </is>
      </c>
      <c r="E42" s="16" t="n">
        <v>45661</v>
      </c>
      <c r="F42" s="16" t="inlineStr">
        <is>
          <t>XK2501-05</t>
        </is>
      </c>
      <c r="G42" s="16" t="n">
        <v>45661</v>
      </c>
      <c r="H42" s="18" t="inlineStr">
        <is>
          <t>CÔNG TY CỔ PHẦN CÔNG NGHIỆP VÀ THƯƠNG MẠI CƯỜNG THỊNH</t>
        </is>
      </c>
      <c r="I42" s="18" t="inlineStr">
        <is>
          <t>Long đền thường ZP M20B35D2</t>
        </is>
      </c>
      <c r="J42" s="18" t="inlineStr">
        <is>
          <t>Cái</t>
        </is>
      </c>
      <c r="K42" s="19" t="n">
        <v>400</v>
      </c>
      <c r="L42" s="20" t="n"/>
      <c r="M42" s="20" t="n"/>
      <c r="N42" s="22" t="n">
        <v>451</v>
      </c>
      <c r="O42" s="22" t="n">
        <v>180400</v>
      </c>
      <c r="P42" s="22" t="n">
        <v>451</v>
      </c>
      <c r="Q42" s="22" t="n">
        <v>180400</v>
      </c>
      <c r="R42" s="42">
        <f>+L42+N42-P42</f>
        <v/>
      </c>
      <c r="S42" s="42">
        <f>+M42+O42-Q42</f>
        <v/>
      </c>
    </row>
    <row r="43" ht="30" customHeight="1">
      <c r="A43" s="16" t="n">
        <v>45661</v>
      </c>
      <c r="B43" s="17" t="inlineStr">
        <is>
          <t>MH2501-06B</t>
        </is>
      </c>
      <c r="C43" s="16" t="n">
        <v>45661</v>
      </c>
      <c r="D43" s="17" t="inlineStr">
        <is>
          <t>00000041</t>
        </is>
      </c>
      <c r="E43" s="16" t="n">
        <v>45661</v>
      </c>
      <c r="F43" s="16" t="inlineStr">
        <is>
          <t>XK2501-05</t>
        </is>
      </c>
      <c r="G43" s="16" t="n">
        <v>45661</v>
      </c>
      <c r="H43" s="18" t="inlineStr">
        <is>
          <t>CÔNG TY CỔ PHẦN CÔNG NGHIỆP VÀ THƯƠNG MẠI CƯỜNG THỊNH</t>
        </is>
      </c>
      <c r="I43" s="18" t="inlineStr">
        <is>
          <t>Bulong Din 933 8.8 ZP M20x80</t>
        </is>
      </c>
      <c r="J43" s="18" t="inlineStr">
        <is>
          <t>Cái</t>
        </is>
      </c>
      <c r="K43" s="19" t="n">
        <v>7880</v>
      </c>
      <c r="L43" s="20" t="n"/>
      <c r="M43" s="20" t="n"/>
      <c r="N43" s="22" t="n">
        <v>222</v>
      </c>
      <c r="O43" s="22" t="n">
        <v>1749360</v>
      </c>
      <c r="P43" s="22" t="n">
        <v>222</v>
      </c>
      <c r="Q43" s="22" t="n">
        <v>1749360</v>
      </c>
      <c r="R43" s="42">
        <f>+L43+N43-P43</f>
        <v/>
      </c>
      <c r="S43" s="42">
        <f>+M43+O43-Q43</f>
        <v/>
      </c>
    </row>
    <row r="44" ht="30" customHeight="1">
      <c r="A44" s="16" t="n">
        <v>45661</v>
      </c>
      <c r="B44" s="17" t="inlineStr">
        <is>
          <t>MH2501-06B</t>
        </is>
      </c>
      <c r="C44" s="16" t="n">
        <v>45661</v>
      </c>
      <c r="D44" s="17" t="inlineStr">
        <is>
          <t>00000041</t>
        </is>
      </c>
      <c r="E44" s="16" t="n">
        <v>45661</v>
      </c>
      <c r="F44" s="16" t="inlineStr">
        <is>
          <t>XK2501-05</t>
        </is>
      </c>
      <c r="G44" s="16" t="n">
        <v>45661</v>
      </c>
      <c r="H44" s="18" t="inlineStr">
        <is>
          <t>CÔNG TY CỔ PHẦN CÔNG NGHIỆP VÀ THƯƠNG MẠI CƯỜNG THỊNH</t>
        </is>
      </c>
      <c r="I44" s="18" t="inlineStr">
        <is>
          <t>Đai ốc Din 934 8 ZP M20</t>
        </is>
      </c>
      <c r="J44" s="18" t="inlineStr">
        <is>
          <t>Cái</t>
        </is>
      </c>
      <c r="K44" s="19" t="n">
        <v>2030</v>
      </c>
      <c r="L44" s="20" t="n"/>
      <c r="M44" s="20" t="n"/>
      <c r="N44" s="22" t="n">
        <v>222</v>
      </c>
      <c r="O44" s="22" t="n">
        <v>450660</v>
      </c>
      <c r="P44" s="22" t="n">
        <v>222</v>
      </c>
      <c r="Q44" s="22" t="n">
        <v>450660</v>
      </c>
      <c r="R44" s="42">
        <f>+L44+N44-P44</f>
        <v/>
      </c>
      <c r="S44" s="42">
        <f>+M44+O44-Q44</f>
        <v/>
      </c>
    </row>
    <row r="45" ht="30" customHeight="1">
      <c r="A45" s="16" t="n">
        <v>45661</v>
      </c>
      <c r="B45" s="17" t="inlineStr">
        <is>
          <t>MH2501-06B</t>
        </is>
      </c>
      <c r="C45" s="16" t="n">
        <v>45661</v>
      </c>
      <c r="D45" s="17" t="inlineStr">
        <is>
          <t>00000041</t>
        </is>
      </c>
      <c r="E45" s="16" t="n">
        <v>45661</v>
      </c>
      <c r="F45" s="16" t="inlineStr">
        <is>
          <t>XK2501-05</t>
        </is>
      </c>
      <c r="G45" s="16" t="n">
        <v>45661</v>
      </c>
      <c r="H45" s="18" t="inlineStr">
        <is>
          <t>CÔNG TY CỔ PHẦN CÔNG NGHIỆP VÀ THƯƠNG MẠI CƯỜNG THỊNH</t>
        </is>
      </c>
      <c r="I45" s="18" t="inlineStr">
        <is>
          <t>Long đền thường ZP M20B35D2</t>
        </is>
      </c>
      <c r="J45" s="18" t="inlineStr">
        <is>
          <t>Cái</t>
        </is>
      </c>
      <c r="K45" s="19" t="n">
        <v>350</v>
      </c>
      <c r="L45" s="20" t="n"/>
      <c r="M45" s="20" t="n"/>
      <c r="N45" s="22" t="n">
        <v>222</v>
      </c>
      <c r="O45" s="22" t="n">
        <v>77700</v>
      </c>
      <c r="P45" s="22" t="n">
        <v>222</v>
      </c>
      <c r="Q45" s="22" t="n">
        <v>77700</v>
      </c>
      <c r="R45" s="42">
        <f>+L45+N45-P45</f>
        <v/>
      </c>
      <c r="S45" s="42">
        <f>+M45+O45-Q45</f>
        <v/>
      </c>
    </row>
    <row r="46" ht="30" customHeight="1">
      <c r="A46" s="16" t="n">
        <v>45661</v>
      </c>
      <c r="B46" s="17" t="inlineStr">
        <is>
          <t>MH2501-06B</t>
        </is>
      </c>
      <c r="C46" s="16" t="n">
        <v>45661</v>
      </c>
      <c r="D46" s="17" t="inlineStr">
        <is>
          <t>00000041</t>
        </is>
      </c>
      <c r="E46" s="16" t="n">
        <v>45661</v>
      </c>
      <c r="F46" s="16" t="inlineStr">
        <is>
          <t>XK2501-05</t>
        </is>
      </c>
      <c r="G46" s="16" t="n">
        <v>45661</v>
      </c>
      <c r="H46" s="18" t="inlineStr">
        <is>
          <t>CÔNG TY CỔ PHẦN CÔNG NGHIỆP VÀ THƯƠNG MẠI CƯỜNG THỊNH</t>
        </is>
      </c>
      <c r="I46" s="18" t="inlineStr">
        <is>
          <t>Bulong Din 933 8.8 ZP M24x90</t>
        </is>
      </c>
      <c r="J46" s="18" t="inlineStr">
        <is>
          <t>Cái</t>
        </is>
      </c>
      <c r="K46" s="19" t="n">
        <v>12950</v>
      </c>
      <c r="L46" s="20" t="n"/>
      <c r="M46" s="20" t="n"/>
      <c r="N46" s="22" t="n">
        <v>222</v>
      </c>
      <c r="O46" s="22" t="n">
        <v>2874900</v>
      </c>
      <c r="P46" s="22" t="n">
        <v>222</v>
      </c>
      <c r="Q46" s="22" t="n">
        <v>2874900</v>
      </c>
      <c r="R46" s="42">
        <f>+L46+N46-P46</f>
        <v/>
      </c>
      <c r="S46" s="42">
        <f>+M46+O46-Q46</f>
        <v/>
      </c>
    </row>
    <row r="47" ht="30" customHeight="1">
      <c r="A47" s="16" t="n">
        <v>45661</v>
      </c>
      <c r="B47" s="17" t="inlineStr">
        <is>
          <t>MH2501-06B</t>
        </is>
      </c>
      <c r="C47" s="16" t="n">
        <v>45661</v>
      </c>
      <c r="D47" s="17" t="inlineStr">
        <is>
          <t>00000041</t>
        </is>
      </c>
      <c r="E47" s="16" t="n">
        <v>45661</v>
      </c>
      <c r="F47" s="16" t="inlineStr">
        <is>
          <t>XK2501-05</t>
        </is>
      </c>
      <c r="G47" s="16" t="n">
        <v>45661</v>
      </c>
      <c r="H47" s="18" t="inlineStr">
        <is>
          <t>CÔNG TY CỔ PHẦN CÔNG NGHIỆP VÀ THƯƠNG MẠI CƯỜNG THỊNH</t>
        </is>
      </c>
      <c r="I47" s="18" t="inlineStr">
        <is>
          <t>Đai ốc Din 934 8 ZP M24</t>
        </is>
      </c>
      <c r="J47" s="18" t="inlineStr">
        <is>
          <t>Cái</t>
        </is>
      </c>
      <c r="K47" s="19" t="n">
        <v>3500</v>
      </c>
      <c r="L47" s="20" t="n"/>
      <c r="M47" s="20" t="n"/>
      <c r="N47" s="22" t="n">
        <v>222</v>
      </c>
      <c r="O47" s="22" t="n">
        <v>777000</v>
      </c>
      <c r="P47" s="22" t="n">
        <v>222</v>
      </c>
      <c r="Q47" s="22" t="n">
        <v>777000</v>
      </c>
      <c r="R47" s="42">
        <f>+L47+N47-P47</f>
        <v/>
      </c>
      <c r="S47" s="42">
        <f>+M47+O47-Q47</f>
        <v/>
      </c>
    </row>
    <row r="48" ht="30" customHeight="1">
      <c r="A48" s="16" t="n">
        <v>45661</v>
      </c>
      <c r="B48" s="17" t="inlineStr">
        <is>
          <t>MH2501-06B</t>
        </is>
      </c>
      <c r="C48" s="16" t="n">
        <v>45661</v>
      </c>
      <c r="D48" s="17" t="inlineStr">
        <is>
          <t>00000041</t>
        </is>
      </c>
      <c r="E48" s="16" t="n">
        <v>45661</v>
      </c>
      <c r="F48" s="16" t="inlineStr">
        <is>
          <t>XK2501-05</t>
        </is>
      </c>
      <c r="G48" s="16" t="n">
        <v>45661</v>
      </c>
      <c r="H48" s="18" t="inlineStr">
        <is>
          <t>CÔNG TY CỔ PHẦN CÔNG NGHIỆP VÀ THƯƠNG MẠI CƯỜNG THỊNH</t>
        </is>
      </c>
      <c r="I48" s="18" t="inlineStr">
        <is>
          <t>Long đền thường ZP M24B42D2</t>
        </is>
      </c>
      <c r="J48" s="18" t="inlineStr">
        <is>
          <t>Cái</t>
        </is>
      </c>
      <c r="K48" s="19" t="n">
        <v>710</v>
      </c>
      <c r="L48" s="20" t="n"/>
      <c r="M48" s="20" t="n"/>
      <c r="N48" s="22" t="n">
        <v>222</v>
      </c>
      <c r="O48" s="22" t="n">
        <v>157620</v>
      </c>
      <c r="P48" s="22" t="n">
        <v>222</v>
      </c>
      <c r="Q48" s="22" t="n">
        <v>157620</v>
      </c>
      <c r="R48" s="42">
        <f>+L48+N48-P48</f>
        <v/>
      </c>
      <c r="S48" s="42">
        <f>+M48+O48-Q48</f>
        <v/>
      </c>
    </row>
    <row r="49" ht="30" customHeight="1">
      <c r="A49" s="16" t="n">
        <v>45661</v>
      </c>
      <c r="B49" s="17" t="inlineStr">
        <is>
          <t>MH2501-06B</t>
        </is>
      </c>
      <c r="C49" s="16" t="n">
        <v>45661</v>
      </c>
      <c r="D49" s="17" t="inlineStr">
        <is>
          <t>00000041</t>
        </is>
      </c>
      <c r="E49" s="16" t="n">
        <v>45661</v>
      </c>
      <c r="F49" s="16" t="inlineStr">
        <is>
          <t>XK2501-05</t>
        </is>
      </c>
      <c r="G49" s="16" t="n">
        <v>45661</v>
      </c>
      <c r="H49" s="18" t="inlineStr">
        <is>
          <t>CÔNG TY CỔ PHẦN CÔNG NGHIỆP VÀ THƯƠNG MẠI CƯỜNG THỊNH</t>
        </is>
      </c>
      <c r="I49" s="18" t="inlineStr">
        <is>
          <t>Bulong thường 4.6 ZP M12x30</t>
        </is>
      </c>
      <c r="J49" s="18" t="inlineStr">
        <is>
          <t>Cái</t>
        </is>
      </c>
      <c r="K49" s="19" t="n">
        <v>950</v>
      </c>
      <c r="L49" s="20" t="n"/>
      <c r="M49" s="20" t="n"/>
      <c r="N49" s="22" t="n">
        <v>865</v>
      </c>
      <c r="O49" s="22" t="n">
        <v>821750</v>
      </c>
      <c r="P49" s="22" t="n">
        <v>865</v>
      </c>
      <c r="Q49" s="22" t="n">
        <v>821750</v>
      </c>
      <c r="R49" s="42">
        <f>+L49+N49-P49</f>
        <v/>
      </c>
      <c r="S49" s="42">
        <f>+M49+O49-Q49</f>
        <v/>
      </c>
    </row>
    <row r="50" ht="30" customHeight="1">
      <c r="A50" s="16" t="n">
        <v>45661</v>
      </c>
      <c r="B50" s="17" t="inlineStr">
        <is>
          <t>MH2501-06B</t>
        </is>
      </c>
      <c r="C50" s="16" t="n">
        <v>45661</v>
      </c>
      <c r="D50" s="17" t="inlineStr">
        <is>
          <t>00000041</t>
        </is>
      </c>
      <c r="E50" s="16" t="n">
        <v>45661</v>
      </c>
      <c r="F50" s="16" t="inlineStr">
        <is>
          <t>XK2501-05</t>
        </is>
      </c>
      <c r="G50" s="16" t="n">
        <v>45661</v>
      </c>
      <c r="H50" s="18" t="inlineStr">
        <is>
          <t>CÔNG TY CỔ PHẦN CÔNG NGHIỆP VÀ THƯƠNG MẠI CƯỜNG THỊNH</t>
        </is>
      </c>
      <c r="I50" s="18" t="inlineStr">
        <is>
          <t>Đai ốc thường 4 ZP M12 (9mm)</t>
        </is>
      </c>
      <c r="J50" s="18" t="inlineStr">
        <is>
          <t>Cái</t>
        </is>
      </c>
      <c r="K50" s="19" t="n">
        <v>360</v>
      </c>
      <c r="L50" s="20" t="n"/>
      <c r="M50" s="20" t="n"/>
      <c r="N50" s="22" t="n">
        <v>865</v>
      </c>
      <c r="O50" s="22" t="n">
        <v>311400</v>
      </c>
      <c r="P50" s="22" t="n">
        <v>865</v>
      </c>
      <c r="Q50" s="22" t="n">
        <v>311400</v>
      </c>
      <c r="R50" s="42">
        <f>+L50+N50-P50</f>
        <v/>
      </c>
      <c r="S50" s="42">
        <f>+M50+O50-Q50</f>
        <v/>
      </c>
    </row>
    <row r="51" ht="30" customHeight="1">
      <c r="A51" s="16" t="n">
        <v>45661</v>
      </c>
      <c r="B51" s="17" t="inlineStr">
        <is>
          <t>MH2501-06B</t>
        </is>
      </c>
      <c r="C51" s="16" t="n">
        <v>45661</v>
      </c>
      <c r="D51" s="17" t="inlineStr">
        <is>
          <t>00000041</t>
        </is>
      </c>
      <c r="E51" s="16" t="n">
        <v>45661</v>
      </c>
      <c r="F51" s="16" t="inlineStr">
        <is>
          <t>XK2501-05</t>
        </is>
      </c>
      <c r="G51" s="16" t="n">
        <v>45661</v>
      </c>
      <c r="H51" s="18" t="inlineStr">
        <is>
          <t>CÔNG TY CỔ PHẦN CÔNG NGHIỆP VÀ THƯƠNG MẠI CƯỜNG THỊNH</t>
        </is>
      </c>
      <c r="I51" s="18" t="inlineStr">
        <is>
          <t>Long đền thường ZP M12B23D1</t>
        </is>
      </c>
      <c r="J51" s="18" t="inlineStr">
        <is>
          <t>Cái</t>
        </is>
      </c>
      <c r="K51" s="19" t="n">
        <v>100</v>
      </c>
      <c r="L51" s="20" t="n"/>
      <c r="M51" s="20" t="n"/>
      <c r="N51" s="22" t="n">
        <v>1730</v>
      </c>
      <c r="O51" s="22" t="n">
        <v>173000</v>
      </c>
      <c r="P51" s="22" t="n">
        <v>1730</v>
      </c>
      <c r="Q51" s="22" t="n">
        <v>173000</v>
      </c>
      <c r="R51" s="42">
        <f>+L51+N51-P51</f>
        <v/>
      </c>
      <c r="S51" s="42">
        <f>+M51+O51-Q51</f>
        <v/>
      </c>
    </row>
    <row r="52" ht="30" customHeight="1">
      <c r="A52" s="16" t="n">
        <v>45661</v>
      </c>
      <c r="B52" s="17" t="inlineStr">
        <is>
          <t>MH2501-06B</t>
        </is>
      </c>
      <c r="C52" s="16" t="n">
        <v>45661</v>
      </c>
      <c r="D52" s="17" t="inlineStr">
        <is>
          <t>00000041</t>
        </is>
      </c>
      <c r="E52" s="16" t="n">
        <v>45661</v>
      </c>
      <c r="F52" s="16" t="inlineStr">
        <is>
          <t>XK2501-05</t>
        </is>
      </c>
      <c r="G52" s="16" t="n">
        <v>45661</v>
      </c>
      <c r="H52" s="18" t="inlineStr">
        <is>
          <t>CÔNG TY CỔ PHẦN CÔNG NGHIỆP VÀ THƯƠNG MẠI CƯỜNG THỊNH</t>
        </is>
      </c>
      <c r="I52" s="18" t="inlineStr">
        <is>
          <t>Bulong thường 4.6 ZP M12x50</t>
        </is>
      </c>
      <c r="J52" s="18" t="inlineStr">
        <is>
          <t>Cái</t>
        </is>
      </c>
      <c r="K52" s="19" t="n">
        <v>1300</v>
      </c>
      <c r="L52" s="20" t="n"/>
      <c r="M52" s="20" t="n"/>
      <c r="N52" s="22" t="n">
        <v>72</v>
      </c>
      <c r="O52" s="22" t="n">
        <v>93600</v>
      </c>
      <c r="P52" s="22" t="n">
        <v>72</v>
      </c>
      <c r="Q52" s="22" t="n">
        <v>93600</v>
      </c>
      <c r="R52" s="42">
        <f>+L52+N52-P52</f>
        <v/>
      </c>
      <c r="S52" s="42">
        <f>+M52+O52-Q52</f>
        <v/>
      </c>
    </row>
    <row r="53" ht="30" customHeight="1">
      <c r="A53" s="16" t="n">
        <v>45661</v>
      </c>
      <c r="B53" s="17" t="inlineStr">
        <is>
          <t>MH2501-06B</t>
        </is>
      </c>
      <c r="C53" s="16" t="n">
        <v>45661</v>
      </c>
      <c r="D53" s="17" t="inlineStr">
        <is>
          <t>00000041</t>
        </is>
      </c>
      <c r="E53" s="16" t="n">
        <v>45661</v>
      </c>
      <c r="F53" s="16" t="inlineStr">
        <is>
          <t>XK2501-05</t>
        </is>
      </c>
      <c r="G53" s="16" t="n">
        <v>45661</v>
      </c>
      <c r="H53" s="18" t="inlineStr">
        <is>
          <t>CÔNG TY CỔ PHẦN CÔNG NGHIỆP VÀ THƯƠNG MẠI CƯỜNG THỊNH</t>
        </is>
      </c>
      <c r="I53" s="18" t="inlineStr">
        <is>
          <t>Đai ốc thường 4 ZP M12 (9mm)</t>
        </is>
      </c>
      <c r="J53" s="18" t="inlineStr">
        <is>
          <t>Cái</t>
        </is>
      </c>
      <c r="K53" s="19" t="n">
        <v>360</v>
      </c>
      <c r="L53" s="20" t="n"/>
      <c r="M53" s="20" t="n"/>
      <c r="N53" s="22" t="n">
        <v>72</v>
      </c>
      <c r="O53" s="22" t="n">
        <v>25920</v>
      </c>
      <c r="P53" s="22" t="n">
        <v>72</v>
      </c>
      <c r="Q53" s="22" t="n">
        <v>25920</v>
      </c>
      <c r="R53" s="42">
        <f>+L53+N53-P53</f>
        <v/>
      </c>
      <c r="S53" s="42">
        <f>+M53+O53-Q53</f>
        <v/>
      </c>
    </row>
    <row r="54" ht="30" customHeight="1">
      <c r="A54" s="16" t="n">
        <v>45661</v>
      </c>
      <c r="B54" s="17" t="inlineStr">
        <is>
          <t>MH2501-06B</t>
        </is>
      </c>
      <c r="C54" s="16" t="n">
        <v>45661</v>
      </c>
      <c r="D54" s="17" t="inlineStr">
        <is>
          <t>00000041</t>
        </is>
      </c>
      <c r="E54" s="16" t="n">
        <v>45661</v>
      </c>
      <c r="F54" s="16" t="inlineStr">
        <is>
          <t>XK2501-05</t>
        </is>
      </c>
      <c r="G54" s="16" t="n">
        <v>45661</v>
      </c>
      <c r="H54" s="18" t="inlineStr">
        <is>
          <t>CÔNG TY CỔ PHẦN CÔNG NGHIỆP VÀ THƯƠNG MẠI CƯỜNG THỊNH</t>
        </is>
      </c>
      <c r="I54" s="18" t="inlineStr">
        <is>
          <t>Long đền thường ZP M12B23D1</t>
        </is>
      </c>
      <c r="J54" s="18" t="inlineStr">
        <is>
          <t>Cái</t>
        </is>
      </c>
      <c r="K54" s="19" t="n">
        <v>100</v>
      </c>
      <c r="L54" s="20" t="n"/>
      <c r="M54" s="20" t="n"/>
      <c r="N54" s="22" t="n">
        <v>144</v>
      </c>
      <c r="O54" s="22" t="n">
        <v>14400</v>
      </c>
      <c r="P54" s="22" t="n">
        <v>144</v>
      </c>
      <c r="Q54" s="22" t="n">
        <v>14400</v>
      </c>
      <c r="R54" s="42">
        <f>+L54+N54-P54</f>
        <v/>
      </c>
      <c r="S54" s="42">
        <f>+M54+O54-Q54</f>
        <v/>
      </c>
    </row>
    <row r="55" ht="30" customHeight="1">
      <c r="A55" s="16" t="n">
        <v>45661</v>
      </c>
      <c r="B55" s="17" t="inlineStr">
        <is>
          <t>MH2501-06C</t>
        </is>
      </c>
      <c r="C55" s="16" t="n">
        <v>45661</v>
      </c>
      <c r="D55" s="17" t="inlineStr">
        <is>
          <t>00000040</t>
        </is>
      </c>
      <c r="E55" s="16" t="n">
        <v>45661</v>
      </c>
      <c r="F55" s="16" t="inlineStr">
        <is>
          <t>XK2501-06</t>
        </is>
      </c>
      <c r="G55" s="16" t="n">
        <v>45661</v>
      </c>
      <c r="H55" s="18" t="inlineStr">
        <is>
          <t>CÔNG TY CỔ PHẦN CÔNG NGHIỆP VÀ THƯƠNG MẠI CƯỜNG THỊNH</t>
        </is>
      </c>
      <c r="I55" s="18" t="inlineStr">
        <is>
          <t>Vít B2 Dacromet 12-14x20</t>
        </is>
      </c>
      <c r="J55" s="18" t="inlineStr">
        <is>
          <t>Cái</t>
        </is>
      </c>
      <c r="K55" s="19" t="n">
        <v>600</v>
      </c>
      <c r="L55" s="20" t="n"/>
      <c r="M55" s="20" t="n"/>
      <c r="N55" s="22" t="n">
        <v>200</v>
      </c>
      <c r="O55" s="22" t="n">
        <v>120000</v>
      </c>
      <c r="P55" s="22" t="n">
        <v>200</v>
      </c>
      <c r="Q55" s="22" t="n">
        <v>120000</v>
      </c>
      <c r="R55" s="42">
        <f>+L55+N55-P55</f>
        <v/>
      </c>
      <c r="S55" s="42">
        <f>+M55+O55-Q55</f>
        <v/>
      </c>
    </row>
    <row r="56" ht="30" customHeight="1">
      <c r="A56" s="16" t="n">
        <v>45661</v>
      </c>
      <c r="B56" s="17" t="inlineStr">
        <is>
          <t>MH2501-06C</t>
        </is>
      </c>
      <c r="C56" s="16" t="n">
        <v>45661</v>
      </c>
      <c r="D56" s="17" t="inlineStr">
        <is>
          <t>00000040</t>
        </is>
      </c>
      <c r="E56" s="16" t="n">
        <v>45661</v>
      </c>
      <c r="F56" s="16" t="inlineStr">
        <is>
          <t>XK2501-06</t>
        </is>
      </c>
      <c r="G56" s="16" t="n">
        <v>45661</v>
      </c>
      <c r="H56" s="18" t="inlineStr">
        <is>
          <t>CÔNG TY CỔ PHẦN CÔNG NGHIỆP VÀ THƯƠNG MẠI CƯỜNG THỊNH</t>
        </is>
      </c>
      <c r="I56" s="18" t="inlineStr">
        <is>
          <t>Bulong Din 933 8.8 ZP M20x40</t>
        </is>
      </c>
      <c r="J56" s="18" t="inlineStr">
        <is>
          <t>Cái</t>
        </is>
      </c>
      <c r="K56" s="19" t="n">
        <v>5050</v>
      </c>
      <c r="L56" s="20" t="n"/>
      <c r="M56" s="20" t="n"/>
      <c r="N56" s="22" t="n">
        <v>14</v>
      </c>
      <c r="O56" s="22" t="n">
        <v>70700</v>
      </c>
      <c r="P56" s="22" t="n">
        <v>14</v>
      </c>
      <c r="Q56" s="22" t="n">
        <v>70700</v>
      </c>
      <c r="R56" s="42">
        <f>+L56+N56-P56</f>
        <v/>
      </c>
      <c r="S56" s="42">
        <f>+M56+O56-Q56</f>
        <v/>
      </c>
    </row>
    <row r="57" ht="30" customHeight="1">
      <c r="A57" s="16" t="n">
        <v>45661</v>
      </c>
      <c r="B57" s="17" t="inlineStr">
        <is>
          <t>MH2501-06C</t>
        </is>
      </c>
      <c r="C57" s="16" t="n">
        <v>45661</v>
      </c>
      <c r="D57" s="17" t="inlineStr">
        <is>
          <t>00000040</t>
        </is>
      </c>
      <c r="E57" s="16" t="n">
        <v>45661</v>
      </c>
      <c r="F57" s="16" t="inlineStr">
        <is>
          <t>XK2501-06</t>
        </is>
      </c>
      <c r="G57" s="16" t="n">
        <v>45661</v>
      </c>
      <c r="H57" s="18" t="inlineStr">
        <is>
          <t>CÔNG TY CỔ PHẦN CÔNG NGHIỆP VÀ THƯƠNG MẠI CƯỜNG THỊNH</t>
        </is>
      </c>
      <c r="I57" s="18" t="inlineStr">
        <is>
          <t>Đai ốc Din 934 8 ZP M20</t>
        </is>
      </c>
      <c r="J57" s="18" t="inlineStr">
        <is>
          <t>Cái</t>
        </is>
      </c>
      <c r="K57" s="19" t="n">
        <v>2030</v>
      </c>
      <c r="L57" s="20" t="n"/>
      <c r="M57" s="20" t="n"/>
      <c r="N57" s="22" t="n">
        <v>14</v>
      </c>
      <c r="O57" s="22" t="n">
        <v>28420</v>
      </c>
      <c r="P57" s="22" t="n">
        <v>14</v>
      </c>
      <c r="Q57" s="22" t="n">
        <v>28420</v>
      </c>
      <c r="R57" s="42">
        <f>+L57+N57-P57</f>
        <v/>
      </c>
      <c r="S57" s="42">
        <f>+M57+O57-Q57</f>
        <v/>
      </c>
    </row>
    <row r="58" ht="30" customHeight="1">
      <c r="A58" s="16" t="n">
        <v>45661</v>
      </c>
      <c r="B58" s="17" t="inlineStr">
        <is>
          <t>MH2501-06C</t>
        </is>
      </c>
      <c r="C58" s="16" t="n">
        <v>45661</v>
      </c>
      <c r="D58" s="17" t="inlineStr">
        <is>
          <t>00000040</t>
        </is>
      </c>
      <c r="E58" s="16" t="n">
        <v>45661</v>
      </c>
      <c r="F58" s="16" t="inlineStr">
        <is>
          <t>XK2501-06</t>
        </is>
      </c>
      <c r="G58" s="16" t="n">
        <v>45661</v>
      </c>
      <c r="H58" s="18" t="inlineStr">
        <is>
          <t>CÔNG TY CỔ PHẦN CÔNG NGHIỆP VÀ THƯƠNG MẠI CƯỜNG THỊNH</t>
        </is>
      </c>
      <c r="I58" s="18" t="inlineStr">
        <is>
          <t>Long đền thường ZP M20B35D2</t>
        </is>
      </c>
      <c r="J58" s="18" t="inlineStr">
        <is>
          <t>Cái</t>
        </is>
      </c>
      <c r="K58" s="19" t="n">
        <v>400</v>
      </c>
      <c r="L58" s="20" t="n"/>
      <c r="M58" s="20" t="n"/>
      <c r="N58" s="22" t="n">
        <v>14</v>
      </c>
      <c r="O58" s="22" t="n">
        <v>5600</v>
      </c>
      <c r="P58" s="22" t="n">
        <v>14</v>
      </c>
      <c r="Q58" s="22" t="n">
        <v>5600</v>
      </c>
      <c r="R58" s="42">
        <f>+L58+N58-P58</f>
        <v/>
      </c>
      <c r="S58" s="42">
        <f>+M58+O58-Q58</f>
        <v/>
      </c>
    </row>
    <row r="59" ht="30" customHeight="1">
      <c r="A59" s="16" t="n">
        <v>45661</v>
      </c>
      <c r="B59" s="17" t="inlineStr">
        <is>
          <t>MH2501-06C</t>
        </is>
      </c>
      <c r="C59" s="16" t="n">
        <v>45661</v>
      </c>
      <c r="D59" s="17" t="inlineStr">
        <is>
          <t>00000040</t>
        </is>
      </c>
      <c r="E59" s="16" t="n">
        <v>45661</v>
      </c>
      <c r="F59" s="16" t="inlineStr">
        <is>
          <t>XK2501-06</t>
        </is>
      </c>
      <c r="G59" s="16" t="n">
        <v>45661</v>
      </c>
      <c r="H59" s="18" t="inlineStr">
        <is>
          <t>CÔNG TY CỔ PHẦN CÔNG NGHIỆP VÀ THƯƠNG MẠI CƯỜNG THỊNH</t>
        </is>
      </c>
      <c r="I59" s="18" t="inlineStr">
        <is>
          <t>Bulong Din 933 8.8 ZP M20x50</t>
        </is>
      </c>
      <c r="J59" s="18" t="inlineStr">
        <is>
          <t>Cái</t>
        </is>
      </c>
      <c r="K59" s="19" t="n">
        <v>5760</v>
      </c>
      <c r="L59" s="20" t="n"/>
      <c r="M59" s="20" t="n"/>
      <c r="N59" s="22" t="n">
        <v>464</v>
      </c>
      <c r="O59" s="22" t="n">
        <v>2672640</v>
      </c>
      <c r="P59" s="22" t="n">
        <v>464</v>
      </c>
      <c r="Q59" s="22" t="n">
        <v>2672640</v>
      </c>
      <c r="R59" s="42">
        <f>+L59+N59-P59</f>
        <v/>
      </c>
      <c r="S59" s="42">
        <f>+M59+O59-Q59</f>
        <v/>
      </c>
    </row>
    <row r="60" ht="30" customHeight="1">
      <c r="A60" s="16" t="n">
        <v>45661</v>
      </c>
      <c r="B60" s="17" t="inlineStr">
        <is>
          <t>MH2501-06C</t>
        </is>
      </c>
      <c r="C60" s="16" t="n">
        <v>45661</v>
      </c>
      <c r="D60" s="17" t="inlineStr">
        <is>
          <t>00000040</t>
        </is>
      </c>
      <c r="E60" s="16" t="n">
        <v>45661</v>
      </c>
      <c r="F60" s="16" t="inlineStr">
        <is>
          <t>XK2501-06</t>
        </is>
      </c>
      <c r="G60" s="16" t="n">
        <v>45661</v>
      </c>
      <c r="H60" s="18" t="inlineStr">
        <is>
          <t>CÔNG TY CỔ PHẦN CÔNG NGHIỆP VÀ THƯƠNG MẠI CƯỜNG THỊNH</t>
        </is>
      </c>
      <c r="I60" s="18" t="inlineStr">
        <is>
          <t>Đai ốc Din 934 8 ZP M20</t>
        </is>
      </c>
      <c r="J60" s="18" t="inlineStr">
        <is>
          <t>Cái</t>
        </is>
      </c>
      <c r="K60" s="19" t="n">
        <v>2030</v>
      </c>
      <c r="L60" s="20" t="n"/>
      <c r="M60" s="20" t="n"/>
      <c r="N60" s="22" t="n">
        <v>464</v>
      </c>
      <c r="O60" s="22" t="n">
        <v>941920</v>
      </c>
      <c r="P60" s="22" t="n">
        <v>464</v>
      </c>
      <c r="Q60" s="22" t="n">
        <v>941920</v>
      </c>
      <c r="R60" s="42">
        <f>+L60+N60-P60</f>
        <v/>
      </c>
      <c r="S60" s="42">
        <f>+M60+O60-Q60</f>
        <v/>
      </c>
    </row>
    <row r="61" ht="30" customHeight="1">
      <c r="A61" s="16" t="n">
        <v>45661</v>
      </c>
      <c r="B61" s="17" t="inlineStr">
        <is>
          <t>MH2501-06C</t>
        </is>
      </c>
      <c r="C61" s="16" t="n">
        <v>45661</v>
      </c>
      <c r="D61" s="17" t="inlineStr">
        <is>
          <t>00000040</t>
        </is>
      </c>
      <c r="E61" s="16" t="n">
        <v>45661</v>
      </c>
      <c r="F61" s="16" t="inlineStr">
        <is>
          <t>XK2501-06</t>
        </is>
      </c>
      <c r="G61" s="16" t="n">
        <v>45661</v>
      </c>
      <c r="H61" s="18" t="inlineStr">
        <is>
          <t>CÔNG TY CỔ PHẦN CÔNG NGHIỆP VÀ THƯƠNG MẠI CƯỜNG THỊNH</t>
        </is>
      </c>
      <c r="I61" s="18" t="inlineStr">
        <is>
          <t>Long đền thường ZP M20B35D2</t>
        </is>
      </c>
      <c r="J61" s="18" t="inlineStr">
        <is>
          <t>Cái</t>
        </is>
      </c>
      <c r="K61" s="19" t="n">
        <v>400</v>
      </c>
      <c r="L61" s="20" t="n"/>
      <c r="M61" s="20" t="n"/>
      <c r="N61" s="22" t="n">
        <v>464</v>
      </c>
      <c r="O61" s="22" t="n">
        <v>185600</v>
      </c>
      <c r="P61" s="22" t="n">
        <v>464</v>
      </c>
      <c r="Q61" s="22" t="n">
        <v>185600</v>
      </c>
      <c r="R61" s="42">
        <f>+L61+N61-P61</f>
        <v/>
      </c>
      <c r="S61" s="42">
        <f>+M61+O61-Q61</f>
        <v/>
      </c>
    </row>
    <row r="62" ht="30" customHeight="1">
      <c r="A62" s="16" t="n">
        <v>45661</v>
      </c>
      <c r="B62" s="17" t="inlineStr">
        <is>
          <t>MH2501-06C</t>
        </is>
      </c>
      <c r="C62" s="16" t="n">
        <v>45661</v>
      </c>
      <c r="D62" s="17" t="inlineStr">
        <is>
          <t>00000040</t>
        </is>
      </c>
      <c r="E62" s="16" t="n">
        <v>45661</v>
      </c>
      <c r="F62" s="16" t="inlineStr">
        <is>
          <t>XK2501-06</t>
        </is>
      </c>
      <c r="G62" s="16" t="n">
        <v>45661</v>
      </c>
      <c r="H62" s="18" t="inlineStr">
        <is>
          <t>CÔNG TY CỔ PHẦN CÔNG NGHIỆP VÀ THƯƠNG MẠI CƯỜNG THỊNH</t>
        </is>
      </c>
      <c r="I62" s="18" t="inlineStr">
        <is>
          <t>Bulong Din 933 8.8 ZP M20x60</t>
        </is>
      </c>
      <c r="J62" s="18" t="inlineStr">
        <is>
          <t>Cái</t>
        </is>
      </c>
      <c r="K62" s="19" t="n">
        <v>6440</v>
      </c>
      <c r="L62" s="20" t="n"/>
      <c r="M62" s="20" t="n"/>
      <c r="N62" s="22" t="n">
        <v>428</v>
      </c>
      <c r="O62" s="22" t="n">
        <v>2756320</v>
      </c>
      <c r="P62" s="22" t="n">
        <v>428</v>
      </c>
      <c r="Q62" s="22" t="n">
        <v>2756320</v>
      </c>
      <c r="R62" s="42">
        <f>+L62+N62-P62</f>
        <v/>
      </c>
      <c r="S62" s="42">
        <f>+M62+O62-Q62</f>
        <v/>
      </c>
    </row>
    <row r="63" ht="30" customHeight="1">
      <c r="A63" s="16" t="n">
        <v>45661</v>
      </c>
      <c r="B63" s="17" t="inlineStr">
        <is>
          <t>MH2501-06C</t>
        </is>
      </c>
      <c r="C63" s="16" t="n">
        <v>45661</v>
      </c>
      <c r="D63" s="17" t="inlineStr">
        <is>
          <t>00000040</t>
        </is>
      </c>
      <c r="E63" s="16" t="n">
        <v>45661</v>
      </c>
      <c r="F63" s="16" t="inlineStr">
        <is>
          <t>XK2501-06</t>
        </is>
      </c>
      <c r="G63" s="16" t="n">
        <v>45661</v>
      </c>
      <c r="H63" s="18" t="inlineStr">
        <is>
          <t>CÔNG TY CỔ PHẦN CÔNG NGHIỆP VÀ THƯƠNG MẠI CƯỜNG THỊNH</t>
        </is>
      </c>
      <c r="I63" s="18" t="inlineStr">
        <is>
          <t>Đai ốc Din 934 8 ZP M20</t>
        </is>
      </c>
      <c r="J63" s="18" t="inlineStr">
        <is>
          <t>Cái</t>
        </is>
      </c>
      <c r="K63" s="19" t="n">
        <v>2030</v>
      </c>
      <c r="L63" s="20" t="n"/>
      <c r="M63" s="20" t="n"/>
      <c r="N63" s="22" t="n">
        <v>428</v>
      </c>
      <c r="O63" s="22" t="n">
        <v>868840</v>
      </c>
      <c r="P63" s="22" t="n">
        <v>428</v>
      </c>
      <c r="Q63" s="22" t="n">
        <v>868840</v>
      </c>
      <c r="R63" s="42">
        <f>+L63+N63-P63</f>
        <v/>
      </c>
      <c r="S63" s="42">
        <f>+M63+O63-Q63</f>
        <v/>
      </c>
    </row>
    <row r="64" ht="30" customHeight="1">
      <c r="A64" s="16" t="n">
        <v>45661</v>
      </c>
      <c r="B64" s="17" t="inlineStr">
        <is>
          <t>MH2501-06C</t>
        </is>
      </c>
      <c r="C64" s="16" t="n">
        <v>45661</v>
      </c>
      <c r="D64" s="17" t="inlineStr">
        <is>
          <t>00000040</t>
        </is>
      </c>
      <c r="E64" s="16" t="n">
        <v>45661</v>
      </c>
      <c r="F64" s="16" t="inlineStr">
        <is>
          <t>XK2501-06</t>
        </is>
      </c>
      <c r="G64" s="16" t="n">
        <v>45661</v>
      </c>
      <c r="H64" s="18" t="inlineStr">
        <is>
          <t>CÔNG TY CỔ PHẦN CÔNG NGHIỆP VÀ THƯƠNG MẠI CƯỜNG THỊNH</t>
        </is>
      </c>
      <c r="I64" s="18" t="inlineStr">
        <is>
          <t>Long đền thường ZP M20B35D2</t>
        </is>
      </c>
      <c r="J64" s="18" t="inlineStr">
        <is>
          <t>Cái</t>
        </is>
      </c>
      <c r="K64" s="19" t="n">
        <v>400</v>
      </c>
      <c r="L64" s="20" t="n"/>
      <c r="M64" s="20" t="n"/>
      <c r="N64" s="22" t="n">
        <v>428</v>
      </c>
      <c r="O64" s="22" t="n">
        <v>171200</v>
      </c>
      <c r="P64" s="22" t="n">
        <v>428</v>
      </c>
      <c r="Q64" s="22" t="n">
        <v>171200</v>
      </c>
      <c r="R64" s="42">
        <f>+L64+N64-P64</f>
        <v/>
      </c>
      <c r="S64" s="42">
        <f>+M64+O64-Q64</f>
        <v/>
      </c>
    </row>
    <row r="65" ht="30" customHeight="1">
      <c r="A65" s="16" t="n">
        <v>45661</v>
      </c>
      <c r="B65" s="17" t="inlineStr">
        <is>
          <t>MH2501-06C</t>
        </is>
      </c>
      <c r="C65" s="16" t="n">
        <v>45661</v>
      </c>
      <c r="D65" s="17" t="inlineStr">
        <is>
          <t>00000040</t>
        </is>
      </c>
      <c r="E65" s="16" t="n">
        <v>45661</v>
      </c>
      <c r="F65" s="16" t="inlineStr">
        <is>
          <t>XK2501-06</t>
        </is>
      </c>
      <c r="G65" s="16" t="n">
        <v>45661</v>
      </c>
      <c r="H65" s="18" t="inlineStr">
        <is>
          <t>CÔNG TY CỔ PHẦN CÔNG NGHIỆP VÀ THƯƠNG MẠI CƯỜNG THỊNH</t>
        </is>
      </c>
      <c r="I65" s="18" t="inlineStr">
        <is>
          <t>Bulong Din 933 8.8 ZP M20x70</t>
        </is>
      </c>
      <c r="J65" s="18" t="inlineStr">
        <is>
          <t>Cái</t>
        </is>
      </c>
      <c r="K65" s="19" t="n">
        <v>7070</v>
      </c>
      <c r="L65" s="20" t="n"/>
      <c r="M65" s="20" t="n"/>
      <c r="N65" s="22" t="n">
        <v>136</v>
      </c>
      <c r="O65" s="22" t="n">
        <v>961520</v>
      </c>
      <c r="P65" s="22" t="n">
        <v>136</v>
      </c>
      <c r="Q65" s="22" t="n">
        <v>961520</v>
      </c>
      <c r="R65" s="42">
        <f>+L65+N65-P65</f>
        <v/>
      </c>
      <c r="S65" s="42">
        <f>+M65+O65-Q65</f>
        <v/>
      </c>
    </row>
    <row r="66" ht="30" customHeight="1">
      <c r="A66" s="16" t="n">
        <v>45661</v>
      </c>
      <c r="B66" s="17" t="inlineStr">
        <is>
          <t>MH2501-06C</t>
        </is>
      </c>
      <c r="C66" s="16" t="n">
        <v>45661</v>
      </c>
      <c r="D66" s="17" t="inlineStr">
        <is>
          <t>00000040</t>
        </is>
      </c>
      <c r="E66" s="16" t="n">
        <v>45661</v>
      </c>
      <c r="F66" s="16" t="inlineStr">
        <is>
          <t>XK2501-06</t>
        </is>
      </c>
      <c r="G66" s="16" t="n">
        <v>45661</v>
      </c>
      <c r="H66" s="18" t="inlineStr">
        <is>
          <t>CÔNG TY CỔ PHẦN CÔNG NGHIỆP VÀ THƯƠNG MẠI CƯỜNG THỊNH</t>
        </is>
      </c>
      <c r="I66" s="18" t="inlineStr">
        <is>
          <t>Đai ốc Din 934 8 ZP M20</t>
        </is>
      </c>
      <c r="J66" s="18" t="inlineStr">
        <is>
          <t>Cái</t>
        </is>
      </c>
      <c r="K66" s="19" t="n">
        <v>2030</v>
      </c>
      <c r="L66" s="20" t="n"/>
      <c r="M66" s="20" t="n"/>
      <c r="N66" s="22" t="n">
        <v>136</v>
      </c>
      <c r="O66" s="22" t="n">
        <v>276080</v>
      </c>
      <c r="P66" s="22" t="n">
        <v>136</v>
      </c>
      <c r="Q66" s="22" t="n">
        <v>276080</v>
      </c>
      <c r="R66" s="42">
        <f>+L66+N66-P66</f>
        <v/>
      </c>
      <c r="S66" s="42">
        <f>+M66+O66-Q66</f>
        <v/>
      </c>
    </row>
    <row r="67" ht="30" customHeight="1">
      <c r="A67" s="16" t="n">
        <v>45661</v>
      </c>
      <c r="B67" s="17" t="inlineStr">
        <is>
          <t>MH2501-06C</t>
        </is>
      </c>
      <c r="C67" s="16" t="n">
        <v>45661</v>
      </c>
      <c r="D67" s="17" t="inlineStr">
        <is>
          <t>00000040</t>
        </is>
      </c>
      <c r="E67" s="16" t="n">
        <v>45661</v>
      </c>
      <c r="F67" s="16" t="inlineStr">
        <is>
          <t>XK2501-06</t>
        </is>
      </c>
      <c r="G67" s="16" t="n">
        <v>45661</v>
      </c>
      <c r="H67" s="18" t="inlineStr">
        <is>
          <t>CÔNG TY CỔ PHẦN CÔNG NGHIỆP VÀ THƯƠNG MẠI CƯỜNG THỊNH</t>
        </is>
      </c>
      <c r="I67" s="18" t="inlineStr">
        <is>
          <t>Long đền thường ZP M20B35D2</t>
        </is>
      </c>
      <c r="J67" s="18" t="inlineStr">
        <is>
          <t>Cái</t>
        </is>
      </c>
      <c r="K67" s="19" t="n">
        <v>400</v>
      </c>
      <c r="L67" s="20" t="n"/>
      <c r="M67" s="20" t="n"/>
      <c r="N67" s="22" t="n">
        <v>136</v>
      </c>
      <c r="O67" s="22" t="n">
        <v>54400</v>
      </c>
      <c r="P67" s="22" t="n">
        <v>136</v>
      </c>
      <c r="Q67" s="22" t="n">
        <v>54400</v>
      </c>
      <c r="R67" s="42">
        <f>+L67+N67-P67</f>
        <v/>
      </c>
      <c r="S67" s="42">
        <f>+M67+O67-Q67</f>
        <v/>
      </c>
    </row>
    <row r="68" ht="30" customHeight="1">
      <c r="A68" s="16" t="n">
        <v>45661</v>
      </c>
      <c r="B68" s="17" t="inlineStr">
        <is>
          <t>MH2501-06C</t>
        </is>
      </c>
      <c r="C68" s="16" t="n">
        <v>45661</v>
      </c>
      <c r="D68" s="17" t="inlineStr">
        <is>
          <t>00000040</t>
        </is>
      </c>
      <c r="E68" s="16" t="n">
        <v>45661</v>
      </c>
      <c r="F68" s="16" t="inlineStr">
        <is>
          <t>XK2501-06</t>
        </is>
      </c>
      <c r="G68" s="16" t="n">
        <v>45661</v>
      </c>
      <c r="H68" s="18" t="inlineStr">
        <is>
          <t>CÔNG TY CỔ PHẦN CÔNG NGHIỆP VÀ THƯƠNG MẠI CƯỜNG THỊNH</t>
        </is>
      </c>
      <c r="I68" s="18" t="inlineStr">
        <is>
          <t>Bulong Din 933 8.8 ZP M24x80</t>
        </is>
      </c>
      <c r="J68" s="18" t="inlineStr">
        <is>
          <t>Cái</t>
        </is>
      </c>
      <c r="K68" s="19" t="n">
        <v>12010</v>
      </c>
      <c r="L68" s="20" t="n"/>
      <c r="M68" s="20" t="n"/>
      <c r="N68" s="22" t="n">
        <v>100</v>
      </c>
      <c r="O68" s="22" t="n">
        <v>1201000</v>
      </c>
      <c r="P68" s="22" t="n">
        <v>100</v>
      </c>
      <c r="Q68" s="22" t="n">
        <v>1201000</v>
      </c>
      <c r="R68" s="42">
        <f>+L68+N68-P68</f>
        <v/>
      </c>
      <c r="S68" s="42">
        <f>+M68+O68-Q68</f>
        <v/>
      </c>
    </row>
    <row r="69" ht="30" customHeight="1">
      <c r="A69" s="16" t="n">
        <v>45661</v>
      </c>
      <c r="B69" s="17" t="inlineStr">
        <is>
          <t>MH2501-06C</t>
        </is>
      </c>
      <c r="C69" s="16" t="n">
        <v>45661</v>
      </c>
      <c r="D69" s="17" t="inlineStr">
        <is>
          <t>00000040</t>
        </is>
      </c>
      <c r="E69" s="16" t="n">
        <v>45661</v>
      </c>
      <c r="F69" s="16" t="inlineStr">
        <is>
          <t>XK2501-06</t>
        </is>
      </c>
      <c r="G69" s="16" t="n">
        <v>45661</v>
      </c>
      <c r="H69" s="18" t="inlineStr">
        <is>
          <t>CÔNG TY CỔ PHẦN CÔNG NGHIỆP VÀ THƯƠNG MẠI CƯỜNG THỊNH</t>
        </is>
      </c>
      <c r="I69" s="18" t="inlineStr">
        <is>
          <t>Đai ốc Din 934 8 ZP M24</t>
        </is>
      </c>
      <c r="J69" s="18" t="inlineStr">
        <is>
          <t>Cái</t>
        </is>
      </c>
      <c r="K69" s="19" t="n">
        <v>3500</v>
      </c>
      <c r="L69" s="20" t="n"/>
      <c r="M69" s="20" t="n"/>
      <c r="N69" s="22" t="n">
        <v>100</v>
      </c>
      <c r="O69" s="22" t="n">
        <v>350000</v>
      </c>
      <c r="P69" s="22" t="n">
        <v>100</v>
      </c>
      <c r="Q69" s="22" t="n">
        <v>350000</v>
      </c>
      <c r="R69" s="42">
        <f>+L69+N69-P69</f>
        <v/>
      </c>
      <c r="S69" s="42">
        <f>+M69+O69-Q69</f>
        <v/>
      </c>
    </row>
    <row r="70" ht="30" customHeight="1">
      <c r="A70" s="16" t="n">
        <v>45661</v>
      </c>
      <c r="B70" s="17" t="inlineStr">
        <is>
          <t>MH2501-06C</t>
        </is>
      </c>
      <c r="C70" s="16" t="n">
        <v>45661</v>
      </c>
      <c r="D70" s="17" t="inlineStr">
        <is>
          <t>00000040</t>
        </is>
      </c>
      <c r="E70" s="16" t="n">
        <v>45661</v>
      </c>
      <c r="F70" s="16" t="inlineStr">
        <is>
          <t>XK2501-06</t>
        </is>
      </c>
      <c r="G70" s="16" t="n">
        <v>45661</v>
      </c>
      <c r="H70" s="18" t="inlineStr">
        <is>
          <t>CÔNG TY CỔ PHẦN CÔNG NGHIỆP VÀ THƯƠNG MẠI CƯỜNG THỊNH</t>
        </is>
      </c>
      <c r="I70" s="18" t="inlineStr">
        <is>
          <t>Long đền thường ZP M24B42D2</t>
        </is>
      </c>
      <c r="J70" s="18" t="inlineStr">
        <is>
          <t>Cái</t>
        </is>
      </c>
      <c r="K70" s="19" t="n">
        <v>710</v>
      </c>
      <c r="L70" s="20" t="n"/>
      <c r="M70" s="20" t="n"/>
      <c r="N70" s="22" t="n">
        <v>100</v>
      </c>
      <c r="O70" s="22" t="n">
        <v>71000</v>
      </c>
      <c r="P70" s="22" t="n">
        <v>100</v>
      </c>
      <c r="Q70" s="22" t="n">
        <v>71000</v>
      </c>
      <c r="R70" s="42">
        <f>+L70+N70-P70</f>
        <v/>
      </c>
      <c r="S70" s="42">
        <f>+M70+O70-Q70</f>
        <v/>
      </c>
    </row>
    <row r="71" ht="30" customHeight="1">
      <c r="A71" s="16" t="n">
        <v>45661</v>
      </c>
      <c r="B71" s="17" t="inlineStr">
        <is>
          <t>MH2501-06C</t>
        </is>
      </c>
      <c r="C71" s="16" t="n">
        <v>45661</v>
      </c>
      <c r="D71" s="17" t="inlineStr">
        <is>
          <t>00000040</t>
        </is>
      </c>
      <c r="E71" s="16" t="n">
        <v>45661</v>
      </c>
      <c r="F71" s="16" t="inlineStr">
        <is>
          <t>XK2501-06</t>
        </is>
      </c>
      <c r="G71" s="16" t="n">
        <v>45661</v>
      </c>
      <c r="H71" s="18" t="inlineStr">
        <is>
          <t>CÔNG TY CỔ PHẦN CÔNG NGHIỆP VÀ THƯƠNG MẠI CƯỜNG THỊNH</t>
        </is>
      </c>
      <c r="I71" s="18" t="inlineStr">
        <is>
          <t>Bulong thường 4.6 ZP M12x30</t>
        </is>
      </c>
      <c r="J71" s="18" t="inlineStr">
        <is>
          <t>Cái</t>
        </is>
      </c>
      <c r="K71" s="19" t="n">
        <v>950</v>
      </c>
      <c r="L71" s="20" t="n"/>
      <c r="M71" s="20" t="n"/>
      <c r="N71" s="22" t="n">
        <v>546</v>
      </c>
      <c r="O71" s="22" t="n">
        <v>518700</v>
      </c>
      <c r="P71" s="22" t="n">
        <v>546</v>
      </c>
      <c r="Q71" s="22" t="n">
        <v>518700</v>
      </c>
      <c r="R71" s="42">
        <f>+L71+N71-P71</f>
        <v/>
      </c>
      <c r="S71" s="42">
        <f>+M71+O71-Q71</f>
        <v/>
      </c>
    </row>
    <row r="72" ht="30" customHeight="1">
      <c r="A72" s="16" t="n">
        <v>45661</v>
      </c>
      <c r="B72" s="17" t="inlineStr">
        <is>
          <t>MH2501-06C</t>
        </is>
      </c>
      <c r="C72" s="16" t="n">
        <v>45661</v>
      </c>
      <c r="D72" s="17" t="inlineStr">
        <is>
          <t>00000040</t>
        </is>
      </c>
      <c r="E72" s="16" t="n">
        <v>45661</v>
      </c>
      <c r="F72" s="16" t="inlineStr">
        <is>
          <t>XK2501-06</t>
        </is>
      </c>
      <c r="G72" s="16" t="n">
        <v>45661</v>
      </c>
      <c r="H72" s="18" t="inlineStr">
        <is>
          <t>CÔNG TY CỔ PHẦN CÔNG NGHIỆP VÀ THƯƠNG MẠI CƯỜNG THỊNH</t>
        </is>
      </c>
      <c r="I72" s="18" t="inlineStr">
        <is>
          <t>Đai ốc thường 4 ZP M12 (9mm)</t>
        </is>
      </c>
      <c r="J72" s="18" t="inlineStr">
        <is>
          <t>Cái</t>
        </is>
      </c>
      <c r="K72" s="19" t="n">
        <v>360</v>
      </c>
      <c r="L72" s="20" t="n"/>
      <c r="M72" s="20" t="n"/>
      <c r="N72" s="22" t="n">
        <v>546</v>
      </c>
      <c r="O72" s="22" t="n">
        <v>196560</v>
      </c>
      <c r="P72" s="22" t="n">
        <v>546</v>
      </c>
      <c r="Q72" s="22" t="n">
        <v>196560</v>
      </c>
      <c r="R72" s="42">
        <f>+L72+N72-P72</f>
        <v/>
      </c>
      <c r="S72" s="42">
        <f>+M72+O72-Q72</f>
        <v/>
      </c>
    </row>
    <row r="73" ht="30" customHeight="1">
      <c r="A73" s="16" t="n">
        <v>45661</v>
      </c>
      <c r="B73" s="17" t="inlineStr">
        <is>
          <t>MH2501-06C</t>
        </is>
      </c>
      <c r="C73" s="16" t="n">
        <v>45661</v>
      </c>
      <c r="D73" s="17" t="inlineStr">
        <is>
          <t>00000040</t>
        </is>
      </c>
      <c r="E73" s="16" t="n">
        <v>45661</v>
      </c>
      <c r="F73" s="16" t="inlineStr">
        <is>
          <t>XK2501-06</t>
        </is>
      </c>
      <c r="G73" s="16" t="n">
        <v>45661</v>
      </c>
      <c r="H73" s="18" t="inlineStr">
        <is>
          <t>CÔNG TY CỔ PHẦN CÔNG NGHIỆP VÀ THƯƠNG MẠI CƯỜNG THỊNH</t>
        </is>
      </c>
      <c r="I73" s="18" t="inlineStr">
        <is>
          <t>Long đền thường ZP M12B23D1</t>
        </is>
      </c>
      <c r="J73" s="18" t="inlineStr">
        <is>
          <t>Cái</t>
        </is>
      </c>
      <c r="K73" s="19" t="n">
        <v>100</v>
      </c>
      <c r="L73" s="20" t="n"/>
      <c r="M73" s="20" t="n"/>
      <c r="N73" s="22" t="n">
        <v>1092</v>
      </c>
      <c r="O73" s="22" t="n">
        <v>109200</v>
      </c>
      <c r="P73" s="22" t="n">
        <v>1092</v>
      </c>
      <c r="Q73" s="22" t="n">
        <v>109200</v>
      </c>
      <c r="R73" s="42">
        <f>+L73+N73-P73</f>
        <v/>
      </c>
      <c r="S73" s="42">
        <f>+M73+O73-Q73</f>
        <v/>
      </c>
    </row>
    <row r="74" ht="30" customHeight="1">
      <c r="A74" s="16" t="n">
        <v>45661</v>
      </c>
      <c r="B74" s="17" t="inlineStr">
        <is>
          <t>MH2501-07</t>
        </is>
      </c>
      <c r="C74" s="16" t="n">
        <v>45661</v>
      </c>
      <c r="D74" s="17" t="inlineStr">
        <is>
          <t>00000042</t>
        </is>
      </c>
      <c r="E74" s="16" t="n">
        <v>45661</v>
      </c>
      <c r="F74" s="16" t="inlineStr">
        <is>
          <t>XK2501-07</t>
        </is>
      </c>
      <c r="G74" s="16" t="n">
        <v>45661</v>
      </c>
      <c r="H74" s="18" t="inlineStr">
        <is>
          <t>CÔNG TY CỔ PHẦN CÔNG NGHIỆP VÀ THƯƠNG MẠI CƯỜNG THỊNH</t>
        </is>
      </c>
      <c r="I74" s="18" t="inlineStr">
        <is>
          <t>Ty giằng 2 đầu ren 4.6 ZP M16</t>
        </is>
      </c>
      <c r="J74" s="18" t="inlineStr">
        <is>
          <t>Mét</t>
        </is>
      </c>
      <c r="K74" s="19" t="n">
        <v>48000</v>
      </c>
      <c r="L74" s="20" t="n"/>
      <c r="M74" s="20" t="n"/>
      <c r="N74" s="22" t="n">
        <v>81.5</v>
      </c>
      <c r="O74" s="22" t="n">
        <v>3912000</v>
      </c>
      <c r="P74" s="22" t="n">
        <v>81.5</v>
      </c>
      <c r="Q74" s="22" t="n">
        <v>3912000</v>
      </c>
      <c r="R74" s="42">
        <f>+L74+N74-P74</f>
        <v/>
      </c>
      <c r="S74" s="42">
        <f>+M74+O74-Q74</f>
        <v/>
      </c>
    </row>
    <row r="75" ht="30" customHeight="1">
      <c r="A75" s="16" t="n">
        <v>45661</v>
      </c>
      <c r="B75" s="17" t="inlineStr">
        <is>
          <t>MH2501-07</t>
        </is>
      </c>
      <c r="C75" s="16" t="n">
        <v>45661</v>
      </c>
      <c r="D75" s="17" t="inlineStr">
        <is>
          <t>00000042</t>
        </is>
      </c>
      <c r="E75" s="16" t="n">
        <v>45661</v>
      </c>
      <c r="F75" s="16" t="inlineStr">
        <is>
          <t>XK2501-07</t>
        </is>
      </c>
      <c r="G75" s="16" t="n">
        <v>45661</v>
      </c>
      <c r="H75" s="18" t="inlineStr">
        <is>
          <t>CÔNG TY CỔ PHẦN CÔNG NGHIỆP VÀ THƯƠNG MẠI CƯỜNG THỊNH</t>
        </is>
      </c>
      <c r="I75" s="18" t="inlineStr">
        <is>
          <t>Đai ốc Din 934 5 ZP M16</t>
        </is>
      </c>
      <c r="J75" s="18" t="inlineStr">
        <is>
          <t>Cái</t>
        </is>
      </c>
      <c r="K75" s="19" t="n">
        <v>1110</v>
      </c>
      <c r="L75" s="20" t="n"/>
      <c r="M75" s="20" t="n"/>
      <c r="N75" s="22" t="n">
        <v>24</v>
      </c>
      <c r="O75" s="22" t="n">
        <v>26640</v>
      </c>
      <c r="P75" s="22" t="n">
        <v>24</v>
      </c>
      <c r="Q75" s="22" t="n">
        <v>26640</v>
      </c>
      <c r="R75" s="42">
        <f>+L75+N75-P75</f>
        <v/>
      </c>
      <c r="S75" s="42">
        <f>+M75+O75-Q75</f>
        <v/>
      </c>
    </row>
    <row r="76" ht="30" customHeight="1">
      <c r="A76" s="16" t="n">
        <v>45661</v>
      </c>
      <c r="B76" s="17" t="inlineStr">
        <is>
          <t>MH2501-07</t>
        </is>
      </c>
      <c r="C76" s="16" t="n">
        <v>45661</v>
      </c>
      <c r="D76" s="17" t="inlineStr">
        <is>
          <t>00000042</t>
        </is>
      </c>
      <c r="E76" s="16" t="n">
        <v>45661</v>
      </c>
      <c r="F76" s="16" t="inlineStr">
        <is>
          <t>XK2501-07</t>
        </is>
      </c>
      <c r="G76" s="16" t="n">
        <v>45661</v>
      </c>
      <c r="H76" s="18" t="inlineStr">
        <is>
          <t>CÔNG TY CỔ PHẦN CÔNG NGHIỆP VÀ THƯƠNG MẠI CƯỜNG THỊNH</t>
        </is>
      </c>
      <c r="I76" s="18" t="inlineStr">
        <is>
          <t>Long đền thường ZP M16B42D2</t>
        </is>
      </c>
      <c r="J76" s="18" t="inlineStr">
        <is>
          <t>Cái</t>
        </is>
      </c>
      <c r="K76" s="19" t="n">
        <v>800</v>
      </c>
      <c r="L76" s="20" t="n"/>
      <c r="M76" s="20" t="n"/>
      <c r="N76" s="22" t="n">
        <v>24</v>
      </c>
      <c r="O76" s="22" t="n">
        <v>19200</v>
      </c>
      <c r="P76" s="22" t="n">
        <v>24</v>
      </c>
      <c r="Q76" s="22" t="n">
        <v>19200</v>
      </c>
      <c r="R76" s="42">
        <f>+L76+N76-P76</f>
        <v/>
      </c>
      <c r="S76" s="42">
        <f>+M76+O76-Q76</f>
        <v/>
      </c>
    </row>
    <row r="77" ht="30" customHeight="1">
      <c r="A77" s="16" t="n">
        <v>45661</v>
      </c>
      <c r="B77" s="17" t="inlineStr">
        <is>
          <t>MH2501-07</t>
        </is>
      </c>
      <c r="C77" s="16" t="n">
        <v>45661</v>
      </c>
      <c r="D77" s="17" t="inlineStr">
        <is>
          <t>00000042</t>
        </is>
      </c>
      <c r="E77" s="16" t="n">
        <v>45661</v>
      </c>
      <c r="F77" s="16" t="inlineStr">
        <is>
          <t>XK2501-07</t>
        </is>
      </c>
      <c r="G77" s="16" t="n">
        <v>45661</v>
      </c>
      <c r="H77" s="18" t="inlineStr">
        <is>
          <t>CÔNG TY CỔ PHẦN CÔNG NGHIỆP VÀ THƯƠNG MẠI CƯỜNG THỊNH</t>
        </is>
      </c>
      <c r="I77" s="18" t="inlineStr">
        <is>
          <t>Long đền móng ngựa ZP M16</t>
        </is>
      </c>
      <c r="J77" s="18" t="inlineStr">
        <is>
          <t>Cái</t>
        </is>
      </c>
      <c r="K77" s="19" t="n">
        <v>15670</v>
      </c>
      <c r="L77" s="20" t="n"/>
      <c r="M77" s="20" t="n"/>
      <c r="N77" s="22" t="n">
        <v>24</v>
      </c>
      <c r="O77" s="22" t="n">
        <v>376080</v>
      </c>
      <c r="P77" s="22" t="n">
        <v>24</v>
      </c>
      <c r="Q77" s="22" t="n">
        <v>376080</v>
      </c>
      <c r="R77" s="42">
        <f>+L77+N77-P77</f>
        <v/>
      </c>
      <c r="S77" s="42">
        <f>+M77+O77-Q77</f>
        <v/>
      </c>
    </row>
    <row r="78" ht="30" customHeight="1">
      <c r="A78" s="16" t="n">
        <v>45661</v>
      </c>
      <c r="B78" s="17" t="inlineStr">
        <is>
          <t>MH2501-07</t>
        </is>
      </c>
      <c r="C78" s="16" t="n">
        <v>45661</v>
      </c>
      <c r="D78" s="17" t="inlineStr">
        <is>
          <t>00000042</t>
        </is>
      </c>
      <c r="E78" s="16" t="n">
        <v>45661</v>
      </c>
      <c r="F78" s="16" t="inlineStr">
        <is>
          <t>XK2501-07</t>
        </is>
      </c>
      <c r="G78" s="16" t="n">
        <v>45661</v>
      </c>
      <c r="H78" s="18" t="inlineStr">
        <is>
          <t>CÔNG TY CỔ PHẦN CÔNG NGHIỆP VÀ THƯƠNG MẠI CƯỜNG THỊNH</t>
        </is>
      </c>
      <c r="I78" s="18" t="inlineStr">
        <is>
          <t>Nối Ty ZP M16x100 (23mm)</t>
        </is>
      </c>
      <c r="J78" s="18" t="inlineStr">
        <is>
          <t>Cái</t>
        </is>
      </c>
      <c r="K78" s="19" t="n">
        <v>24160</v>
      </c>
      <c r="L78" s="20" t="n"/>
      <c r="M78" s="20" t="n"/>
      <c r="N78" s="22" t="n">
        <v>10</v>
      </c>
      <c r="O78" s="22" t="n">
        <v>241600</v>
      </c>
      <c r="P78" s="22" t="n">
        <v>10</v>
      </c>
      <c r="Q78" s="22" t="n">
        <v>241600</v>
      </c>
      <c r="R78" s="42">
        <f>+L78+N78-P78</f>
        <v/>
      </c>
      <c r="S78" s="42">
        <f>+M78+O78-Q78</f>
        <v/>
      </c>
    </row>
    <row r="79" ht="30" customHeight="1">
      <c r="A79" s="16" t="n">
        <v>45661</v>
      </c>
      <c r="B79" s="17" t="inlineStr">
        <is>
          <t>MH2501-07</t>
        </is>
      </c>
      <c r="C79" s="16" t="n">
        <v>45661</v>
      </c>
      <c r="D79" s="17" t="inlineStr">
        <is>
          <t>00000042</t>
        </is>
      </c>
      <c r="E79" s="16" t="n">
        <v>45661</v>
      </c>
      <c r="F79" s="16" t="inlineStr">
        <is>
          <t>XK2501-07</t>
        </is>
      </c>
      <c r="G79" s="16" t="n">
        <v>45661</v>
      </c>
      <c r="H79" s="18" t="inlineStr">
        <is>
          <t>CÔNG TY CỔ PHẦN CÔNG NGHIỆP VÀ THƯƠNG MẠI CƯỜNG THỊNH</t>
        </is>
      </c>
      <c r="I79" s="18" t="inlineStr">
        <is>
          <t>Ty giằng 2 đầu ren 4.6 Ф11.3-11.5mm ZP M12</t>
        </is>
      </c>
      <c r="J79" s="18" t="inlineStr">
        <is>
          <t>Mét</t>
        </is>
      </c>
      <c r="K79" s="19" t="n">
        <v>22500</v>
      </c>
      <c r="L79" s="20" t="n"/>
      <c r="M79" s="20" t="n"/>
      <c r="N79" s="22" t="n">
        <v>78.01000000000001</v>
      </c>
      <c r="O79" s="22" t="n">
        <v>1755225</v>
      </c>
      <c r="P79" s="22" t="n">
        <v>78.01000000000001</v>
      </c>
      <c r="Q79" s="22" t="n">
        <v>1755225</v>
      </c>
      <c r="R79" s="42">
        <f>+L79+N79-P79</f>
        <v/>
      </c>
      <c r="S79" s="42">
        <f>+M79+O79-Q79</f>
        <v/>
      </c>
    </row>
    <row r="80" ht="30" customHeight="1">
      <c r="A80" s="16" t="n">
        <v>45661</v>
      </c>
      <c r="B80" s="17" t="inlineStr">
        <is>
          <t>MH2501-07</t>
        </is>
      </c>
      <c r="C80" s="16" t="n">
        <v>45661</v>
      </c>
      <c r="D80" s="17" t="inlineStr">
        <is>
          <t>00000042</t>
        </is>
      </c>
      <c r="E80" s="16" t="n">
        <v>45661</v>
      </c>
      <c r="F80" s="16" t="inlineStr">
        <is>
          <t>XK2501-07</t>
        </is>
      </c>
      <c r="G80" s="16" t="n">
        <v>45661</v>
      </c>
      <c r="H80" s="18" t="inlineStr">
        <is>
          <t>CÔNG TY CỔ PHẦN CÔNG NGHIỆP VÀ THƯƠNG MẠI CƯỜNG THỊNH</t>
        </is>
      </c>
      <c r="I80" s="18" t="inlineStr">
        <is>
          <t>Ty giằng 2 đầu ren 4.6 Ф11.3-11.5mm ZP M12</t>
        </is>
      </c>
      <c r="J80" s="18" t="inlineStr">
        <is>
          <t>Mét</t>
        </is>
      </c>
      <c r="K80" s="19" t="n">
        <v>24500</v>
      </c>
      <c r="L80" s="20" t="n"/>
      <c r="M80" s="20" t="n"/>
      <c r="N80" s="22" t="n">
        <v>54.21</v>
      </c>
      <c r="O80" s="22" t="n">
        <v>1328145</v>
      </c>
      <c r="P80" s="22" t="n">
        <v>54.21</v>
      </c>
      <c r="Q80" s="22" t="n">
        <v>1328145</v>
      </c>
      <c r="R80" s="42">
        <f>+L80+N80-P80</f>
        <v/>
      </c>
      <c r="S80" s="42">
        <f>+M80+O80-Q80</f>
        <v/>
      </c>
    </row>
    <row r="81" ht="30" customHeight="1">
      <c r="A81" s="16" t="n">
        <v>45661</v>
      </c>
      <c r="B81" s="17" t="inlineStr">
        <is>
          <t>MH2501-07</t>
        </is>
      </c>
      <c r="C81" s="16" t="n">
        <v>45661</v>
      </c>
      <c r="D81" s="17" t="inlineStr">
        <is>
          <t>00000042</t>
        </is>
      </c>
      <c r="E81" s="16" t="n">
        <v>45661</v>
      </c>
      <c r="F81" s="16" t="inlineStr">
        <is>
          <t>XK2501-07</t>
        </is>
      </c>
      <c r="G81" s="16" t="n">
        <v>45661</v>
      </c>
      <c r="H81" s="18" t="inlineStr">
        <is>
          <t>CÔNG TY CỔ PHẦN CÔNG NGHIỆP VÀ THƯƠNG MẠI CƯỜNG THỊNH</t>
        </is>
      </c>
      <c r="I81" s="18" t="inlineStr">
        <is>
          <t>Đai ốc thường 4 ZP M12 (9mm)</t>
        </is>
      </c>
      <c r="J81" s="18" t="inlineStr">
        <is>
          <t>Cái</t>
        </is>
      </c>
      <c r="K81" s="19" t="n">
        <v>360</v>
      </c>
      <c r="L81" s="20" t="n"/>
      <c r="M81" s="20" t="n"/>
      <c r="N81" s="22" t="n">
        <v>340</v>
      </c>
      <c r="O81" s="22" t="n">
        <v>122400</v>
      </c>
      <c r="P81" s="22" t="n">
        <v>340</v>
      </c>
      <c r="Q81" s="22" t="n">
        <v>122400</v>
      </c>
      <c r="R81" s="42">
        <f>+L81+N81-P81</f>
        <v/>
      </c>
      <c r="S81" s="42">
        <f>+M81+O81-Q81</f>
        <v/>
      </c>
    </row>
    <row r="82" ht="30" customHeight="1">
      <c r="A82" s="16" t="n">
        <v>45661</v>
      </c>
      <c r="B82" s="17" t="inlineStr">
        <is>
          <t>MH2501-07</t>
        </is>
      </c>
      <c r="C82" s="16" t="n">
        <v>45661</v>
      </c>
      <c r="D82" s="17" t="inlineStr">
        <is>
          <t>00000042</t>
        </is>
      </c>
      <c r="E82" s="16" t="n">
        <v>45661</v>
      </c>
      <c r="F82" s="16" t="inlineStr">
        <is>
          <t>XK2501-07</t>
        </is>
      </c>
      <c r="G82" s="16" t="n">
        <v>45661</v>
      </c>
      <c r="H82" s="18" t="inlineStr">
        <is>
          <t>CÔNG TY CỔ PHẦN CÔNG NGHIỆP VÀ THƯƠNG MẠI CƯỜNG THỊNH</t>
        </is>
      </c>
      <c r="I82" s="18" t="inlineStr">
        <is>
          <t>Long đền thường ZP M12B26D1.5</t>
        </is>
      </c>
      <c r="J82" s="18" t="inlineStr">
        <is>
          <t>Cái</t>
        </is>
      </c>
      <c r="K82" s="19" t="n">
        <v>190</v>
      </c>
      <c r="L82" s="20" t="n"/>
      <c r="M82" s="20" t="n"/>
      <c r="N82" s="22" t="n">
        <v>340</v>
      </c>
      <c r="O82" s="22" t="n">
        <v>64600</v>
      </c>
      <c r="P82" s="22" t="n">
        <v>340</v>
      </c>
      <c r="Q82" s="22" t="n">
        <v>64600</v>
      </c>
      <c r="R82" s="42">
        <f>+L82+N82-P82</f>
        <v/>
      </c>
      <c r="S82" s="42">
        <f>+M82+O82-Q82</f>
        <v/>
      </c>
    </row>
    <row r="83" ht="30" customHeight="1">
      <c r="A83" s="16" t="n">
        <v>45661</v>
      </c>
      <c r="B83" s="17" t="inlineStr">
        <is>
          <t>MH2501-08</t>
        </is>
      </c>
      <c r="C83" s="16" t="n">
        <v>45661</v>
      </c>
      <c r="D83" s="17" t="inlineStr">
        <is>
          <t>00000043</t>
        </is>
      </c>
      <c r="E83" s="16" t="n">
        <v>45661</v>
      </c>
      <c r="F83" s="16" t="inlineStr">
        <is>
          <t>XK2501-08</t>
        </is>
      </c>
      <c r="G83" s="16" t="n">
        <v>45661</v>
      </c>
      <c r="H83" s="18" t="inlineStr">
        <is>
          <t>CÔNG TY CỔ PHẦN CÔNG NGHIỆP VÀ THƯƠNG MẠI CƯỜNG THỊNH</t>
        </is>
      </c>
      <c r="I83" s="18" t="inlineStr">
        <is>
          <t>Ty giằng 2 đầu ren 4.6 ZP M16</t>
        </is>
      </c>
      <c r="J83" s="18" t="inlineStr">
        <is>
          <t>Mét</t>
        </is>
      </c>
      <c r="K83" s="19" t="n">
        <v>48000</v>
      </c>
      <c r="L83" s="20" t="n"/>
      <c r="M83" s="20" t="n"/>
      <c r="N83" s="22" t="n">
        <v>187.16</v>
      </c>
      <c r="O83" s="22" t="n">
        <v>8983680</v>
      </c>
      <c r="P83" s="22" t="n">
        <v>187.16</v>
      </c>
      <c r="Q83" s="22" t="n">
        <v>8983680</v>
      </c>
      <c r="R83" s="42">
        <f>+L83+N83-P83</f>
        <v/>
      </c>
      <c r="S83" s="42">
        <f>+M83+O83-Q83</f>
        <v/>
      </c>
    </row>
    <row r="84" ht="30" customHeight="1">
      <c r="A84" s="16" t="n">
        <v>45661</v>
      </c>
      <c r="B84" s="17" t="inlineStr">
        <is>
          <t>MH2501-08</t>
        </is>
      </c>
      <c r="C84" s="16" t="n">
        <v>45661</v>
      </c>
      <c r="D84" s="17" t="inlineStr">
        <is>
          <t>00000043</t>
        </is>
      </c>
      <c r="E84" s="16" t="n">
        <v>45661</v>
      </c>
      <c r="F84" s="16" t="inlineStr">
        <is>
          <t>XK2501-08</t>
        </is>
      </c>
      <c r="G84" s="16" t="n">
        <v>45661</v>
      </c>
      <c r="H84" s="18" t="inlineStr">
        <is>
          <t>CÔNG TY CỔ PHẦN CÔNG NGHIỆP VÀ THƯƠNG MẠI CƯỜNG THỊNH</t>
        </is>
      </c>
      <c r="I84" s="18" t="inlineStr">
        <is>
          <t>Đai ốc Din 934 5 ZP M16</t>
        </is>
      </c>
      <c r="J84" s="18" t="inlineStr">
        <is>
          <t>Cái</t>
        </is>
      </c>
      <c r="K84" s="19" t="n">
        <v>1110</v>
      </c>
      <c r="L84" s="20" t="n"/>
      <c r="M84" s="20" t="n"/>
      <c r="N84" s="22" t="n">
        <v>48</v>
      </c>
      <c r="O84" s="22" t="n">
        <v>53280</v>
      </c>
      <c r="P84" s="22" t="n">
        <v>48</v>
      </c>
      <c r="Q84" s="22" t="n">
        <v>53280</v>
      </c>
      <c r="R84" s="42">
        <f>+L84+N84-P84</f>
        <v/>
      </c>
      <c r="S84" s="42">
        <f>+M84+O84-Q84</f>
        <v/>
      </c>
    </row>
    <row r="85" ht="30" customHeight="1">
      <c r="A85" s="16" t="n">
        <v>45661</v>
      </c>
      <c r="B85" s="17" t="inlineStr">
        <is>
          <t>MH2501-08</t>
        </is>
      </c>
      <c r="C85" s="16" t="n">
        <v>45661</v>
      </c>
      <c r="D85" s="17" t="inlineStr">
        <is>
          <t>00000043</t>
        </is>
      </c>
      <c r="E85" s="16" t="n">
        <v>45661</v>
      </c>
      <c r="F85" s="16" t="inlineStr">
        <is>
          <t>XK2501-08</t>
        </is>
      </c>
      <c r="G85" s="16" t="n">
        <v>45661</v>
      </c>
      <c r="H85" s="18" t="inlineStr">
        <is>
          <t>CÔNG TY CỔ PHẦN CÔNG NGHIỆP VÀ THƯƠNG MẠI CƯỜNG THỊNH</t>
        </is>
      </c>
      <c r="I85" s="18" t="inlineStr">
        <is>
          <t>Long đền thường ZP M16B42D2</t>
        </is>
      </c>
      <c r="J85" s="18" t="inlineStr">
        <is>
          <t>Cái</t>
        </is>
      </c>
      <c r="K85" s="19" t="n">
        <v>800</v>
      </c>
      <c r="L85" s="20" t="n"/>
      <c r="M85" s="20" t="n"/>
      <c r="N85" s="22" t="n">
        <v>48</v>
      </c>
      <c r="O85" s="22" t="n">
        <v>38400</v>
      </c>
      <c r="P85" s="22" t="n">
        <v>48</v>
      </c>
      <c r="Q85" s="22" t="n">
        <v>38400</v>
      </c>
      <c r="R85" s="42">
        <f>+L85+N85-P85</f>
        <v/>
      </c>
      <c r="S85" s="42">
        <f>+M85+O85-Q85</f>
        <v/>
      </c>
    </row>
    <row r="86" ht="30" customHeight="1">
      <c r="A86" s="16" t="n">
        <v>45661</v>
      </c>
      <c r="B86" s="17" t="inlineStr">
        <is>
          <t>MH2501-08</t>
        </is>
      </c>
      <c r="C86" s="16" t="n">
        <v>45661</v>
      </c>
      <c r="D86" s="17" t="inlineStr">
        <is>
          <t>00000043</t>
        </is>
      </c>
      <c r="E86" s="16" t="n">
        <v>45661</v>
      </c>
      <c r="F86" s="16" t="inlineStr">
        <is>
          <t>XK2501-08</t>
        </is>
      </c>
      <c r="G86" s="16" t="n">
        <v>45661</v>
      </c>
      <c r="H86" s="18" t="inlineStr">
        <is>
          <t>CÔNG TY CỔ PHẦN CÔNG NGHIỆP VÀ THƯƠNG MẠI CƯỜNG THỊNH</t>
        </is>
      </c>
      <c r="I86" s="18" t="inlineStr">
        <is>
          <t>Long đền móng ngựa ZP M16</t>
        </is>
      </c>
      <c r="J86" s="18" t="inlineStr">
        <is>
          <t>Cái</t>
        </is>
      </c>
      <c r="K86" s="19" t="n">
        <v>15670</v>
      </c>
      <c r="L86" s="20" t="n"/>
      <c r="M86" s="20" t="n"/>
      <c r="N86" s="22" t="n">
        <v>48</v>
      </c>
      <c r="O86" s="22" t="n">
        <v>752160</v>
      </c>
      <c r="P86" s="22" t="n">
        <v>48</v>
      </c>
      <c r="Q86" s="22" t="n">
        <v>752160</v>
      </c>
      <c r="R86" s="42">
        <f>+L86+N86-P86</f>
        <v/>
      </c>
      <c r="S86" s="42">
        <f>+M86+O86-Q86</f>
        <v/>
      </c>
    </row>
    <row r="87" ht="30" customHeight="1">
      <c r="A87" s="16" t="n">
        <v>45661</v>
      </c>
      <c r="B87" s="17" t="inlineStr">
        <is>
          <t>MH2501-08</t>
        </is>
      </c>
      <c r="C87" s="16" t="n">
        <v>45661</v>
      </c>
      <c r="D87" s="17" t="inlineStr">
        <is>
          <t>00000043</t>
        </is>
      </c>
      <c r="E87" s="16" t="n">
        <v>45661</v>
      </c>
      <c r="F87" s="16" t="inlineStr">
        <is>
          <t>XK2501-08</t>
        </is>
      </c>
      <c r="G87" s="16" t="n">
        <v>45661</v>
      </c>
      <c r="H87" s="18" t="inlineStr">
        <is>
          <t>CÔNG TY CỔ PHẦN CÔNG NGHIỆP VÀ THƯƠNG MẠI CƯỜNG THỊNH</t>
        </is>
      </c>
      <c r="I87" s="18" t="inlineStr">
        <is>
          <t>Nối Ty ZP M16x100 (23mm)</t>
        </is>
      </c>
      <c r="J87" s="18" t="inlineStr">
        <is>
          <t>Cái</t>
        </is>
      </c>
      <c r="K87" s="19" t="n">
        <v>24160</v>
      </c>
      <c r="L87" s="20" t="n"/>
      <c r="M87" s="20" t="n"/>
      <c r="N87" s="22" t="n">
        <v>20</v>
      </c>
      <c r="O87" s="22" t="n">
        <v>483200</v>
      </c>
      <c r="P87" s="22" t="n">
        <v>20</v>
      </c>
      <c r="Q87" s="22" t="n">
        <v>483200</v>
      </c>
      <c r="R87" s="42">
        <f>+L87+N87-P87</f>
        <v/>
      </c>
      <c r="S87" s="42">
        <f>+M87+O87-Q87</f>
        <v/>
      </c>
    </row>
    <row r="88" ht="30" customHeight="1">
      <c r="A88" s="16" t="n">
        <v>45661</v>
      </c>
      <c r="B88" s="17" t="inlineStr">
        <is>
          <t>MH2501-08</t>
        </is>
      </c>
      <c r="C88" s="16" t="n">
        <v>45661</v>
      </c>
      <c r="D88" s="17" t="inlineStr">
        <is>
          <t>00000043</t>
        </is>
      </c>
      <c r="E88" s="16" t="n">
        <v>45661</v>
      </c>
      <c r="F88" s="16" t="inlineStr">
        <is>
          <t>XK2501-08</t>
        </is>
      </c>
      <c r="G88" s="16" t="n">
        <v>45661</v>
      </c>
      <c r="H88" s="18" t="inlineStr">
        <is>
          <t>CÔNG TY CỔ PHẦN CÔNG NGHIỆP VÀ THƯƠNG MẠI CƯỜNG THỊNH</t>
        </is>
      </c>
      <c r="I88" s="18" t="inlineStr">
        <is>
          <t>Ty giằng 2 đầu ren 4.6 Ф11.3-11.5mm ZP M12</t>
        </is>
      </c>
      <c r="J88" s="18" t="inlineStr">
        <is>
          <t>Mét</t>
        </is>
      </c>
      <c r="K88" s="19" t="n">
        <v>22500</v>
      </c>
      <c r="L88" s="20" t="n"/>
      <c r="M88" s="20" t="n"/>
      <c r="N88" s="22" t="n">
        <v>128.84</v>
      </c>
      <c r="O88" s="22" t="n">
        <v>2898900</v>
      </c>
      <c r="P88" s="22" t="n">
        <v>128.84</v>
      </c>
      <c r="Q88" s="22" t="n">
        <v>2898900</v>
      </c>
      <c r="R88" s="42">
        <f>+L88+N88-P88</f>
        <v/>
      </c>
      <c r="S88" s="42">
        <f>+M88+O88-Q88</f>
        <v/>
      </c>
    </row>
    <row r="89" ht="30" customHeight="1">
      <c r="A89" s="16" t="n">
        <v>45661</v>
      </c>
      <c r="B89" s="17" t="inlineStr">
        <is>
          <t>MH2501-08</t>
        </is>
      </c>
      <c r="C89" s="16" t="n">
        <v>45661</v>
      </c>
      <c r="D89" s="17" t="inlineStr">
        <is>
          <t>00000043</t>
        </is>
      </c>
      <c r="E89" s="16" t="n">
        <v>45661</v>
      </c>
      <c r="F89" s="16" t="inlineStr">
        <is>
          <t>XK2501-08</t>
        </is>
      </c>
      <c r="G89" s="16" t="n">
        <v>45661</v>
      </c>
      <c r="H89" s="18" t="inlineStr">
        <is>
          <t>CÔNG TY CỔ PHẦN CÔNG NGHIỆP VÀ THƯƠNG MẠI CƯỜNG THỊNH</t>
        </is>
      </c>
      <c r="I89" s="18" t="inlineStr">
        <is>
          <t>Ty giằng 2 đầu ren 4.6 Ф11.3-11.5mm ZP M12</t>
        </is>
      </c>
      <c r="J89" s="18" t="inlineStr">
        <is>
          <t>Mét</t>
        </is>
      </c>
      <c r="K89" s="19" t="n">
        <v>24500</v>
      </c>
      <c r="L89" s="20" t="n"/>
      <c r="M89" s="20" t="n"/>
      <c r="N89" s="22" t="n">
        <v>43.59</v>
      </c>
      <c r="O89" s="22" t="n">
        <v>1067955</v>
      </c>
      <c r="P89" s="22" t="n">
        <v>43.59</v>
      </c>
      <c r="Q89" s="22" t="n">
        <v>1067955</v>
      </c>
      <c r="R89" s="42">
        <f>+L89+N89-P89</f>
        <v/>
      </c>
      <c r="S89" s="42">
        <f>+M89+O89-Q89</f>
        <v/>
      </c>
    </row>
    <row r="90" ht="30" customHeight="1">
      <c r="A90" s="16" t="n">
        <v>45661</v>
      </c>
      <c r="B90" s="17" t="inlineStr">
        <is>
          <t>MH2501-08</t>
        </is>
      </c>
      <c r="C90" s="16" t="n">
        <v>45661</v>
      </c>
      <c r="D90" s="17" t="inlineStr">
        <is>
          <t>00000043</t>
        </is>
      </c>
      <c r="E90" s="16" t="n">
        <v>45661</v>
      </c>
      <c r="F90" s="16" t="inlineStr">
        <is>
          <t>XK2501-08</t>
        </is>
      </c>
      <c r="G90" s="16" t="n">
        <v>45661</v>
      </c>
      <c r="H90" s="18" t="inlineStr">
        <is>
          <t>CÔNG TY CỔ PHẦN CÔNG NGHIỆP VÀ THƯƠNG MẠI CƯỜNG THỊNH</t>
        </is>
      </c>
      <c r="I90" s="18" t="inlineStr">
        <is>
          <t>Đai ốc thường 4 ZP M12 (9mm)</t>
        </is>
      </c>
      <c r="J90" s="18" t="inlineStr">
        <is>
          <t>Cái</t>
        </is>
      </c>
      <c r="K90" s="19" t="n">
        <v>360</v>
      </c>
      <c r="L90" s="20" t="n"/>
      <c r="M90" s="20" t="n"/>
      <c r="N90" s="22" t="n">
        <v>656</v>
      </c>
      <c r="O90" s="22" t="n">
        <v>236160</v>
      </c>
      <c r="P90" s="22" t="n">
        <v>656</v>
      </c>
      <c r="Q90" s="22" t="n">
        <v>236160</v>
      </c>
      <c r="R90" s="42">
        <f>+L90+N90-P90</f>
        <v/>
      </c>
      <c r="S90" s="42">
        <f>+M90+O90-Q90</f>
        <v/>
      </c>
    </row>
    <row r="91" ht="30" customHeight="1">
      <c r="A91" s="16" t="n">
        <v>45661</v>
      </c>
      <c r="B91" s="17" t="inlineStr">
        <is>
          <t>MH2501-08</t>
        </is>
      </c>
      <c r="C91" s="16" t="n">
        <v>45661</v>
      </c>
      <c r="D91" s="17" t="inlineStr">
        <is>
          <t>00000043</t>
        </is>
      </c>
      <c r="E91" s="16" t="n">
        <v>45661</v>
      </c>
      <c r="F91" s="16" t="inlineStr">
        <is>
          <t>XK2501-08</t>
        </is>
      </c>
      <c r="G91" s="16" t="n">
        <v>45661</v>
      </c>
      <c r="H91" s="18" t="inlineStr">
        <is>
          <t>CÔNG TY CỔ PHẦN CÔNG NGHIỆP VÀ THƯƠNG MẠI CƯỜNG THỊNH</t>
        </is>
      </c>
      <c r="I91" s="18" t="inlineStr">
        <is>
          <t>Long đền thường ZP M12B26D1.5</t>
        </is>
      </c>
      <c r="J91" s="18" t="inlineStr">
        <is>
          <t>Cái</t>
        </is>
      </c>
      <c r="K91" s="19" t="n">
        <v>190</v>
      </c>
      <c r="L91" s="20" t="n"/>
      <c r="M91" s="20" t="n"/>
      <c r="N91" s="22" t="n">
        <v>656</v>
      </c>
      <c r="O91" s="22" t="n">
        <v>124640</v>
      </c>
      <c r="P91" s="22" t="n">
        <v>656</v>
      </c>
      <c r="Q91" s="22" t="n">
        <v>124640</v>
      </c>
      <c r="R91" s="42">
        <f>+L91+N91-P91</f>
        <v/>
      </c>
      <c r="S91" s="42">
        <f>+M91+O91-Q91</f>
        <v/>
      </c>
    </row>
    <row r="92" ht="15" customHeight="1">
      <c r="A92" s="16" t="n">
        <v>45663</v>
      </c>
      <c r="B92" s="17" t="inlineStr">
        <is>
          <t>MH2501-10</t>
        </is>
      </c>
      <c r="C92" s="16" t="n">
        <v>45663</v>
      </c>
      <c r="D92" s="17" t="inlineStr">
        <is>
          <t>00000168</t>
        </is>
      </c>
      <c r="E92" s="16" t="n">
        <v>45663</v>
      </c>
      <c r="F92" s="16" t="inlineStr">
        <is>
          <t>XK2501-09</t>
        </is>
      </c>
      <c r="G92" s="16" t="n">
        <v>45663</v>
      </c>
      <c r="H92" s="18" t="inlineStr">
        <is>
          <t>CÔNG TY TNHH SƠN JOTUN VIỆT NAM</t>
        </is>
      </c>
      <c r="I92" s="18" t="inlineStr">
        <is>
          <t>SƠN JOTAMASTIC 70 GREY         18L</t>
        </is>
      </c>
      <c r="J92" s="18" t="inlineStr">
        <is>
          <t>Lít</t>
        </is>
      </c>
      <c r="K92" s="19" t="n">
        <v>90000</v>
      </c>
      <c r="L92" s="20" t="n"/>
      <c r="M92" s="20" t="n"/>
      <c r="N92" s="22" t="n">
        <v>270</v>
      </c>
      <c r="O92" s="22" t="n">
        <v>24300000</v>
      </c>
      <c r="P92" s="22" t="n">
        <v>270</v>
      </c>
      <c r="Q92" s="22" t="n">
        <v>24300000</v>
      </c>
      <c r="R92" s="42">
        <f>+L92+N92-P92</f>
        <v/>
      </c>
      <c r="S92" s="42">
        <f>+M92+O92-Q92</f>
        <v/>
      </c>
    </row>
    <row r="93" ht="15" customHeight="1">
      <c r="A93" s="16" t="n">
        <v>45663</v>
      </c>
      <c r="B93" s="17" t="inlineStr">
        <is>
          <t>MH2501-10</t>
        </is>
      </c>
      <c r="C93" s="16" t="n">
        <v>45663</v>
      </c>
      <c r="D93" s="17" t="inlineStr">
        <is>
          <t>00000168</t>
        </is>
      </c>
      <c r="E93" s="16" t="n">
        <v>45663</v>
      </c>
      <c r="F93" s="16" t="inlineStr">
        <is>
          <t>XK2501-09</t>
        </is>
      </c>
      <c r="G93" s="16" t="n">
        <v>45663</v>
      </c>
      <c r="H93" s="18" t="inlineStr">
        <is>
          <t>CÔNG TY TNHH SƠN JOTUN VIỆT NAM</t>
        </is>
      </c>
      <c r="I93" s="18" t="inlineStr">
        <is>
          <t>SƠN FUTURA CLASSIC RAL7046    18.94L</t>
        </is>
      </c>
      <c r="J93" s="18" t="inlineStr">
        <is>
          <t>Lít</t>
        </is>
      </c>
      <c r="K93" s="19" t="n">
        <v>155000</v>
      </c>
      <c r="L93" s="20" t="n"/>
      <c r="M93" s="20" t="n"/>
      <c r="N93" s="22" t="n">
        <v>227.28</v>
      </c>
      <c r="O93" s="22" t="n">
        <v>35228400</v>
      </c>
      <c r="P93" s="22" t="n">
        <v>227.28</v>
      </c>
      <c r="Q93" s="22" t="n">
        <v>35228400</v>
      </c>
      <c r="R93" s="42">
        <f>+L93+N93-P93</f>
        <v/>
      </c>
      <c r="S93" s="42">
        <f>+M93+O93-Q93</f>
        <v/>
      </c>
    </row>
    <row r="94" ht="15" customHeight="1">
      <c r="A94" s="16" t="n">
        <v>45663</v>
      </c>
      <c r="B94" s="17" t="inlineStr">
        <is>
          <t>MH2501-10</t>
        </is>
      </c>
      <c r="C94" s="16" t="n">
        <v>45663</v>
      </c>
      <c r="D94" s="17" t="inlineStr">
        <is>
          <t>00000168</t>
        </is>
      </c>
      <c r="E94" s="16" t="n">
        <v>45663</v>
      </c>
      <c r="F94" s="16" t="inlineStr">
        <is>
          <t>XK2501-09</t>
        </is>
      </c>
      <c r="G94" s="16" t="n">
        <v>45663</v>
      </c>
      <c r="H94" s="18" t="inlineStr">
        <is>
          <t>CÔNG TY TNHH SƠN JOTUN VIỆT NAM</t>
        </is>
      </c>
      <c r="I94" s="18" t="inlineStr">
        <is>
          <t>SƠN FUTURA CLASSIC RAL7046     4.73L</t>
        </is>
      </c>
      <c r="J94" s="18" t="inlineStr">
        <is>
          <t>Lít</t>
        </is>
      </c>
      <c r="K94" s="19" t="n">
        <v>155000</v>
      </c>
      <c r="L94" s="20" t="n"/>
      <c r="M94" s="20" t="n"/>
      <c r="N94" s="22" t="n">
        <v>23.65</v>
      </c>
      <c r="O94" s="22" t="n">
        <v>3665750</v>
      </c>
      <c r="P94" s="22" t="n">
        <v>23.65</v>
      </c>
      <c r="Q94" s="22" t="n">
        <v>3665750</v>
      </c>
      <c r="R94" s="42">
        <f>+L94+N94-P94</f>
        <v/>
      </c>
      <c r="S94" s="42">
        <f>+M94+O94-Q94</f>
        <v/>
      </c>
    </row>
    <row r="95" ht="15" customHeight="1">
      <c r="A95" s="16" t="n">
        <v>45663</v>
      </c>
      <c r="B95" s="17" t="inlineStr">
        <is>
          <t>MH2501-10</t>
        </is>
      </c>
      <c r="C95" s="16" t="n">
        <v>45663</v>
      </c>
      <c r="D95" s="17" t="inlineStr">
        <is>
          <t>00000168</t>
        </is>
      </c>
      <c r="E95" s="16" t="n">
        <v>45663</v>
      </c>
      <c r="F95" s="16" t="inlineStr">
        <is>
          <t>XK2501-09</t>
        </is>
      </c>
      <c r="G95" s="16" t="n">
        <v>45663</v>
      </c>
      <c r="H95" s="18" t="inlineStr">
        <is>
          <t>CÔNG TY TNHH SƠN JOTUN VIỆT NAM</t>
        </is>
      </c>
      <c r="I95" s="18" t="inlineStr">
        <is>
          <t>DUNG MÔI JOTUN THINNER NO. 17       20L</t>
        </is>
      </c>
      <c r="J95" s="18" t="inlineStr">
        <is>
          <t>Lít</t>
        </is>
      </c>
      <c r="K95" s="19" t="n">
        <v>60000</v>
      </c>
      <c r="L95" s="20" t="n"/>
      <c r="M95" s="20" t="n"/>
      <c r="N95" s="22" t="n">
        <v>40</v>
      </c>
      <c r="O95" s="22" t="n">
        <v>2400000</v>
      </c>
      <c r="P95" s="22" t="n">
        <v>40</v>
      </c>
      <c r="Q95" s="22" t="n">
        <v>2400000</v>
      </c>
      <c r="R95" s="42">
        <f>+L95+N95-P95</f>
        <v/>
      </c>
      <c r="S95" s="42">
        <f>+M95+O95-Q95</f>
        <v/>
      </c>
    </row>
    <row r="96" ht="15" customHeight="1">
      <c r="A96" s="16" t="n">
        <v>45663</v>
      </c>
      <c r="B96" s="17" t="inlineStr">
        <is>
          <t>MH2501-10</t>
        </is>
      </c>
      <c r="C96" s="16" t="n">
        <v>45663</v>
      </c>
      <c r="D96" s="17" t="inlineStr">
        <is>
          <t>00000168</t>
        </is>
      </c>
      <c r="E96" s="16" t="n">
        <v>45663</v>
      </c>
      <c r="F96" s="16" t="inlineStr">
        <is>
          <t>XK2501-09</t>
        </is>
      </c>
      <c r="G96" s="16" t="n">
        <v>45663</v>
      </c>
      <c r="H96" s="18" t="inlineStr">
        <is>
          <t>CÔNG TY TNHH SƠN JOTUN VIỆT NAM</t>
        </is>
      </c>
      <c r="I96" s="18" t="inlineStr">
        <is>
          <t>DUNG MÔI JOTUN THINNER NO. 10       20L</t>
        </is>
      </c>
      <c r="J96" s="18" t="inlineStr">
        <is>
          <t>Lít</t>
        </is>
      </c>
      <c r="K96" s="19" t="n">
        <v>60000</v>
      </c>
      <c r="L96" s="20" t="n"/>
      <c r="M96" s="20" t="n"/>
      <c r="N96" s="22" t="n">
        <v>40</v>
      </c>
      <c r="O96" s="22" t="n">
        <v>2400000</v>
      </c>
      <c r="P96" s="22" t="n">
        <v>40</v>
      </c>
      <c r="Q96" s="22" t="n">
        <v>2400000</v>
      </c>
      <c r="R96" s="42">
        <f>+L96+N96-P96</f>
        <v/>
      </c>
      <c r="S96" s="42">
        <f>+M96+O96-Q96</f>
        <v/>
      </c>
    </row>
    <row r="97" ht="15" customHeight="1">
      <c r="A97" s="16" t="n">
        <v>45663</v>
      </c>
      <c r="B97" s="17" t="inlineStr">
        <is>
          <t>MH2501-11</t>
        </is>
      </c>
      <c r="C97" s="16" t="n">
        <v>45663</v>
      </c>
      <c r="D97" s="17" t="inlineStr">
        <is>
          <t>00000167</t>
        </is>
      </c>
      <c r="E97" s="16" t="n">
        <v>45663</v>
      </c>
      <c r="F97" s="16" t="inlineStr">
        <is>
          <t>XK2501-10</t>
        </is>
      </c>
      <c r="G97" s="16" t="n">
        <v>45663</v>
      </c>
      <c r="H97" s="18" t="inlineStr">
        <is>
          <t>CÔNG TY TNHH SƠN JOTUN VIỆT NAM</t>
        </is>
      </c>
      <c r="I97" s="18" t="inlineStr">
        <is>
          <t>SƠN JOTAMASTIC 70 GREY         18L</t>
        </is>
      </c>
      <c r="J97" s="18" t="inlineStr">
        <is>
          <t>Lít</t>
        </is>
      </c>
      <c r="K97" s="19" t="n">
        <v>90000</v>
      </c>
      <c r="L97" s="20" t="n"/>
      <c r="M97" s="20" t="n"/>
      <c r="N97" s="22" t="n">
        <v>54</v>
      </c>
      <c r="O97" s="22" t="n">
        <v>4860000</v>
      </c>
      <c r="P97" s="22" t="n">
        <v>54</v>
      </c>
      <c r="Q97" s="22" t="n">
        <v>4860000</v>
      </c>
      <c r="R97" s="42">
        <f>+L97+N97-P97</f>
        <v/>
      </c>
      <c r="S97" s="42">
        <f>+M97+O97-Q97</f>
        <v/>
      </c>
    </row>
    <row r="98" ht="15" customHeight="1">
      <c r="A98" s="16" t="n">
        <v>45663</v>
      </c>
      <c r="B98" s="17" t="inlineStr">
        <is>
          <t>MH2501-11</t>
        </is>
      </c>
      <c r="C98" s="16" t="n">
        <v>45663</v>
      </c>
      <c r="D98" s="17" t="inlineStr">
        <is>
          <t>00000167</t>
        </is>
      </c>
      <c r="E98" s="16" t="n">
        <v>45663</v>
      </c>
      <c r="F98" s="16" t="inlineStr">
        <is>
          <t>XK2501-10</t>
        </is>
      </c>
      <c r="G98" s="16" t="n">
        <v>45663</v>
      </c>
      <c r="H98" s="18" t="inlineStr">
        <is>
          <t>CÔNG TY TNHH SƠN JOTUN VIỆT NAM</t>
        </is>
      </c>
      <c r="I98" s="18" t="inlineStr">
        <is>
          <t>SƠN FUTURA CLASSIC RAL9010      18.22L</t>
        </is>
      </c>
      <c r="J98" s="18" t="inlineStr">
        <is>
          <t>Lít</t>
        </is>
      </c>
      <c r="K98" s="19" t="n">
        <v>160000</v>
      </c>
      <c r="L98" s="20" t="n"/>
      <c r="M98" s="20" t="n"/>
      <c r="N98" s="22" t="n">
        <v>54.66</v>
      </c>
      <c r="O98" s="22" t="n">
        <v>8745600</v>
      </c>
      <c r="P98" s="22" t="n">
        <v>54.66</v>
      </c>
      <c r="Q98" s="22" t="n">
        <v>8745600</v>
      </c>
      <c r="R98" s="42">
        <f>+L98+N98-P98</f>
        <v/>
      </c>
      <c r="S98" s="42">
        <f>+M98+O98-Q98</f>
        <v/>
      </c>
    </row>
    <row r="99" ht="30" customHeight="1">
      <c r="A99" s="16" t="n">
        <v>45663</v>
      </c>
      <c r="B99" s="17" t="inlineStr">
        <is>
          <t>MH2501-12</t>
        </is>
      </c>
      <c r="C99" s="16" t="n">
        <v>45663</v>
      </c>
      <c r="D99" s="17" t="inlineStr">
        <is>
          <t>00000018</t>
        </is>
      </c>
      <c r="E99" s="16" t="n">
        <v>45663</v>
      </c>
      <c r="F99" s="16" t="inlineStr">
        <is>
          <t>XK2501-11</t>
        </is>
      </c>
      <c r="G99" s="16" t="n">
        <v>45663</v>
      </c>
      <c r="H99" s="18" t="inlineStr">
        <is>
          <t>CÔNG TY TNHH DỊCH VỤ - THƯƠNG MẠI THÉP THIÊN LONG</t>
        </is>
      </c>
      <c r="I99" s="18" t="inlineStr">
        <is>
          <t>Thép tấm 5ly</t>
        </is>
      </c>
      <c r="J99" s="18" t="inlineStr">
        <is>
          <t>kg</t>
        </is>
      </c>
      <c r="K99" s="19" t="n">
        <v>13936.36</v>
      </c>
      <c r="L99" s="20" t="n"/>
      <c r="M99" s="20" t="n"/>
      <c r="N99" s="22" t="n">
        <v>8831.25</v>
      </c>
      <c r="O99" s="22" t="n">
        <v>123075479</v>
      </c>
      <c r="P99" s="22" t="n">
        <v>8831.25</v>
      </c>
      <c r="Q99" s="22" t="n">
        <v>123075479</v>
      </c>
      <c r="R99" s="42">
        <f>+L99+N99-P99</f>
        <v/>
      </c>
      <c r="S99" s="42">
        <f>+M99+O99-Q99</f>
        <v/>
      </c>
    </row>
    <row r="100" ht="30" customHeight="1">
      <c r="A100" s="16" t="n">
        <v>45663</v>
      </c>
      <c r="B100" s="17" t="inlineStr">
        <is>
          <t>MH2501-12</t>
        </is>
      </c>
      <c r="C100" s="16" t="n">
        <v>45663</v>
      </c>
      <c r="D100" s="17" t="inlineStr">
        <is>
          <t>00000018</t>
        </is>
      </c>
      <c r="E100" s="16" t="n">
        <v>45663</v>
      </c>
      <c r="F100" s="16" t="inlineStr">
        <is>
          <t>XK2501-11</t>
        </is>
      </c>
      <c r="G100" s="16" t="n">
        <v>45663</v>
      </c>
      <c r="H100" s="18" t="inlineStr">
        <is>
          <t>CÔNG TY TNHH DỊCH VỤ - THƯƠNG MẠI THÉP THIÊN LONG</t>
        </is>
      </c>
      <c r="I100" s="18" t="inlineStr">
        <is>
          <t>Thép tấm 6ly</t>
        </is>
      </c>
      <c r="J100" s="18" t="inlineStr">
        <is>
          <t>kg</t>
        </is>
      </c>
      <c r="K100" s="19" t="n">
        <v>13936.36</v>
      </c>
      <c r="L100" s="20" t="n"/>
      <c r="M100" s="20" t="n"/>
      <c r="N100" s="22" t="n">
        <v>423.9</v>
      </c>
      <c r="O100" s="22" t="n">
        <v>5907623</v>
      </c>
      <c r="P100" s="22" t="n">
        <v>423.9</v>
      </c>
      <c r="Q100" s="22" t="n">
        <v>5907623</v>
      </c>
      <c r="R100" s="42">
        <f>+L100+N100-P100</f>
        <v/>
      </c>
      <c r="S100" s="42">
        <f>+M100+O100-Q100</f>
        <v/>
      </c>
    </row>
    <row r="101" ht="30" customHeight="1">
      <c r="A101" s="16" t="n">
        <v>45663</v>
      </c>
      <c r="B101" s="17" t="inlineStr">
        <is>
          <t>MH2501-12</t>
        </is>
      </c>
      <c r="C101" s="16" t="n">
        <v>45663</v>
      </c>
      <c r="D101" s="17" t="inlineStr">
        <is>
          <t>00000018</t>
        </is>
      </c>
      <c r="E101" s="16" t="n">
        <v>45663</v>
      </c>
      <c r="F101" s="16" t="inlineStr">
        <is>
          <t>XK2501-11</t>
        </is>
      </c>
      <c r="G101" s="16" t="n">
        <v>45663</v>
      </c>
      <c r="H101" s="18" t="inlineStr">
        <is>
          <t>CÔNG TY TNHH DỊCH VỤ - THƯƠNG MẠI THÉP THIÊN LONG</t>
        </is>
      </c>
      <c r="I101" s="18" t="inlineStr">
        <is>
          <t>Thép tấm 8ly</t>
        </is>
      </c>
      <c r="J101" s="18" t="inlineStr">
        <is>
          <t>kg</t>
        </is>
      </c>
      <c r="K101" s="19" t="n">
        <v>13936.36</v>
      </c>
      <c r="L101" s="20" t="n"/>
      <c r="M101" s="20" t="n"/>
      <c r="N101" s="22" t="n">
        <v>5652</v>
      </c>
      <c r="O101" s="22" t="n">
        <v>78768307</v>
      </c>
      <c r="P101" s="22" t="n">
        <v>5652</v>
      </c>
      <c r="Q101" s="22" t="n">
        <v>78768307</v>
      </c>
      <c r="R101" s="42">
        <f>+L101+N101-P101</f>
        <v/>
      </c>
      <c r="S101" s="42">
        <f>+M101+O101-Q101</f>
        <v/>
      </c>
    </row>
    <row r="102" ht="30" customHeight="1">
      <c r="A102" s="16" t="n">
        <v>45663</v>
      </c>
      <c r="B102" s="17" t="inlineStr">
        <is>
          <t>MH2501-12</t>
        </is>
      </c>
      <c r="C102" s="16" t="n">
        <v>45663</v>
      </c>
      <c r="D102" s="17" t="inlineStr">
        <is>
          <t>00000018</t>
        </is>
      </c>
      <c r="E102" s="16" t="n">
        <v>45663</v>
      </c>
      <c r="F102" s="16" t="inlineStr">
        <is>
          <t>XK2501-11</t>
        </is>
      </c>
      <c r="G102" s="16" t="n">
        <v>45663</v>
      </c>
      <c r="H102" s="18" t="inlineStr">
        <is>
          <t>CÔNG TY TNHH DỊCH VỤ - THƯƠNG MẠI THÉP THIÊN LONG</t>
        </is>
      </c>
      <c r="I102" s="18" t="inlineStr">
        <is>
          <t>Thép tấm 10ly</t>
        </is>
      </c>
      <c r="J102" s="18" t="inlineStr">
        <is>
          <t>kg</t>
        </is>
      </c>
      <c r="K102" s="19" t="n">
        <v>13936.36</v>
      </c>
      <c r="L102" s="20" t="n"/>
      <c r="M102" s="20" t="n"/>
      <c r="N102" s="22" t="n">
        <v>11304</v>
      </c>
      <c r="O102" s="22" t="n">
        <v>157536613</v>
      </c>
      <c r="P102" s="22" t="n">
        <v>11304</v>
      </c>
      <c r="Q102" s="22" t="n">
        <v>157536613</v>
      </c>
      <c r="R102" s="42">
        <f>+L102+N102-P102</f>
        <v/>
      </c>
      <c r="S102" s="42">
        <f>+M102+O102-Q102</f>
        <v/>
      </c>
    </row>
    <row r="103" ht="30" customHeight="1">
      <c r="A103" s="16" t="n">
        <v>45663</v>
      </c>
      <c r="B103" s="17" t="inlineStr">
        <is>
          <t>MH2501-12</t>
        </is>
      </c>
      <c r="C103" s="16" t="n">
        <v>45663</v>
      </c>
      <c r="D103" s="17" t="inlineStr">
        <is>
          <t>00000018</t>
        </is>
      </c>
      <c r="E103" s="16" t="n">
        <v>45663</v>
      </c>
      <c r="F103" s="16" t="inlineStr">
        <is>
          <t>XK2501-11</t>
        </is>
      </c>
      <c r="G103" s="16" t="n">
        <v>45663</v>
      </c>
      <c r="H103" s="18" t="inlineStr">
        <is>
          <t>CÔNG TY TNHH DỊCH VỤ - THƯƠNG MẠI THÉP THIÊN LONG</t>
        </is>
      </c>
      <c r="I103" s="18" t="inlineStr">
        <is>
          <t>Thép tấm 16ly</t>
        </is>
      </c>
      <c r="J103" s="18" t="inlineStr">
        <is>
          <t>kg</t>
        </is>
      </c>
      <c r="K103" s="19" t="n">
        <v>15181.81</v>
      </c>
      <c r="L103" s="20" t="n"/>
      <c r="M103" s="20" t="n"/>
      <c r="N103" s="22" t="n">
        <v>3014.4</v>
      </c>
      <c r="O103" s="22" t="n">
        <v>45764048</v>
      </c>
      <c r="P103" s="22" t="n">
        <v>3014.4</v>
      </c>
      <c r="Q103" s="22" t="n">
        <v>45764048</v>
      </c>
      <c r="R103" s="42">
        <f>+L103+N103-P103</f>
        <v/>
      </c>
      <c r="S103" s="42">
        <f>+M103+O103-Q103</f>
        <v/>
      </c>
    </row>
    <row r="104" ht="30" customHeight="1">
      <c r="A104" s="16" t="n">
        <v>45663</v>
      </c>
      <c r="B104" s="17" t="inlineStr">
        <is>
          <t>MH2501-12</t>
        </is>
      </c>
      <c r="C104" s="16" t="n">
        <v>45663</v>
      </c>
      <c r="D104" s="17" t="inlineStr">
        <is>
          <t>00000018</t>
        </is>
      </c>
      <c r="E104" s="16" t="n">
        <v>45663</v>
      </c>
      <c r="F104" s="16" t="inlineStr">
        <is>
          <t>XK2501-11</t>
        </is>
      </c>
      <c r="G104" s="16" t="n">
        <v>45663</v>
      </c>
      <c r="H104" s="18" t="inlineStr">
        <is>
          <t>CÔNG TY TNHH DỊCH VỤ - THƯƠNG MẠI THÉP THIÊN LONG</t>
        </is>
      </c>
      <c r="I104" s="18" t="inlineStr">
        <is>
          <t>Thép góc V63</t>
        </is>
      </c>
      <c r="J104" s="18" t="inlineStr">
        <is>
          <t>kg</t>
        </is>
      </c>
      <c r="K104" s="19" t="n">
        <v>15363.63</v>
      </c>
      <c r="L104" s="20" t="n"/>
      <c r="M104" s="20" t="n"/>
      <c r="N104" s="22" t="n">
        <v>58</v>
      </c>
      <c r="O104" s="22" t="n">
        <v>891091</v>
      </c>
      <c r="P104" s="22" t="n">
        <v>58</v>
      </c>
      <c r="Q104" s="22" t="n">
        <v>891091</v>
      </c>
      <c r="R104" s="42">
        <f>+L104+N104-P104</f>
        <v/>
      </c>
      <c r="S104" s="42">
        <f>+M104+O104-Q104</f>
        <v/>
      </c>
    </row>
    <row r="105" ht="30" customHeight="1">
      <c r="A105" s="16" t="n">
        <v>45663</v>
      </c>
      <c r="B105" s="17" t="inlineStr">
        <is>
          <t>MH2501-12</t>
        </is>
      </c>
      <c r="C105" s="16" t="n">
        <v>45663</v>
      </c>
      <c r="D105" s="17" t="inlineStr">
        <is>
          <t>00000018</t>
        </is>
      </c>
      <c r="E105" s="16" t="n">
        <v>45663</v>
      </c>
      <c r="F105" s="16" t="inlineStr">
        <is>
          <t>XK2501-11</t>
        </is>
      </c>
      <c r="G105" s="16" t="n">
        <v>45663</v>
      </c>
      <c r="H105" s="18" t="inlineStr">
        <is>
          <t>CÔNG TY TNHH DỊCH VỤ - THƯƠNG MẠI THÉP THIÊN LONG</t>
        </is>
      </c>
      <c r="I105" s="18" t="inlineStr">
        <is>
          <t>Thép góc V75</t>
        </is>
      </c>
      <c r="J105" s="18" t="inlineStr">
        <is>
          <t>kg</t>
        </is>
      </c>
      <c r="K105" s="19" t="n">
        <v>15363.63</v>
      </c>
      <c r="L105" s="20" t="n"/>
      <c r="M105" s="20" t="n"/>
      <c r="N105" s="22" t="n">
        <v>41</v>
      </c>
      <c r="O105" s="22" t="n">
        <v>629909</v>
      </c>
      <c r="P105" s="22" t="n">
        <v>41</v>
      </c>
      <c r="Q105" s="22" t="n">
        <v>629909</v>
      </c>
      <c r="R105" s="42">
        <f>+L105+N105-P105</f>
        <v/>
      </c>
      <c r="S105" s="42">
        <f>+M105+O105-Q105</f>
        <v/>
      </c>
    </row>
    <row r="106" ht="30" customHeight="1">
      <c r="A106" s="16" t="n">
        <v>45663</v>
      </c>
      <c r="B106" s="17" t="inlineStr">
        <is>
          <t>MH2501-13</t>
        </is>
      </c>
      <c r="C106" s="16" t="n">
        <v>45663</v>
      </c>
      <c r="D106" s="17" t="inlineStr">
        <is>
          <t>00000019</t>
        </is>
      </c>
      <c r="E106" s="16" t="n">
        <v>45663</v>
      </c>
      <c r="F106" s="16" t="inlineStr">
        <is>
          <t>XK2501-12</t>
        </is>
      </c>
      <c r="G106" s="16" t="n">
        <v>45663</v>
      </c>
      <c r="H106" s="18" t="inlineStr">
        <is>
          <t>CÔNG TY TNHH DỊCH VỤ - THƯƠNG MẠI THÉP THIÊN LONG</t>
        </is>
      </c>
      <c r="I106" s="18" t="inlineStr">
        <is>
          <t>Thép tấm 5ly</t>
        </is>
      </c>
      <c r="J106" s="18" t="inlineStr">
        <is>
          <t>kg</t>
        </is>
      </c>
      <c r="K106" s="19" t="n">
        <v>13936.36</v>
      </c>
      <c r="L106" s="20" t="n"/>
      <c r="M106" s="20" t="n"/>
      <c r="N106" s="22" t="n">
        <v>6711.75</v>
      </c>
      <c r="O106" s="22" t="n">
        <v>93537364</v>
      </c>
      <c r="P106" s="22" t="n">
        <v>6711.75</v>
      </c>
      <c r="Q106" s="22" t="n">
        <v>93537364</v>
      </c>
      <c r="R106" s="42">
        <f>+L106+N106-P106</f>
        <v/>
      </c>
      <c r="S106" s="42">
        <f>+M106+O106-Q106</f>
        <v/>
      </c>
    </row>
    <row r="107" ht="30" customHeight="1">
      <c r="A107" s="16" t="n">
        <v>45663</v>
      </c>
      <c r="B107" s="17" t="inlineStr">
        <is>
          <t>MH2501-13</t>
        </is>
      </c>
      <c r="C107" s="16" t="n">
        <v>45663</v>
      </c>
      <c r="D107" s="17" t="inlineStr">
        <is>
          <t>00000019</t>
        </is>
      </c>
      <c r="E107" s="16" t="n">
        <v>45663</v>
      </c>
      <c r="F107" s="16" t="inlineStr">
        <is>
          <t>XK2501-12</t>
        </is>
      </c>
      <c r="G107" s="16" t="n">
        <v>45663</v>
      </c>
      <c r="H107" s="18" t="inlineStr">
        <is>
          <t>CÔNG TY TNHH DỊCH VỤ - THƯƠNG MẠI THÉP THIÊN LONG</t>
        </is>
      </c>
      <c r="I107" s="18" t="inlineStr">
        <is>
          <t>Thép tấm 6ly</t>
        </is>
      </c>
      <c r="J107" s="18" t="inlineStr">
        <is>
          <t>kg</t>
        </is>
      </c>
      <c r="K107" s="19" t="n">
        <v>13936.36</v>
      </c>
      <c r="L107" s="20" t="n"/>
      <c r="M107" s="20" t="n"/>
      <c r="N107" s="22" t="n">
        <v>5086.8</v>
      </c>
      <c r="O107" s="22" t="n">
        <v>70891476</v>
      </c>
      <c r="P107" s="22" t="n">
        <v>5086.8</v>
      </c>
      <c r="Q107" s="22" t="n">
        <v>70891476</v>
      </c>
      <c r="R107" s="42">
        <f>+L107+N107-P107</f>
        <v/>
      </c>
      <c r="S107" s="42">
        <f>+M107+O107-Q107</f>
        <v/>
      </c>
    </row>
    <row r="108" ht="30" customHeight="1">
      <c r="A108" s="16" t="n">
        <v>45663</v>
      </c>
      <c r="B108" s="17" t="inlineStr">
        <is>
          <t>MH2501-13</t>
        </is>
      </c>
      <c r="C108" s="16" t="n">
        <v>45663</v>
      </c>
      <c r="D108" s="17" t="inlineStr">
        <is>
          <t>00000019</t>
        </is>
      </c>
      <c r="E108" s="16" t="n">
        <v>45663</v>
      </c>
      <c r="F108" s="16" t="inlineStr">
        <is>
          <t>XK2501-12</t>
        </is>
      </c>
      <c r="G108" s="16" t="n">
        <v>45663</v>
      </c>
      <c r="H108" s="18" t="inlineStr">
        <is>
          <t>CÔNG TY TNHH DỊCH VỤ - THƯƠNG MẠI THÉP THIÊN LONG</t>
        </is>
      </c>
      <c r="I108" s="18" t="inlineStr">
        <is>
          <t>Thép tấm 8ly</t>
        </is>
      </c>
      <c r="J108" s="18" t="inlineStr">
        <is>
          <t>kg</t>
        </is>
      </c>
      <c r="K108" s="19" t="n">
        <v>13936.36</v>
      </c>
      <c r="L108" s="20" t="n"/>
      <c r="M108" s="20" t="n"/>
      <c r="N108" s="22" t="n">
        <v>2260.8</v>
      </c>
      <c r="O108" s="22" t="n">
        <v>31507323</v>
      </c>
      <c r="P108" s="22" t="n">
        <v>2260.8</v>
      </c>
      <c r="Q108" s="22" t="n">
        <v>31507323</v>
      </c>
      <c r="R108" s="42">
        <f>+L108+N108-P108</f>
        <v/>
      </c>
      <c r="S108" s="42">
        <f>+M108+O108-Q108</f>
        <v/>
      </c>
    </row>
    <row r="109" ht="30" customHeight="1">
      <c r="A109" s="16" t="n">
        <v>45663</v>
      </c>
      <c r="B109" s="17" t="inlineStr">
        <is>
          <t>MH2501-13</t>
        </is>
      </c>
      <c r="C109" s="16" t="n">
        <v>45663</v>
      </c>
      <c r="D109" s="17" t="inlineStr">
        <is>
          <t>00000019</t>
        </is>
      </c>
      <c r="E109" s="16" t="n">
        <v>45663</v>
      </c>
      <c r="F109" s="16" t="inlineStr">
        <is>
          <t>XK2501-12</t>
        </is>
      </c>
      <c r="G109" s="16" t="n">
        <v>45663</v>
      </c>
      <c r="H109" s="18" t="inlineStr">
        <is>
          <t>CÔNG TY TNHH DỊCH VỤ - THƯƠNG MẠI THÉP THIÊN LONG</t>
        </is>
      </c>
      <c r="I109" s="18" t="inlineStr">
        <is>
          <t>Thép tấm 10ly</t>
        </is>
      </c>
      <c r="J109" s="18" t="inlineStr">
        <is>
          <t>kg</t>
        </is>
      </c>
      <c r="K109" s="19" t="n">
        <v>13936.36</v>
      </c>
      <c r="L109" s="20" t="n"/>
      <c r="M109" s="20" t="n"/>
      <c r="N109" s="22" t="n">
        <v>4239</v>
      </c>
      <c r="O109" s="22" t="n">
        <v>59076230</v>
      </c>
      <c r="P109" s="22" t="n">
        <v>4239</v>
      </c>
      <c r="Q109" s="22" t="n">
        <v>59076230</v>
      </c>
      <c r="R109" s="42">
        <f>+L109+N109-P109</f>
        <v/>
      </c>
      <c r="S109" s="42">
        <f>+M109+O109-Q109</f>
        <v/>
      </c>
    </row>
    <row r="110" ht="30" customHeight="1">
      <c r="A110" s="16" t="n">
        <v>45663</v>
      </c>
      <c r="B110" s="17" t="inlineStr">
        <is>
          <t>MH2501-13</t>
        </is>
      </c>
      <c r="C110" s="16" t="n">
        <v>45663</v>
      </c>
      <c r="D110" s="17" t="inlineStr">
        <is>
          <t>00000019</t>
        </is>
      </c>
      <c r="E110" s="16" t="n">
        <v>45663</v>
      </c>
      <c r="F110" s="16" t="inlineStr">
        <is>
          <t>XK2501-12</t>
        </is>
      </c>
      <c r="G110" s="16" t="n">
        <v>45663</v>
      </c>
      <c r="H110" s="18" t="inlineStr">
        <is>
          <t>CÔNG TY TNHH DỊCH VỤ - THƯƠNG MẠI THÉP THIÊN LONG</t>
        </is>
      </c>
      <c r="I110" s="18" t="inlineStr">
        <is>
          <t>Thép tấm 12ly</t>
        </is>
      </c>
      <c r="J110" s="18" t="inlineStr">
        <is>
          <t>kg</t>
        </is>
      </c>
      <c r="K110" s="19" t="n">
        <v>15181.81</v>
      </c>
      <c r="L110" s="20" t="n"/>
      <c r="M110" s="20" t="n"/>
      <c r="N110" s="22" t="n">
        <v>1695.6</v>
      </c>
      <c r="O110" s="22" t="n">
        <v>25742277</v>
      </c>
      <c r="P110" s="22" t="n">
        <v>1695.6</v>
      </c>
      <c r="Q110" s="22" t="n">
        <v>25742277</v>
      </c>
      <c r="R110" s="42">
        <f>+L110+N110-P110</f>
        <v/>
      </c>
      <c r="S110" s="42">
        <f>+M110+O110-Q110</f>
        <v/>
      </c>
    </row>
    <row r="111" ht="30" customHeight="1">
      <c r="A111" s="16" t="n">
        <v>45663</v>
      </c>
      <c r="B111" s="17" t="inlineStr">
        <is>
          <t>MH2501-13</t>
        </is>
      </c>
      <c r="C111" s="16" t="n">
        <v>45663</v>
      </c>
      <c r="D111" s="17" t="inlineStr">
        <is>
          <t>00000019</t>
        </is>
      </c>
      <c r="E111" s="16" t="n">
        <v>45663</v>
      </c>
      <c r="F111" s="16" t="inlineStr">
        <is>
          <t>XK2501-12</t>
        </is>
      </c>
      <c r="G111" s="16" t="n">
        <v>45663</v>
      </c>
      <c r="H111" s="18" t="inlineStr">
        <is>
          <t>CÔNG TY TNHH DỊCH VỤ - THƯƠNG MẠI THÉP THIÊN LONG</t>
        </is>
      </c>
      <c r="I111" s="18" t="inlineStr">
        <is>
          <t>Thép tấm 14ly</t>
        </is>
      </c>
      <c r="J111" s="18" t="inlineStr">
        <is>
          <t>kg</t>
        </is>
      </c>
      <c r="K111" s="19" t="n">
        <v>15181.81</v>
      </c>
      <c r="L111" s="20" t="n"/>
      <c r="M111" s="20" t="n"/>
      <c r="N111" s="22" t="n">
        <v>2637.6</v>
      </c>
      <c r="O111" s="22" t="n">
        <v>40043542</v>
      </c>
      <c r="P111" s="22" t="n">
        <v>2637.6</v>
      </c>
      <c r="Q111" s="22" t="n">
        <v>40043542</v>
      </c>
      <c r="R111" s="42">
        <f>+L111+N111-P111</f>
        <v/>
      </c>
      <c r="S111" s="42">
        <f>+M111+O111-Q111</f>
        <v/>
      </c>
    </row>
    <row r="112" ht="30" customHeight="1">
      <c r="A112" s="16" t="n">
        <v>45663</v>
      </c>
      <c r="B112" s="17" t="inlineStr">
        <is>
          <t>MH2501-13</t>
        </is>
      </c>
      <c r="C112" s="16" t="n">
        <v>45663</v>
      </c>
      <c r="D112" s="17" t="inlineStr">
        <is>
          <t>00000019</t>
        </is>
      </c>
      <c r="E112" s="16" t="n">
        <v>45663</v>
      </c>
      <c r="F112" s="16" t="inlineStr">
        <is>
          <t>XK2501-12</t>
        </is>
      </c>
      <c r="G112" s="16" t="n">
        <v>45663</v>
      </c>
      <c r="H112" s="18" t="inlineStr">
        <is>
          <t>CÔNG TY TNHH DỊCH VỤ - THƯƠNG MẠI THÉP THIÊN LONG</t>
        </is>
      </c>
      <c r="I112" s="18" t="inlineStr">
        <is>
          <t>Thép vuông 100</t>
        </is>
      </c>
      <c r="J112" s="18" t="inlineStr">
        <is>
          <t>kg</t>
        </is>
      </c>
      <c r="K112" s="19" t="n">
        <v>16000</v>
      </c>
      <c r="L112" s="20" t="n"/>
      <c r="M112" s="20" t="n"/>
      <c r="N112" s="22" t="n">
        <v>596.96</v>
      </c>
      <c r="O112" s="22" t="n">
        <v>9551360</v>
      </c>
      <c r="P112" s="22" t="n">
        <v>596.96</v>
      </c>
      <c r="Q112" s="22" t="n">
        <v>9551360</v>
      </c>
      <c r="R112" s="42">
        <f>+L112+N112-P112</f>
        <v/>
      </c>
      <c r="S112" s="42">
        <f>+M112+O112-Q112</f>
        <v/>
      </c>
    </row>
    <row r="113" ht="30" customHeight="1">
      <c r="A113" s="16" t="n">
        <v>45663</v>
      </c>
      <c r="B113" s="17" t="inlineStr">
        <is>
          <t>MH2501-14</t>
        </is>
      </c>
      <c r="C113" s="16" t="n">
        <v>45663</v>
      </c>
      <c r="D113" s="17" t="inlineStr">
        <is>
          <t>00000020</t>
        </is>
      </c>
      <c r="E113" s="16" t="n">
        <v>45663</v>
      </c>
      <c r="F113" s="16" t="inlineStr">
        <is>
          <t>XK2501-13</t>
        </is>
      </c>
      <c r="G113" s="16" t="n">
        <v>45663</v>
      </c>
      <c r="H113" s="18" t="inlineStr">
        <is>
          <t>CÔNG TY TNHH DỊCH VỤ - THƯƠNG MẠI THÉP THIÊN LONG</t>
        </is>
      </c>
      <c r="I113" s="18" t="inlineStr">
        <is>
          <t>Thép tấm 5ly</t>
        </is>
      </c>
      <c r="J113" s="18" t="inlineStr">
        <is>
          <t>kg</t>
        </is>
      </c>
      <c r="K113" s="19" t="n">
        <v>13936.36</v>
      </c>
      <c r="L113" s="20" t="n"/>
      <c r="M113" s="20" t="n"/>
      <c r="N113" s="22" t="n">
        <v>6711.75</v>
      </c>
      <c r="O113" s="22" t="n">
        <v>93537364</v>
      </c>
      <c r="P113" s="22" t="n">
        <v>6711.75</v>
      </c>
      <c r="Q113" s="22" t="n">
        <v>93537364</v>
      </c>
      <c r="R113" s="42">
        <f>+L113+N113-P113</f>
        <v/>
      </c>
      <c r="S113" s="42">
        <f>+M113+O113-Q113</f>
        <v/>
      </c>
    </row>
    <row r="114" ht="30" customHeight="1">
      <c r="A114" s="16" t="n">
        <v>45663</v>
      </c>
      <c r="B114" s="17" t="inlineStr">
        <is>
          <t>MH2501-14</t>
        </is>
      </c>
      <c r="C114" s="16" t="n">
        <v>45663</v>
      </c>
      <c r="D114" s="17" t="inlineStr">
        <is>
          <t>00000020</t>
        </is>
      </c>
      <c r="E114" s="16" t="n">
        <v>45663</v>
      </c>
      <c r="F114" s="16" t="inlineStr">
        <is>
          <t>XK2501-13</t>
        </is>
      </c>
      <c r="G114" s="16" t="n">
        <v>45663</v>
      </c>
      <c r="H114" s="18" t="inlineStr">
        <is>
          <t>CÔNG TY TNHH DỊCH VỤ - THƯƠNG MẠI THÉP THIÊN LONG</t>
        </is>
      </c>
      <c r="I114" s="18" t="inlineStr">
        <is>
          <t>Thép tấm 6ly</t>
        </is>
      </c>
      <c r="J114" s="18" t="inlineStr">
        <is>
          <t>kg</t>
        </is>
      </c>
      <c r="K114" s="19" t="n">
        <v>13936.36</v>
      </c>
      <c r="L114" s="20" t="n"/>
      <c r="M114" s="20" t="n"/>
      <c r="N114" s="22" t="n">
        <v>2967.3</v>
      </c>
      <c r="O114" s="22" t="n">
        <v>41353361</v>
      </c>
      <c r="P114" s="22" t="n">
        <v>2967.3</v>
      </c>
      <c r="Q114" s="22" t="n">
        <v>41353361</v>
      </c>
      <c r="R114" s="42">
        <f>+L114+N114-P114</f>
        <v/>
      </c>
      <c r="S114" s="42">
        <f>+M114+O114-Q114</f>
        <v/>
      </c>
    </row>
    <row r="115" ht="30" customHeight="1">
      <c r="A115" s="16" t="n">
        <v>45663</v>
      </c>
      <c r="B115" s="17" t="inlineStr">
        <is>
          <t>MH2501-14</t>
        </is>
      </c>
      <c r="C115" s="16" t="n">
        <v>45663</v>
      </c>
      <c r="D115" s="17" t="inlineStr">
        <is>
          <t>00000020</t>
        </is>
      </c>
      <c r="E115" s="16" t="n">
        <v>45663</v>
      </c>
      <c r="F115" s="16" t="inlineStr">
        <is>
          <t>XK2501-13</t>
        </is>
      </c>
      <c r="G115" s="16" t="n">
        <v>45663</v>
      </c>
      <c r="H115" s="18" t="inlineStr">
        <is>
          <t>CÔNG TY TNHH DỊCH VỤ - THƯƠNG MẠI THÉP THIÊN LONG</t>
        </is>
      </c>
      <c r="I115" s="18" t="inlineStr">
        <is>
          <t>Thép tấm 8ly</t>
        </is>
      </c>
      <c r="J115" s="18" t="inlineStr">
        <is>
          <t>kg</t>
        </is>
      </c>
      <c r="K115" s="19" t="n">
        <v>13936.36</v>
      </c>
      <c r="L115" s="20" t="n"/>
      <c r="M115" s="20" t="n"/>
      <c r="N115" s="22" t="n">
        <v>5652</v>
      </c>
      <c r="O115" s="22" t="n">
        <v>78768307</v>
      </c>
      <c r="P115" s="22" t="n">
        <v>5652</v>
      </c>
      <c r="Q115" s="22" t="n">
        <v>78768307</v>
      </c>
      <c r="R115" s="42">
        <f>+L115+N115-P115</f>
        <v/>
      </c>
      <c r="S115" s="42">
        <f>+M115+O115-Q115</f>
        <v/>
      </c>
    </row>
    <row r="116" ht="30" customHeight="1">
      <c r="A116" s="16" t="n">
        <v>45663</v>
      </c>
      <c r="B116" s="17" t="inlineStr">
        <is>
          <t>MH2501-14</t>
        </is>
      </c>
      <c r="C116" s="16" t="n">
        <v>45663</v>
      </c>
      <c r="D116" s="17" t="inlineStr">
        <is>
          <t>00000020</t>
        </is>
      </c>
      <c r="E116" s="16" t="n">
        <v>45663</v>
      </c>
      <c r="F116" s="16" t="inlineStr">
        <is>
          <t>XK2501-13</t>
        </is>
      </c>
      <c r="G116" s="16" t="n">
        <v>45663</v>
      </c>
      <c r="H116" s="18" t="inlineStr">
        <is>
          <t>CÔNG TY TNHH DỊCH VỤ - THƯƠNG MẠI THÉP THIÊN LONG</t>
        </is>
      </c>
      <c r="I116" s="18" t="inlineStr">
        <is>
          <t>Thép tấm 10ly</t>
        </is>
      </c>
      <c r="J116" s="18" t="inlineStr">
        <is>
          <t>kg</t>
        </is>
      </c>
      <c r="K116" s="19" t="n">
        <v>13936.36</v>
      </c>
      <c r="L116" s="20" t="n"/>
      <c r="M116" s="20" t="n"/>
      <c r="N116" s="22" t="n">
        <v>4239</v>
      </c>
      <c r="O116" s="22" t="n">
        <v>59076230</v>
      </c>
      <c r="P116" s="22" t="n">
        <v>4239</v>
      </c>
      <c r="Q116" s="22" t="n">
        <v>59076230</v>
      </c>
      <c r="R116" s="42">
        <f>+L116+N116-P116</f>
        <v/>
      </c>
      <c r="S116" s="42">
        <f>+M116+O116-Q116</f>
        <v/>
      </c>
    </row>
    <row r="117" ht="30" customHeight="1">
      <c r="A117" s="16" t="n">
        <v>45663</v>
      </c>
      <c r="B117" s="17" t="inlineStr">
        <is>
          <t>MH2501-14</t>
        </is>
      </c>
      <c r="C117" s="16" t="n">
        <v>45663</v>
      </c>
      <c r="D117" s="17" t="inlineStr">
        <is>
          <t>00000020</t>
        </is>
      </c>
      <c r="E117" s="16" t="n">
        <v>45663</v>
      </c>
      <c r="F117" s="16" t="inlineStr">
        <is>
          <t>XK2501-13</t>
        </is>
      </c>
      <c r="G117" s="16" t="n">
        <v>45663</v>
      </c>
      <c r="H117" s="18" t="inlineStr">
        <is>
          <t>CÔNG TY TNHH DỊCH VỤ - THƯƠNG MẠI THÉP THIÊN LONG</t>
        </is>
      </c>
      <c r="I117" s="18" t="inlineStr">
        <is>
          <t>Thép tấm 12ly</t>
        </is>
      </c>
      <c r="J117" s="18" t="inlineStr">
        <is>
          <t>kg</t>
        </is>
      </c>
      <c r="K117" s="19" t="n">
        <v>13936.36</v>
      </c>
      <c r="L117" s="20" t="n"/>
      <c r="M117" s="20" t="n"/>
      <c r="N117" s="22" t="n">
        <v>1695.6</v>
      </c>
      <c r="O117" s="22" t="n">
        <v>23630492</v>
      </c>
      <c r="P117" s="22" t="n">
        <v>1695.6</v>
      </c>
      <c r="Q117" s="22" t="n">
        <v>23630492</v>
      </c>
      <c r="R117" s="42">
        <f>+L117+N117-P117</f>
        <v/>
      </c>
      <c r="S117" s="42">
        <f>+M117+O117-Q117</f>
        <v/>
      </c>
    </row>
    <row r="118" ht="30" customHeight="1">
      <c r="A118" s="16" t="n">
        <v>45663</v>
      </c>
      <c r="B118" s="17" t="inlineStr">
        <is>
          <t>MH2501-15</t>
        </is>
      </c>
      <c r="C118" s="16" t="n">
        <v>45663</v>
      </c>
      <c r="D118" s="17" t="inlineStr">
        <is>
          <t>00000021</t>
        </is>
      </c>
      <c r="E118" s="16" t="n">
        <v>45663</v>
      </c>
      <c r="F118" s="16" t="inlineStr">
        <is>
          <t>XK2501-14</t>
        </is>
      </c>
      <c r="G118" s="16" t="n">
        <v>45663</v>
      </c>
      <c r="H118" s="18" t="inlineStr">
        <is>
          <t>CÔNG TY TNHH DỊCH VỤ - THƯƠNG MẠI THÉP THIÊN LONG</t>
        </is>
      </c>
      <c r="I118" s="18" t="inlineStr">
        <is>
          <t>Thép tấm 4ly</t>
        </is>
      </c>
      <c r="J118" s="18" t="inlineStr">
        <is>
          <t>kg</t>
        </is>
      </c>
      <c r="K118" s="19" t="n">
        <v>13936.36</v>
      </c>
      <c r="L118" s="20" t="n"/>
      <c r="M118" s="20" t="n"/>
      <c r="N118" s="22" t="n">
        <v>565.2</v>
      </c>
      <c r="O118" s="22" t="n">
        <v>7876831</v>
      </c>
      <c r="P118" s="22" t="n">
        <v>565.2</v>
      </c>
      <c r="Q118" s="22" t="n">
        <v>7876831</v>
      </c>
      <c r="R118" s="42">
        <f>+L118+N118-P118</f>
        <v/>
      </c>
      <c r="S118" s="42">
        <f>+M118+O118-Q118</f>
        <v/>
      </c>
    </row>
    <row r="119" ht="30" customHeight="1">
      <c r="A119" s="16" t="n">
        <v>45663</v>
      </c>
      <c r="B119" s="17" t="inlineStr">
        <is>
          <t>MH2501-15</t>
        </is>
      </c>
      <c r="C119" s="16" t="n">
        <v>45663</v>
      </c>
      <c r="D119" s="17" t="inlineStr">
        <is>
          <t>00000021</t>
        </is>
      </c>
      <c r="E119" s="16" t="n">
        <v>45663</v>
      </c>
      <c r="F119" s="16" t="inlineStr">
        <is>
          <t>XK2501-14</t>
        </is>
      </c>
      <c r="G119" s="16" t="n">
        <v>45663</v>
      </c>
      <c r="H119" s="18" t="inlineStr">
        <is>
          <t>CÔNG TY TNHH DỊCH VỤ - THƯƠNG MẠI THÉP THIÊN LONG</t>
        </is>
      </c>
      <c r="I119" s="18" t="inlineStr">
        <is>
          <t>Thép tấm 5ly</t>
        </is>
      </c>
      <c r="J119" s="18" t="inlineStr">
        <is>
          <t>kg</t>
        </is>
      </c>
      <c r="K119" s="19" t="n">
        <v>13936.36</v>
      </c>
      <c r="L119" s="20" t="n"/>
      <c r="M119" s="20" t="n"/>
      <c r="N119" s="22" t="n">
        <v>17662.5</v>
      </c>
      <c r="O119" s="22" t="n">
        <v>246150958</v>
      </c>
      <c r="P119" s="22" t="n">
        <v>17662.5</v>
      </c>
      <c r="Q119" s="22" t="n">
        <v>246150958</v>
      </c>
      <c r="R119" s="42">
        <f>+L119+N119-P119</f>
        <v/>
      </c>
      <c r="S119" s="42">
        <f>+M119+O119-Q119</f>
        <v/>
      </c>
    </row>
    <row r="120" ht="30" customHeight="1">
      <c r="A120" s="16" t="n">
        <v>45663</v>
      </c>
      <c r="B120" s="17" t="inlineStr">
        <is>
          <t>MH2501-15</t>
        </is>
      </c>
      <c r="C120" s="16" t="n">
        <v>45663</v>
      </c>
      <c r="D120" s="17" t="inlineStr">
        <is>
          <t>00000021</t>
        </is>
      </c>
      <c r="E120" s="16" t="n">
        <v>45663</v>
      </c>
      <c r="F120" s="16" t="inlineStr">
        <is>
          <t>XK2501-14</t>
        </is>
      </c>
      <c r="G120" s="16" t="n">
        <v>45663</v>
      </c>
      <c r="H120" s="18" t="inlineStr">
        <is>
          <t>CÔNG TY TNHH DỊCH VỤ - THƯƠNG MẠI THÉP THIÊN LONG</t>
        </is>
      </c>
      <c r="I120" s="18" t="inlineStr">
        <is>
          <t>Thép tấm 6ly</t>
        </is>
      </c>
      <c r="J120" s="18" t="inlineStr">
        <is>
          <t>kg</t>
        </is>
      </c>
      <c r="K120" s="19" t="n">
        <v>13936.36</v>
      </c>
      <c r="L120" s="20" t="n"/>
      <c r="M120" s="20" t="n"/>
      <c r="N120" s="22" t="n">
        <v>19923.3</v>
      </c>
      <c r="O120" s="22" t="n">
        <v>277658281</v>
      </c>
      <c r="P120" s="22" t="n">
        <v>19923.3</v>
      </c>
      <c r="Q120" s="22" t="n">
        <v>277658281</v>
      </c>
      <c r="R120" s="42">
        <f>+L120+N120-P120</f>
        <v/>
      </c>
      <c r="S120" s="42">
        <f>+M120+O120-Q120</f>
        <v/>
      </c>
    </row>
    <row r="121" ht="30" customHeight="1">
      <c r="A121" s="16" t="n">
        <v>45663</v>
      </c>
      <c r="B121" s="17" t="inlineStr">
        <is>
          <t>MH2501-15</t>
        </is>
      </c>
      <c r="C121" s="16" t="n">
        <v>45663</v>
      </c>
      <c r="D121" s="17" t="inlineStr">
        <is>
          <t>00000021</t>
        </is>
      </c>
      <c r="E121" s="16" t="n">
        <v>45663</v>
      </c>
      <c r="F121" s="16" t="inlineStr">
        <is>
          <t>XK2501-14</t>
        </is>
      </c>
      <c r="G121" s="16" t="n">
        <v>45663</v>
      </c>
      <c r="H121" s="18" t="inlineStr">
        <is>
          <t>CÔNG TY TNHH DỊCH VỤ - THƯƠNG MẠI THÉP THIÊN LONG</t>
        </is>
      </c>
      <c r="I121" s="18" t="inlineStr">
        <is>
          <t>Thép tấm 12ly</t>
        </is>
      </c>
      <c r="J121" s="18" t="inlineStr">
        <is>
          <t>kg</t>
        </is>
      </c>
      <c r="K121" s="19" t="n">
        <v>13936.36</v>
      </c>
      <c r="L121" s="20" t="n"/>
      <c r="M121" s="20" t="n"/>
      <c r="N121" s="22" t="n">
        <v>13564.8</v>
      </c>
      <c r="O121" s="22" t="n">
        <v>189043936</v>
      </c>
      <c r="P121" s="22" t="n">
        <v>13564.8</v>
      </c>
      <c r="Q121" s="22" t="n">
        <v>189043936</v>
      </c>
      <c r="R121" s="42">
        <f>+L121+N121-P121</f>
        <v/>
      </c>
      <c r="S121" s="42">
        <f>+M121+O121-Q121</f>
        <v/>
      </c>
    </row>
    <row r="122" ht="30" customHeight="1">
      <c r="A122" s="16" t="n">
        <v>45663</v>
      </c>
      <c r="B122" s="17" t="inlineStr">
        <is>
          <t>MH2501-15</t>
        </is>
      </c>
      <c r="C122" s="16" t="n">
        <v>45663</v>
      </c>
      <c r="D122" s="17" t="inlineStr">
        <is>
          <t>00000021</t>
        </is>
      </c>
      <c r="E122" s="16" t="n">
        <v>45663</v>
      </c>
      <c r="F122" s="16" t="inlineStr">
        <is>
          <t>XK2501-14</t>
        </is>
      </c>
      <c r="G122" s="16" t="n">
        <v>45663</v>
      </c>
      <c r="H122" s="18" t="inlineStr">
        <is>
          <t>CÔNG TY TNHH DỊCH VỤ - THƯƠNG MẠI THÉP THIÊN LONG</t>
        </is>
      </c>
      <c r="I122" s="18" t="inlineStr">
        <is>
          <t>Thép tấm 14ly</t>
        </is>
      </c>
      <c r="J122" s="18" t="inlineStr">
        <is>
          <t>kg</t>
        </is>
      </c>
      <c r="K122" s="19" t="n">
        <v>15181.81</v>
      </c>
      <c r="L122" s="20" t="n"/>
      <c r="M122" s="20" t="n"/>
      <c r="N122" s="22" t="n">
        <v>5275.2</v>
      </c>
      <c r="O122" s="22" t="n">
        <v>80087084</v>
      </c>
      <c r="P122" s="22" t="n">
        <v>5275.2</v>
      </c>
      <c r="Q122" s="22" t="n">
        <v>80087084</v>
      </c>
      <c r="R122" s="42">
        <f>+L122+N122-P122</f>
        <v/>
      </c>
      <c r="S122" s="42">
        <f>+M122+O122-Q122</f>
        <v/>
      </c>
    </row>
    <row r="123" ht="30" customHeight="1">
      <c r="A123" s="16" t="n">
        <v>45663</v>
      </c>
      <c r="B123" s="17" t="inlineStr">
        <is>
          <t>MH2501-15</t>
        </is>
      </c>
      <c r="C123" s="16" t="n">
        <v>45663</v>
      </c>
      <c r="D123" s="17" t="inlineStr">
        <is>
          <t>00000021</t>
        </is>
      </c>
      <c r="E123" s="16" t="n">
        <v>45663</v>
      </c>
      <c r="F123" s="16" t="inlineStr">
        <is>
          <t>XK2501-14</t>
        </is>
      </c>
      <c r="G123" s="16" t="n">
        <v>45663</v>
      </c>
      <c r="H123" s="18" t="inlineStr">
        <is>
          <t>CÔNG TY TNHH DỊCH VỤ - THƯƠNG MẠI THÉP THIÊN LONG</t>
        </is>
      </c>
      <c r="I123" s="18" t="inlineStr">
        <is>
          <t>Thép tấm 16ly</t>
        </is>
      </c>
      <c r="J123" s="18" t="inlineStr">
        <is>
          <t>kg</t>
        </is>
      </c>
      <c r="K123" s="19" t="n">
        <v>15181.81</v>
      </c>
      <c r="L123" s="20" t="n"/>
      <c r="M123" s="20" t="n"/>
      <c r="N123" s="22" t="n">
        <v>6028.8</v>
      </c>
      <c r="O123" s="22" t="n">
        <v>91528096</v>
      </c>
      <c r="P123" s="22" t="n">
        <v>6028.8</v>
      </c>
      <c r="Q123" s="22" t="n">
        <v>91528096</v>
      </c>
      <c r="R123" s="42">
        <f>+L123+N123-P123</f>
        <v/>
      </c>
      <c r="S123" s="42">
        <f>+M123+O123-Q123</f>
        <v/>
      </c>
    </row>
    <row r="124" ht="30" customHeight="1">
      <c r="A124" s="16" t="n">
        <v>45663</v>
      </c>
      <c r="B124" s="17" t="inlineStr">
        <is>
          <t>MH2501-16</t>
        </is>
      </c>
      <c r="C124" s="16" t="n">
        <v>45663</v>
      </c>
      <c r="D124" s="17" t="inlineStr">
        <is>
          <t>00000022</t>
        </is>
      </c>
      <c r="E124" s="16" t="n">
        <v>45663</v>
      </c>
      <c r="F124" s="16" t="inlineStr">
        <is>
          <t>XK2501-15</t>
        </is>
      </c>
      <c r="G124" s="16" t="n">
        <v>45663</v>
      </c>
      <c r="H124" s="18" t="inlineStr">
        <is>
          <t>CÔNG TY TNHH DỊCH VỤ - THƯƠNG MẠI THÉP THIÊN LONG</t>
        </is>
      </c>
      <c r="I124" s="18" t="inlineStr">
        <is>
          <t>Thép tấm 4ly</t>
        </is>
      </c>
      <c r="J124" s="18" t="inlineStr">
        <is>
          <t>kg</t>
        </is>
      </c>
      <c r="K124" s="19" t="n">
        <v>13936.36</v>
      </c>
      <c r="L124" s="20" t="n"/>
      <c r="M124" s="20" t="n"/>
      <c r="N124" s="22" t="n">
        <v>282.6</v>
      </c>
      <c r="O124" s="22" t="n">
        <v>3938415</v>
      </c>
      <c r="P124" s="22" t="n">
        <v>282.6</v>
      </c>
      <c r="Q124" s="22" t="n">
        <v>3938415</v>
      </c>
      <c r="R124" s="42">
        <f>+L124+N124-P124</f>
        <v/>
      </c>
      <c r="S124" s="42">
        <f>+M124+O124-Q124</f>
        <v/>
      </c>
    </row>
    <row r="125" ht="30" customHeight="1">
      <c r="A125" s="16" t="n">
        <v>45663</v>
      </c>
      <c r="B125" s="17" t="inlineStr">
        <is>
          <t>MH2501-16</t>
        </is>
      </c>
      <c r="C125" s="16" t="n">
        <v>45663</v>
      </c>
      <c r="D125" s="17" t="inlineStr">
        <is>
          <t>00000022</t>
        </is>
      </c>
      <c r="E125" s="16" t="n">
        <v>45663</v>
      </c>
      <c r="F125" s="16" t="inlineStr">
        <is>
          <t>XK2501-15</t>
        </is>
      </c>
      <c r="G125" s="16" t="n">
        <v>45663</v>
      </c>
      <c r="H125" s="18" t="inlineStr">
        <is>
          <t>CÔNG TY TNHH DỊCH VỤ - THƯƠNG MẠI THÉP THIÊN LONG</t>
        </is>
      </c>
      <c r="I125" s="18" t="inlineStr">
        <is>
          <t>Thép tấm 5ly</t>
        </is>
      </c>
      <c r="J125" s="18" t="inlineStr">
        <is>
          <t>kg</t>
        </is>
      </c>
      <c r="K125" s="19" t="n">
        <v>13936.36</v>
      </c>
      <c r="L125" s="20" t="n"/>
      <c r="M125" s="20" t="n"/>
      <c r="N125" s="22" t="n">
        <v>22608</v>
      </c>
      <c r="O125" s="22" t="n">
        <v>315073227</v>
      </c>
      <c r="P125" s="22" t="n">
        <v>22608</v>
      </c>
      <c r="Q125" s="22" t="n">
        <v>315073227</v>
      </c>
      <c r="R125" s="42">
        <f>+L125+N125-P125</f>
        <v/>
      </c>
      <c r="S125" s="42">
        <f>+M125+O125-Q125</f>
        <v/>
      </c>
    </row>
    <row r="126" ht="30" customHeight="1">
      <c r="A126" s="16" t="n">
        <v>45663</v>
      </c>
      <c r="B126" s="17" t="inlineStr">
        <is>
          <t>MH2501-16</t>
        </is>
      </c>
      <c r="C126" s="16" t="n">
        <v>45663</v>
      </c>
      <c r="D126" s="17" t="inlineStr">
        <is>
          <t>00000022</t>
        </is>
      </c>
      <c r="E126" s="16" t="n">
        <v>45663</v>
      </c>
      <c r="F126" s="16" t="inlineStr">
        <is>
          <t>XK2501-15</t>
        </is>
      </c>
      <c r="G126" s="16" t="n">
        <v>45663</v>
      </c>
      <c r="H126" s="18" t="inlineStr">
        <is>
          <t>CÔNG TY TNHH DỊCH VỤ - THƯƠNG MẠI THÉP THIÊN LONG</t>
        </is>
      </c>
      <c r="I126" s="18" t="inlineStr">
        <is>
          <t>Thép tấm 8ly</t>
        </is>
      </c>
      <c r="J126" s="18" t="inlineStr">
        <is>
          <t>kg</t>
        </is>
      </c>
      <c r="K126" s="19" t="n">
        <v>13936.36</v>
      </c>
      <c r="L126" s="20" t="n"/>
      <c r="M126" s="20" t="n"/>
      <c r="N126" s="22" t="n">
        <v>47476.8</v>
      </c>
      <c r="O126" s="22" t="n">
        <v>661653776</v>
      </c>
      <c r="P126" s="22" t="n">
        <v>47476.8</v>
      </c>
      <c r="Q126" s="22" t="n">
        <v>661653776</v>
      </c>
      <c r="R126" s="42">
        <f>+L126+N126-P126</f>
        <v/>
      </c>
      <c r="S126" s="42">
        <f>+M126+O126-Q126</f>
        <v/>
      </c>
    </row>
    <row r="127" ht="30" customHeight="1">
      <c r="A127" s="16" t="n">
        <v>45663</v>
      </c>
      <c r="B127" s="17" t="inlineStr">
        <is>
          <t>MH2501-16</t>
        </is>
      </c>
      <c r="C127" s="16" t="n">
        <v>45663</v>
      </c>
      <c r="D127" s="17" t="inlineStr">
        <is>
          <t>00000022</t>
        </is>
      </c>
      <c r="E127" s="16" t="n">
        <v>45663</v>
      </c>
      <c r="F127" s="16" t="inlineStr">
        <is>
          <t>XK2501-15</t>
        </is>
      </c>
      <c r="G127" s="16" t="n">
        <v>45663</v>
      </c>
      <c r="H127" s="18" t="inlineStr">
        <is>
          <t>CÔNG TY TNHH DỊCH VỤ - THƯƠNG MẠI THÉP THIÊN LONG</t>
        </is>
      </c>
      <c r="I127" s="18" t="inlineStr">
        <is>
          <t>Thép tấm 10ly</t>
        </is>
      </c>
      <c r="J127" s="18" t="inlineStr">
        <is>
          <t>kg</t>
        </is>
      </c>
      <c r="K127" s="19" t="n">
        <v>13936.36</v>
      </c>
      <c r="L127" s="20" t="n"/>
      <c r="M127" s="20" t="n"/>
      <c r="N127" s="22" t="n">
        <v>26847</v>
      </c>
      <c r="O127" s="22" t="n">
        <v>374149457</v>
      </c>
      <c r="P127" s="22" t="n">
        <v>26847</v>
      </c>
      <c r="Q127" s="22" t="n">
        <v>374149457</v>
      </c>
      <c r="R127" s="42">
        <f>+L127+N127-P127</f>
        <v/>
      </c>
      <c r="S127" s="42">
        <f>+M127+O127-Q127</f>
        <v/>
      </c>
    </row>
    <row r="128" ht="30" customHeight="1">
      <c r="A128" s="16" t="n">
        <v>45663</v>
      </c>
      <c r="B128" s="17" t="inlineStr">
        <is>
          <t>MH2501-16</t>
        </is>
      </c>
      <c r="C128" s="16" t="n">
        <v>45663</v>
      </c>
      <c r="D128" s="17" t="inlineStr">
        <is>
          <t>00000022</t>
        </is>
      </c>
      <c r="E128" s="16" t="n">
        <v>45663</v>
      </c>
      <c r="F128" s="16" t="inlineStr">
        <is>
          <t>XK2501-15</t>
        </is>
      </c>
      <c r="G128" s="16" t="n">
        <v>45663</v>
      </c>
      <c r="H128" s="18" t="inlineStr">
        <is>
          <t>CÔNG TY TNHH DỊCH VỤ - THƯƠNG MẠI THÉP THIÊN LONG</t>
        </is>
      </c>
      <c r="I128" s="18" t="inlineStr">
        <is>
          <t>Thép tấm 12ly</t>
        </is>
      </c>
      <c r="J128" s="18" t="inlineStr">
        <is>
          <t>kg</t>
        </is>
      </c>
      <c r="K128" s="19" t="n">
        <v>13936.36</v>
      </c>
      <c r="L128" s="20" t="n"/>
      <c r="M128" s="20" t="n"/>
      <c r="N128" s="22" t="n">
        <v>22042.8</v>
      </c>
      <c r="O128" s="22" t="n">
        <v>307196396</v>
      </c>
      <c r="P128" s="22" t="n">
        <v>22042.8</v>
      </c>
      <c r="Q128" s="22" t="n">
        <v>307196396</v>
      </c>
      <c r="R128" s="42">
        <f>+L128+N128-P128</f>
        <v/>
      </c>
      <c r="S128" s="42">
        <f>+M128+O128-Q128</f>
        <v/>
      </c>
    </row>
    <row r="129" ht="30" customHeight="1">
      <c r="A129" s="16" t="n">
        <v>45663</v>
      </c>
      <c r="B129" s="17" t="inlineStr">
        <is>
          <t>MH2501-16</t>
        </is>
      </c>
      <c r="C129" s="16" t="n">
        <v>45663</v>
      </c>
      <c r="D129" s="17" t="inlineStr">
        <is>
          <t>00000022</t>
        </is>
      </c>
      <c r="E129" s="16" t="n">
        <v>45663</v>
      </c>
      <c r="F129" s="16" t="inlineStr">
        <is>
          <t>XK2501-15</t>
        </is>
      </c>
      <c r="G129" s="16" t="n">
        <v>45663</v>
      </c>
      <c r="H129" s="18" t="inlineStr">
        <is>
          <t>CÔNG TY TNHH DỊCH VỤ - THƯƠNG MẠI THÉP THIÊN LONG</t>
        </is>
      </c>
      <c r="I129" s="18" t="inlineStr">
        <is>
          <t>Thép tấm 16ly</t>
        </is>
      </c>
      <c r="J129" s="18" t="inlineStr">
        <is>
          <t>kg</t>
        </is>
      </c>
      <c r="K129" s="19" t="n">
        <v>15181.81</v>
      </c>
      <c r="L129" s="20" t="n"/>
      <c r="M129" s="20" t="n"/>
      <c r="N129" s="22" t="n">
        <v>3014.4</v>
      </c>
      <c r="O129" s="22" t="n">
        <v>45764048</v>
      </c>
      <c r="P129" s="22" t="n">
        <v>3014.4</v>
      </c>
      <c r="Q129" s="22" t="n">
        <v>45764048</v>
      </c>
      <c r="R129" s="42">
        <f>+L129+N129-P129</f>
        <v/>
      </c>
      <c r="S129" s="42">
        <f>+M129+O129-Q129</f>
        <v/>
      </c>
    </row>
    <row r="130" ht="30" customHeight="1">
      <c r="A130" s="16" t="n">
        <v>45663</v>
      </c>
      <c r="B130" s="17" t="inlineStr">
        <is>
          <t>MH2501-16</t>
        </is>
      </c>
      <c r="C130" s="16" t="n">
        <v>45663</v>
      </c>
      <c r="D130" s="17" t="inlineStr">
        <is>
          <t>00000022</t>
        </is>
      </c>
      <c r="E130" s="16" t="n">
        <v>45663</v>
      </c>
      <c r="F130" s="16" t="inlineStr">
        <is>
          <t>XK2501-15</t>
        </is>
      </c>
      <c r="G130" s="16" t="n">
        <v>45663</v>
      </c>
      <c r="H130" s="18" t="inlineStr">
        <is>
          <t>CÔNG TY TNHH DỊCH VỤ - THƯƠNG MẠI THÉP THIÊN LONG</t>
        </is>
      </c>
      <c r="I130" s="18" t="inlineStr">
        <is>
          <t>Thép tấm 20ly</t>
        </is>
      </c>
      <c r="J130" s="18" t="inlineStr">
        <is>
          <t>kg</t>
        </is>
      </c>
      <c r="K130" s="19" t="n">
        <v>15181.81</v>
      </c>
      <c r="L130" s="20" t="n"/>
      <c r="M130" s="20" t="n"/>
      <c r="N130" s="22" t="n">
        <v>7536</v>
      </c>
      <c r="O130" s="22" t="n">
        <v>114410120</v>
      </c>
      <c r="P130" s="22" t="n">
        <v>7536</v>
      </c>
      <c r="Q130" s="22" t="n">
        <v>114410120</v>
      </c>
      <c r="R130" s="42">
        <f>+L130+N130-P130</f>
        <v/>
      </c>
      <c r="S130" s="42">
        <f>+M130+O130-Q130</f>
        <v/>
      </c>
    </row>
    <row r="131" ht="30" customHeight="1">
      <c r="A131" s="16" t="n">
        <v>45664</v>
      </c>
      <c r="B131" s="17" t="inlineStr">
        <is>
          <t>MH2501-17</t>
        </is>
      </c>
      <c r="C131" s="16" t="n">
        <v>45664</v>
      </c>
      <c r="D131" s="17" t="inlineStr">
        <is>
          <t>00000056</t>
        </is>
      </c>
      <c r="E131" s="16" t="n">
        <v>45664</v>
      </c>
      <c r="F131" s="16" t="inlineStr">
        <is>
          <t>XK2501-16</t>
        </is>
      </c>
      <c r="G131" s="16" t="n">
        <v>45664</v>
      </c>
      <c r="H131" s="18" t="inlineStr">
        <is>
          <t>CÔNG TY CỔ PHẦN CÔNG NGHIỆP VÀ THƯƠNG MẠI CƯỜNG THỊNH</t>
        </is>
      </c>
      <c r="I131" s="18" t="inlineStr">
        <is>
          <t>Ty giằng 2 đầu ren 4.6 ZP M20</t>
        </is>
      </c>
      <c r="J131" s="18" t="inlineStr">
        <is>
          <t>Mét</t>
        </is>
      </c>
      <c r="K131" s="19" t="n">
        <v>74000</v>
      </c>
      <c r="L131" s="20" t="n"/>
      <c r="M131" s="20" t="n"/>
      <c r="N131" s="22" t="n">
        <v>617.3099999999999</v>
      </c>
      <c r="O131" s="22" t="n">
        <v>45680940</v>
      </c>
      <c r="P131" s="22" t="n">
        <v>617.3099999999999</v>
      </c>
      <c r="Q131" s="22" t="n">
        <v>45680940</v>
      </c>
      <c r="R131" s="42">
        <f>+L131+N131-P131</f>
        <v/>
      </c>
      <c r="S131" s="42">
        <f>+M131+O131-Q131</f>
        <v/>
      </c>
    </row>
    <row r="132" ht="30" customHeight="1">
      <c r="A132" s="16" t="n">
        <v>45664</v>
      </c>
      <c r="B132" s="17" t="inlineStr">
        <is>
          <t>MH2501-17</t>
        </is>
      </c>
      <c r="C132" s="16" t="n">
        <v>45664</v>
      </c>
      <c r="D132" s="17" t="inlineStr">
        <is>
          <t>00000056</t>
        </is>
      </c>
      <c r="E132" s="16" t="n">
        <v>45664</v>
      </c>
      <c r="F132" s="16" t="inlineStr">
        <is>
          <t>XK2501-16</t>
        </is>
      </c>
      <c r="G132" s="16" t="n">
        <v>45664</v>
      </c>
      <c r="H132" s="18" t="inlineStr">
        <is>
          <t>CÔNG TY CỔ PHẦN CÔNG NGHIỆP VÀ THƯƠNG MẠI CƯỜNG THỊNH</t>
        </is>
      </c>
      <c r="I132" s="18" t="inlineStr">
        <is>
          <t>Đai ốc Din 934 5 ZP M20</t>
        </is>
      </c>
      <c r="J132" s="18" t="inlineStr">
        <is>
          <t>Cái</t>
        </is>
      </c>
      <c r="K132" s="19" t="n">
        <v>1910</v>
      </c>
      <c r="L132" s="20" t="n"/>
      <c r="M132" s="20" t="n"/>
      <c r="N132" s="22" t="n">
        <v>164</v>
      </c>
      <c r="O132" s="22" t="n">
        <v>313240</v>
      </c>
      <c r="P132" s="22" t="n">
        <v>164</v>
      </c>
      <c r="Q132" s="22" t="n">
        <v>313240</v>
      </c>
      <c r="R132" s="42">
        <f>+L132+N132-P132</f>
        <v/>
      </c>
      <c r="S132" s="42">
        <f>+M132+O132-Q132</f>
        <v/>
      </c>
    </row>
    <row r="133" ht="30" customHeight="1">
      <c r="A133" s="16" t="n">
        <v>45664</v>
      </c>
      <c r="B133" s="17" t="inlineStr">
        <is>
          <t>MH2501-17</t>
        </is>
      </c>
      <c r="C133" s="16" t="n">
        <v>45664</v>
      </c>
      <c r="D133" s="17" t="inlineStr">
        <is>
          <t>00000056</t>
        </is>
      </c>
      <c r="E133" s="16" t="n">
        <v>45664</v>
      </c>
      <c r="F133" s="16" t="inlineStr">
        <is>
          <t>XK2501-16</t>
        </is>
      </c>
      <c r="G133" s="16" t="n">
        <v>45664</v>
      </c>
      <c r="H133" s="18" t="inlineStr">
        <is>
          <t>CÔNG TY CỔ PHẦN CÔNG NGHIỆP VÀ THƯƠNG MẠI CƯỜNG THỊNH</t>
        </is>
      </c>
      <c r="I133" s="18" t="inlineStr">
        <is>
          <t>Long đền thường ZP M20B42D2</t>
        </is>
      </c>
      <c r="J133" s="18" t="inlineStr">
        <is>
          <t>Cái</t>
        </is>
      </c>
      <c r="K133" s="19" t="n">
        <v>700</v>
      </c>
      <c r="L133" s="20" t="n"/>
      <c r="M133" s="20" t="n"/>
      <c r="N133" s="22" t="n">
        <v>164</v>
      </c>
      <c r="O133" s="22" t="n">
        <v>114800</v>
      </c>
      <c r="P133" s="22" t="n">
        <v>164</v>
      </c>
      <c r="Q133" s="22" t="n">
        <v>114800</v>
      </c>
      <c r="R133" s="42">
        <f>+L133+N133-P133</f>
        <v/>
      </c>
      <c r="S133" s="42">
        <f>+M133+O133-Q133</f>
        <v/>
      </c>
    </row>
    <row r="134" ht="30" customHeight="1">
      <c r="A134" s="16" t="n">
        <v>45664</v>
      </c>
      <c r="B134" s="17" t="inlineStr">
        <is>
          <t>MH2501-17</t>
        </is>
      </c>
      <c r="C134" s="16" t="n">
        <v>45664</v>
      </c>
      <c r="D134" s="17" t="inlineStr">
        <is>
          <t>00000056</t>
        </is>
      </c>
      <c r="E134" s="16" t="n">
        <v>45664</v>
      </c>
      <c r="F134" s="16" t="inlineStr">
        <is>
          <t>XK2501-16</t>
        </is>
      </c>
      <c r="G134" s="16" t="n">
        <v>45664</v>
      </c>
      <c r="H134" s="18" t="inlineStr">
        <is>
          <t>CÔNG TY CỔ PHẦN CÔNG NGHIỆP VÀ THƯƠNG MẠI CƯỜNG THỊNH</t>
        </is>
      </c>
      <c r="I134" s="18" t="inlineStr">
        <is>
          <t>Long đền móng ngựa ZP M20</t>
        </is>
      </c>
      <c r="J134" s="18" t="inlineStr">
        <is>
          <t>Cái</t>
        </is>
      </c>
      <c r="K134" s="19" t="n">
        <v>16900</v>
      </c>
      <c r="L134" s="20" t="n"/>
      <c r="M134" s="20" t="n"/>
      <c r="N134" s="22" t="n">
        <v>164</v>
      </c>
      <c r="O134" s="22" t="n">
        <v>2771600</v>
      </c>
      <c r="P134" s="22" t="n">
        <v>164</v>
      </c>
      <c r="Q134" s="22" t="n">
        <v>2771600</v>
      </c>
      <c r="R134" s="42">
        <f>+L134+N134-P134</f>
        <v/>
      </c>
      <c r="S134" s="42">
        <f>+M134+O134-Q134</f>
        <v/>
      </c>
    </row>
    <row r="135" ht="30" customHeight="1">
      <c r="A135" s="16" t="n">
        <v>45664</v>
      </c>
      <c r="B135" s="17" t="inlineStr">
        <is>
          <t>MH2501-17</t>
        </is>
      </c>
      <c r="C135" s="16" t="n">
        <v>45664</v>
      </c>
      <c r="D135" s="17" t="inlineStr">
        <is>
          <t>00000056</t>
        </is>
      </c>
      <c r="E135" s="16" t="n">
        <v>45664</v>
      </c>
      <c r="F135" s="16" t="inlineStr">
        <is>
          <t>XK2501-16</t>
        </is>
      </c>
      <c r="G135" s="16" t="n">
        <v>45664</v>
      </c>
      <c r="H135" s="18" t="inlineStr">
        <is>
          <t>CÔNG TY CỔ PHẦN CÔNG NGHIỆP VÀ THƯƠNG MẠI CƯỜNG THỊNH</t>
        </is>
      </c>
      <c r="I135" s="18" t="inlineStr">
        <is>
          <t>Nối Ty ZP M20x100(28mm)</t>
        </is>
      </c>
      <c r="J135" s="18" t="inlineStr">
        <is>
          <t>Cái</t>
        </is>
      </c>
      <c r="K135" s="19" t="n">
        <v>30250</v>
      </c>
      <c r="L135" s="20" t="n"/>
      <c r="M135" s="20" t="n"/>
      <c r="N135" s="22" t="n">
        <v>72</v>
      </c>
      <c r="O135" s="22" t="n">
        <v>2178000</v>
      </c>
      <c r="P135" s="22" t="n">
        <v>72</v>
      </c>
      <c r="Q135" s="22" t="n">
        <v>2178000</v>
      </c>
      <c r="R135" s="42">
        <f>+L135+N135-P135</f>
        <v/>
      </c>
      <c r="S135" s="42">
        <f>+M135+O135-Q135</f>
        <v/>
      </c>
    </row>
    <row r="136" ht="30" customHeight="1">
      <c r="A136" s="16" t="n">
        <v>45664</v>
      </c>
      <c r="B136" s="17" t="inlineStr">
        <is>
          <t>MH2501-17</t>
        </is>
      </c>
      <c r="C136" s="16" t="n">
        <v>45664</v>
      </c>
      <c r="D136" s="17" t="inlineStr">
        <is>
          <t>00000056</t>
        </is>
      </c>
      <c r="E136" s="16" t="n">
        <v>45664</v>
      </c>
      <c r="F136" s="16" t="inlineStr">
        <is>
          <t>XK2501-16</t>
        </is>
      </c>
      <c r="G136" s="16" t="n">
        <v>45664</v>
      </c>
      <c r="H136" s="18" t="inlineStr">
        <is>
          <t>CÔNG TY CỔ PHẦN CÔNG NGHIỆP VÀ THƯƠNG MẠI CƯỜNG THỊNH</t>
        </is>
      </c>
      <c r="I136" s="18" t="inlineStr">
        <is>
          <t>Đai ốc Din 934 5 ZP M24</t>
        </is>
      </c>
      <c r="J136" s="18" t="inlineStr">
        <is>
          <t>Cái</t>
        </is>
      </c>
      <c r="K136" s="19" t="n">
        <v>3410</v>
      </c>
      <c r="L136" s="20" t="n"/>
      <c r="M136" s="20" t="n"/>
      <c r="N136" s="22" t="n">
        <v>152</v>
      </c>
      <c r="O136" s="22" t="n">
        <v>518320</v>
      </c>
      <c r="P136" s="22" t="n">
        <v>152</v>
      </c>
      <c r="Q136" s="22" t="n">
        <v>518320</v>
      </c>
      <c r="R136" s="42">
        <f>+L136+N136-P136</f>
        <v/>
      </c>
      <c r="S136" s="42">
        <f>+M136+O136-Q136</f>
        <v/>
      </c>
    </row>
    <row r="137" ht="30" customHeight="1">
      <c r="A137" s="16" t="n">
        <v>45664</v>
      </c>
      <c r="B137" s="17" t="inlineStr">
        <is>
          <t>MH2501-17</t>
        </is>
      </c>
      <c r="C137" s="16" t="n">
        <v>45664</v>
      </c>
      <c r="D137" s="17" t="inlineStr">
        <is>
          <t>00000056</t>
        </is>
      </c>
      <c r="E137" s="16" t="n">
        <v>45664</v>
      </c>
      <c r="F137" s="16" t="inlineStr">
        <is>
          <t>XK2501-16</t>
        </is>
      </c>
      <c r="G137" s="16" t="n">
        <v>45664</v>
      </c>
      <c r="H137" s="18" t="inlineStr">
        <is>
          <t>CÔNG TY CỔ PHẦN CÔNG NGHIỆP VÀ THƯƠNG MẠI CƯỜNG THỊNH</t>
        </is>
      </c>
      <c r="I137" s="18" t="inlineStr">
        <is>
          <t>Long đền thường ZP M24B45D2</t>
        </is>
      </c>
      <c r="J137" s="18" t="inlineStr">
        <is>
          <t>Cái</t>
        </is>
      </c>
      <c r="K137" s="19" t="n">
        <v>820</v>
      </c>
      <c r="L137" s="20" t="n"/>
      <c r="M137" s="20" t="n"/>
      <c r="N137" s="22" t="n">
        <v>152</v>
      </c>
      <c r="O137" s="22" t="n">
        <v>124640</v>
      </c>
      <c r="P137" s="22" t="n">
        <v>152</v>
      </c>
      <c r="Q137" s="22" t="n">
        <v>124640</v>
      </c>
      <c r="R137" s="42">
        <f>+L137+N137-P137</f>
        <v/>
      </c>
      <c r="S137" s="42">
        <f>+M137+O137-Q137</f>
        <v/>
      </c>
    </row>
    <row r="138" ht="30" customHeight="1">
      <c r="A138" s="16" t="n">
        <v>45664</v>
      </c>
      <c r="B138" s="17" t="inlineStr">
        <is>
          <t>MH2501-17</t>
        </is>
      </c>
      <c r="C138" s="16" t="n">
        <v>45664</v>
      </c>
      <c r="D138" s="17" t="inlineStr">
        <is>
          <t>00000056</t>
        </is>
      </c>
      <c r="E138" s="16" t="n">
        <v>45664</v>
      </c>
      <c r="F138" s="16" t="inlineStr">
        <is>
          <t>XK2501-16</t>
        </is>
      </c>
      <c r="G138" s="16" t="n">
        <v>45664</v>
      </c>
      <c r="H138" s="18" t="inlineStr">
        <is>
          <t>CÔNG TY CỔ PHẦN CÔNG NGHIỆP VÀ THƯƠNG MẠI CƯỜNG THỊNH</t>
        </is>
      </c>
      <c r="I138" s="18" t="inlineStr">
        <is>
          <t>Nối Ty ZP M24x100 (34mm)</t>
        </is>
      </c>
      <c r="J138" s="18" t="inlineStr">
        <is>
          <t>Cái</t>
        </is>
      </c>
      <c r="K138" s="19" t="n">
        <v>35220</v>
      </c>
      <c r="L138" s="20" t="n"/>
      <c r="M138" s="20" t="n"/>
      <c r="N138" s="22" t="n">
        <v>76</v>
      </c>
      <c r="O138" s="22" t="n">
        <v>2676720</v>
      </c>
      <c r="P138" s="22" t="n">
        <v>76</v>
      </c>
      <c r="Q138" s="22" t="n">
        <v>2676720</v>
      </c>
      <c r="R138" s="42">
        <f>+L138+N138-P138</f>
        <v/>
      </c>
      <c r="S138" s="42">
        <f>+M138+O138-Q138</f>
        <v/>
      </c>
    </row>
    <row r="139" ht="30" customHeight="1">
      <c r="A139" s="16" t="n">
        <v>45664</v>
      </c>
      <c r="B139" s="17" t="inlineStr">
        <is>
          <t>MH2501-17</t>
        </is>
      </c>
      <c r="C139" s="16" t="n">
        <v>45664</v>
      </c>
      <c r="D139" s="17" t="inlineStr">
        <is>
          <t>00000056</t>
        </is>
      </c>
      <c r="E139" s="16" t="n">
        <v>45664</v>
      </c>
      <c r="F139" s="16" t="inlineStr">
        <is>
          <t>XK2501-16</t>
        </is>
      </c>
      <c r="G139" s="16" t="n">
        <v>45664</v>
      </c>
      <c r="H139" s="18" t="inlineStr">
        <is>
          <t>CÔNG TY CỔ PHẦN CÔNG NGHIỆP VÀ THƯƠNG MẠI CƯỜNG THỊNH</t>
        </is>
      </c>
      <c r="I139" s="18" t="inlineStr">
        <is>
          <t>Long đền móng ngựa ZP M24</t>
        </is>
      </c>
      <c r="J139" s="18" t="inlineStr">
        <is>
          <t>Cái</t>
        </is>
      </c>
      <c r="K139" s="19" t="n">
        <v>23500</v>
      </c>
      <c r="L139" s="20" t="n"/>
      <c r="M139" s="20" t="n"/>
      <c r="N139" s="22" t="n">
        <v>152</v>
      </c>
      <c r="O139" s="22" t="n">
        <v>3572000</v>
      </c>
      <c r="P139" s="22" t="n">
        <v>152</v>
      </c>
      <c r="Q139" s="22" t="n">
        <v>3572000</v>
      </c>
      <c r="R139" s="42">
        <f>+L139+N139-P139</f>
        <v/>
      </c>
      <c r="S139" s="42">
        <f>+M139+O139-Q139</f>
        <v/>
      </c>
    </row>
    <row r="140" ht="30" customHeight="1">
      <c r="A140" s="16" t="n">
        <v>45664</v>
      </c>
      <c r="B140" s="17" t="inlineStr">
        <is>
          <t>MH2501-17</t>
        </is>
      </c>
      <c r="C140" s="16" t="n">
        <v>45664</v>
      </c>
      <c r="D140" s="17" t="inlineStr">
        <is>
          <t>00000056</t>
        </is>
      </c>
      <c r="E140" s="16" t="n">
        <v>45664</v>
      </c>
      <c r="F140" s="16" t="inlineStr">
        <is>
          <t>XK2501-16</t>
        </is>
      </c>
      <c r="G140" s="16" t="n">
        <v>45664</v>
      </c>
      <c r="H140" s="18" t="inlineStr">
        <is>
          <t>CÔNG TY CỔ PHẦN CÔNG NGHIỆP VÀ THƯƠNG MẠI CƯỜNG THỊNH</t>
        </is>
      </c>
      <c r="I140" s="18" t="inlineStr">
        <is>
          <t>Ty giằng 2 đầu ren 4.6 ZP M16</t>
        </is>
      </c>
      <c r="J140" s="18" t="inlineStr">
        <is>
          <t>Mét</t>
        </is>
      </c>
      <c r="K140" s="19" t="n">
        <v>48000</v>
      </c>
      <c r="L140" s="20" t="n"/>
      <c r="M140" s="20" t="n"/>
      <c r="N140" s="22" t="n">
        <v>48.19</v>
      </c>
      <c r="O140" s="22" t="n">
        <v>2313120</v>
      </c>
      <c r="P140" s="22" t="n">
        <v>48.19</v>
      </c>
      <c r="Q140" s="22" t="n">
        <v>2313120</v>
      </c>
      <c r="R140" s="42">
        <f>+L140+N140-P140</f>
        <v/>
      </c>
      <c r="S140" s="42">
        <f>+M140+O140-Q140</f>
        <v/>
      </c>
    </row>
    <row r="141" ht="30" customHeight="1">
      <c r="A141" s="16" t="n">
        <v>45664</v>
      </c>
      <c r="B141" s="17" t="inlineStr">
        <is>
          <t>MH2501-17</t>
        </is>
      </c>
      <c r="C141" s="16" t="n">
        <v>45664</v>
      </c>
      <c r="D141" s="17" t="inlineStr">
        <is>
          <t>00000056</t>
        </is>
      </c>
      <c r="E141" s="16" t="n">
        <v>45664</v>
      </c>
      <c r="F141" s="16" t="inlineStr">
        <is>
          <t>XK2501-16</t>
        </is>
      </c>
      <c r="G141" s="16" t="n">
        <v>45664</v>
      </c>
      <c r="H141" s="18" t="inlineStr">
        <is>
          <t>CÔNG TY CỔ PHẦN CÔNG NGHIỆP VÀ THƯƠNG MẠI CƯỜNG THỊNH</t>
        </is>
      </c>
      <c r="I141" s="18" t="inlineStr">
        <is>
          <t>Đai ốc Din 934 5 ZP M16</t>
        </is>
      </c>
      <c r="J141" s="18" t="inlineStr">
        <is>
          <t>Cái</t>
        </is>
      </c>
      <c r="K141" s="19" t="n">
        <v>1110</v>
      </c>
      <c r="L141" s="20" t="n"/>
      <c r="M141" s="20" t="n"/>
      <c r="N141" s="22" t="n">
        <v>16</v>
      </c>
      <c r="O141" s="22" t="n">
        <v>17760</v>
      </c>
      <c r="P141" s="22" t="n">
        <v>16</v>
      </c>
      <c r="Q141" s="22" t="n">
        <v>17760</v>
      </c>
      <c r="R141" s="42">
        <f>+L141+N141-P141</f>
        <v/>
      </c>
      <c r="S141" s="42">
        <f>+M141+O141-Q141</f>
        <v/>
      </c>
    </row>
    <row r="142" ht="30" customHeight="1">
      <c r="A142" s="16" t="n">
        <v>45664</v>
      </c>
      <c r="B142" s="17" t="inlineStr">
        <is>
          <t>MH2501-17</t>
        </is>
      </c>
      <c r="C142" s="16" t="n">
        <v>45664</v>
      </c>
      <c r="D142" s="17" t="inlineStr">
        <is>
          <t>00000056</t>
        </is>
      </c>
      <c r="E142" s="16" t="n">
        <v>45664</v>
      </c>
      <c r="F142" s="16" t="inlineStr">
        <is>
          <t>XK2501-16</t>
        </is>
      </c>
      <c r="G142" s="16" t="n">
        <v>45664</v>
      </c>
      <c r="H142" s="18" t="inlineStr">
        <is>
          <t>CÔNG TY CỔ PHẦN CÔNG NGHIỆP VÀ THƯƠNG MẠI CƯỜNG THỊNH</t>
        </is>
      </c>
      <c r="I142" s="18" t="inlineStr">
        <is>
          <t>Long đền thường ZP M16B42D2</t>
        </is>
      </c>
      <c r="J142" s="18" t="inlineStr">
        <is>
          <t>Cái</t>
        </is>
      </c>
      <c r="K142" s="19" t="n">
        <v>800</v>
      </c>
      <c r="L142" s="20" t="n"/>
      <c r="M142" s="20" t="n"/>
      <c r="N142" s="22" t="n">
        <v>16</v>
      </c>
      <c r="O142" s="22" t="n">
        <v>12800</v>
      </c>
      <c r="P142" s="22" t="n">
        <v>16</v>
      </c>
      <c r="Q142" s="22" t="n">
        <v>12800</v>
      </c>
      <c r="R142" s="42">
        <f>+L142+N142-P142</f>
        <v/>
      </c>
      <c r="S142" s="42">
        <f>+M142+O142-Q142</f>
        <v/>
      </c>
    </row>
    <row r="143" ht="30" customHeight="1">
      <c r="A143" s="16" t="n">
        <v>45664</v>
      </c>
      <c r="B143" s="17" t="inlineStr">
        <is>
          <t>MH2501-17</t>
        </is>
      </c>
      <c r="C143" s="16" t="n">
        <v>45664</v>
      </c>
      <c r="D143" s="17" t="inlineStr">
        <is>
          <t>00000056</t>
        </is>
      </c>
      <c r="E143" s="16" t="n">
        <v>45664</v>
      </c>
      <c r="F143" s="16" t="inlineStr">
        <is>
          <t>XK2501-16</t>
        </is>
      </c>
      <c r="G143" s="16" t="n">
        <v>45664</v>
      </c>
      <c r="H143" s="18" t="inlineStr">
        <is>
          <t>CÔNG TY CỔ PHẦN CÔNG NGHIỆP VÀ THƯƠNG MẠI CƯỜNG THỊNH</t>
        </is>
      </c>
      <c r="I143" s="18" t="inlineStr">
        <is>
          <t>Long đền móng ngựa ZP M16</t>
        </is>
      </c>
      <c r="J143" s="18" t="inlineStr">
        <is>
          <t>Cái</t>
        </is>
      </c>
      <c r="K143" s="19" t="n">
        <v>15670</v>
      </c>
      <c r="L143" s="20" t="n"/>
      <c r="M143" s="20" t="n"/>
      <c r="N143" s="22" t="n">
        <v>16</v>
      </c>
      <c r="O143" s="22" t="n">
        <v>250720</v>
      </c>
      <c r="P143" s="22" t="n">
        <v>16</v>
      </c>
      <c r="Q143" s="22" t="n">
        <v>250720</v>
      </c>
      <c r="R143" s="42">
        <f>+L143+N143-P143</f>
        <v/>
      </c>
      <c r="S143" s="42">
        <f>+M143+O143-Q143</f>
        <v/>
      </c>
    </row>
    <row r="144" ht="30" customHeight="1">
      <c r="A144" s="16" t="n">
        <v>45664</v>
      </c>
      <c r="B144" s="17" t="inlineStr">
        <is>
          <t>MH2501-17</t>
        </is>
      </c>
      <c r="C144" s="16" t="n">
        <v>45664</v>
      </c>
      <c r="D144" s="17" t="inlineStr">
        <is>
          <t>00000056</t>
        </is>
      </c>
      <c r="E144" s="16" t="n">
        <v>45664</v>
      </c>
      <c r="F144" s="16" t="inlineStr">
        <is>
          <t>XK2501-16</t>
        </is>
      </c>
      <c r="G144" s="16" t="n">
        <v>45664</v>
      </c>
      <c r="H144" s="18" t="inlineStr">
        <is>
          <t>CÔNG TY CỔ PHẦN CÔNG NGHIỆP VÀ THƯƠNG MẠI CƯỜNG THỊNH</t>
        </is>
      </c>
      <c r="I144" s="18" t="inlineStr">
        <is>
          <t>Nối Ty ZP M16x100 (23mm)</t>
        </is>
      </c>
      <c r="J144" s="18" t="inlineStr">
        <is>
          <t>Cái</t>
        </is>
      </c>
      <c r="K144" s="19" t="n">
        <v>24160</v>
      </c>
      <c r="L144" s="20" t="n"/>
      <c r="M144" s="20" t="n"/>
      <c r="N144" s="22" t="n">
        <v>4</v>
      </c>
      <c r="O144" s="22" t="n">
        <v>96640</v>
      </c>
      <c r="P144" s="22" t="n">
        <v>4</v>
      </c>
      <c r="Q144" s="22" t="n">
        <v>96640</v>
      </c>
      <c r="R144" s="42">
        <f>+L144+N144-P144</f>
        <v/>
      </c>
      <c r="S144" s="42">
        <f>+M144+O144-Q144</f>
        <v/>
      </c>
    </row>
    <row r="145" ht="30" customHeight="1">
      <c r="A145" s="16" t="n">
        <v>45664</v>
      </c>
      <c r="B145" s="17" t="inlineStr">
        <is>
          <t>MH2501-17</t>
        </is>
      </c>
      <c r="C145" s="16" t="n">
        <v>45664</v>
      </c>
      <c r="D145" s="17" t="inlineStr">
        <is>
          <t>00000056</t>
        </is>
      </c>
      <c r="E145" s="16" t="n">
        <v>45664</v>
      </c>
      <c r="F145" s="16" t="inlineStr">
        <is>
          <t>XK2501-16</t>
        </is>
      </c>
      <c r="G145" s="16" t="n">
        <v>45664</v>
      </c>
      <c r="H145" s="18" t="inlineStr">
        <is>
          <t>CÔNG TY CỔ PHẦN CÔNG NGHIỆP VÀ THƯƠNG MẠI CƯỜNG THỊNH</t>
        </is>
      </c>
      <c r="I145" s="18" t="inlineStr">
        <is>
          <t>Ty giằng 2 đầu ren 4.6 ZP M25</t>
        </is>
      </c>
      <c r="J145" s="18" t="inlineStr">
        <is>
          <t>Mét</t>
        </is>
      </c>
      <c r="K145" s="19" t="n">
        <v>106000</v>
      </c>
      <c r="L145" s="20" t="n"/>
      <c r="M145" s="20" t="n"/>
      <c r="N145" s="22" t="n">
        <v>570.5</v>
      </c>
      <c r="O145" s="22" t="n">
        <v>60473000</v>
      </c>
      <c r="P145" s="22" t="n">
        <v>570.5</v>
      </c>
      <c r="Q145" s="22" t="n">
        <v>60473000</v>
      </c>
      <c r="R145" s="42">
        <f>+L145+N145-P145</f>
        <v/>
      </c>
      <c r="S145" s="42">
        <f>+M145+O145-Q145</f>
        <v/>
      </c>
    </row>
    <row r="146" ht="30" customHeight="1">
      <c r="A146" s="16" t="n">
        <v>45664</v>
      </c>
      <c r="B146" s="17" t="inlineStr">
        <is>
          <t>MH2501-18</t>
        </is>
      </c>
      <c r="C146" s="16" t="n">
        <v>45664</v>
      </c>
      <c r="D146" s="17" t="inlineStr">
        <is>
          <t>00000057</t>
        </is>
      </c>
      <c r="E146" s="16" t="n">
        <v>45664</v>
      </c>
      <c r="F146" s="16" t="inlineStr">
        <is>
          <t>XK2501-17</t>
        </is>
      </c>
      <c r="G146" s="16" t="n">
        <v>45664</v>
      </c>
      <c r="H146" s="18" t="inlineStr">
        <is>
          <t>CÔNG TY CỔ PHẦN CÔNG NGHIỆP VÀ THƯƠNG MẠI CƯỜNG THỊNH</t>
        </is>
      </c>
      <c r="I146" s="18" t="inlineStr">
        <is>
          <t>Bulong nở 5.6 ZP M16x150</t>
        </is>
      </c>
      <c r="J146" s="18" t="inlineStr">
        <is>
          <t>Cái</t>
        </is>
      </c>
      <c r="K146" s="19" t="n">
        <v>18500</v>
      </c>
      <c r="L146" s="20" t="n"/>
      <c r="M146" s="20" t="n"/>
      <c r="N146" s="22" t="n">
        <v>10</v>
      </c>
      <c r="O146" s="22" t="n">
        <v>185000</v>
      </c>
      <c r="P146" s="22" t="n">
        <v>10</v>
      </c>
      <c r="Q146" s="22" t="n">
        <v>185000</v>
      </c>
      <c r="R146" s="42">
        <f>+L146+N146-P146</f>
        <v/>
      </c>
      <c r="S146" s="42">
        <f>+M146+O146-Q146</f>
        <v/>
      </c>
    </row>
    <row r="147" ht="30" customHeight="1">
      <c r="A147" s="16" t="n">
        <v>45664</v>
      </c>
      <c r="B147" s="17" t="inlineStr">
        <is>
          <t>MH2501-18</t>
        </is>
      </c>
      <c r="C147" s="16" t="n">
        <v>45664</v>
      </c>
      <c r="D147" s="17" t="inlineStr">
        <is>
          <t>00000057</t>
        </is>
      </c>
      <c r="E147" s="16" t="n">
        <v>45664</v>
      </c>
      <c r="F147" s="16" t="inlineStr">
        <is>
          <t>XK2501-17</t>
        </is>
      </c>
      <c r="G147" s="16" t="n">
        <v>45664</v>
      </c>
      <c r="H147" s="18" t="inlineStr">
        <is>
          <t>CÔNG TY CỔ PHẦN CÔNG NGHIỆP VÀ THƯƠNG MẠI CƯỜNG THỊNH</t>
        </is>
      </c>
      <c r="I147" s="18" t="inlineStr">
        <is>
          <t>Bulong nở 5.6 ZP M20x250</t>
        </is>
      </c>
      <c r="J147" s="18" t="inlineStr">
        <is>
          <t>Bộ</t>
        </is>
      </c>
      <c r="K147" s="19" t="n">
        <v>45000</v>
      </c>
      <c r="L147" s="20" t="n"/>
      <c r="M147" s="20" t="n"/>
      <c r="N147" s="22" t="n">
        <v>23</v>
      </c>
      <c r="O147" s="22" t="n">
        <v>1035000</v>
      </c>
      <c r="P147" s="22" t="n">
        <v>23</v>
      </c>
      <c r="Q147" s="22" t="n">
        <v>1035000</v>
      </c>
      <c r="R147" s="42">
        <f>+L147+N147-P147</f>
        <v/>
      </c>
      <c r="S147" s="42">
        <f>+M147+O147-Q147</f>
        <v/>
      </c>
    </row>
    <row r="148" ht="30" customHeight="1">
      <c r="A148" s="16" t="n">
        <v>45664</v>
      </c>
      <c r="B148" s="17" t="inlineStr">
        <is>
          <t>MH2501-18</t>
        </is>
      </c>
      <c r="C148" s="16" t="n">
        <v>45664</v>
      </c>
      <c r="D148" s="17" t="inlineStr">
        <is>
          <t>00000057</t>
        </is>
      </c>
      <c r="E148" s="16" t="n">
        <v>45664</v>
      </c>
      <c r="F148" s="16" t="inlineStr">
        <is>
          <t>XK2501-17</t>
        </is>
      </c>
      <c r="G148" s="16" t="n">
        <v>45664</v>
      </c>
      <c r="H148" s="18" t="inlineStr">
        <is>
          <t>CÔNG TY CỔ PHẦN CÔNG NGHIỆP VÀ THƯƠNG MẠI CƯỜNG THỊNH</t>
        </is>
      </c>
      <c r="I148" s="18" t="inlineStr">
        <is>
          <t>Vít B2 Dacromet 12-24x32</t>
        </is>
      </c>
      <c r="J148" s="18" t="inlineStr">
        <is>
          <t>Cái</t>
        </is>
      </c>
      <c r="K148" s="19" t="n">
        <v>1920</v>
      </c>
      <c r="L148" s="20" t="n"/>
      <c r="M148" s="20" t="n"/>
      <c r="N148" s="22" t="n">
        <v>4000</v>
      </c>
      <c r="O148" s="22" t="n">
        <v>7680000</v>
      </c>
      <c r="P148" s="22" t="n">
        <v>4000</v>
      </c>
      <c r="Q148" s="22" t="n">
        <v>7680000</v>
      </c>
      <c r="R148" s="42">
        <f>+L148+N148-P148</f>
        <v/>
      </c>
      <c r="S148" s="42">
        <f>+M148+O148-Q148</f>
        <v/>
      </c>
    </row>
    <row r="149" ht="30" customHeight="1">
      <c r="A149" s="16" t="n">
        <v>45664</v>
      </c>
      <c r="B149" s="17" t="inlineStr">
        <is>
          <t>MH2501-18</t>
        </is>
      </c>
      <c r="C149" s="16" t="n">
        <v>45664</v>
      </c>
      <c r="D149" s="17" t="inlineStr">
        <is>
          <t>00000057</t>
        </is>
      </c>
      <c r="E149" s="16" t="n">
        <v>45664</v>
      </c>
      <c r="F149" s="16" t="inlineStr">
        <is>
          <t>XK2501-17</t>
        </is>
      </c>
      <c r="G149" s="16" t="n">
        <v>45664</v>
      </c>
      <c r="H149" s="18" t="inlineStr">
        <is>
          <t>CÔNG TY CỔ PHẦN CÔNG NGHIỆP VÀ THƯƠNG MẠI CƯỜNG THỊNH</t>
        </is>
      </c>
      <c r="I149" s="18" t="inlineStr">
        <is>
          <t>Vít B2 Dacromet 12-14x20</t>
        </is>
      </c>
      <c r="J149" s="18" t="inlineStr">
        <is>
          <t>Cái</t>
        </is>
      </c>
      <c r="K149" s="19" t="n">
        <v>600</v>
      </c>
      <c r="L149" s="20" t="n"/>
      <c r="M149" s="20" t="n"/>
      <c r="N149" s="22" t="n">
        <v>14200</v>
      </c>
      <c r="O149" s="22" t="n">
        <v>8520000</v>
      </c>
      <c r="P149" s="22" t="n">
        <v>14200</v>
      </c>
      <c r="Q149" s="22" t="n">
        <v>8520000</v>
      </c>
      <c r="R149" s="42">
        <f>+L149+N149-P149</f>
        <v/>
      </c>
      <c r="S149" s="42">
        <f>+M149+O149-Q149</f>
        <v/>
      </c>
    </row>
    <row r="150" ht="30" customHeight="1">
      <c r="A150" s="16" t="n">
        <v>45664</v>
      </c>
      <c r="B150" s="17" t="inlineStr">
        <is>
          <t>MH2501-18</t>
        </is>
      </c>
      <c r="C150" s="16" t="n">
        <v>45664</v>
      </c>
      <c r="D150" s="17" t="inlineStr">
        <is>
          <t>00000057</t>
        </is>
      </c>
      <c r="E150" s="16" t="n">
        <v>45664</v>
      </c>
      <c r="F150" s="16" t="inlineStr">
        <is>
          <t>XK2501-17</t>
        </is>
      </c>
      <c r="G150" s="16" t="n">
        <v>45664</v>
      </c>
      <c r="H150" s="18" t="inlineStr">
        <is>
          <t>CÔNG TY CỔ PHẦN CÔNG NGHIỆP VÀ THƯƠNG MẠI CƯỜNG THỊNH</t>
        </is>
      </c>
      <c r="I150" s="18" t="inlineStr">
        <is>
          <t>Đinh hàn 4.8 M19x100</t>
        </is>
      </c>
      <c r="J150" s="18" t="inlineStr">
        <is>
          <t>Bộ</t>
        </is>
      </c>
      <c r="K150" s="19" t="n">
        <v>6600</v>
      </c>
      <c r="L150" s="20" t="n"/>
      <c r="M150" s="20" t="n"/>
      <c r="N150" s="22" t="n">
        <v>4110</v>
      </c>
      <c r="O150" s="22" t="n">
        <v>27126000</v>
      </c>
      <c r="P150" s="22" t="n">
        <v>4110</v>
      </c>
      <c r="Q150" s="22" t="n">
        <v>27126000</v>
      </c>
      <c r="R150" s="42">
        <f>+L150+N150-P150</f>
        <v/>
      </c>
      <c r="S150" s="42">
        <f>+M150+O150-Q150</f>
        <v/>
      </c>
    </row>
    <row r="151" ht="30" customHeight="1">
      <c r="A151" s="16" t="n">
        <v>45664</v>
      </c>
      <c r="B151" s="17" t="inlineStr">
        <is>
          <t>MH2501-18</t>
        </is>
      </c>
      <c r="C151" s="16" t="n">
        <v>45664</v>
      </c>
      <c r="D151" s="17" t="inlineStr">
        <is>
          <t>00000057</t>
        </is>
      </c>
      <c r="E151" s="16" t="n">
        <v>45664</v>
      </c>
      <c r="F151" s="16" t="inlineStr">
        <is>
          <t>XK2501-17</t>
        </is>
      </c>
      <c r="G151" s="16" t="n">
        <v>45664</v>
      </c>
      <c r="H151" s="18" t="inlineStr">
        <is>
          <t>CÔNG TY CỔ PHẦN CÔNG NGHIỆP VÀ THƯƠNG MẠI CƯỜNG THỊNH</t>
        </is>
      </c>
      <c r="I151" s="18" t="inlineStr">
        <is>
          <t>Bulong Din 933 8.8 ZP M16x50</t>
        </is>
      </c>
      <c r="J151" s="18" t="inlineStr">
        <is>
          <t>Cái</t>
        </is>
      </c>
      <c r="K151" s="19" t="n">
        <v>3470</v>
      </c>
      <c r="L151" s="20" t="n"/>
      <c r="M151" s="20" t="n"/>
      <c r="N151" s="22" t="n">
        <v>752</v>
      </c>
      <c r="O151" s="22" t="n">
        <v>2609440</v>
      </c>
      <c r="P151" s="22" t="n">
        <v>752</v>
      </c>
      <c r="Q151" s="22" t="n">
        <v>2609440</v>
      </c>
      <c r="R151" s="42">
        <f>+L151+N151-P151</f>
        <v/>
      </c>
      <c r="S151" s="42">
        <f>+M151+O151-Q151</f>
        <v/>
      </c>
    </row>
    <row r="152" ht="30" customHeight="1">
      <c r="A152" s="16" t="n">
        <v>45664</v>
      </c>
      <c r="B152" s="17" t="inlineStr">
        <is>
          <t>MH2501-18</t>
        </is>
      </c>
      <c r="C152" s="16" t="n">
        <v>45664</v>
      </c>
      <c r="D152" s="17" t="inlineStr">
        <is>
          <t>00000057</t>
        </is>
      </c>
      <c r="E152" s="16" t="n">
        <v>45664</v>
      </c>
      <c r="F152" s="16" t="inlineStr">
        <is>
          <t>XK2501-17</t>
        </is>
      </c>
      <c r="G152" s="16" t="n">
        <v>45664</v>
      </c>
      <c r="H152" s="18" t="inlineStr">
        <is>
          <t>CÔNG TY CỔ PHẦN CÔNG NGHIỆP VÀ THƯƠNG MẠI CƯỜNG THỊNH</t>
        </is>
      </c>
      <c r="I152" s="18" t="inlineStr">
        <is>
          <t>Đai ốc Din 934 8 ZP M16</t>
        </is>
      </c>
      <c r="J152" s="18" t="inlineStr">
        <is>
          <t>Cái</t>
        </is>
      </c>
      <c r="K152" s="19" t="n">
        <v>1090</v>
      </c>
      <c r="L152" s="20" t="n"/>
      <c r="M152" s="20" t="n"/>
      <c r="N152" s="22" t="n">
        <v>752</v>
      </c>
      <c r="O152" s="22" t="n">
        <v>819680</v>
      </c>
      <c r="P152" s="22" t="n">
        <v>752</v>
      </c>
      <c r="Q152" s="22" t="n">
        <v>819680</v>
      </c>
      <c r="R152" s="42">
        <f>+L152+N152-P152</f>
        <v/>
      </c>
      <c r="S152" s="42">
        <f>+M152+O152-Q152</f>
        <v/>
      </c>
    </row>
    <row r="153" ht="30" customHeight="1">
      <c r="A153" s="16" t="n">
        <v>45664</v>
      </c>
      <c r="B153" s="17" t="inlineStr">
        <is>
          <t>MH2501-18</t>
        </is>
      </c>
      <c r="C153" s="16" t="n">
        <v>45664</v>
      </c>
      <c r="D153" s="17" t="inlineStr">
        <is>
          <t>00000057</t>
        </is>
      </c>
      <c r="E153" s="16" t="n">
        <v>45664</v>
      </c>
      <c r="F153" s="16" t="inlineStr">
        <is>
          <t>XK2501-17</t>
        </is>
      </c>
      <c r="G153" s="16" t="n">
        <v>45664</v>
      </c>
      <c r="H153" s="18" t="inlineStr">
        <is>
          <t>CÔNG TY CỔ PHẦN CÔNG NGHIỆP VÀ THƯƠNG MẠI CƯỜNG THỊNH</t>
        </is>
      </c>
      <c r="I153" s="18" t="inlineStr">
        <is>
          <t>Long đền thường ZP M16B30D2</t>
        </is>
      </c>
      <c r="J153" s="18" t="inlineStr">
        <is>
          <t>Cái</t>
        </is>
      </c>
      <c r="K153" s="19" t="n">
        <v>350</v>
      </c>
      <c r="L153" s="20" t="n"/>
      <c r="M153" s="20" t="n"/>
      <c r="N153" s="22" t="n">
        <v>752</v>
      </c>
      <c r="O153" s="22" t="n">
        <v>263200</v>
      </c>
      <c r="P153" s="22" t="n">
        <v>752</v>
      </c>
      <c r="Q153" s="22" t="n">
        <v>263200</v>
      </c>
      <c r="R153" s="42">
        <f>+L153+N153-P153</f>
        <v/>
      </c>
      <c r="S153" s="42">
        <f>+M153+O153-Q153</f>
        <v/>
      </c>
    </row>
    <row r="154" ht="30" customHeight="1">
      <c r="A154" s="16" t="n">
        <v>45664</v>
      </c>
      <c r="B154" s="17" t="inlineStr">
        <is>
          <t>MH2501-18</t>
        </is>
      </c>
      <c r="C154" s="16" t="n">
        <v>45664</v>
      </c>
      <c r="D154" s="17" t="inlineStr">
        <is>
          <t>00000057</t>
        </is>
      </c>
      <c r="E154" s="16" t="n">
        <v>45664</v>
      </c>
      <c r="F154" s="16" t="inlineStr">
        <is>
          <t>XK2501-17</t>
        </is>
      </c>
      <c r="G154" s="16" t="n">
        <v>45664</v>
      </c>
      <c r="H154" s="18" t="inlineStr">
        <is>
          <t>CÔNG TY CỔ PHẦN CÔNG NGHIỆP VÀ THƯƠNG MẠI CƯỜNG THỊNH</t>
        </is>
      </c>
      <c r="I154" s="18" t="inlineStr">
        <is>
          <t>Bulong Din 933 8.8 ZP M20x60</t>
        </is>
      </c>
      <c r="J154" s="18" t="inlineStr">
        <is>
          <t>Cái</t>
        </is>
      </c>
      <c r="K154" s="19" t="n">
        <v>6440</v>
      </c>
      <c r="L154" s="20" t="n"/>
      <c r="M154" s="20" t="n"/>
      <c r="N154" s="22" t="n">
        <v>2238</v>
      </c>
      <c r="O154" s="22" t="n">
        <v>14412720</v>
      </c>
      <c r="P154" s="22" t="n">
        <v>2238</v>
      </c>
      <c r="Q154" s="22" t="n">
        <v>14412720</v>
      </c>
      <c r="R154" s="42">
        <f>+L154+N154-P154</f>
        <v/>
      </c>
      <c r="S154" s="42">
        <f>+M154+O154-Q154</f>
        <v/>
      </c>
    </row>
    <row r="155" ht="30" customHeight="1">
      <c r="A155" s="16" t="n">
        <v>45664</v>
      </c>
      <c r="B155" s="17" t="inlineStr">
        <is>
          <t>MH2501-18</t>
        </is>
      </c>
      <c r="C155" s="16" t="n">
        <v>45664</v>
      </c>
      <c r="D155" s="17" t="inlineStr">
        <is>
          <t>00000057</t>
        </is>
      </c>
      <c r="E155" s="16" t="n">
        <v>45664</v>
      </c>
      <c r="F155" s="16" t="inlineStr">
        <is>
          <t>XK2501-17</t>
        </is>
      </c>
      <c r="G155" s="16" t="n">
        <v>45664</v>
      </c>
      <c r="H155" s="18" t="inlineStr">
        <is>
          <t>CÔNG TY CỔ PHẦN CÔNG NGHIỆP VÀ THƯƠNG MẠI CƯỜNG THỊNH</t>
        </is>
      </c>
      <c r="I155" s="18" t="inlineStr">
        <is>
          <t>Đai ốc Din 934 8 ZP M20</t>
        </is>
      </c>
      <c r="J155" s="18" t="inlineStr">
        <is>
          <t>Cái</t>
        </is>
      </c>
      <c r="K155" s="19" t="n">
        <v>2030</v>
      </c>
      <c r="L155" s="20" t="n"/>
      <c r="M155" s="20" t="n"/>
      <c r="N155" s="22" t="n">
        <v>2238</v>
      </c>
      <c r="O155" s="22" t="n">
        <v>4543140</v>
      </c>
      <c r="P155" s="22" t="n">
        <v>2238</v>
      </c>
      <c r="Q155" s="22" t="n">
        <v>4543140</v>
      </c>
      <c r="R155" s="42">
        <f>+L155+N155-P155</f>
        <v/>
      </c>
      <c r="S155" s="42">
        <f>+M155+O155-Q155</f>
        <v/>
      </c>
    </row>
    <row r="156" ht="30" customHeight="1">
      <c r="A156" s="16" t="n">
        <v>45664</v>
      </c>
      <c r="B156" s="17" t="inlineStr">
        <is>
          <t>MH2501-18</t>
        </is>
      </c>
      <c r="C156" s="16" t="n">
        <v>45664</v>
      </c>
      <c r="D156" s="17" t="inlineStr">
        <is>
          <t>00000057</t>
        </is>
      </c>
      <c r="E156" s="16" t="n">
        <v>45664</v>
      </c>
      <c r="F156" s="16" t="inlineStr">
        <is>
          <t>XK2501-17</t>
        </is>
      </c>
      <c r="G156" s="16" t="n">
        <v>45664</v>
      </c>
      <c r="H156" s="18" t="inlineStr">
        <is>
          <t>CÔNG TY CỔ PHẦN CÔNG NGHIỆP VÀ THƯƠNG MẠI CƯỜNG THỊNH</t>
        </is>
      </c>
      <c r="I156" s="18" t="inlineStr">
        <is>
          <t>Long đền thường ZP M20B35D2</t>
        </is>
      </c>
      <c r="J156" s="18" t="inlineStr">
        <is>
          <t>Cái</t>
        </is>
      </c>
      <c r="K156" s="19" t="n">
        <v>350</v>
      </c>
      <c r="L156" s="20" t="n"/>
      <c r="M156" s="20" t="n"/>
      <c r="N156" s="22" t="n">
        <v>2238</v>
      </c>
      <c r="O156" s="22" t="n">
        <v>783300</v>
      </c>
      <c r="P156" s="22" t="n">
        <v>2238</v>
      </c>
      <c r="Q156" s="22" t="n">
        <v>783300</v>
      </c>
      <c r="R156" s="42">
        <f>+L156+N156-P156</f>
        <v/>
      </c>
      <c r="S156" s="42">
        <f>+M156+O156-Q156</f>
        <v/>
      </c>
    </row>
    <row r="157" ht="30" customHeight="1">
      <c r="A157" s="16" t="n">
        <v>45664</v>
      </c>
      <c r="B157" s="17" t="inlineStr">
        <is>
          <t>MH2501-18</t>
        </is>
      </c>
      <c r="C157" s="16" t="n">
        <v>45664</v>
      </c>
      <c r="D157" s="17" t="inlineStr">
        <is>
          <t>00000057</t>
        </is>
      </c>
      <c r="E157" s="16" t="n">
        <v>45664</v>
      </c>
      <c r="F157" s="16" t="inlineStr">
        <is>
          <t>XK2501-17</t>
        </is>
      </c>
      <c r="G157" s="16" t="n">
        <v>45664</v>
      </c>
      <c r="H157" s="18" t="inlineStr">
        <is>
          <t>CÔNG TY CỔ PHẦN CÔNG NGHIỆP VÀ THƯƠNG MẠI CƯỜNG THỊNH</t>
        </is>
      </c>
      <c r="I157" s="18" t="inlineStr">
        <is>
          <t>Bulong Din 933 8.8 ZP M20x70</t>
        </is>
      </c>
      <c r="J157" s="18" t="inlineStr">
        <is>
          <t>Cái</t>
        </is>
      </c>
      <c r="K157" s="19" t="n">
        <v>7070</v>
      </c>
      <c r="L157" s="20" t="n"/>
      <c r="M157" s="20" t="n"/>
      <c r="N157" s="22" t="n">
        <v>583</v>
      </c>
      <c r="O157" s="22" t="n">
        <v>4121810</v>
      </c>
      <c r="P157" s="22" t="n">
        <v>583</v>
      </c>
      <c r="Q157" s="22" t="n">
        <v>4121810</v>
      </c>
      <c r="R157" s="42">
        <f>+L157+N157-P157</f>
        <v/>
      </c>
      <c r="S157" s="42">
        <f>+M157+O157-Q157</f>
        <v/>
      </c>
    </row>
    <row r="158" ht="30" customHeight="1">
      <c r="A158" s="16" t="n">
        <v>45664</v>
      </c>
      <c r="B158" s="17" t="inlineStr">
        <is>
          <t>MH2501-18</t>
        </is>
      </c>
      <c r="C158" s="16" t="n">
        <v>45664</v>
      </c>
      <c r="D158" s="17" t="inlineStr">
        <is>
          <t>00000057</t>
        </is>
      </c>
      <c r="E158" s="16" t="n">
        <v>45664</v>
      </c>
      <c r="F158" s="16" t="inlineStr">
        <is>
          <t>XK2501-17</t>
        </is>
      </c>
      <c r="G158" s="16" t="n">
        <v>45664</v>
      </c>
      <c r="H158" s="18" t="inlineStr">
        <is>
          <t>CÔNG TY CỔ PHẦN CÔNG NGHIỆP VÀ THƯƠNG MẠI CƯỜNG THỊNH</t>
        </is>
      </c>
      <c r="I158" s="18" t="inlineStr">
        <is>
          <t>Đai ốc Din 934 8 ZP M20</t>
        </is>
      </c>
      <c r="J158" s="18" t="inlineStr">
        <is>
          <t>Cái</t>
        </is>
      </c>
      <c r="K158" s="19" t="n">
        <v>2030</v>
      </c>
      <c r="L158" s="20" t="n"/>
      <c r="M158" s="20" t="n"/>
      <c r="N158" s="22" t="n">
        <v>583</v>
      </c>
      <c r="O158" s="22" t="n">
        <v>1183490</v>
      </c>
      <c r="P158" s="22" t="n">
        <v>583</v>
      </c>
      <c r="Q158" s="22" t="n">
        <v>1183490</v>
      </c>
      <c r="R158" s="42">
        <f>+L158+N158-P158</f>
        <v/>
      </c>
      <c r="S158" s="42">
        <f>+M158+O158-Q158</f>
        <v/>
      </c>
    </row>
    <row r="159" ht="30" customHeight="1">
      <c r="A159" s="16" t="n">
        <v>45664</v>
      </c>
      <c r="B159" s="17" t="inlineStr">
        <is>
          <t>MH2501-18</t>
        </is>
      </c>
      <c r="C159" s="16" t="n">
        <v>45664</v>
      </c>
      <c r="D159" s="17" t="inlineStr">
        <is>
          <t>00000057</t>
        </is>
      </c>
      <c r="E159" s="16" t="n">
        <v>45664</v>
      </c>
      <c r="F159" s="16" t="inlineStr">
        <is>
          <t>XK2501-17</t>
        </is>
      </c>
      <c r="G159" s="16" t="n">
        <v>45664</v>
      </c>
      <c r="H159" s="18" t="inlineStr">
        <is>
          <t>CÔNG TY CỔ PHẦN CÔNG NGHIỆP VÀ THƯƠNG MẠI CƯỜNG THỊNH</t>
        </is>
      </c>
      <c r="I159" s="18" t="inlineStr">
        <is>
          <t>Long đền thường ZP M20B35D2</t>
        </is>
      </c>
      <c r="J159" s="18" t="inlineStr">
        <is>
          <t>Cái</t>
        </is>
      </c>
      <c r="K159" s="19" t="n">
        <v>350</v>
      </c>
      <c r="L159" s="20" t="n"/>
      <c r="M159" s="20" t="n"/>
      <c r="N159" s="22" t="n">
        <v>583</v>
      </c>
      <c r="O159" s="22" t="n">
        <v>204050</v>
      </c>
      <c r="P159" s="22" t="n">
        <v>583</v>
      </c>
      <c r="Q159" s="22" t="n">
        <v>204050</v>
      </c>
      <c r="R159" s="42">
        <f>+L159+N159-P159</f>
        <v/>
      </c>
      <c r="S159" s="42">
        <f>+M159+O159-Q159</f>
        <v/>
      </c>
    </row>
    <row r="160" ht="30" customHeight="1">
      <c r="A160" s="16" t="n">
        <v>45664</v>
      </c>
      <c r="B160" s="17" t="inlineStr">
        <is>
          <t>MH2501-18</t>
        </is>
      </c>
      <c r="C160" s="16" t="n">
        <v>45664</v>
      </c>
      <c r="D160" s="17" t="inlineStr">
        <is>
          <t>00000057</t>
        </is>
      </c>
      <c r="E160" s="16" t="n">
        <v>45664</v>
      </c>
      <c r="F160" s="16" t="inlineStr">
        <is>
          <t>XK2501-17</t>
        </is>
      </c>
      <c r="G160" s="16" t="n">
        <v>45664</v>
      </c>
      <c r="H160" s="18" t="inlineStr">
        <is>
          <t>CÔNG TY CỔ PHẦN CÔNG NGHIỆP VÀ THƯƠNG MẠI CƯỜNG THỊNH</t>
        </is>
      </c>
      <c r="I160" s="18" t="inlineStr">
        <is>
          <t>Bulong Din 933 8.8 ZP M20x80</t>
        </is>
      </c>
      <c r="J160" s="18" t="inlineStr">
        <is>
          <t>Cái</t>
        </is>
      </c>
      <c r="K160" s="19" t="n">
        <v>7730</v>
      </c>
      <c r="L160" s="20" t="n"/>
      <c r="M160" s="20" t="n"/>
      <c r="N160" s="22" t="n">
        <v>23</v>
      </c>
      <c r="O160" s="22" t="n">
        <v>177790</v>
      </c>
      <c r="P160" s="22" t="n">
        <v>23</v>
      </c>
      <c r="Q160" s="22" t="n">
        <v>177790</v>
      </c>
      <c r="R160" s="42">
        <f>+L160+N160-P160</f>
        <v/>
      </c>
      <c r="S160" s="42">
        <f>+M160+O160-Q160</f>
        <v/>
      </c>
    </row>
    <row r="161" ht="30" customHeight="1">
      <c r="A161" s="16" t="n">
        <v>45664</v>
      </c>
      <c r="B161" s="17" t="inlineStr">
        <is>
          <t>MH2501-18</t>
        </is>
      </c>
      <c r="C161" s="16" t="n">
        <v>45664</v>
      </c>
      <c r="D161" s="17" t="inlineStr">
        <is>
          <t>00000057</t>
        </is>
      </c>
      <c r="E161" s="16" t="n">
        <v>45664</v>
      </c>
      <c r="F161" s="16" t="inlineStr">
        <is>
          <t>XK2501-17</t>
        </is>
      </c>
      <c r="G161" s="16" t="n">
        <v>45664</v>
      </c>
      <c r="H161" s="18" t="inlineStr">
        <is>
          <t>CÔNG TY CỔ PHẦN CÔNG NGHIỆP VÀ THƯƠNG MẠI CƯỜNG THỊNH</t>
        </is>
      </c>
      <c r="I161" s="18" t="inlineStr">
        <is>
          <t>Đai ốc Din 934 8 ZP M20</t>
        </is>
      </c>
      <c r="J161" s="18" t="inlineStr">
        <is>
          <t>Cái</t>
        </is>
      </c>
      <c r="K161" s="19" t="n">
        <v>2030</v>
      </c>
      <c r="L161" s="20" t="n"/>
      <c r="M161" s="20" t="n"/>
      <c r="N161" s="22" t="n">
        <v>23</v>
      </c>
      <c r="O161" s="22" t="n">
        <v>46690</v>
      </c>
      <c r="P161" s="22" t="n">
        <v>23</v>
      </c>
      <c r="Q161" s="22" t="n">
        <v>46690</v>
      </c>
      <c r="R161" s="42">
        <f>+L161+N161-P161</f>
        <v/>
      </c>
      <c r="S161" s="42">
        <f>+M161+O161-Q161</f>
        <v/>
      </c>
    </row>
    <row r="162" ht="30" customHeight="1">
      <c r="A162" s="16" t="n">
        <v>45664</v>
      </c>
      <c r="B162" s="17" t="inlineStr">
        <is>
          <t>MH2501-18</t>
        </is>
      </c>
      <c r="C162" s="16" t="n">
        <v>45664</v>
      </c>
      <c r="D162" s="17" t="inlineStr">
        <is>
          <t>00000057</t>
        </is>
      </c>
      <c r="E162" s="16" t="n">
        <v>45664</v>
      </c>
      <c r="F162" s="16" t="inlineStr">
        <is>
          <t>XK2501-17</t>
        </is>
      </c>
      <c r="G162" s="16" t="n">
        <v>45664</v>
      </c>
      <c r="H162" s="18" t="inlineStr">
        <is>
          <t>CÔNG TY CỔ PHẦN CÔNG NGHIỆP VÀ THƯƠNG MẠI CƯỜNG THỊNH</t>
        </is>
      </c>
      <c r="I162" s="18" t="inlineStr">
        <is>
          <t>Long đền thường ZP M20B35D2</t>
        </is>
      </c>
      <c r="J162" s="18" t="inlineStr">
        <is>
          <t>Cái</t>
        </is>
      </c>
      <c r="K162" s="19" t="n">
        <v>350</v>
      </c>
      <c r="L162" s="20" t="n"/>
      <c r="M162" s="20" t="n"/>
      <c r="N162" s="22" t="n">
        <v>23</v>
      </c>
      <c r="O162" s="22" t="n">
        <v>8050</v>
      </c>
      <c r="P162" s="22" t="n">
        <v>23</v>
      </c>
      <c r="Q162" s="22" t="n">
        <v>8050</v>
      </c>
      <c r="R162" s="42">
        <f>+L162+N162-P162</f>
        <v/>
      </c>
      <c r="S162" s="42">
        <f>+M162+O162-Q162</f>
        <v/>
      </c>
    </row>
    <row r="163" ht="30" customHeight="1">
      <c r="A163" s="16" t="n">
        <v>45664</v>
      </c>
      <c r="B163" s="17" t="inlineStr">
        <is>
          <t>MH2501-18</t>
        </is>
      </c>
      <c r="C163" s="16" t="n">
        <v>45664</v>
      </c>
      <c r="D163" s="17" t="inlineStr">
        <is>
          <t>00000057</t>
        </is>
      </c>
      <c r="E163" s="16" t="n">
        <v>45664</v>
      </c>
      <c r="F163" s="16" t="inlineStr">
        <is>
          <t>XK2501-17</t>
        </is>
      </c>
      <c r="G163" s="16" t="n">
        <v>45664</v>
      </c>
      <c r="H163" s="18" t="inlineStr">
        <is>
          <t>CÔNG TY CỔ PHẦN CÔNG NGHIỆP VÀ THƯƠNG MẠI CƯỜNG THỊNH</t>
        </is>
      </c>
      <c r="I163" s="18" t="inlineStr">
        <is>
          <t>Bulong Din 933 8.8 ZP M24x70</t>
        </is>
      </c>
      <c r="J163" s="18" t="inlineStr">
        <is>
          <t>Cái</t>
        </is>
      </c>
      <c r="K163" s="19" t="n">
        <v>11010</v>
      </c>
      <c r="L163" s="20" t="n"/>
      <c r="M163" s="20" t="n"/>
      <c r="N163" s="22" t="n">
        <v>715</v>
      </c>
      <c r="O163" s="22" t="n">
        <v>7872150</v>
      </c>
      <c r="P163" s="22" t="n">
        <v>715</v>
      </c>
      <c r="Q163" s="22" t="n">
        <v>7872150</v>
      </c>
      <c r="R163" s="42">
        <f>+L163+N163-P163</f>
        <v/>
      </c>
      <c r="S163" s="42">
        <f>+M163+O163-Q163</f>
        <v/>
      </c>
    </row>
    <row r="164" ht="30" customHeight="1">
      <c r="A164" s="16" t="n">
        <v>45664</v>
      </c>
      <c r="B164" s="17" t="inlineStr">
        <is>
          <t>MH2501-18</t>
        </is>
      </c>
      <c r="C164" s="16" t="n">
        <v>45664</v>
      </c>
      <c r="D164" s="17" t="inlineStr">
        <is>
          <t>00000057</t>
        </is>
      </c>
      <c r="E164" s="16" t="n">
        <v>45664</v>
      </c>
      <c r="F164" s="16" t="inlineStr">
        <is>
          <t>XK2501-17</t>
        </is>
      </c>
      <c r="G164" s="16" t="n">
        <v>45664</v>
      </c>
      <c r="H164" s="18" t="inlineStr">
        <is>
          <t>CÔNG TY CỔ PHẦN CÔNG NGHIỆP VÀ THƯƠNG MẠI CƯỜNG THỊNH</t>
        </is>
      </c>
      <c r="I164" s="18" t="inlineStr">
        <is>
          <t>Đai ốc Din 934 8 ZP M24</t>
        </is>
      </c>
      <c r="J164" s="18" t="inlineStr">
        <is>
          <t>Cái</t>
        </is>
      </c>
      <c r="K164" s="19" t="n">
        <v>3500</v>
      </c>
      <c r="L164" s="20" t="n"/>
      <c r="M164" s="20" t="n"/>
      <c r="N164" s="22" t="n">
        <v>715</v>
      </c>
      <c r="O164" s="22" t="n">
        <v>2502500</v>
      </c>
      <c r="P164" s="22" t="n">
        <v>715</v>
      </c>
      <c r="Q164" s="22" t="n">
        <v>2502500</v>
      </c>
      <c r="R164" s="42">
        <f>+L164+N164-P164</f>
        <v/>
      </c>
      <c r="S164" s="42">
        <f>+M164+O164-Q164</f>
        <v/>
      </c>
    </row>
    <row r="165" ht="30" customHeight="1">
      <c r="A165" s="16" t="n">
        <v>45664</v>
      </c>
      <c r="B165" s="17" t="inlineStr">
        <is>
          <t>MH2501-18</t>
        </is>
      </c>
      <c r="C165" s="16" t="n">
        <v>45664</v>
      </c>
      <c r="D165" s="17" t="inlineStr">
        <is>
          <t>00000057</t>
        </is>
      </c>
      <c r="E165" s="16" t="n">
        <v>45664</v>
      </c>
      <c r="F165" s="16" t="inlineStr">
        <is>
          <t>XK2501-17</t>
        </is>
      </c>
      <c r="G165" s="16" t="n">
        <v>45664</v>
      </c>
      <c r="H165" s="18" t="inlineStr">
        <is>
          <t>CÔNG TY CỔ PHẦN CÔNG NGHIỆP VÀ THƯƠNG MẠI CƯỜNG THỊNH</t>
        </is>
      </c>
      <c r="I165" s="18" t="inlineStr">
        <is>
          <t>Long đền thường ZP M24B42D2</t>
        </is>
      </c>
      <c r="J165" s="18" t="inlineStr">
        <is>
          <t>Cái</t>
        </is>
      </c>
      <c r="K165" s="19" t="n">
        <v>710</v>
      </c>
      <c r="L165" s="20" t="n"/>
      <c r="M165" s="20" t="n"/>
      <c r="N165" s="22" t="n">
        <v>715</v>
      </c>
      <c r="O165" s="22" t="n">
        <v>507650</v>
      </c>
      <c r="P165" s="22" t="n">
        <v>715</v>
      </c>
      <c r="Q165" s="22" t="n">
        <v>507650</v>
      </c>
      <c r="R165" s="42">
        <f>+L165+N165-P165</f>
        <v/>
      </c>
      <c r="S165" s="42">
        <f>+M165+O165-Q165</f>
        <v/>
      </c>
    </row>
    <row r="166" ht="30" customHeight="1">
      <c r="A166" s="16" t="n">
        <v>45664</v>
      </c>
      <c r="B166" s="17" t="inlineStr">
        <is>
          <t>MH2501-18</t>
        </is>
      </c>
      <c r="C166" s="16" t="n">
        <v>45664</v>
      </c>
      <c r="D166" s="17" t="inlineStr">
        <is>
          <t>00000057</t>
        </is>
      </c>
      <c r="E166" s="16" t="n">
        <v>45664</v>
      </c>
      <c r="F166" s="16" t="inlineStr">
        <is>
          <t>XK2501-17</t>
        </is>
      </c>
      <c r="G166" s="16" t="n">
        <v>45664</v>
      </c>
      <c r="H166" s="18" t="inlineStr">
        <is>
          <t>CÔNG TY CỔ PHẦN CÔNG NGHIỆP VÀ THƯƠNG MẠI CƯỜNG THỊNH</t>
        </is>
      </c>
      <c r="I166" s="18" t="inlineStr">
        <is>
          <t>Bulong Din 933 8.8 ZP M24x80</t>
        </is>
      </c>
      <c r="J166" s="18" t="inlineStr">
        <is>
          <t>Cái</t>
        </is>
      </c>
      <c r="K166" s="19" t="n">
        <v>12010</v>
      </c>
      <c r="L166" s="20" t="n"/>
      <c r="M166" s="20" t="n"/>
      <c r="N166" s="22" t="n">
        <v>449</v>
      </c>
      <c r="O166" s="22" t="n">
        <v>5392490</v>
      </c>
      <c r="P166" s="22" t="n">
        <v>449</v>
      </c>
      <c r="Q166" s="22" t="n">
        <v>5392490</v>
      </c>
      <c r="R166" s="42">
        <f>+L166+N166-P166</f>
        <v/>
      </c>
      <c r="S166" s="42">
        <f>+M166+O166-Q166</f>
        <v/>
      </c>
    </row>
    <row r="167" ht="30" customHeight="1">
      <c r="A167" s="16" t="n">
        <v>45664</v>
      </c>
      <c r="B167" s="17" t="inlineStr">
        <is>
          <t>MH2501-18</t>
        </is>
      </c>
      <c r="C167" s="16" t="n">
        <v>45664</v>
      </c>
      <c r="D167" s="17" t="inlineStr">
        <is>
          <t>00000057</t>
        </is>
      </c>
      <c r="E167" s="16" t="n">
        <v>45664</v>
      </c>
      <c r="F167" s="16" t="inlineStr">
        <is>
          <t>XK2501-17</t>
        </is>
      </c>
      <c r="G167" s="16" t="n">
        <v>45664</v>
      </c>
      <c r="H167" s="18" t="inlineStr">
        <is>
          <t>CÔNG TY CỔ PHẦN CÔNG NGHIỆP VÀ THƯƠNG MẠI CƯỜNG THỊNH</t>
        </is>
      </c>
      <c r="I167" s="18" t="inlineStr">
        <is>
          <t>Đai ốc Din 934 8 ZP M24</t>
        </is>
      </c>
      <c r="J167" s="18" t="inlineStr">
        <is>
          <t>Cái</t>
        </is>
      </c>
      <c r="K167" s="19" t="n">
        <v>3500</v>
      </c>
      <c r="L167" s="20" t="n"/>
      <c r="M167" s="20" t="n"/>
      <c r="N167" s="22" t="n">
        <v>449</v>
      </c>
      <c r="O167" s="22" t="n">
        <v>1571500</v>
      </c>
      <c r="P167" s="22" t="n">
        <v>449</v>
      </c>
      <c r="Q167" s="22" t="n">
        <v>1571500</v>
      </c>
      <c r="R167" s="42">
        <f>+L167+N167-P167</f>
        <v/>
      </c>
      <c r="S167" s="42">
        <f>+M167+O167-Q167</f>
        <v/>
      </c>
    </row>
    <row r="168" ht="30" customHeight="1">
      <c r="A168" s="16" t="n">
        <v>45664</v>
      </c>
      <c r="B168" s="17" t="inlineStr">
        <is>
          <t>MH2501-18</t>
        </is>
      </c>
      <c r="C168" s="16" t="n">
        <v>45664</v>
      </c>
      <c r="D168" s="17" t="inlineStr">
        <is>
          <t>00000057</t>
        </is>
      </c>
      <c r="E168" s="16" t="n">
        <v>45664</v>
      </c>
      <c r="F168" s="16" t="inlineStr">
        <is>
          <t>XK2501-17</t>
        </is>
      </c>
      <c r="G168" s="16" t="n">
        <v>45664</v>
      </c>
      <c r="H168" s="18" t="inlineStr">
        <is>
          <t>CÔNG TY CỔ PHẦN CÔNG NGHIỆP VÀ THƯƠNG MẠI CƯỜNG THỊNH</t>
        </is>
      </c>
      <c r="I168" s="18" t="inlineStr">
        <is>
          <t>Long đền thường ZP M24B42D2</t>
        </is>
      </c>
      <c r="J168" s="18" t="inlineStr">
        <is>
          <t>Cái</t>
        </is>
      </c>
      <c r="K168" s="19" t="n">
        <v>710</v>
      </c>
      <c r="L168" s="20" t="n"/>
      <c r="M168" s="20" t="n"/>
      <c r="N168" s="22" t="n">
        <v>449</v>
      </c>
      <c r="O168" s="22" t="n">
        <v>318790</v>
      </c>
      <c r="P168" s="22" t="n">
        <v>449</v>
      </c>
      <c r="Q168" s="22" t="n">
        <v>318790</v>
      </c>
      <c r="R168" s="42">
        <f>+L168+N168-P168</f>
        <v/>
      </c>
      <c r="S168" s="42">
        <f>+M168+O168-Q168</f>
        <v/>
      </c>
    </row>
    <row r="169" ht="30" customHeight="1">
      <c r="A169" s="16" t="n">
        <v>45664</v>
      </c>
      <c r="B169" s="17" t="inlineStr">
        <is>
          <t>MH2501-18</t>
        </is>
      </c>
      <c r="C169" s="16" t="n">
        <v>45664</v>
      </c>
      <c r="D169" s="17" t="inlineStr">
        <is>
          <t>00000057</t>
        </is>
      </c>
      <c r="E169" s="16" t="n">
        <v>45664</v>
      </c>
      <c r="F169" s="16" t="inlineStr">
        <is>
          <t>XK2501-17</t>
        </is>
      </c>
      <c r="G169" s="16" t="n">
        <v>45664</v>
      </c>
      <c r="H169" s="18" t="inlineStr">
        <is>
          <t>CÔNG TY CỔ PHẦN CÔNG NGHIỆP VÀ THƯƠNG MẠI CƯỜNG THỊNH</t>
        </is>
      </c>
      <c r="I169" s="18" t="inlineStr">
        <is>
          <t>Bulong Din 933 8.8 ZP M24x90</t>
        </is>
      </c>
      <c r="J169" s="18" t="inlineStr">
        <is>
          <t>Cái</t>
        </is>
      </c>
      <c r="K169" s="19" t="n">
        <v>12950</v>
      </c>
      <c r="L169" s="20" t="n"/>
      <c r="M169" s="20" t="n"/>
      <c r="N169" s="22" t="n">
        <v>387</v>
      </c>
      <c r="O169" s="22" t="n">
        <v>5011650</v>
      </c>
      <c r="P169" s="22" t="n">
        <v>387</v>
      </c>
      <c r="Q169" s="22" t="n">
        <v>5011650</v>
      </c>
      <c r="R169" s="42">
        <f>+L169+N169-P169</f>
        <v/>
      </c>
      <c r="S169" s="42">
        <f>+M169+O169-Q169</f>
        <v/>
      </c>
    </row>
    <row r="170" ht="30" customHeight="1">
      <c r="A170" s="16" t="n">
        <v>45664</v>
      </c>
      <c r="B170" s="17" t="inlineStr">
        <is>
          <t>MH2501-18</t>
        </is>
      </c>
      <c r="C170" s="16" t="n">
        <v>45664</v>
      </c>
      <c r="D170" s="17" t="inlineStr">
        <is>
          <t>00000057</t>
        </is>
      </c>
      <c r="E170" s="16" t="n">
        <v>45664</v>
      </c>
      <c r="F170" s="16" t="inlineStr">
        <is>
          <t>XK2501-17</t>
        </is>
      </c>
      <c r="G170" s="16" t="n">
        <v>45664</v>
      </c>
      <c r="H170" s="18" t="inlineStr">
        <is>
          <t>CÔNG TY CỔ PHẦN CÔNG NGHIỆP VÀ THƯƠNG MẠI CƯỜNG THỊNH</t>
        </is>
      </c>
      <c r="I170" s="18" t="inlineStr">
        <is>
          <t>Đai ốc Din 934 8 ZP M24</t>
        </is>
      </c>
      <c r="J170" s="18" t="inlineStr">
        <is>
          <t>Cái</t>
        </is>
      </c>
      <c r="K170" s="19" t="n">
        <v>3500</v>
      </c>
      <c r="L170" s="20" t="n"/>
      <c r="M170" s="20" t="n"/>
      <c r="N170" s="22" t="n">
        <v>387</v>
      </c>
      <c r="O170" s="22" t="n">
        <v>1354500</v>
      </c>
      <c r="P170" s="22" t="n">
        <v>387</v>
      </c>
      <c r="Q170" s="22" t="n">
        <v>1354500</v>
      </c>
      <c r="R170" s="42">
        <f>+L170+N170-P170</f>
        <v/>
      </c>
      <c r="S170" s="42">
        <f>+M170+O170-Q170</f>
        <v/>
      </c>
    </row>
    <row r="171" ht="30" customHeight="1">
      <c r="A171" s="16" t="n">
        <v>45664</v>
      </c>
      <c r="B171" s="17" t="inlineStr">
        <is>
          <t>MH2501-18</t>
        </is>
      </c>
      <c r="C171" s="16" t="n">
        <v>45664</v>
      </c>
      <c r="D171" s="17" t="inlineStr">
        <is>
          <t>00000057</t>
        </is>
      </c>
      <c r="E171" s="16" t="n">
        <v>45664</v>
      </c>
      <c r="F171" s="16" t="inlineStr">
        <is>
          <t>XK2501-17</t>
        </is>
      </c>
      <c r="G171" s="16" t="n">
        <v>45664</v>
      </c>
      <c r="H171" s="18" t="inlineStr">
        <is>
          <t>CÔNG TY CỔ PHẦN CÔNG NGHIỆP VÀ THƯƠNG MẠI CƯỜNG THỊNH</t>
        </is>
      </c>
      <c r="I171" s="18" t="inlineStr">
        <is>
          <t>Long đền thường ZP M24B42D2</t>
        </is>
      </c>
      <c r="J171" s="18" t="inlineStr">
        <is>
          <t>Cái</t>
        </is>
      </c>
      <c r="K171" s="19" t="n">
        <v>710</v>
      </c>
      <c r="L171" s="20" t="n"/>
      <c r="M171" s="20" t="n"/>
      <c r="N171" s="22" t="n">
        <v>387</v>
      </c>
      <c r="O171" s="22" t="n">
        <v>274770</v>
      </c>
      <c r="P171" s="22" t="n">
        <v>387</v>
      </c>
      <c r="Q171" s="22" t="n">
        <v>274770</v>
      </c>
      <c r="R171" s="42">
        <f>+L171+N171-P171</f>
        <v/>
      </c>
      <c r="S171" s="42">
        <f>+M171+O171-Q171</f>
        <v/>
      </c>
    </row>
    <row r="172" ht="30" customHeight="1">
      <c r="A172" s="16" t="n">
        <v>45664</v>
      </c>
      <c r="B172" s="17" t="inlineStr">
        <is>
          <t>MH2501-18</t>
        </is>
      </c>
      <c r="C172" s="16" t="n">
        <v>45664</v>
      </c>
      <c r="D172" s="17" t="inlineStr">
        <is>
          <t>00000057</t>
        </is>
      </c>
      <c r="E172" s="16" t="n">
        <v>45664</v>
      </c>
      <c r="F172" s="16" t="inlineStr">
        <is>
          <t>XK2501-17</t>
        </is>
      </c>
      <c r="G172" s="16" t="n">
        <v>45664</v>
      </c>
      <c r="H172" s="18" t="inlineStr">
        <is>
          <t>CÔNG TY CỔ PHẦN CÔNG NGHIỆP VÀ THƯƠNG MẠI CƯỜNG THỊNH</t>
        </is>
      </c>
      <c r="I172" s="18" t="inlineStr">
        <is>
          <t>Bulong Din 933 8.8 ZP M30x100</t>
        </is>
      </c>
      <c r="J172" s="18" t="inlineStr">
        <is>
          <t>Cái</t>
        </is>
      </c>
      <c r="K172" s="19" t="n">
        <v>25490</v>
      </c>
      <c r="L172" s="20" t="n"/>
      <c r="M172" s="20" t="n"/>
      <c r="N172" s="22" t="n">
        <v>487</v>
      </c>
      <c r="O172" s="22" t="n">
        <v>12413630</v>
      </c>
      <c r="P172" s="22" t="n">
        <v>487</v>
      </c>
      <c r="Q172" s="22" t="n">
        <v>12413630</v>
      </c>
      <c r="R172" s="42">
        <f>+L172+N172-P172</f>
        <v/>
      </c>
      <c r="S172" s="42">
        <f>+M172+O172-Q172</f>
        <v/>
      </c>
    </row>
    <row r="173" ht="30" customHeight="1">
      <c r="A173" s="16" t="n">
        <v>45664</v>
      </c>
      <c r="B173" s="17" t="inlineStr">
        <is>
          <t>MH2501-18</t>
        </is>
      </c>
      <c r="C173" s="16" t="n">
        <v>45664</v>
      </c>
      <c r="D173" s="17" t="inlineStr">
        <is>
          <t>00000057</t>
        </is>
      </c>
      <c r="E173" s="16" t="n">
        <v>45664</v>
      </c>
      <c r="F173" s="16" t="inlineStr">
        <is>
          <t>XK2501-17</t>
        </is>
      </c>
      <c r="G173" s="16" t="n">
        <v>45664</v>
      </c>
      <c r="H173" s="18" t="inlineStr">
        <is>
          <t>CÔNG TY CỔ PHẦN CÔNG NGHIỆP VÀ THƯƠNG MẠI CƯỜNG THỊNH</t>
        </is>
      </c>
      <c r="I173" s="18" t="inlineStr">
        <is>
          <t>Đai ốc Din 934 8 ZP M30</t>
        </is>
      </c>
      <c r="J173" s="18" t="inlineStr">
        <is>
          <t>Cái</t>
        </is>
      </c>
      <c r="K173" s="19" t="n">
        <v>7590</v>
      </c>
      <c r="L173" s="20" t="n"/>
      <c r="M173" s="20" t="n"/>
      <c r="N173" s="22" t="n">
        <v>487</v>
      </c>
      <c r="O173" s="22" t="n">
        <v>3696330</v>
      </c>
      <c r="P173" s="22" t="n">
        <v>487</v>
      </c>
      <c r="Q173" s="22" t="n">
        <v>3696330</v>
      </c>
      <c r="R173" s="42">
        <f>+L173+N173-P173</f>
        <v/>
      </c>
      <c r="S173" s="42">
        <f>+M173+O173-Q173</f>
        <v/>
      </c>
    </row>
    <row r="174" ht="30" customHeight="1">
      <c r="A174" s="16" t="n">
        <v>45664</v>
      </c>
      <c r="B174" s="17" t="inlineStr">
        <is>
          <t>MH2501-18</t>
        </is>
      </c>
      <c r="C174" s="16" t="n">
        <v>45664</v>
      </c>
      <c r="D174" s="17" t="inlineStr">
        <is>
          <t>00000057</t>
        </is>
      </c>
      <c r="E174" s="16" t="n">
        <v>45664</v>
      </c>
      <c r="F174" s="16" t="inlineStr">
        <is>
          <t>XK2501-17</t>
        </is>
      </c>
      <c r="G174" s="16" t="n">
        <v>45664</v>
      </c>
      <c r="H174" s="18" t="inlineStr">
        <is>
          <t>CÔNG TY CỔ PHẦN CÔNG NGHIỆP VÀ THƯƠNG MẠI CƯỜNG THỊNH</t>
        </is>
      </c>
      <c r="I174" s="18" t="inlineStr">
        <is>
          <t>Long đền thường ZP M30B50D2</t>
        </is>
      </c>
      <c r="J174" s="18" t="inlineStr">
        <is>
          <t>Cái</t>
        </is>
      </c>
      <c r="K174" s="19" t="n">
        <v>890</v>
      </c>
      <c r="L174" s="20" t="n"/>
      <c r="M174" s="20" t="n"/>
      <c r="N174" s="22" t="n">
        <v>487</v>
      </c>
      <c r="O174" s="22" t="n">
        <v>433430</v>
      </c>
      <c r="P174" s="22" t="n">
        <v>487</v>
      </c>
      <c r="Q174" s="22" t="n">
        <v>433430</v>
      </c>
      <c r="R174" s="42">
        <f>+L174+N174-P174</f>
        <v/>
      </c>
      <c r="S174" s="42">
        <f>+M174+O174-Q174</f>
        <v/>
      </c>
    </row>
    <row r="175" ht="30" customHeight="1">
      <c r="A175" s="16" t="n">
        <v>45664</v>
      </c>
      <c r="B175" s="17" t="inlineStr">
        <is>
          <t>MH2501-18</t>
        </is>
      </c>
      <c r="C175" s="16" t="n">
        <v>45664</v>
      </c>
      <c r="D175" s="17" t="inlineStr">
        <is>
          <t>00000057</t>
        </is>
      </c>
      <c r="E175" s="16" t="n">
        <v>45664</v>
      </c>
      <c r="F175" s="16" t="inlineStr">
        <is>
          <t>XK2501-17</t>
        </is>
      </c>
      <c r="G175" s="16" t="n">
        <v>45664</v>
      </c>
      <c r="H175" s="18" t="inlineStr">
        <is>
          <t>CÔNG TY CỔ PHẦN CÔNG NGHIỆP VÀ THƯƠNG MẠI CƯỜNG THỊNH</t>
        </is>
      </c>
      <c r="I175" s="18" t="inlineStr">
        <is>
          <t>Bulong thường 4.6 ZP M12x40</t>
        </is>
      </c>
      <c r="J175" s="18" t="inlineStr">
        <is>
          <t>Cái</t>
        </is>
      </c>
      <c r="K175" s="19" t="n">
        <v>1100</v>
      </c>
      <c r="L175" s="20" t="n"/>
      <c r="M175" s="20" t="n"/>
      <c r="N175" s="22" t="n">
        <v>10132</v>
      </c>
      <c r="O175" s="22" t="n">
        <v>11145200</v>
      </c>
      <c r="P175" s="22" t="n">
        <v>10132</v>
      </c>
      <c r="Q175" s="22" t="n">
        <v>11145200</v>
      </c>
      <c r="R175" s="42">
        <f>+L175+N175-P175</f>
        <v/>
      </c>
      <c r="S175" s="42">
        <f>+M175+O175-Q175</f>
        <v/>
      </c>
    </row>
    <row r="176" ht="30" customHeight="1">
      <c r="A176" s="16" t="n">
        <v>45664</v>
      </c>
      <c r="B176" s="17" t="inlineStr">
        <is>
          <t>MH2501-18</t>
        </is>
      </c>
      <c r="C176" s="16" t="n">
        <v>45664</v>
      </c>
      <c r="D176" s="17" t="inlineStr">
        <is>
          <t>00000057</t>
        </is>
      </c>
      <c r="E176" s="16" t="n">
        <v>45664</v>
      </c>
      <c r="F176" s="16" t="inlineStr">
        <is>
          <t>XK2501-17</t>
        </is>
      </c>
      <c r="G176" s="16" t="n">
        <v>45664</v>
      </c>
      <c r="H176" s="18" t="inlineStr">
        <is>
          <t>CÔNG TY CỔ PHẦN CÔNG NGHIỆP VÀ THƯƠNG MẠI CƯỜNG THỊNH</t>
        </is>
      </c>
      <c r="I176" s="18" t="inlineStr">
        <is>
          <t>Đai ốc thường 4 ZP M12 (9mm)</t>
        </is>
      </c>
      <c r="J176" s="18" t="inlineStr">
        <is>
          <t>Cái</t>
        </is>
      </c>
      <c r="K176" s="19" t="n">
        <v>360</v>
      </c>
      <c r="L176" s="20" t="n"/>
      <c r="M176" s="20" t="n"/>
      <c r="N176" s="22" t="n">
        <v>10132</v>
      </c>
      <c r="O176" s="22" t="n">
        <v>3647520</v>
      </c>
      <c r="P176" s="22" t="n">
        <v>10132</v>
      </c>
      <c r="Q176" s="22" t="n">
        <v>3647520</v>
      </c>
      <c r="R176" s="42">
        <f>+L176+N176-P176</f>
        <v/>
      </c>
      <c r="S176" s="42">
        <f>+M176+O176-Q176</f>
        <v/>
      </c>
    </row>
    <row r="177" ht="30" customHeight="1">
      <c r="A177" s="16" t="n">
        <v>45664</v>
      </c>
      <c r="B177" s="17" t="inlineStr">
        <is>
          <t>MH2501-18</t>
        </is>
      </c>
      <c r="C177" s="16" t="n">
        <v>45664</v>
      </c>
      <c r="D177" s="17" t="inlineStr">
        <is>
          <t>00000057</t>
        </is>
      </c>
      <c r="E177" s="16" t="n">
        <v>45664</v>
      </c>
      <c r="F177" s="16" t="inlineStr">
        <is>
          <t>XK2501-17</t>
        </is>
      </c>
      <c r="G177" s="16" t="n">
        <v>45664</v>
      </c>
      <c r="H177" s="18" t="inlineStr">
        <is>
          <t>CÔNG TY CỔ PHẦN CÔNG NGHIỆP VÀ THƯƠNG MẠI CƯỜNG THỊNH</t>
        </is>
      </c>
      <c r="I177" s="18" t="inlineStr">
        <is>
          <t>Long đền thường ZP M12B23D1</t>
        </is>
      </c>
      <c r="J177" s="18" t="inlineStr">
        <is>
          <t>Cái</t>
        </is>
      </c>
      <c r="K177" s="19" t="n">
        <v>100</v>
      </c>
      <c r="L177" s="20" t="n"/>
      <c r="M177" s="20" t="n"/>
      <c r="N177" s="22" t="n">
        <v>20264</v>
      </c>
      <c r="O177" s="22" t="n">
        <v>2026400</v>
      </c>
      <c r="P177" s="22" t="n">
        <v>20264</v>
      </c>
      <c r="Q177" s="22" t="n">
        <v>2026400</v>
      </c>
      <c r="R177" s="42">
        <f>+L177+N177-P177</f>
        <v/>
      </c>
      <c r="S177" s="42">
        <f>+M177+O177-Q177</f>
        <v/>
      </c>
    </row>
    <row r="178" ht="30" customHeight="1">
      <c r="A178" s="16" t="n">
        <v>45665</v>
      </c>
      <c r="B178" s="17" t="inlineStr">
        <is>
          <t>MH2501-21</t>
        </is>
      </c>
      <c r="C178" s="16" t="n">
        <v>45665</v>
      </c>
      <c r="D178" s="17" t="inlineStr">
        <is>
          <t>00000098</t>
        </is>
      </c>
      <c r="E178" s="16" t="n">
        <v>45665</v>
      </c>
      <c r="F178" s="16" t="inlineStr">
        <is>
          <t>XK2501-18</t>
        </is>
      </c>
      <c r="G178" s="16" t="n">
        <v>45665</v>
      </c>
      <c r="H178" s="18" t="inlineStr">
        <is>
          <t>CÔNG TY CỔ PHẦN CÔNG NGHIỆP VÀ THƯƠNG MẠI CƯỜNG THỊNH</t>
        </is>
      </c>
      <c r="I178" s="18" t="inlineStr">
        <is>
          <t>Bulong Din 933 8.8 ZP M30x100</t>
        </is>
      </c>
      <c r="J178" s="18" t="inlineStr">
        <is>
          <t>Cái</t>
        </is>
      </c>
      <c r="K178" s="19" t="n">
        <v>25490</v>
      </c>
      <c r="L178" s="20" t="n"/>
      <c r="M178" s="20" t="n"/>
      <c r="N178" s="22" t="n">
        <v>80</v>
      </c>
      <c r="O178" s="22" t="n">
        <v>2039200</v>
      </c>
      <c r="P178" s="22" t="n">
        <v>80</v>
      </c>
      <c r="Q178" s="22" t="n">
        <v>2039200</v>
      </c>
      <c r="R178" s="42">
        <f>+L178+N178-P178</f>
        <v/>
      </c>
      <c r="S178" s="42">
        <f>+M178+O178-Q178</f>
        <v/>
      </c>
    </row>
    <row r="179" ht="30" customHeight="1">
      <c r="A179" s="16" t="n">
        <v>45665</v>
      </c>
      <c r="B179" s="17" t="inlineStr">
        <is>
          <t>MH2501-21</t>
        </is>
      </c>
      <c r="C179" s="16" t="n">
        <v>45665</v>
      </c>
      <c r="D179" s="17" t="inlineStr">
        <is>
          <t>00000098</t>
        </is>
      </c>
      <c r="E179" s="16" t="n">
        <v>45665</v>
      </c>
      <c r="F179" s="16" t="inlineStr">
        <is>
          <t>XK2501-18</t>
        </is>
      </c>
      <c r="G179" s="16" t="n">
        <v>45665</v>
      </c>
      <c r="H179" s="18" t="inlineStr">
        <is>
          <t>CÔNG TY CỔ PHẦN CÔNG NGHIỆP VÀ THƯƠNG MẠI CƯỜNG THỊNH</t>
        </is>
      </c>
      <c r="I179" s="18" t="inlineStr">
        <is>
          <t>Đai ốc Din 934 8 ZP M30</t>
        </is>
      </c>
      <c r="J179" s="18" t="inlineStr">
        <is>
          <t>Cái</t>
        </is>
      </c>
      <c r="K179" s="19" t="n">
        <v>7590</v>
      </c>
      <c r="L179" s="20" t="n"/>
      <c r="M179" s="20" t="n"/>
      <c r="N179" s="22" t="n">
        <v>80</v>
      </c>
      <c r="O179" s="22" t="n">
        <v>607200</v>
      </c>
      <c r="P179" s="22" t="n">
        <v>80</v>
      </c>
      <c r="Q179" s="22" t="n">
        <v>607200</v>
      </c>
      <c r="R179" s="42">
        <f>+L179+N179-P179</f>
        <v/>
      </c>
      <c r="S179" s="42">
        <f>+M179+O179-Q179</f>
        <v/>
      </c>
    </row>
    <row r="180" ht="30" customHeight="1">
      <c r="A180" s="16" t="n">
        <v>45665</v>
      </c>
      <c r="B180" s="17" t="inlineStr">
        <is>
          <t>MH2501-21</t>
        </is>
      </c>
      <c r="C180" s="16" t="n">
        <v>45665</v>
      </c>
      <c r="D180" s="17" t="inlineStr">
        <is>
          <t>00000098</t>
        </is>
      </c>
      <c r="E180" s="16" t="n">
        <v>45665</v>
      </c>
      <c r="F180" s="16" t="inlineStr">
        <is>
          <t>XK2501-18</t>
        </is>
      </c>
      <c r="G180" s="16" t="n">
        <v>45665</v>
      </c>
      <c r="H180" s="18" t="inlineStr">
        <is>
          <t>CÔNG TY CỔ PHẦN CÔNG NGHIỆP VÀ THƯƠNG MẠI CƯỜNG THỊNH</t>
        </is>
      </c>
      <c r="I180" s="18" t="inlineStr">
        <is>
          <t>Long đền thường ZP M30B50D2</t>
        </is>
      </c>
      <c r="J180" s="18" t="inlineStr">
        <is>
          <t>Cái</t>
        </is>
      </c>
      <c r="K180" s="19" t="n">
        <v>890</v>
      </c>
      <c r="L180" s="20" t="n"/>
      <c r="M180" s="20" t="n"/>
      <c r="N180" s="22" t="n">
        <v>80</v>
      </c>
      <c r="O180" s="22" t="n">
        <v>71200</v>
      </c>
      <c r="P180" s="22" t="n">
        <v>80</v>
      </c>
      <c r="Q180" s="22" t="n">
        <v>71200</v>
      </c>
      <c r="R180" s="42">
        <f>+L180+N180-P180</f>
        <v/>
      </c>
      <c r="S180" s="42">
        <f>+M180+O180-Q180</f>
        <v/>
      </c>
    </row>
    <row r="181" ht="30" customHeight="1">
      <c r="A181" s="16" t="n">
        <v>45665</v>
      </c>
      <c r="B181" s="17" t="inlineStr">
        <is>
          <t>MH2501-24</t>
        </is>
      </c>
      <c r="C181" s="16" t="n">
        <v>45665</v>
      </c>
      <c r="D181" s="17" t="inlineStr">
        <is>
          <t>2</t>
        </is>
      </c>
      <c r="E181" s="16" t="n">
        <v>45665</v>
      </c>
      <c r="F181" s="16" t="inlineStr">
        <is>
          <t>XK2501-18</t>
        </is>
      </c>
      <c r="G181" s="16" t="n">
        <v>45665</v>
      </c>
      <c r="H181" s="18" t="inlineStr">
        <is>
          <t>CÔNG TY TNHH KẾT CẤU THÉP KHƯƠNG THÀNH</t>
        </is>
      </c>
      <c r="I181" s="18" t="inlineStr">
        <is>
          <t>Cung cấp vật tư , nhân công gia công</t>
        </is>
      </c>
      <c r="J181" s="18" t="inlineStr">
        <is>
          <t>kg</t>
        </is>
      </c>
      <c r="K181" s="19" t="n">
        <v>30864</v>
      </c>
      <c r="L181" s="20" t="n"/>
      <c r="M181" s="20" t="n"/>
      <c r="N181" s="22" t="n">
        <v>73679.56</v>
      </c>
      <c r="O181" s="22" t="n">
        <v>2274045940</v>
      </c>
      <c r="P181" s="22" t="n">
        <v>73679.56</v>
      </c>
      <c r="Q181" s="22" t="n">
        <v>2274045940</v>
      </c>
      <c r="R181" s="42">
        <f>+L181+N181-P181</f>
        <v/>
      </c>
      <c r="S181" s="42">
        <f>+M181+O181-Q181</f>
        <v/>
      </c>
    </row>
    <row r="182" ht="15" customHeight="1">
      <c r="A182" s="16" t="n">
        <v>45666</v>
      </c>
      <c r="B182" s="17" t="inlineStr">
        <is>
          <t>MH2501-25</t>
        </is>
      </c>
      <c r="C182" s="16" t="n">
        <v>45666</v>
      </c>
      <c r="D182" s="17" t="inlineStr">
        <is>
          <t>00000348</t>
        </is>
      </c>
      <c r="E182" s="16" t="n">
        <v>45666</v>
      </c>
      <c r="F182" s="16" t="inlineStr">
        <is>
          <t>XK2501-19</t>
        </is>
      </c>
      <c r="G182" s="16" t="n">
        <v>45666</v>
      </c>
      <c r="H182" s="18" t="inlineStr">
        <is>
          <t>CÔNG TY TNHH SƠN JOTUN VIỆT NAM</t>
        </is>
      </c>
      <c r="I182" s="18" t="inlineStr">
        <is>
          <t>SƠN JOTAMASTIC 70 GREY         18L</t>
        </is>
      </c>
      <c r="J182" s="18" t="inlineStr">
        <is>
          <t>Lít</t>
        </is>
      </c>
      <c r="K182" s="19" t="n">
        <v>90000</v>
      </c>
      <c r="L182" s="20" t="n"/>
      <c r="M182" s="20" t="n"/>
      <c r="N182" s="22" t="n">
        <v>216</v>
      </c>
      <c r="O182" s="22" t="n">
        <v>19440000</v>
      </c>
      <c r="P182" s="22" t="n">
        <v>216</v>
      </c>
      <c r="Q182" s="22" t="n">
        <v>19440000</v>
      </c>
      <c r="R182" s="42">
        <f>+L182+N182-P182</f>
        <v/>
      </c>
      <c r="S182" s="42">
        <f>+M182+O182-Q182</f>
        <v/>
      </c>
    </row>
    <row r="183" ht="15" customHeight="1">
      <c r="A183" s="16" t="n">
        <v>45666</v>
      </c>
      <c r="B183" s="17" t="inlineStr">
        <is>
          <t>MH2501-25</t>
        </is>
      </c>
      <c r="C183" s="16" t="n">
        <v>45666</v>
      </c>
      <c r="D183" s="17" t="inlineStr">
        <is>
          <t>00000348</t>
        </is>
      </c>
      <c r="E183" s="16" t="n">
        <v>45666</v>
      </c>
      <c r="F183" s="16" t="inlineStr">
        <is>
          <t>XK2501-19</t>
        </is>
      </c>
      <c r="G183" s="16" t="n">
        <v>45666</v>
      </c>
      <c r="H183" s="18" t="inlineStr">
        <is>
          <t>CÔNG TY TNHH SƠN JOTUN VIỆT NAM</t>
        </is>
      </c>
      <c r="I183" s="18" t="inlineStr">
        <is>
          <t>SƠN FUTURA CLASSIC RAL9005   19.06L</t>
        </is>
      </c>
      <c r="J183" s="18" t="inlineStr">
        <is>
          <t>Lít</t>
        </is>
      </c>
      <c r="K183" s="19" t="n">
        <v>155000</v>
      </c>
      <c r="L183" s="20" t="n"/>
      <c r="M183" s="20" t="n"/>
      <c r="N183" s="22" t="n">
        <v>209.66</v>
      </c>
      <c r="O183" s="22" t="n">
        <v>32497300</v>
      </c>
      <c r="P183" s="22" t="n">
        <v>209.66</v>
      </c>
      <c r="Q183" s="22" t="n">
        <v>32497300</v>
      </c>
      <c r="R183" s="42">
        <f>+L183+N183-P183</f>
        <v/>
      </c>
      <c r="S183" s="42">
        <f>+M183+O183-Q183</f>
        <v/>
      </c>
    </row>
    <row r="184" ht="15" customHeight="1">
      <c r="A184" s="16" t="n">
        <v>45666</v>
      </c>
      <c r="B184" s="17" t="inlineStr">
        <is>
          <t>MH2501-25</t>
        </is>
      </c>
      <c r="C184" s="16" t="n">
        <v>45666</v>
      </c>
      <c r="D184" s="17" t="inlineStr">
        <is>
          <t>00000348</t>
        </is>
      </c>
      <c r="E184" s="16" t="n">
        <v>45666</v>
      </c>
      <c r="F184" s="16" t="inlineStr">
        <is>
          <t>XK2501-19</t>
        </is>
      </c>
      <c r="G184" s="16" t="n">
        <v>45666</v>
      </c>
      <c r="H184" s="18" t="inlineStr">
        <is>
          <t>CÔNG TY TNHH SƠN JOTUN VIỆT NAM</t>
        </is>
      </c>
      <c r="I184" s="18" t="inlineStr">
        <is>
          <t>SƠN FUTURA CLASSIC RAL9005      4.77L</t>
        </is>
      </c>
      <c r="J184" s="18" t="inlineStr">
        <is>
          <t>Lít</t>
        </is>
      </c>
      <c r="K184" s="19" t="n">
        <v>155000</v>
      </c>
      <c r="L184" s="20" t="n"/>
      <c r="M184" s="20" t="n"/>
      <c r="N184" s="22" t="n">
        <v>19.08</v>
      </c>
      <c r="O184" s="22" t="n">
        <v>2957400</v>
      </c>
      <c r="P184" s="22" t="n">
        <v>19.08</v>
      </c>
      <c r="Q184" s="22" t="n">
        <v>2957400</v>
      </c>
      <c r="R184" s="42">
        <f>+L184+N184-P184</f>
        <v/>
      </c>
      <c r="S184" s="42">
        <f>+M184+O184-Q184</f>
        <v/>
      </c>
    </row>
    <row r="185" ht="15" customHeight="1">
      <c r="A185" s="16" t="n">
        <v>45666</v>
      </c>
      <c r="B185" s="17" t="inlineStr">
        <is>
          <t>MH2501-25</t>
        </is>
      </c>
      <c r="C185" s="16" t="n">
        <v>45666</v>
      </c>
      <c r="D185" s="17" t="inlineStr">
        <is>
          <t>00000348</t>
        </is>
      </c>
      <c r="E185" s="16" t="n">
        <v>45666</v>
      </c>
      <c r="F185" s="16" t="inlineStr">
        <is>
          <t>XK2501-19</t>
        </is>
      </c>
      <c r="G185" s="16" t="n">
        <v>45666</v>
      </c>
      <c r="H185" s="18" t="inlineStr">
        <is>
          <t>CÔNG TY TNHH SƠN JOTUN VIỆT NAM</t>
        </is>
      </c>
      <c r="I185" s="18" t="inlineStr">
        <is>
          <t>DUNG MÔI JOTUN THINNER NO. 17       20L</t>
        </is>
      </c>
      <c r="J185" s="18" t="inlineStr">
        <is>
          <t>Lít</t>
        </is>
      </c>
      <c r="K185" s="19" t="n">
        <v>60000</v>
      </c>
      <c r="L185" s="20" t="n"/>
      <c r="M185" s="20" t="n"/>
      <c r="N185" s="22" t="n">
        <v>40</v>
      </c>
      <c r="O185" s="22" t="n">
        <v>2400000</v>
      </c>
      <c r="P185" s="22" t="n">
        <v>40</v>
      </c>
      <c r="Q185" s="22" t="n">
        <v>2400000</v>
      </c>
      <c r="R185" s="42">
        <f>+L185+N185-P185</f>
        <v/>
      </c>
      <c r="S185" s="42">
        <f>+M185+O185-Q185</f>
        <v/>
      </c>
    </row>
    <row r="186" ht="15" customHeight="1">
      <c r="A186" s="16" t="n">
        <v>45666</v>
      </c>
      <c r="B186" s="17" t="inlineStr">
        <is>
          <t>MH2501-25</t>
        </is>
      </c>
      <c r="C186" s="16" t="n">
        <v>45666</v>
      </c>
      <c r="D186" s="17" t="inlineStr">
        <is>
          <t>00000348</t>
        </is>
      </c>
      <c r="E186" s="16" t="n">
        <v>45666</v>
      </c>
      <c r="F186" s="16" t="inlineStr">
        <is>
          <t>XK2501-19</t>
        </is>
      </c>
      <c r="G186" s="16" t="n">
        <v>45666</v>
      </c>
      <c r="H186" s="18" t="inlineStr">
        <is>
          <t>CÔNG TY TNHH SƠN JOTUN VIỆT NAM</t>
        </is>
      </c>
      <c r="I186" s="18" t="inlineStr">
        <is>
          <t>DUNG MÔI JOTUN THINNER NO. 10       20L</t>
        </is>
      </c>
      <c r="J186" s="18" t="inlineStr">
        <is>
          <t>Lít</t>
        </is>
      </c>
      <c r="K186" s="19" t="n">
        <v>60000</v>
      </c>
      <c r="L186" s="20" t="n"/>
      <c r="M186" s="20" t="n"/>
      <c r="N186" s="22" t="n">
        <v>40</v>
      </c>
      <c r="O186" s="22" t="n">
        <v>2400000</v>
      </c>
      <c r="P186" s="22" t="n">
        <v>40</v>
      </c>
      <c r="Q186" s="22" t="n">
        <v>2400000</v>
      </c>
      <c r="R186" s="42">
        <f>+L186+N186-P186</f>
        <v/>
      </c>
      <c r="S186" s="42">
        <f>+M186+O186-Q186</f>
        <v/>
      </c>
    </row>
    <row r="187" ht="15" customHeight="1">
      <c r="A187" s="16" t="n">
        <v>45666</v>
      </c>
      <c r="B187" s="17" t="inlineStr">
        <is>
          <t>MH2501-26</t>
        </is>
      </c>
      <c r="C187" s="16" t="n">
        <v>45666</v>
      </c>
      <c r="D187" s="17" t="inlineStr">
        <is>
          <t>00000349</t>
        </is>
      </c>
      <c r="E187" s="16" t="n">
        <v>45666</v>
      </c>
      <c r="F187" s="16" t="inlineStr">
        <is>
          <t>XK2501-19</t>
        </is>
      </c>
      <c r="G187" s="16" t="n">
        <v>45666</v>
      </c>
      <c r="H187" s="18" t="inlineStr">
        <is>
          <t>CÔNG TY TNHH SƠN JOTUN VIỆT NAM</t>
        </is>
      </c>
      <c r="I187" s="18" t="inlineStr">
        <is>
          <t>SƠN JOTAMASTIC 70 GREY         18L</t>
        </is>
      </c>
      <c r="J187" s="18" t="inlineStr">
        <is>
          <t>Lít</t>
        </is>
      </c>
      <c r="K187" s="19" t="n">
        <v>90000</v>
      </c>
      <c r="L187" s="20" t="n"/>
      <c r="M187" s="20" t="n"/>
      <c r="N187" s="22" t="n">
        <v>90</v>
      </c>
      <c r="O187" s="22" t="n">
        <v>8100000</v>
      </c>
      <c r="P187" s="22" t="n">
        <v>90</v>
      </c>
      <c r="Q187" s="22" t="n">
        <v>8100000</v>
      </c>
      <c r="R187" s="42">
        <f>+L187+N187-P187</f>
        <v/>
      </c>
      <c r="S187" s="42">
        <f>+M187+O187-Q187</f>
        <v/>
      </c>
    </row>
    <row r="188" ht="15" customHeight="1">
      <c r="A188" s="16" t="n">
        <v>45666</v>
      </c>
      <c r="B188" s="17" t="inlineStr">
        <is>
          <t>MH2501-26</t>
        </is>
      </c>
      <c r="C188" s="16" t="n">
        <v>45666</v>
      </c>
      <c r="D188" s="17" t="inlineStr">
        <is>
          <t>00000349</t>
        </is>
      </c>
      <c r="E188" s="16" t="n">
        <v>45666</v>
      </c>
      <c r="F188" s="16" t="inlineStr">
        <is>
          <t>XK2501-19</t>
        </is>
      </c>
      <c r="G188" s="16" t="n">
        <v>45666</v>
      </c>
      <c r="H188" s="18" t="inlineStr">
        <is>
          <t>CÔNG TY TNHH SƠN JOTUN VIỆT NAM</t>
        </is>
      </c>
      <c r="I188" s="18" t="inlineStr">
        <is>
          <t>SƠN FUTURA CLASSIC STD 0139   18.81L</t>
        </is>
      </c>
      <c r="J188" s="18" t="inlineStr">
        <is>
          <t>Lít</t>
        </is>
      </c>
      <c r="K188" s="19" t="n">
        <v>155000</v>
      </c>
      <c r="L188" s="20" t="n"/>
      <c r="M188" s="20" t="n"/>
      <c r="N188" s="22" t="n">
        <v>75.23999999999999</v>
      </c>
      <c r="O188" s="22" t="n">
        <v>11662200</v>
      </c>
      <c r="P188" s="22" t="n">
        <v>75.23999999999999</v>
      </c>
      <c r="Q188" s="22" t="n">
        <v>11662200</v>
      </c>
      <c r="R188" s="42">
        <f>+L188+N188-P188</f>
        <v/>
      </c>
      <c r="S188" s="42">
        <f>+M188+O188-Q188</f>
        <v/>
      </c>
    </row>
    <row r="189" ht="15" customHeight="1">
      <c r="A189" s="16" t="n">
        <v>45666</v>
      </c>
      <c r="B189" s="17" t="inlineStr">
        <is>
          <t>MH2501-26</t>
        </is>
      </c>
      <c r="C189" s="16" t="n">
        <v>45666</v>
      </c>
      <c r="D189" s="17" t="inlineStr">
        <is>
          <t>00000349</t>
        </is>
      </c>
      <c r="E189" s="16" t="n">
        <v>45666</v>
      </c>
      <c r="F189" s="16" t="inlineStr">
        <is>
          <t>XK2501-19</t>
        </is>
      </c>
      <c r="G189" s="16" t="n">
        <v>45666</v>
      </c>
      <c r="H189" s="18" t="inlineStr">
        <is>
          <t>CÔNG TY TNHH SƠN JOTUN VIỆT NAM</t>
        </is>
      </c>
      <c r="I189" s="18" t="inlineStr">
        <is>
          <t>SƠN FUTURA CLASSIC STD 0139    4.97L</t>
        </is>
      </c>
      <c r="J189" s="18" t="inlineStr">
        <is>
          <t>Lít</t>
        </is>
      </c>
      <c r="K189" s="19" t="n">
        <v>155000</v>
      </c>
      <c r="L189" s="20" t="n"/>
      <c r="M189" s="20" t="n"/>
      <c r="N189" s="22" t="n">
        <v>9.4</v>
      </c>
      <c r="O189" s="22" t="n">
        <v>1457000</v>
      </c>
      <c r="P189" s="22" t="n">
        <v>9.4</v>
      </c>
      <c r="Q189" s="22" t="n">
        <v>1457000</v>
      </c>
      <c r="R189" s="42">
        <f>+L189+N189-P189</f>
        <v/>
      </c>
      <c r="S189" s="42">
        <f>+M189+O189-Q189</f>
        <v/>
      </c>
    </row>
    <row r="190" ht="15" customHeight="1">
      <c r="A190" s="16" t="n">
        <v>45666</v>
      </c>
      <c r="B190" s="17" t="inlineStr">
        <is>
          <t>MH2501-26</t>
        </is>
      </c>
      <c r="C190" s="16" t="n">
        <v>45666</v>
      </c>
      <c r="D190" s="17" t="inlineStr">
        <is>
          <t>00000349</t>
        </is>
      </c>
      <c r="E190" s="16" t="n">
        <v>45666</v>
      </c>
      <c r="F190" s="16" t="inlineStr">
        <is>
          <t>XK2501-19</t>
        </is>
      </c>
      <c r="G190" s="16" t="n">
        <v>45666</v>
      </c>
      <c r="H190" s="18" t="inlineStr">
        <is>
          <t>CÔNG TY TNHH SƠN JOTUN VIỆT NAM</t>
        </is>
      </c>
      <c r="I190" s="18" t="inlineStr">
        <is>
          <t>DUNG MÔI JOTUN THINNER NO. 17       20L</t>
        </is>
      </c>
      <c r="J190" s="18" t="inlineStr">
        <is>
          <t>Lít</t>
        </is>
      </c>
      <c r="K190" s="19" t="n">
        <v>60000</v>
      </c>
      <c r="L190" s="20" t="n"/>
      <c r="M190" s="20" t="n"/>
      <c r="N190" s="22" t="n">
        <v>20</v>
      </c>
      <c r="O190" s="22" t="n">
        <v>1200000</v>
      </c>
      <c r="P190" s="22" t="n">
        <v>20</v>
      </c>
      <c r="Q190" s="22" t="n">
        <v>1200000</v>
      </c>
      <c r="R190" s="42">
        <f>+L190+N190-P190</f>
        <v/>
      </c>
      <c r="S190" s="42">
        <f>+M190+O190-Q190</f>
        <v/>
      </c>
    </row>
    <row r="191" ht="15" customHeight="1">
      <c r="A191" s="16" t="n">
        <v>45666</v>
      </c>
      <c r="B191" s="17" t="inlineStr">
        <is>
          <t>MH2501-26</t>
        </is>
      </c>
      <c r="C191" s="16" t="n">
        <v>45666</v>
      </c>
      <c r="D191" s="17" t="inlineStr">
        <is>
          <t>00000349</t>
        </is>
      </c>
      <c r="E191" s="16" t="n">
        <v>45666</v>
      </c>
      <c r="F191" s="16" t="inlineStr">
        <is>
          <t>XK2501-19</t>
        </is>
      </c>
      <c r="G191" s="16" t="n">
        <v>45666</v>
      </c>
      <c r="H191" s="18" t="inlineStr">
        <is>
          <t>CÔNG TY TNHH SƠN JOTUN VIỆT NAM</t>
        </is>
      </c>
      <c r="I191" s="18" t="inlineStr">
        <is>
          <t>DUNG MÔI JOTUN THINNER NO. 10       20L</t>
        </is>
      </c>
      <c r="J191" s="18" t="inlineStr">
        <is>
          <t>Lít</t>
        </is>
      </c>
      <c r="K191" s="19" t="n">
        <v>60000</v>
      </c>
      <c r="L191" s="20" t="n"/>
      <c r="M191" s="20" t="n"/>
      <c r="N191" s="22" t="n">
        <v>20</v>
      </c>
      <c r="O191" s="22" t="n">
        <v>1200000</v>
      </c>
      <c r="P191" s="22" t="n">
        <v>20</v>
      </c>
      <c r="Q191" s="22" t="n">
        <v>1200000</v>
      </c>
      <c r="R191" s="42">
        <f>+L191+N191-P191</f>
        <v/>
      </c>
      <c r="S191" s="42">
        <f>+M191+O191-Q191</f>
        <v/>
      </c>
    </row>
    <row r="192" ht="15" customHeight="1">
      <c r="A192" s="16" t="n">
        <v>45671</v>
      </c>
      <c r="B192" s="17" t="inlineStr">
        <is>
          <t>MH2501-29</t>
        </is>
      </c>
      <c r="C192" s="16" t="n">
        <v>45671</v>
      </c>
      <c r="D192" s="17" t="inlineStr">
        <is>
          <t>00000128</t>
        </is>
      </c>
      <c r="E192" s="16" t="n">
        <v>45671</v>
      </c>
      <c r="F192" s="16" t="inlineStr">
        <is>
          <t>XK2501-20</t>
        </is>
      </c>
      <c r="G192" s="16" t="n">
        <v>45671</v>
      </c>
      <c r="H192" s="18" t="inlineStr">
        <is>
          <t>CÔNG TY TNHH TÂN MỸ HẠNH</t>
        </is>
      </c>
      <c r="I192" s="18" t="inlineStr">
        <is>
          <t>Thép dày mạ kẽm</t>
        </is>
      </c>
      <c r="J192" s="18" t="inlineStr">
        <is>
          <t>kg</t>
        </is>
      </c>
      <c r="K192" s="19" t="n">
        <v>22696</v>
      </c>
      <c r="L192" s="20" t="n"/>
      <c r="M192" s="20" t="n"/>
      <c r="N192" s="22" t="n">
        <v>545.3724</v>
      </c>
      <c r="O192" s="22" t="n">
        <v>12377772</v>
      </c>
      <c r="P192" s="22" t="n">
        <v>545.3724</v>
      </c>
      <c r="Q192" s="22" t="n">
        <v>12377772</v>
      </c>
      <c r="R192" s="42">
        <f>+L192+N192-P192</f>
        <v/>
      </c>
      <c r="S192" s="42">
        <f>+M192+O192-Q192</f>
        <v/>
      </c>
    </row>
    <row r="193" ht="15" customHeight="1">
      <c r="A193" s="16" t="n">
        <v>45671</v>
      </c>
      <c r="B193" s="17" t="inlineStr">
        <is>
          <t>MH2501-29</t>
        </is>
      </c>
      <c r="C193" s="16" t="n">
        <v>45671</v>
      </c>
      <c r="D193" s="17" t="inlineStr">
        <is>
          <t>00000128</t>
        </is>
      </c>
      <c r="E193" s="16" t="n">
        <v>45671</v>
      </c>
      <c r="F193" s="16" t="inlineStr">
        <is>
          <t>XK2501-20</t>
        </is>
      </c>
      <c r="G193" s="16" t="n">
        <v>45671</v>
      </c>
      <c r="H193" s="18" t="inlineStr">
        <is>
          <t>CÔNG TY TNHH TÂN MỸ HẠNH</t>
        </is>
      </c>
      <c r="I193" s="18" t="inlineStr">
        <is>
          <t>Tôn mạ kẽm</t>
        </is>
      </c>
      <c r="J193" s="18" t="inlineStr">
        <is>
          <t>kg</t>
        </is>
      </c>
      <c r="K193" s="19" t="n">
        <v>17445</v>
      </c>
      <c r="L193" s="20" t="n"/>
      <c r="M193" s="20" t="n"/>
      <c r="N193" s="22" t="n">
        <v>2249.54</v>
      </c>
      <c r="O193" s="22" t="n">
        <v>39243225</v>
      </c>
      <c r="P193" s="22" t="n">
        <v>2249.54</v>
      </c>
      <c r="Q193" s="22" t="n">
        <v>39243225</v>
      </c>
      <c r="R193" s="42">
        <f>+L193+N193-P193</f>
        <v/>
      </c>
      <c r="S193" s="42">
        <f>+M193+O193-Q193</f>
        <v/>
      </c>
    </row>
    <row r="194" ht="15" customHeight="1">
      <c r="A194" s="16" t="n">
        <v>45671</v>
      </c>
      <c r="B194" s="17" t="inlineStr">
        <is>
          <t>MH2501-29</t>
        </is>
      </c>
      <c r="C194" s="16" t="n">
        <v>45671</v>
      </c>
      <c r="D194" s="17" t="inlineStr">
        <is>
          <t>00000128</t>
        </is>
      </c>
      <c r="E194" s="16" t="n">
        <v>45671</v>
      </c>
      <c r="F194" s="16" t="inlineStr">
        <is>
          <t>XK2501-20</t>
        </is>
      </c>
      <c r="G194" s="16" t="n">
        <v>45671</v>
      </c>
      <c r="H194" s="18" t="inlineStr">
        <is>
          <t>CÔNG TY TNHH TÂN MỸ HẠNH</t>
        </is>
      </c>
      <c r="I194" s="18" t="inlineStr">
        <is>
          <t>Xà gồ kẽm Z</t>
        </is>
      </c>
      <c r="J194" s="18" t="inlineStr">
        <is>
          <t>kg</t>
        </is>
      </c>
      <c r="K194" s="19" t="n">
        <v>18976</v>
      </c>
      <c r="L194" s="20" t="n"/>
      <c r="M194" s="20" t="n"/>
      <c r="N194" s="22" t="n">
        <v>2071.57</v>
      </c>
      <c r="O194" s="22" t="n">
        <v>39310112</v>
      </c>
      <c r="P194" s="22" t="n">
        <v>2071.57</v>
      </c>
      <c r="Q194" s="22" t="n">
        <v>39310112</v>
      </c>
      <c r="R194" s="42">
        <f>+L194+N194-P194</f>
        <v/>
      </c>
      <c r="S194" s="42">
        <f>+M194+O194-Q194</f>
        <v/>
      </c>
    </row>
    <row r="195" ht="15" customHeight="1">
      <c r="A195" s="16" t="n">
        <v>45671</v>
      </c>
      <c r="B195" s="17" t="inlineStr">
        <is>
          <t>MH2501-30</t>
        </is>
      </c>
      <c r="C195" s="16" t="n">
        <v>45671</v>
      </c>
      <c r="D195" s="17" t="inlineStr">
        <is>
          <t>00000129</t>
        </is>
      </c>
      <c r="E195" s="16" t="n">
        <v>45671</v>
      </c>
      <c r="F195" s="16" t="inlineStr">
        <is>
          <t>XK2501-20</t>
        </is>
      </c>
      <c r="G195" s="16" t="n">
        <v>45671</v>
      </c>
      <c r="H195" s="18" t="inlineStr">
        <is>
          <t>CÔNG TY TNHH TÂN MỸ HẠNH</t>
        </is>
      </c>
      <c r="I195" s="18" t="inlineStr">
        <is>
          <t>Thép dày mạ kẽm</t>
        </is>
      </c>
      <c r="J195" s="18" t="inlineStr">
        <is>
          <t>kg</t>
        </is>
      </c>
      <c r="K195" s="19" t="n">
        <v>22696</v>
      </c>
      <c r="L195" s="20" t="n"/>
      <c r="M195" s="20" t="n"/>
      <c r="N195" s="22" t="n">
        <v>39.7229</v>
      </c>
      <c r="O195" s="22" t="n">
        <v>901551</v>
      </c>
      <c r="P195" s="22" t="n">
        <v>39.7229</v>
      </c>
      <c r="Q195" s="22" t="n">
        <v>901551</v>
      </c>
      <c r="R195" s="42">
        <f>+L195+N195-P195</f>
        <v/>
      </c>
      <c r="S195" s="42">
        <f>+M195+O195-Q195</f>
        <v/>
      </c>
    </row>
    <row r="196" ht="15" customHeight="1">
      <c r="A196" s="16" t="n">
        <v>45671</v>
      </c>
      <c r="B196" s="17" t="inlineStr">
        <is>
          <t>MH2501-30</t>
        </is>
      </c>
      <c r="C196" s="16" t="n">
        <v>45671</v>
      </c>
      <c r="D196" s="17" t="inlineStr">
        <is>
          <t>00000129</t>
        </is>
      </c>
      <c r="E196" s="16" t="n">
        <v>45671</v>
      </c>
      <c r="F196" s="16" t="inlineStr">
        <is>
          <t>XK2501-20</t>
        </is>
      </c>
      <c r="G196" s="16" t="n">
        <v>45671</v>
      </c>
      <c r="H196" s="18" t="inlineStr">
        <is>
          <t>CÔNG TY TNHH TÂN MỸ HẠNH</t>
        </is>
      </c>
      <c r="I196" s="18" t="inlineStr">
        <is>
          <t>Xà gồ kẽm Z</t>
        </is>
      </c>
      <c r="J196" s="18" t="inlineStr">
        <is>
          <t>kg</t>
        </is>
      </c>
      <c r="K196" s="19" t="n">
        <v>18976</v>
      </c>
      <c r="L196" s="20" t="n"/>
      <c r="M196" s="20" t="n"/>
      <c r="N196" s="22" t="n">
        <v>1302.92</v>
      </c>
      <c r="O196" s="22" t="n">
        <v>24724210</v>
      </c>
      <c r="P196" s="22" t="n">
        <v>1302.92</v>
      </c>
      <c r="Q196" s="22" t="n">
        <v>24724210</v>
      </c>
      <c r="R196" s="42">
        <f>+L196+N196-P196</f>
        <v/>
      </c>
      <c r="S196" s="42">
        <f>+M196+O196-Q196</f>
        <v/>
      </c>
    </row>
    <row r="197" ht="15" customHeight="1">
      <c r="A197" s="16" t="n">
        <v>45671</v>
      </c>
      <c r="B197" s="17" t="inlineStr">
        <is>
          <t>MH2501-31</t>
        </is>
      </c>
      <c r="C197" s="16" t="n">
        <v>45671</v>
      </c>
      <c r="D197" s="17" t="inlineStr">
        <is>
          <t>00000130</t>
        </is>
      </c>
      <c r="E197" s="16" t="n">
        <v>45671</v>
      </c>
      <c r="F197" s="16" t="inlineStr">
        <is>
          <t>XK2501-20</t>
        </is>
      </c>
      <c r="G197" s="16" t="n">
        <v>45671</v>
      </c>
      <c r="H197" s="18" t="inlineStr">
        <is>
          <t>CÔNG TY TNHH TÂN MỸ HẠNH</t>
        </is>
      </c>
      <c r="I197" s="18" t="inlineStr">
        <is>
          <t>Thép dày mạ kẽm</t>
        </is>
      </c>
      <c r="J197" s="18" t="inlineStr">
        <is>
          <t>kg</t>
        </is>
      </c>
      <c r="K197" s="19" t="n">
        <v>22696</v>
      </c>
      <c r="L197" s="20" t="n"/>
      <c r="M197" s="20" t="n"/>
      <c r="N197" s="22" t="n">
        <v>1520.0812</v>
      </c>
      <c r="O197" s="22" t="n">
        <v>34499763</v>
      </c>
      <c r="P197" s="22" t="n">
        <v>1520.0812</v>
      </c>
      <c r="Q197" s="22" t="n">
        <v>34499763</v>
      </c>
      <c r="R197" s="42">
        <f>+L197+N197-P197</f>
        <v/>
      </c>
      <c r="S197" s="42">
        <f>+M197+O197-Q197</f>
        <v/>
      </c>
    </row>
    <row r="198" ht="15" customHeight="1">
      <c r="A198" s="16" t="n">
        <v>45671</v>
      </c>
      <c r="B198" s="17" t="inlineStr">
        <is>
          <t>MH2501-31</t>
        </is>
      </c>
      <c r="C198" s="16" t="n">
        <v>45671</v>
      </c>
      <c r="D198" s="17" t="inlineStr">
        <is>
          <t>00000130</t>
        </is>
      </c>
      <c r="E198" s="16" t="n">
        <v>45671</v>
      </c>
      <c r="F198" s="16" t="inlineStr">
        <is>
          <t>XK2501-20</t>
        </is>
      </c>
      <c r="G198" s="16" t="n">
        <v>45671</v>
      </c>
      <c r="H198" s="18" t="inlineStr">
        <is>
          <t>CÔNG TY TNHH TÂN MỸ HẠNH</t>
        </is>
      </c>
      <c r="I198" s="18" t="inlineStr">
        <is>
          <t>Tôn mạ kẽm</t>
        </is>
      </c>
      <c r="J198" s="18" t="inlineStr">
        <is>
          <t>kg</t>
        </is>
      </c>
      <c r="K198" s="19" t="n">
        <v>17445</v>
      </c>
      <c r="L198" s="20" t="n"/>
      <c r="M198" s="20" t="n"/>
      <c r="N198" s="22" t="n">
        <v>3303.75</v>
      </c>
      <c r="O198" s="22" t="n">
        <v>57633919</v>
      </c>
      <c r="P198" s="22" t="n">
        <v>3303.75</v>
      </c>
      <c r="Q198" s="22" t="n">
        <v>57633919</v>
      </c>
      <c r="R198" s="42">
        <f>+L198+N198-P198</f>
        <v/>
      </c>
      <c r="S198" s="42">
        <f>+M198+O198-Q198</f>
        <v/>
      </c>
    </row>
    <row r="199" ht="30" customHeight="1">
      <c r="A199" s="16" t="n">
        <v>45671</v>
      </c>
      <c r="B199" s="17" t="inlineStr">
        <is>
          <t>MH2501-32</t>
        </is>
      </c>
      <c r="C199" s="16" t="n">
        <v>45671</v>
      </c>
      <c r="D199" s="17" t="inlineStr">
        <is>
          <t>00000173</t>
        </is>
      </c>
      <c r="E199" s="16" t="n">
        <v>45671</v>
      </c>
      <c r="F199" s="16" t="inlineStr">
        <is>
          <t>XK2501-20</t>
        </is>
      </c>
      <c r="G199" s="16" t="n">
        <v>45671</v>
      </c>
      <c r="H199" s="18" t="inlineStr">
        <is>
          <t>CÔNG TY CỔ PHẦN CÔNG NGHIỆP VÀ THƯƠNG MẠI CƯỜNG THỊNH</t>
        </is>
      </c>
      <c r="I199" s="18" t="inlineStr">
        <is>
          <t>Bulong nở 5.6 ZP M12x100</t>
        </is>
      </c>
      <c r="J199" s="18" t="inlineStr">
        <is>
          <t>Cái</t>
        </is>
      </c>
      <c r="K199" s="19" t="n">
        <v>8380</v>
      </c>
      <c r="L199" s="20" t="n"/>
      <c r="M199" s="20" t="n"/>
      <c r="N199" s="22" t="n">
        <v>12</v>
      </c>
      <c r="O199" s="22" t="n">
        <v>100560</v>
      </c>
      <c r="P199" s="22" t="n">
        <v>12</v>
      </c>
      <c r="Q199" s="22" t="n">
        <v>100560</v>
      </c>
      <c r="R199" s="42">
        <f>+L199+N199-P199</f>
        <v/>
      </c>
      <c r="S199" s="42">
        <f>+M199+O199-Q199</f>
        <v/>
      </c>
    </row>
    <row r="200" ht="30" customHeight="1">
      <c r="A200" s="16" t="n">
        <v>45671</v>
      </c>
      <c r="B200" s="17" t="inlineStr">
        <is>
          <t>MH2501-32</t>
        </is>
      </c>
      <c r="C200" s="16" t="n">
        <v>45671</v>
      </c>
      <c r="D200" s="17" t="inlineStr">
        <is>
          <t>00000173</t>
        </is>
      </c>
      <c r="E200" s="16" t="n">
        <v>45671</v>
      </c>
      <c r="F200" s="16" t="inlineStr">
        <is>
          <t>XK2501-20</t>
        </is>
      </c>
      <c r="G200" s="16" t="n">
        <v>45671</v>
      </c>
      <c r="H200" s="18" t="inlineStr">
        <is>
          <t>CÔNG TY CỔ PHẦN CÔNG NGHIỆP VÀ THƯƠNG MẠI CƯỜNG THỊNH</t>
        </is>
      </c>
      <c r="I200" s="18" t="inlineStr">
        <is>
          <t>Bulong nở 5.6 ZP M16x180</t>
        </is>
      </c>
      <c r="J200" s="18" t="inlineStr">
        <is>
          <t>Cái</t>
        </is>
      </c>
      <c r="K200" s="19" t="n">
        <v>30000</v>
      </c>
      <c r="L200" s="20" t="n"/>
      <c r="M200" s="20" t="n"/>
      <c r="N200" s="22" t="n">
        <v>7</v>
      </c>
      <c r="O200" s="22" t="n">
        <v>210000</v>
      </c>
      <c r="P200" s="22" t="n">
        <v>7</v>
      </c>
      <c r="Q200" s="22" t="n">
        <v>210000</v>
      </c>
      <c r="R200" s="42">
        <f>+L200+N200-P200</f>
        <v/>
      </c>
      <c r="S200" s="42">
        <f>+M200+O200-Q200</f>
        <v/>
      </c>
    </row>
    <row r="201" ht="30" customHeight="1">
      <c r="A201" s="16" t="n">
        <v>45671</v>
      </c>
      <c r="B201" s="17" t="inlineStr">
        <is>
          <t>MH2501-32</t>
        </is>
      </c>
      <c r="C201" s="16" t="n">
        <v>45671</v>
      </c>
      <c r="D201" s="17" t="inlineStr">
        <is>
          <t>00000173</t>
        </is>
      </c>
      <c r="E201" s="16" t="n">
        <v>45671</v>
      </c>
      <c r="F201" s="16" t="inlineStr">
        <is>
          <t>XK2501-20</t>
        </is>
      </c>
      <c r="G201" s="16" t="n">
        <v>45671</v>
      </c>
      <c r="H201" s="18" t="inlineStr">
        <is>
          <t>CÔNG TY CỔ PHẦN CÔNG NGHIỆP VÀ THƯƠNG MẠI CƯỜNG THỊNH</t>
        </is>
      </c>
      <c r="I201" s="18" t="inlineStr">
        <is>
          <t>Vít B2 Dacromet 10-24x22 WAF (bake)</t>
        </is>
      </c>
      <c r="J201" s="18" t="inlineStr">
        <is>
          <t>Cái</t>
        </is>
      </c>
      <c r="K201" s="19" t="n">
        <v>440</v>
      </c>
      <c r="L201" s="20" t="n"/>
      <c r="M201" s="20" t="n"/>
      <c r="N201" s="22" t="n">
        <v>400</v>
      </c>
      <c r="O201" s="22" t="n">
        <v>176000</v>
      </c>
      <c r="P201" s="22" t="n">
        <v>400</v>
      </c>
      <c r="Q201" s="22" t="n">
        <v>176000</v>
      </c>
      <c r="R201" s="42">
        <f>+L201+N201-P201</f>
        <v/>
      </c>
      <c r="S201" s="42">
        <f>+M201+O201-Q201</f>
        <v/>
      </c>
    </row>
    <row r="202" ht="30" customHeight="1">
      <c r="A202" s="16" t="n">
        <v>45671</v>
      </c>
      <c r="B202" s="17" t="inlineStr">
        <is>
          <t>MH2501-32</t>
        </is>
      </c>
      <c r="C202" s="16" t="n">
        <v>45671</v>
      </c>
      <c r="D202" s="17" t="inlineStr">
        <is>
          <t>00000173</t>
        </is>
      </c>
      <c r="E202" s="16" t="n">
        <v>45671</v>
      </c>
      <c r="F202" s="16" t="inlineStr">
        <is>
          <t>XK2501-20</t>
        </is>
      </c>
      <c r="G202" s="16" t="n">
        <v>45671</v>
      </c>
      <c r="H202" s="18" t="inlineStr">
        <is>
          <t>CÔNG TY CỔ PHẦN CÔNG NGHIỆP VÀ THƯƠNG MẠI CƯỜNG THỊNH</t>
        </is>
      </c>
      <c r="I202" s="18" t="inlineStr">
        <is>
          <t>Vít B2 Dacromet 12-14x20</t>
        </is>
      </c>
      <c r="J202" s="18" t="inlineStr">
        <is>
          <t>Cái</t>
        </is>
      </c>
      <c r="K202" s="19" t="n">
        <v>600</v>
      </c>
      <c r="L202" s="20" t="n"/>
      <c r="M202" s="20" t="n"/>
      <c r="N202" s="22" t="n">
        <v>400</v>
      </c>
      <c r="O202" s="22" t="n">
        <v>240000</v>
      </c>
      <c r="P202" s="22" t="n">
        <v>400</v>
      </c>
      <c r="Q202" s="22" t="n">
        <v>240000</v>
      </c>
      <c r="R202" s="42">
        <f>+L202+N202-P202</f>
        <v/>
      </c>
      <c r="S202" s="42">
        <f>+M202+O202-Q202</f>
        <v/>
      </c>
    </row>
    <row r="203" ht="30" customHeight="1">
      <c r="A203" s="16" t="n">
        <v>45671</v>
      </c>
      <c r="B203" s="17" t="inlineStr">
        <is>
          <t>MH2501-32</t>
        </is>
      </c>
      <c r="C203" s="16" t="n">
        <v>45671</v>
      </c>
      <c r="D203" s="17" t="inlineStr">
        <is>
          <t>00000173</t>
        </is>
      </c>
      <c r="E203" s="16" t="n">
        <v>45671</v>
      </c>
      <c r="F203" s="16" t="inlineStr">
        <is>
          <t>XK2501-20</t>
        </is>
      </c>
      <c r="G203" s="16" t="n">
        <v>45671</v>
      </c>
      <c r="H203" s="18" t="inlineStr">
        <is>
          <t>CÔNG TY CỔ PHẦN CÔNG NGHIỆP VÀ THƯƠNG MẠI CƯỜNG THỊNH</t>
        </is>
      </c>
      <c r="I203" s="18" t="inlineStr">
        <is>
          <t>Bulong Din 933 8.8 ZP M16x40</t>
        </is>
      </c>
      <c r="J203" s="18" t="inlineStr">
        <is>
          <t>Cái</t>
        </is>
      </c>
      <c r="K203" s="19" t="n">
        <v>3030</v>
      </c>
      <c r="L203" s="20" t="n"/>
      <c r="M203" s="20" t="n"/>
      <c r="N203" s="22" t="n">
        <v>45</v>
      </c>
      <c r="O203" s="22" t="n">
        <v>136350</v>
      </c>
      <c r="P203" s="22" t="n">
        <v>45</v>
      </c>
      <c r="Q203" s="22" t="n">
        <v>136350</v>
      </c>
      <c r="R203" s="42">
        <f>+L203+N203-P203</f>
        <v/>
      </c>
      <c r="S203" s="42">
        <f>+M203+O203-Q203</f>
        <v/>
      </c>
    </row>
    <row r="204" ht="30" customHeight="1">
      <c r="A204" s="16" t="n">
        <v>45671</v>
      </c>
      <c r="B204" s="17" t="inlineStr">
        <is>
          <t>MH2501-32</t>
        </is>
      </c>
      <c r="C204" s="16" t="n">
        <v>45671</v>
      </c>
      <c r="D204" s="17" t="inlineStr">
        <is>
          <t>00000173</t>
        </is>
      </c>
      <c r="E204" s="16" t="n">
        <v>45671</v>
      </c>
      <c r="F204" s="16" t="inlineStr">
        <is>
          <t>XK2501-20</t>
        </is>
      </c>
      <c r="G204" s="16" t="n">
        <v>45671</v>
      </c>
      <c r="H204" s="18" t="inlineStr">
        <is>
          <t>CÔNG TY CỔ PHẦN CÔNG NGHIỆP VÀ THƯƠNG MẠI CƯỜNG THỊNH</t>
        </is>
      </c>
      <c r="I204" s="18" t="inlineStr">
        <is>
          <t>Đai ốc Din 934 8 ZP M16</t>
        </is>
      </c>
      <c r="J204" s="18" t="inlineStr">
        <is>
          <t>Cái</t>
        </is>
      </c>
      <c r="K204" s="19" t="n">
        <v>1090</v>
      </c>
      <c r="L204" s="20" t="n"/>
      <c r="M204" s="20" t="n"/>
      <c r="N204" s="22" t="n">
        <v>45</v>
      </c>
      <c r="O204" s="22" t="n">
        <v>49050</v>
      </c>
      <c r="P204" s="22" t="n">
        <v>45</v>
      </c>
      <c r="Q204" s="22" t="n">
        <v>49050</v>
      </c>
      <c r="R204" s="42">
        <f>+L204+N204-P204</f>
        <v/>
      </c>
      <c r="S204" s="42">
        <f>+M204+O204-Q204</f>
        <v/>
      </c>
    </row>
    <row r="205" ht="30" customHeight="1">
      <c r="A205" s="16" t="n">
        <v>45671</v>
      </c>
      <c r="B205" s="17" t="inlineStr">
        <is>
          <t>MH2501-32</t>
        </is>
      </c>
      <c r="C205" s="16" t="n">
        <v>45671</v>
      </c>
      <c r="D205" s="17" t="inlineStr">
        <is>
          <t>00000173</t>
        </is>
      </c>
      <c r="E205" s="16" t="n">
        <v>45671</v>
      </c>
      <c r="F205" s="16" t="inlineStr">
        <is>
          <t>XK2501-20</t>
        </is>
      </c>
      <c r="G205" s="16" t="n">
        <v>45671</v>
      </c>
      <c r="H205" s="18" t="inlineStr">
        <is>
          <t>CÔNG TY CỔ PHẦN CÔNG NGHIỆP VÀ THƯƠNG MẠI CƯỜNG THỊNH</t>
        </is>
      </c>
      <c r="I205" s="18" t="inlineStr">
        <is>
          <t>Long đền thường ZP M16B30D2</t>
        </is>
      </c>
      <c r="J205" s="18" t="inlineStr">
        <is>
          <t>Cái</t>
        </is>
      </c>
      <c r="K205" s="19" t="n">
        <v>350</v>
      </c>
      <c r="L205" s="20" t="n"/>
      <c r="M205" s="20" t="n"/>
      <c r="N205" s="22" t="n">
        <v>45</v>
      </c>
      <c r="O205" s="22" t="n">
        <v>15750</v>
      </c>
      <c r="P205" s="22" t="n">
        <v>45</v>
      </c>
      <c r="Q205" s="22" t="n">
        <v>15750</v>
      </c>
      <c r="R205" s="42">
        <f>+L205+N205-P205</f>
        <v/>
      </c>
      <c r="S205" s="42">
        <f>+M205+O205-Q205</f>
        <v/>
      </c>
    </row>
    <row r="206" ht="30" customHeight="1">
      <c r="A206" s="16" t="n">
        <v>45671</v>
      </c>
      <c r="B206" s="17" t="inlineStr">
        <is>
          <t>MH2501-32</t>
        </is>
      </c>
      <c r="C206" s="16" t="n">
        <v>45671</v>
      </c>
      <c r="D206" s="17" t="inlineStr">
        <is>
          <t>00000173</t>
        </is>
      </c>
      <c r="E206" s="16" t="n">
        <v>45671</v>
      </c>
      <c r="F206" s="16" t="inlineStr">
        <is>
          <t>XK2501-20</t>
        </is>
      </c>
      <c r="G206" s="16" t="n">
        <v>45671</v>
      </c>
      <c r="H206" s="18" t="inlineStr">
        <is>
          <t>CÔNG TY CỔ PHẦN CÔNG NGHIỆP VÀ THƯƠNG MẠI CƯỜNG THỊNH</t>
        </is>
      </c>
      <c r="I206" s="18" t="inlineStr">
        <is>
          <t>Bulong Din 933 8.8 ZP M20x50</t>
        </is>
      </c>
      <c r="J206" s="18" t="inlineStr">
        <is>
          <t>Cái</t>
        </is>
      </c>
      <c r="K206" s="19" t="n">
        <v>5760</v>
      </c>
      <c r="L206" s="20" t="n"/>
      <c r="M206" s="20" t="n"/>
      <c r="N206" s="22" t="n">
        <v>162</v>
      </c>
      <c r="O206" s="22" t="n">
        <v>933120</v>
      </c>
      <c r="P206" s="22" t="n">
        <v>162</v>
      </c>
      <c r="Q206" s="22" t="n">
        <v>933120</v>
      </c>
      <c r="R206" s="42">
        <f>+L206+N206-P206</f>
        <v/>
      </c>
      <c r="S206" s="42">
        <f>+M206+O206-Q206</f>
        <v/>
      </c>
    </row>
    <row r="207" ht="30" customHeight="1">
      <c r="A207" s="16" t="n">
        <v>45671</v>
      </c>
      <c r="B207" s="17" t="inlineStr">
        <is>
          <t>MH2501-32</t>
        </is>
      </c>
      <c r="C207" s="16" t="n">
        <v>45671</v>
      </c>
      <c r="D207" s="17" t="inlineStr">
        <is>
          <t>00000173</t>
        </is>
      </c>
      <c r="E207" s="16" t="n">
        <v>45671</v>
      </c>
      <c r="F207" s="16" t="inlineStr">
        <is>
          <t>XK2501-20</t>
        </is>
      </c>
      <c r="G207" s="16" t="n">
        <v>45671</v>
      </c>
      <c r="H207" s="18" t="inlineStr">
        <is>
          <t>CÔNG TY CỔ PHẦN CÔNG NGHIỆP VÀ THƯƠNG MẠI CƯỜNG THỊNH</t>
        </is>
      </c>
      <c r="I207" s="18" t="inlineStr">
        <is>
          <t>Đai ốc Din 934 8 ZP M20</t>
        </is>
      </c>
      <c r="J207" s="18" t="inlineStr">
        <is>
          <t>Cái</t>
        </is>
      </c>
      <c r="K207" s="19" t="n">
        <v>2030</v>
      </c>
      <c r="L207" s="20" t="n"/>
      <c r="M207" s="20" t="n"/>
      <c r="N207" s="22" t="n">
        <v>162</v>
      </c>
      <c r="O207" s="22" t="n">
        <v>328860</v>
      </c>
      <c r="P207" s="22" t="n">
        <v>162</v>
      </c>
      <c r="Q207" s="22" t="n">
        <v>328860</v>
      </c>
      <c r="R207" s="42">
        <f>+L207+N207-P207</f>
        <v/>
      </c>
      <c r="S207" s="42">
        <f>+M207+O207-Q207</f>
        <v/>
      </c>
    </row>
    <row r="208" ht="30" customHeight="1">
      <c r="A208" s="16" t="n">
        <v>45671</v>
      </c>
      <c r="B208" s="17" t="inlineStr">
        <is>
          <t>MH2501-32</t>
        </is>
      </c>
      <c r="C208" s="16" t="n">
        <v>45671</v>
      </c>
      <c r="D208" s="17" t="inlineStr">
        <is>
          <t>00000173</t>
        </is>
      </c>
      <c r="E208" s="16" t="n">
        <v>45671</v>
      </c>
      <c r="F208" s="16" t="inlineStr">
        <is>
          <t>XK2501-20</t>
        </is>
      </c>
      <c r="G208" s="16" t="n">
        <v>45671</v>
      </c>
      <c r="H208" s="18" t="inlineStr">
        <is>
          <t>CÔNG TY CỔ PHẦN CÔNG NGHIỆP VÀ THƯƠNG MẠI CƯỜNG THỊNH</t>
        </is>
      </c>
      <c r="I208" s="18" t="inlineStr">
        <is>
          <t>Long đền thường ZP M20B35D2</t>
        </is>
      </c>
      <c r="J208" s="18" t="inlineStr">
        <is>
          <t>Cái</t>
        </is>
      </c>
      <c r="K208" s="19" t="n">
        <v>350</v>
      </c>
      <c r="L208" s="20" t="n"/>
      <c r="M208" s="20" t="n"/>
      <c r="N208" s="22" t="n">
        <v>162</v>
      </c>
      <c r="O208" s="22" t="n">
        <v>56700</v>
      </c>
      <c r="P208" s="22" t="n">
        <v>162</v>
      </c>
      <c r="Q208" s="22" t="n">
        <v>56700</v>
      </c>
      <c r="R208" s="42">
        <f>+L208+N208-P208</f>
        <v/>
      </c>
      <c r="S208" s="42">
        <f>+M208+O208-Q208</f>
        <v/>
      </c>
    </row>
    <row r="209" ht="30" customHeight="1">
      <c r="A209" s="16" t="n">
        <v>45671</v>
      </c>
      <c r="B209" s="17" t="inlineStr">
        <is>
          <t>MH2501-32</t>
        </is>
      </c>
      <c r="C209" s="16" t="n">
        <v>45671</v>
      </c>
      <c r="D209" s="17" t="inlineStr">
        <is>
          <t>00000173</t>
        </is>
      </c>
      <c r="E209" s="16" t="n">
        <v>45671</v>
      </c>
      <c r="F209" s="16" t="inlineStr">
        <is>
          <t>XK2501-20</t>
        </is>
      </c>
      <c r="G209" s="16" t="n">
        <v>45671</v>
      </c>
      <c r="H209" s="18" t="inlineStr">
        <is>
          <t>CÔNG TY CỔ PHẦN CÔNG NGHIỆP VÀ THƯƠNG MẠI CƯỜNG THỊNH</t>
        </is>
      </c>
      <c r="I209" s="18" t="inlineStr">
        <is>
          <t>Bulong Din 933 8.8 ZP M20x60</t>
        </is>
      </c>
      <c r="J209" s="18" t="inlineStr">
        <is>
          <t>Cái</t>
        </is>
      </c>
      <c r="K209" s="19" t="n">
        <v>6440</v>
      </c>
      <c r="L209" s="20" t="n"/>
      <c r="M209" s="20" t="n"/>
      <c r="N209" s="22" t="n">
        <v>311</v>
      </c>
      <c r="O209" s="22" t="n">
        <v>2002840</v>
      </c>
      <c r="P209" s="22" t="n">
        <v>311</v>
      </c>
      <c r="Q209" s="22" t="n">
        <v>2002840</v>
      </c>
      <c r="R209" s="42">
        <f>+L209+N209-P209</f>
        <v/>
      </c>
      <c r="S209" s="42">
        <f>+M209+O209-Q209</f>
        <v/>
      </c>
    </row>
    <row r="210" ht="30" customHeight="1">
      <c r="A210" s="16" t="n">
        <v>45671</v>
      </c>
      <c r="B210" s="17" t="inlineStr">
        <is>
          <t>MH2501-32</t>
        </is>
      </c>
      <c r="C210" s="16" t="n">
        <v>45671</v>
      </c>
      <c r="D210" s="17" t="inlineStr">
        <is>
          <t>00000173</t>
        </is>
      </c>
      <c r="E210" s="16" t="n">
        <v>45671</v>
      </c>
      <c r="F210" s="16" t="inlineStr">
        <is>
          <t>XK2501-20</t>
        </is>
      </c>
      <c r="G210" s="16" t="n">
        <v>45671</v>
      </c>
      <c r="H210" s="18" t="inlineStr">
        <is>
          <t>CÔNG TY CỔ PHẦN CÔNG NGHIỆP VÀ THƯƠNG MẠI CƯỜNG THỊNH</t>
        </is>
      </c>
      <c r="I210" s="18" t="inlineStr">
        <is>
          <t>Đai ốc Din 934 8 ZP M20</t>
        </is>
      </c>
      <c r="J210" s="18" t="inlineStr">
        <is>
          <t>Cái</t>
        </is>
      </c>
      <c r="K210" s="19" t="n">
        <v>2030</v>
      </c>
      <c r="L210" s="20" t="n"/>
      <c r="M210" s="20" t="n"/>
      <c r="N210" s="22" t="n">
        <v>311</v>
      </c>
      <c r="O210" s="22" t="n">
        <v>631330</v>
      </c>
      <c r="P210" s="22" t="n">
        <v>311</v>
      </c>
      <c r="Q210" s="22" t="n">
        <v>631330</v>
      </c>
      <c r="R210" s="42">
        <f>+L210+N210-P210</f>
        <v/>
      </c>
      <c r="S210" s="42">
        <f>+M210+O210-Q210</f>
        <v/>
      </c>
    </row>
    <row r="211" ht="30" customHeight="1">
      <c r="A211" s="16" t="n">
        <v>45671</v>
      </c>
      <c r="B211" s="17" t="inlineStr">
        <is>
          <t>MH2501-32</t>
        </is>
      </c>
      <c r="C211" s="16" t="n">
        <v>45671</v>
      </c>
      <c r="D211" s="17" t="inlineStr">
        <is>
          <t>00000173</t>
        </is>
      </c>
      <c r="E211" s="16" t="n">
        <v>45671</v>
      </c>
      <c r="F211" s="16" t="inlineStr">
        <is>
          <t>XK2501-20</t>
        </is>
      </c>
      <c r="G211" s="16" t="n">
        <v>45671</v>
      </c>
      <c r="H211" s="18" t="inlineStr">
        <is>
          <t>CÔNG TY CỔ PHẦN CÔNG NGHIỆP VÀ THƯƠNG MẠI CƯỜNG THỊNH</t>
        </is>
      </c>
      <c r="I211" s="18" t="inlineStr">
        <is>
          <t>Long đền thường ZP M20B35D2</t>
        </is>
      </c>
      <c r="J211" s="18" t="inlineStr">
        <is>
          <t>Cái</t>
        </is>
      </c>
      <c r="K211" s="19" t="n">
        <v>350</v>
      </c>
      <c r="L211" s="20" t="n"/>
      <c r="M211" s="20" t="n"/>
      <c r="N211" s="22" t="n">
        <v>311</v>
      </c>
      <c r="O211" s="22" t="n">
        <v>108850</v>
      </c>
      <c r="P211" s="22" t="n">
        <v>311</v>
      </c>
      <c r="Q211" s="22" t="n">
        <v>108850</v>
      </c>
      <c r="R211" s="42">
        <f>+L211+N211-P211</f>
        <v/>
      </c>
      <c r="S211" s="42">
        <f>+M211+O211-Q211</f>
        <v/>
      </c>
    </row>
    <row r="212" ht="30" customHeight="1">
      <c r="A212" s="16" t="n">
        <v>45671</v>
      </c>
      <c r="B212" s="17" t="inlineStr">
        <is>
          <t>MH2501-32</t>
        </is>
      </c>
      <c r="C212" s="16" t="n">
        <v>45671</v>
      </c>
      <c r="D212" s="17" t="inlineStr">
        <is>
          <t>00000173</t>
        </is>
      </c>
      <c r="E212" s="16" t="n">
        <v>45671</v>
      </c>
      <c r="F212" s="16" t="inlineStr">
        <is>
          <t>XK2501-20</t>
        </is>
      </c>
      <c r="G212" s="16" t="n">
        <v>45671</v>
      </c>
      <c r="H212" s="18" t="inlineStr">
        <is>
          <t>CÔNG TY CỔ PHẦN CÔNG NGHIỆP VÀ THƯƠNG MẠI CƯỜNG THỊNH</t>
        </is>
      </c>
      <c r="I212" s="18" t="inlineStr">
        <is>
          <t>Bulong Din 933 8.8 ZP M20x70</t>
        </is>
      </c>
      <c r="J212" s="18" t="inlineStr">
        <is>
          <t>Cái</t>
        </is>
      </c>
      <c r="K212" s="19" t="n">
        <v>7070</v>
      </c>
      <c r="L212" s="20" t="n"/>
      <c r="M212" s="20" t="n"/>
      <c r="N212" s="22" t="n">
        <v>12</v>
      </c>
      <c r="O212" s="22" t="n">
        <v>84840</v>
      </c>
      <c r="P212" s="22" t="n">
        <v>12</v>
      </c>
      <c r="Q212" s="22" t="n">
        <v>84840</v>
      </c>
      <c r="R212" s="42">
        <f>+L212+N212-P212</f>
        <v/>
      </c>
      <c r="S212" s="42">
        <f>+M212+O212-Q212</f>
        <v/>
      </c>
    </row>
    <row r="213" ht="30" customHeight="1">
      <c r="A213" s="16" t="n">
        <v>45671</v>
      </c>
      <c r="B213" s="17" t="inlineStr">
        <is>
          <t>MH2501-32</t>
        </is>
      </c>
      <c r="C213" s="16" t="n">
        <v>45671</v>
      </c>
      <c r="D213" s="17" t="inlineStr">
        <is>
          <t>00000173</t>
        </is>
      </c>
      <c r="E213" s="16" t="n">
        <v>45671</v>
      </c>
      <c r="F213" s="16" t="inlineStr">
        <is>
          <t>XK2501-20</t>
        </is>
      </c>
      <c r="G213" s="16" t="n">
        <v>45671</v>
      </c>
      <c r="H213" s="18" t="inlineStr">
        <is>
          <t>CÔNG TY CỔ PHẦN CÔNG NGHIỆP VÀ THƯƠNG MẠI CƯỜNG THỊNH</t>
        </is>
      </c>
      <c r="I213" s="18" t="inlineStr">
        <is>
          <t>Đai ốc Din 934 8 ZP M20</t>
        </is>
      </c>
      <c r="J213" s="18" t="inlineStr">
        <is>
          <t>Cái</t>
        </is>
      </c>
      <c r="K213" s="19" t="n">
        <v>2030</v>
      </c>
      <c r="L213" s="20" t="n"/>
      <c r="M213" s="20" t="n"/>
      <c r="N213" s="22" t="n">
        <v>12</v>
      </c>
      <c r="O213" s="22" t="n">
        <v>24360</v>
      </c>
      <c r="P213" s="22" t="n">
        <v>12</v>
      </c>
      <c r="Q213" s="22" t="n">
        <v>24360</v>
      </c>
      <c r="R213" s="42">
        <f>+L213+N213-P213</f>
        <v/>
      </c>
      <c r="S213" s="42">
        <f>+M213+O213-Q213</f>
        <v/>
      </c>
    </row>
    <row r="214" ht="30" customHeight="1">
      <c r="A214" s="16" t="n">
        <v>45671</v>
      </c>
      <c r="B214" s="17" t="inlineStr">
        <is>
          <t>MH2501-32</t>
        </is>
      </c>
      <c r="C214" s="16" t="n">
        <v>45671</v>
      </c>
      <c r="D214" s="17" t="inlineStr">
        <is>
          <t>00000173</t>
        </is>
      </c>
      <c r="E214" s="16" t="n">
        <v>45671</v>
      </c>
      <c r="F214" s="16" t="inlineStr">
        <is>
          <t>XK2501-20</t>
        </is>
      </c>
      <c r="G214" s="16" t="n">
        <v>45671</v>
      </c>
      <c r="H214" s="18" t="inlineStr">
        <is>
          <t>CÔNG TY CỔ PHẦN CÔNG NGHIỆP VÀ THƯƠNG MẠI CƯỜNG THỊNH</t>
        </is>
      </c>
      <c r="I214" s="18" t="inlineStr">
        <is>
          <t>Long đền thường ZP M20B35D2</t>
        </is>
      </c>
      <c r="J214" s="18" t="inlineStr">
        <is>
          <t>Cái</t>
        </is>
      </c>
      <c r="K214" s="19" t="n">
        <v>350</v>
      </c>
      <c r="L214" s="20" t="n"/>
      <c r="M214" s="20" t="n"/>
      <c r="N214" s="22" t="n">
        <v>12</v>
      </c>
      <c r="O214" s="22" t="n">
        <v>4200</v>
      </c>
      <c r="P214" s="22" t="n">
        <v>12</v>
      </c>
      <c r="Q214" s="22" t="n">
        <v>4200</v>
      </c>
      <c r="R214" s="42">
        <f>+L214+N214-P214</f>
        <v/>
      </c>
      <c r="S214" s="42">
        <f>+M214+O214-Q214</f>
        <v/>
      </c>
    </row>
    <row r="215" ht="30" customHeight="1">
      <c r="A215" s="16" t="n">
        <v>45671</v>
      </c>
      <c r="B215" s="17" t="inlineStr">
        <is>
          <t>MH2501-32</t>
        </is>
      </c>
      <c r="C215" s="16" t="n">
        <v>45671</v>
      </c>
      <c r="D215" s="17" t="inlineStr">
        <is>
          <t>00000173</t>
        </is>
      </c>
      <c r="E215" s="16" t="n">
        <v>45671</v>
      </c>
      <c r="F215" s="16" t="inlineStr">
        <is>
          <t>XK2501-20</t>
        </is>
      </c>
      <c r="G215" s="16" t="n">
        <v>45671</v>
      </c>
      <c r="H215" s="18" t="inlineStr">
        <is>
          <t>CÔNG TY CỔ PHẦN CÔNG NGHIỆP VÀ THƯƠNG MẠI CƯỜNG THỊNH</t>
        </is>
      </c>
      <c r="I215" s="18" t="inlineStr">
        <is>
          <t>Bulong thường 4.6 ZP M12x30</t>
        </is>
      </c>
      <c r="J215" s="18" t="inlineStr">
        <is>
          <t>Cái</t>
        </is>
      </c>
      <c r="K215" s="19" t="n">
        <v>950</v>
      </c>
      <c r="L215" s="20" t="n"/>
      <c r="M215" s="20" t="n"/>
      <c r="N215" s="22" t="n">
        <v>1515</v>
      </c>
      <c r="O215" s="22" t="n">
        <v>1439250</v>
      </c>
      <c r="P215" s="22" t="n">
        <v>1515</v>
      </c>
      <c r="Q215" s="22" t="n">
        <v>1439250</v>
      </c>
      <c r="R215" s="42">
        <f>+L215+N215-P215</f>
        <v/>
      </c>
      <c r="S215" s="42">
        <f>+M215+O215-Q215</f>
        <v/>
      </c>
    </row>
    <row r="216" ht="30" customHeight="1">
      <c r="A216" s="16" t="n">
        <v>45671</v>
      </c>
      <c r="B216" s="17" t="inlineStr">
        <is>
          <t>MH2501-32</t>
        </is>
      </c>
      <c r="C216" s="16" t="n">
        <v>45671</v>
      </c>
      <c r="D216" s="17" t="inlineStr">
        <is>
          <t>00000173</t>
        </is>
      </c>
      <c r="E216" s="16" t="n">
        <v>45671</v>
      </c>
      <c r="F216" s="16" t="inlineStr">
        <is>
          <t>XK2501-20</t>
        </is>
      </c>
      <c r="G216" s="16" t="n">
        <v>45671</v>
      </c>
      <c r="H216" s="18" t="inlineStr">
        <is>
          <t>CÔNG TY CỔ PHẦN CÔNG NGHIỆP VÀ THƯƠNG MẠI CƯỜNG THỊNH</t>
        </is>
      </c>
      <c r="I216" s="18" t="inlineStr">
        <is>
          <t>Đai ốc thường 4 ZP M12 (9mm)</t>
        </is>
      </c>
      <c r="J216" s="18" t="inlineStr">
        <is>
          <t>Cái</t>
        </is>
      </c>
      <c r="K216" s="19" t="n">
        <v>360</v>
      </c>
      <c r="L216" s="20" t="n"/>
      <c r="M216" s="20" t="n"/>
      <c r="N216" s="22" t="n">
        <v>1515</v>
      </c>
      <c r="O216" s="22" t="n">
        <v>545400</v>
      </c>
      <c r="P216" s="22" t="n">
        <v>1515</v>
      </c>
      <c r="Q216" s="22" t="n">
        <v>545400</v>
      </c>
      <c r="R216" s="42">
        <f>+L216+N216-P216</f>
        <v/>
      </c>
      <c r="S216" s="42">
        <f>+M216+O216-Q216</f>
        <v/>
      </c>
    </row>
    <row r="217" ht="30" customHeight="1">
      <c r="A217" s="16" t="n">
        <v>45671</v>
      </c>
      <c r="B217" s="17" t="inlineStr">
        <is>
          <t>MH2501-32</t>
        </is>
      </c>
      <c r="C217" s="16" t="n">
        <v>45671</v>
      </c>
      <c r="D217" s="17" t="inlineStr">
        <is>
          <t>00000173</t>
        </is>
      </c>
      <c r="E217" s="16" t="n">
        <v>45671</v>
      </c>
      <c r="F217" s="16" t="inlineStr">
        <is>
          <t>XK2501-20</t>
        </is>
      </c>
      <c r="G217" s="16" t="n">
        <v>45671</v>
      </c>
      <c r="H217" s="18" t="inlineStr">
        <is>
          <t>CÔNG TY CỔ PHẦN CÔNG NGHIỆP VÀ THƯƠNG MẠI CƯỜNG THỊNH</t>
        </is>
      </c>
      <c r="I217" s="18" t="inlineStr">
        <is>
          <t>Long đền thường ZP M12B23D1</t>
        </is>
      </c>
      <c r="J217" s="18" t="inlineStr">
        <is>
          <t>Cái</t>
        </is>
      </c>
      <c r="K217" s="19" t="n">
        <v>100</v>
      </c>
      <c r="L217" s="20" t="n"/>
      <c r="M217" s="20" t="n"/>
      <c r="N217" s="22" t="n">
        <v>3030</v>
      </c>
      <c r="O217" s="22" t="n">
        <v>303000</v>
      </c>
      <c r="P217" s="22" t="n">
        <v>3030</v>
      </c>
      <c r="Q217" s="22" t="n">
        <v>303000</v>
      </c>
      <c r="R217" s="42">
        <f>+L217+N217-P217</f>
        <v/>
      </c>
      <c r="S217" s="42">
        <f>+M217+O217-Q217</f>
        <v/>
      </c>
    </row>
    <row r="218" ht="30" customHeight="1">
      <c r="A218" s="16" t="n">
        <v>45671</v>
      </c>
      <c r="B218" s="17" t="inlineStr">
        <is>
          <t>MH2501-32</t>
        </is>
      </c>
      <c r="C218" s="16" t="n">
        <v>45671</v>
      </c>
      <c r="D218" s="17" t="inlineStr">
        <is>
          <t>00000173</t>
        </is>
      </c>
      <c r="E218" s="16" t="n">
        <v>45671</v>
      </c>
      <c r="F218" s="16" t="inlineStr">
        <is>
          <t>XK2501-20</t>
        </is>
      </c>
      <c r="G218" s="16" t="n">
        <v>45671</v>
      </c>
      <c r="H218" s="18" t="inlineStr">
        <is>
          <t>CÔNG TY CỔ PHẦN CÔNG NGHIỆP VÀ THƯƠNG MẠI CƯỜNG THỊNH</t>
        </is>
      </c>
      <c r="I218" s="18" t="inlineStr">
        <is>
          <t>Bulong thường 4.6 ZP M12x40</t>
        </is>
      </c>
      <c r="J218" s="18" t="inlineStr">
        <is>
          <t>Cái</t>
        </is>
      </c>
      <c r="K218" s="19" t="n">
        <v>1100</v>
      </c>
      <c r="L218" s="20" t="n"/>
      <c r="M218" s="20" t="n"/>
      <c r="N218" s="22" t="n">
        <v>286</v>
      </c>
      <c r="O218" s="22" t="n">
        <v>314600</v>
      </c>
      <c r="P218" s="22" t="n">
        <v>286</v>
      </c>
      <c r="Q218" s="22" t="n">
        <v>314600</v>
      </c>
      <c r="R218" s="42">
        <f>+L218+N218-P218</f>
        <v/>
      </c>
      <c r="S218" s="42">
        <f>+M218+O218-Q218</f>
        <v/>
      </c>
    </row>
    <row r="219" ht="30" customHeight="1">
      <c r="A219" s="16" t="n">
        <v>45671</v>
      </c>
      <c r="B219" s="17" t="inlineStr">
        <is>
          <t>MH2501-32</t>
        </is>
      </c>
      <c r="C219" s="16" t="n">
        <v>45671</v>
      </c>
      <c r="D219" s="17" t="inlineStr">
        <is>
          <t>00000173</t>
        </is>
      </c>
      <c r="E219" s="16" t="n">
        <v>45671</v>
      </c>
      <c r="F219" s="16" t="inlineStr">
        <is>
          <t>XK2501-20</t>
        </is>
      </c>
      <c r="G219" s="16" t="n">
        <v>45671</v>
      </c>
      <c r="H219" s="18" t="inlineStr">
        <is>
          <t>CÔNG TY CỔ PHẦN CÔNG NGHIỆP VÀ THƯƠNG MẠI CƯỜNG THỊNH</t>
        </is>
      </c>
      <c r="I219" s="18" t="inlineStr">
        <is>
          <t>Đai ốc thường 4 ZP M12 (9mm)</t>
        </is>
      </c>
      <c r="J219" s="18" t="inlineStr">
        <is>
          <t>Cái</t>
        </is>
      </c>
      <c r="K219" s="19" t="n">
        <v>360</v>
      </c>
      <c r="L219" s="20" t="n"/>
      <c r="M219" s="20" t="n"/>
      <c r="N219" s="22" t="n">
        <v>286</v>
      </c>
      <c r="O219" s="22" t="n">
        <v>102960</v>
      </c>
      <c r="P219" s="22" t="n">
        <v>286</v>
      </c>
      <c r="Q219" s="22" t="n">
        <v>102960</v>
      </c>
      <c r="R219" s="42">
        <f>+L219+N219-P219</f>
        <v/>
      </c>
      <c r="S219" s="42">
        <f>+M219+O219-Q219</f>
        <v/>
      </c>
    </row>
    <row r="220" ht="30" customHeight="1">
      <c r="A220" s="16" t="n">
        <v>45671</v>
      </c>
      <c r="B220" s="17" t="inlineStr">
        <is>
          <t>MH2501-32</t>
        </is>
      </c>
      <c r="C220" s="16" t="n">
        <v>45671</v>
      </c>
      <c r="D220" s="17" t="inlineStr">
        <is>
          <t>00000173</t>
        </is>
      </c>
      <c r="E220" s="16" t="n">
        <v>45671</v>
      </c>
      <c r="F220" s="16" t="inlineStr">
        <is>
          <t>XK2501-20</t>
        </is>
      </c>
      <c r="G220" s="16" t="n">
        <v>45671</v>
      </c>
      <c r="H220" s="18" t="inlineStr">
        <is>
          <t>CÔNG TY CỔ PHẦN CÔNG NGHIỆP VÀ THƯƠNG MẠI CƯỜNG THỊNH</t>
        </is>
      </c>
      <c r="I220" s="18" t="inlineStr">
        <is>
          <t>Long đền thường ZP M12B23D1</t>
        </is>
      </c>
      <c r="J220" s="18" t="inlineStr">
        <is>
          <t>Cái</t>
        </is>
      </c>
      <c r="K220" s="19" t="n">
        <v>100</v>
      </c>
      <c r="L220" s="20" t="n"/>
      <c r="M220" s="20" t="n"/>
      <c r="N220" s="22" t="n">
        <v>572</v>
      </c>
      <c r="O220" s="22" t="n">
        <v>57200</v>
      </c>
      <c r="P220" s="22" t="n">
        <v>572</v>
      </c>
      <c r="Q220" s="22" t="n">
        <v>57200</v>
      </c>
      <c r="R220" s="42">
        <f>+L220+N220-P220</f>
        <v/>
      </c>
      <c r="S220" s="42">
        <f>+M220+O220-Q220</f>
        <v/>
      </c>
    </row>
    <row r="221" ht="30" customHeight="1">
      <c r="A221" s="16" t="n">
        <v>45671</v>
      </c>
      <c r="B221" s="17" t="inlineStr">
        <is>
          <t>MH2501-32</t>
        </is>
      </c>
      <c r="C221" s="16" t="n">
        <v>45671</v>
      </c>
      <c r="D221" s="17" t="inlineStr">
        <is>
          <t>00000174</t>
        </is>
      </c>
      <c r="E221" s="16" t="n">
        <v>45671</v>
      </c>
      <c r="F221" s="16" t="inlineStr">
        <is>
          <t>XK2501-20</t>
        </is>
      </c>
      <c r="G221" s="16" t="n">
        <v>45671</v>
      </c>
      <c r="H221" s="18" t="inlineStr">
        <is>
          <t>CÔNG TY CỔ PHẦN CÔNG NGHIỆP VÀ THƯƠNG MẠI CƯỜNG THỊNH</t>
        </is>
      </c>
      <c r="I221" s="18" t="inlineStr">
        <is>
          <t>Ty giằng 2 đầu ren 4.6 ZP M16</t>
        </is>
      </c>
      <c r="J221" s="18" t="inlineStr">
        <is>
          <t>Cái</t>
        </is>
      </c>
      <c r="K221" s="19" t="n">
        <v>48000</v>
      </c>
      <c r="L221" s="20" t="n"/>
      <c r="M221" s="20" t="n"/>
      <c r="N221" s="22" t="n">
        <v>123.65</v>
      </c>
      <c r="O221" s="22" t="n">
        <v>5935200</v>
      </c>
      <c r="P221" s="22" t="n">
        <v>123.65</v>
      </c>
      <c r="Q221" s="22" t="n">
        <v>5935200</v>
      </c>
      <c r="R221" s="42">
        <f>+L221+N221-P221</f>
        <v/>
      </c>
      <c r="S221" s="42">
        <f>+M221+O221-Q221</f>
        <v/>
      </c>
    </row>
    <row r="222" ht="30" customHeight="1">
      <c r="A222" s="16" t="n">
        <v>45671</v>
      </c>
      <c r="B222" s="17" t="inlineStr">
        <is>
          <t>MH2501-32</t>
        </is>
      </c>
      <c r="C222" s="16" t="n">
        <v>45671</v>
      </c>
      <c r="D222" s="17" t="inlineStr">
        <is>
          <t>00000174</t>
        </is>
      </c>
      <c r="E222" s="16" t="n">
        <v>45671</v>
      </c>
      <c r="F222" s="16" t="inlineStr">
        <is>
          <t>XK2501-20</t>
        </is>
      </c>
      <c r="G222" s="16" t="n">
        <v>45671</v>
      </c>
      <c r="H222" s="18" t="inlineStr">
        <is>
          <t>CÔNG TY CỔ PHẦN CÔNG NGHIỆP VÀ THƯƠNG MẠI CƯỜNG THỊNH</t>
        </is>
      </c>
      <c r="I222" s="18" t="inlineStr">
        <is>
          <t>Đai ốc Din 934 5 ZP M16</t>
        </is>
      </c>
      <c r="J222" s="18" t="inlineStr">
        <is>
          <t>Cái</t>
        </is>
      </c>
      <c r="K222" s="19" t="n">
        <v>1110</v>
      </c>
      <c r="L222" s="20" t="n"/>
      <c r="M222" s="20" t="n"/>
      <c r="N222" s="22" t="n">
        <v>40</v>
      </c>
      <c r="O222" s="22" t="n">
        <v>44400</v>
      </c>
      <c r="P222" s="22" t="n">
        <v>40</v>
      </c>
      <c r="Q222" s="22" t="n">
        <v>44400</v>
      </c>
      <c r="R222" s="42">
        <f>+L222+N222-P222</f>
        <v/>
      </c>
      <c r="S222" s="42">
        <f>+M222+O222-Q222</f>
        <v/>
      </c>
    </row>
    <row r="223" ht="30" customHeight="1">
      <c r="A223" s="16" t="n">
        <v>45671</v>
      </c>
      <c r="B223" s="17" t="inlineStr">
        <is>
          <t>MH2501-32</t>
        </is>
      </c>
      <c r="C223" s="16" t="n">
        <v>45671</v>
      </c>
      <c r="D223" s="17" t="inlineStr">
        <is>
          <t>00000174</t>
        </is>
      </c>
      <c r="E223" s="16" t="n">
        <v>45671</v>
      </c>
      <c r="F223" s="16" t="inlineStr">
        <is>
          <t>XK2501-20</t>
        </is>
      </c>
      <c r="G223" s="16" t="n">
        <v>45671</v>
      </c>
      <c r="H223" s="18" t="inlineStr">
        <is>
          <t>CÔNG TY CỔ PHẦN CÔNG NGHIỆP VÀ THƯƠNG MẠI CƯỜNG THỊNH</t>
        </is>
      </c>
      <c r="I223" s="18" t="inlineStr">
        <is>
          <t>Long đền thường ZP M16B42D2</t>
        </is>
      </c>
      <c r="J223" s="18" t="inlineStr">
        <is>
          <t>Cái</t>
        </is>
      </c>
      <c r="K223" s="19" t="n">
        <v>800</v>
      </c>
      <c r="L223" s="20" t="n"/>
      <c r="M223" s="20" t="n"/>
      <c r="N223" s="22" t="n">
        <v>40</v>
      </c>
      <c r="O223" s="22" t="n">
        <v>32000</v>
      </c>
      <c r="P223" s="22" t="n">
        <v>40</v>
      </c>
      <c r="Q223" s="22" t="n">
        <v>32000</v>
      </c>
      <c r="R223" s="42">
        <f>+L223+N223-P223</f>
        <v/>
      </c>
      <c r="S223" s="42">
        <f>+M223+O223-Q223</f>
        <v/>
      </c>
    </row>
    <row r="224" ht="30" customHeight="1">
      <c r="A224" s="16" t="n">
        <v>45671</v>
      </c>
      <c r="B224" s="17" t="inlineStr">
        <is>
          <t>MH2501-32</t>
        </is>
      </c>
      <c r="C224" s="16" t="n">
        <v>45671</v>
      </c>
      <c r="D224" s="17" t="inlineStr">
        <is>
          <t>00000174</t>
        </is>
      </c>
      <c r="E224" s="16" t="n">
        <v>45671</v>
      </c>
      <c r="F224" s="16" t="inlineStr">
        <is>
          <t>XK2501-20</t>
        </is>
      </c>
      <c r="G224" s="16" t="n">
        <v>45671</v>
      </c>
      <c r="H224" s="18" t="inlineStr">
        <is>
          <t>CÔNG TY CỔ PHẦN CÔNG NGHIỆP VÀ THƯƠNG MẠI CƯỜNG THỊNH</t>
        </is>
      </c>
      <c r="I224" s="18" t="inlineStr">
        <is>
          <t>Long đền móng ngựa ZP M16</t>
        </is>
      </c>
      <c r="J224" s="18" t="inlineStr">
        <is>
          <t>Cái</t>
        </is>
      </c>
      <c r="K224" s="19" t="n">
        <v>15670</v>
      </c>
      <c r="L224" s="20" t="n"/>
      <c r="M224" s="20" t="n"/>
      <c r="N224" s="22" t="n">
        <v>40</v>
      </c>
      <c r="O224" s="22" t="n">
        <v>626800</v>
      </c>
      <c r="P224" s="22" t="n">
        <v>40</v>
      </c>
      <c r="Q224" s="22" t="n">
        <v>626800</v>
      </c>
      <c r="R224" s="42">
        <f>+L224+N224-P224</f>
        <v/>
      </c>
      <c r="S224" s="42">
        <f>+M224+O224-Q224</f>
        <v/>
      </c>
    </row>
    <row r="225" ht="30" customHeight="1">
      <c r="A225" s="16" t="n">
        <v>45671</v>
      </c>
      <c r="B225" s="17" t="inlineStr">
        <is>
          <t>MH2501-32</t>
        </is>
      </c>
      <c r="C225" s="16" t="n">
        <v>45671</v>
      </c>
      <c r="D225" s="17" t="inlineStr">
        <is>
          <t>00000174</t>
        </is>
      </c>
      <c r="E225" s="16" t="n">
        <v>45671</v>
      </c>
      <c r="F225" s="16" t="inlineStr">
        <is>
          <t>XK2501-20</t>
        </is>
      </c>
      <c r="G225" s="16" t="n">
        <v>45671</v>
      </c>
      <c r="H225" s="18" t="inlineStr">
        <is>
          <t>CÔNG TY CỔ PHẦN CÔNG NGHIỆP VÀ THƯƠNG MẠI CƯỜNG THỊNH</t>
        </is>
      </c>
      <c r="I225" s="18" t="inlineStr">
        <is>
          <t>Nối Ty ZP M16x100 (23mm)</t>
        </is>
      </c>
      <c r="J225" s="18" t="inlineStr">
        <is>
          <t>Cái</t>
        </is>
      </c>
      <c r="K225" s="19" t="n">
        <v>24160</v>
      </c>
      <c r="L225" s="20" t="n"/>
      <c r="M225" s="20" t="n"/>
      <c r="N225" s="22" t="n">
        <v>12</v>
      </c>
      <c r="O225" s="22" t="n">
        <v>289920</v>
      </c>
      <c r="P225" s="22" t="n">
        <v>12</v>
      </c>
      <c r="Q225" s="22" t="n">
        <v>289920</v>
      </c>
      <c r="R225" s="42">
        <f>+L225+N225-P225</f>
        <v/>
      </c>
      <c r="S225" s="42">
        <f>+M225+O225-Q225</f>
        <v/>
      </c>
    </row>
    <row r="226" ht="30" customHeight="1">
      <c r="A226" s="16" t="n">
        <v>45671</v>
      </c>
      <c r="B226" s="17" t="inlineStr">
        <is>
          <t>MH2501-32</t>
        </is>
      </c>
      <c r="C226" s="16" t="n">
        <v>45671</v>
      </c>
      <c r="D226" s="17" t="inlineStr">
        <is>
          <t>00000174</t>
        </is>
      </c>
      <c r="E226" s="16" t="n">
        <v>45671</v>
      </c>
      <c r="F226" s="16" t="inlineStr">
        <is>
          <t>XK2501-20</t>
        </is>
      </c>
      <c r="G226" s="16" t="n">
        <v>45671</v>
      </c>
      <c r="H226" s="18" t="inlineStr">
        <is>
          <t>CÔNG TY CỔ PHẦN CÔNG NGHIỆP VÀ THƯƠNG MẠI CƯỜNG THỊNH</t>
        </is>
      </c>
      <c r="I226" s="18" t="inlineStr">
        <is>
          <t>Ty giằng 2 đầu ren 4.6 Ф11.3-11.5mm ZP M12</t>
        </is>
      </c>
      <c r="J226" s="18" t="inlineStr">
        <is>
          <t>Cái</t>
        </is>
      </c>
      <c r="K226" s="19" t="n">
        <v>22500</v>
      </c>
      <c r="L226" s="20" t="n"/>
      <c r="M226" s="20" t="n"/>
      <c r="N226" s="22" t="n">
        <v>151.16</v>
      </c>
      <c r="O226" s="22" t="n">
        <v>3401100</v>
      </c>
      <c r="P226" s="22" t="n">
        <v>151.16</v>
      </c>
      <c r="Q226" s="22" t="n">
        <v>3401100</v>
      </c>
      <c r="R226" s="42">
        <f>+L226+N226-P226</f>
        <v/>
      </c>
      <c r="S226" s="42">
        <f>+M226+O226-Q226</f>
        <v/>
      </c>
    </row>
    <row r="227" ht="30" customHeight="1">
      <c r="A227" s="16" t="n">
        <v>45671</v>
      </c>
      <c r="B227" s="17" t="inlineStr">
        <is>
          <t>MH2501-32</t>
        </is>
      </c>
      <c r="C227" s="16" t="n">
        <v>45671</v>
      </c>
      <c r="D227" s="17" t="inlineStr">
        <is>
          <t>00000174</t>
        </is>
      </c>
      <c r="E227" s="16" t="n">
        <v>45671</v>
      </c>
      <c r="F227" s="16" t="inlineStr">
        <is>
          <t>XK2501-20</t>
        </is>
      </c>
      <c r="G227" s="16" t="n">
        <v>45671</v>
      </c>
      <c r="H227" s="18" t="inlineStr">
        <is>
          <t>CÔNG TY CỔ PHẦN CÔNG NGHIỆP VÀ THƯƠNG MẠI CƯỜNG THỊNH</t>
        </is>
      </c>
      <c r="I227" s="18" t="inlineStr">
        <is>
          <t>Ty giằng 2 đầu ren 4.6 Ф11.3-11.5mm ZP M12</t>
        </is>
      </c>
      <c r="J227" s="18" t="inlineStr">
        <is>
          <t>Cái</t>
        </is>
      </c>
      <c r="K227" s="19" t="n">
        <v>24500</v>
      </c>
      <c r="L227" s="20" t="n"/>
      <c r="M227" s="20" t="n"/>
      <c r="N227" s="22" t="n">
        <v>40.42</v>
      </c>
      <c r="O227" s="22" t="n">
        <v>990290</v>
      </c>
      <c r="P227" s="22" t="n">
        <v>40.42</v>
      </c>
      <c r="Q227" s="22" t="n">
        <v>990290</v>
      </c>
      <c r="R227" s="42">
        <f>+L227+N227-P227</f>
        <v/>
      </c>
      <c r="S227" s="42">
        <f>+M227+O227-Q227</f>
        <v/>
      </c>
    </row>
    <row r="228" ht="30" customHeight="1">
      <c r="A228" s="16" t="n">
        <v>45671</v>
      </c>
      <c r="B228" s="17" t="inlineStr">
        <is>
          <t>MH2501-32</t>
        </is>
      </c>
      <c r="C228" s="16" t="n">
        <v>45671</v>
      </c>
      <c r="D228" s="17" t="inlineStr">
        <is>
          <t>00000174</t>
        </is>
      </c>
      <c r="E228" s="16" t="n">
        <v>45671</v>
      </c>
      <c r="F228" s="16" t="inlineStr">
        <is>
          <t>XK2501-20</t>
        </is>
      </c>
      <c r="G228" s="16" t="n">
        <v>45671</v>
      </c>
      <c r="H228" s="18" t="inlineStr">
        <is>
          <t>CÔNG TY CỔ PHẦN CÔNG NGHIỆP VÀ THƯƠNG MẠI CƯỜNG THỊNH</t>
        </is>
      </c>
      <c r="I228" s="18" t="inlineStr">
        <is>
          <t>Đai ốc thường 4 ZP M12 (9mm)</t>
        </is>
      </c>
      <c r="J228" s="18" t="inlineStr">
        <is>
          <t>Cái</t>
        </is>
      </c>
      <c r="K228" s="19" t="n">
        <v>360</v>
      </c>
      <c r="L228" s="20" t="n"/>
      <c r="M228" s="20" t="n"/>
      <c r="N228" s="22" t="n">
        <v>560</v>
      </c>
      <c r="O228" s="22" t="n">
        <v>201600</v>
      </c>
      <c r="P228" s="22" t="n">
        <v>560</v>
      </c>
      <c r="Q228" s="22" t="n">
        <v>201600</v>
      </c>
      <c r="R228" s="42">
        <f>+L228+N228-P228</f>
        <v/>
      </c>
      <c r="S228" s="42">
        <f>+M228+O228-Q228</f>
        <v/>
      </c>
    </row>
    <row r="229" ht="30" customHeight="1">
      <c r="A229" s="16" t="n">
        <v>45671</v>
      </c>
      <c r="B229" s="17" t="inlineStr">
        <is>
          <t>MH2501-32</t>
        </is>
      </c>
      <c r="C229" s="16" t="n">
        <v>45671</v>
      </c>
      <c r="D229" s="17" t="inlineStr">
        <is>
          <t>00000174</t>
        </is>
      </c>
      <c r="E229" s="16" t="n">
        <v>45671</v>
      </c>
      <c r="F229" s="16" t="inlineStr">
        <is>
          <t>XK2501-20</t>
        </is>
      </c>
      <c r="G229" s="16" t="n">
        <v>45671</v>
      </c>
      <c r="H229" s="18" t="inlineStr">
        <is>
          <t>CÔNG TY CỔ PHẦN CÔNG NGHIỆP VÀ THƯƠNG MẠI CƯỜNG THỊNH</t>
        </is>
      </c>
      <c r="I229" s="18" t="inlineStr">
        <is>
          <t>Long đền thường ZP M12B26D1.5</t>
        </is>
      </c>
      <c r="J229" s="18" t="inlineStr">
        <is>
          <t>Cái</t>
        </is>
      </c>
      <c r="K229" s="19" t="n">
        <v>190</v>
      </c>
      <c r="L229" s="20" t="n"/>
      <c r="M229" s="20" t="n"/>
      <c r="N229" s="22" t="n">
        <v>560</v>
      </c>
      <c r="O229" s="22" t="n">
        <v>106400</v>
      </c>
      <c r="P229" s="22" t="n">
        <v>560</v>
      </c>
      <c r="Q229" s="22" t="n">
        <v>106400</v>
      </c>
      <c r="R229" s="42">
        <f>+L229+N229-P229</f>
        <v/>
      </c>
      <c r="S229" s="42">
        <f>+M229+O229-Q229</f>
        <v/>
      </c>
    </row>
    <row r="230" ht="30" customHeight="1">
      <c r="A230" s="16" t="n">
        <v>45671</v>
      </c>
      <c r="B230" s="17" t="inlineStr">
        <is>
          <t>MH2501-33</t>
        </is>
      </c>
      <c r="C230" s="16" t="n">
        <v>45671</v>
      </c>
      <c r="D230" s="17" t="inlineStr">
        <is>
          <t>00000175</t>
        </is>
      </c>
      <c r="E230" s="16" t="n">
        <v>45671</v>
      </c>
      <c r="F230" s="16" t="inlineStr">
        <is>
          <t>XK2501-20</t>
        </is>
      </c>
      <c r="G230" s="16" t="n">
        <v>45671</v>
      </c>
      <c r="H230" s="18" t="inlineStr">
        <is>
          <t>CÔNG TY CỔ PHẦN CÔNG NGHIỆP VÀ THƯƠNG MẠI CƯỜNG THỊNH</t>
        </is>
      </c>
      <c r="I230" s="18" t="inlineStr">
        <is>
          <t>Vít B2 Dacromet 10-24x22 WAF (bake)</t>
        </is>
      </c>
      <c r="J230" s="18" t="inlineStr">
        <is>
          <t>Cái</t>
        </is>
      </c>
      <c r="K230" s="19" t="n">
        <v>440</v>
      </c>
      <c r="L230" s="20" t="n"/>
      <c r="M230" s="20" t="n"/>
      <c r="N230" s="22" t="n">
        <v>200</v>
      </c>
      <c r="O230" s="22" t="n">
        <v>88000</v>
      </c>
      <c r="P230" s="22" t="n">
        <v>200</v>
      </c>
      <c r="Q230" s="22" t="n">
        <v>88000</v>
      </c>
      <c r="R230" s="42">
        <f>+L230+N230-P230</f>
        <v/>
      </c>
      <c r="S230" s="42">
        <f>+M230+O230-Q230</f>
        <v/>
      </c>
    </row>
    <row r="231" ht="30" customHeight="1">
      <c r="A231" s="16" t="n">
        <v>45671</v>
      </c>
      <c r="B231" s="17" t="inlineStr">
        <is>
          <t>MH2501-33</t>
        </is>
      </c>
      <c r="C231" s="16" t="n">
        <v>45671</v>
      </c>
      <c r="D231" s="17" t="inlineStr">
        <is>
          <t>00000175</t>
        </is>
      </c>
      <c r="E231" s="16" t="n">
        <v>45671</v>
      </c>
      <c r="F231" s="16" t="inlineStr">
        <is>
          <t>XK2501-20</t>
        </is>
      </c>
      <c r="G231" s="16" t="n">
        <v>45671</v>
      </c>
      <c r="H231" s="18" t="inlineStr">
        <is>
          <t>CÔNG TY CỔ PHẦN CÔNG NGHIỆP VÀ THƯƠNG MẠI CƯỜNG THỊNH</t>
        </is>
      </c>
      <c r="I231" s="18" t="inlineStr">
        <is>
          <t>Đinh hàn 4.8 M16x70</t>
        </is>
      </c>
      <c r="J231" s="18" t="inlineStr">
        <is>
          <t>Cái</t>
        </is>
      </c>
      <c r="K231" s="19" t="n">
        <v>4800</v>
      </c>
      <c r="L231" s="20" t="n"/>
      <c r="M231" s="20" t="n"/>
      <c r="N231" s="22" t="n">
        <v>721</v>
      </c>
      <c r="O231" s="22" t="n">
        <v>3460800</v>
      </c>
      <c r="P231" s="22" t="n">
        <v>721</v>
      </c>
      <c r="Q231" s="22" t="n">
        <v>3460800</v>
      </c>
      <c r="R231" s="42">
        <f>+L231+N231-P231</f>
        <v/>
      </c>
      <c r="S231" s="42">
        <f>+M231+O231-Q231</f>
        <v/>
      </c>
    </row>
    <row r="232" ht="30" customHeight="1">
      <c r="A232" s="16" t="n">
        <v>45671</v>
      </c>
      <c r="B232" s="17" t="inlineStr">
        <is>
          <t>MH2501-33</t>
        </is>
      </c>
      <c r="C232" s="16" t="n">
        <v>45671</v>
      </c>
      <c r="D232" s="17" t="inlineStr">
        <is>
          <t>00000175</t>
        </is>
      </c>
      <c r="E232" s="16" t="n">
        <v>45671</v>
      </c>
      <c r="F232" s="16" t="inlineStr">
        <is>
          <t>XK2501-20</t>
        </is>
      </c>
      <c r="G232" s="16" t="n">
        <v>45671</v>
      </c>
      <c r="H232" s="18" t="inlineStr">
        <is>
          <t>CÔNG TY CỔ PHẦN CÔNG NGHIỆP VÀ THƯƠNG MẠI CƯỜNG THỊNH</t>
        </is>
      </c>
      <c r="I232" s="18" t="inlineStr">
        <is>
          <t>Vít B2 Dacromet 15-15x20</t>
        </is>
      </c>
      <c r="J232" s="18" t="inlineStr">
        <is>
          <t>Cái</t>
        </is>
      </c>
      <c r="K232" s="19" t="n">
        <v>760</v>
      </c>
      <c r="L232" s="20" t="n"/>
      <c r="M232" s="20" t="n"/>
      <c r="N232" s="22" t="n">
        <v>200</v>
      </c>
      <c r="O232" s="22" t="n">
        <v>152000</v>
      </c>
      <c r="P232" s="22" t="n">
        <v>200</v>
      </c>
      <c r="Q232" s="22" t="n">
        <v>152000</v>
      </c>
      <c r="R232" s="42">
        <f>+L232+N232-P232</f>
        <v/>
      </c>
      <c r="S232" s="42">
        <f>+M232+O232-Q232</f>
        <v/>
      </c>
    </row>
    <row r="233" ht="30" customHeight="1">
      <c r="A233" s="16" t="n">
        <v>45671</v>
      </c>
      <c r="B233" s="17" t="inlineStr">
        <is>
          <t>MH2501-33</t>
        </is>
      </c>
      <c r="C233" s="16" t="n">
        <v>45671</v>
      </c>
      <c r="D233" s="17" t="inlineStr">
        <is>
          <t>00000175</t>
        </is>
      </c>
      <c r="E233" s="16" t="n">
        <v>45671</v>
      </c>
      <c r="F233" s="16" t="inlineStr">
        <is>
          <t>XK2501-20</t>
        </is>
      </c>
      <c r="G233" s="16" t="n">
        <v>45671</v>
      </c>
      <c r="H233" s="18" t="inlineStr">
        <is>
          <t>CÔNG TY CỔ PHẦN CÔNG NGHIỆP VÀ THƯƠNG MẠI CƯỜNG THỊNH</t>
        </is>
      </c>
      <c r="I233" s="18" t="inlineStr">
        <is>
          <t>Vít B2 Dacromet 12-24x38 HWFS (lục giác)</t>
        </is>
      </c>
      <c r="J233" s="18" t="inlineStr">
        <is>
          <t>Cái</t>
        </is>
      </c>
      <c r="K233" s="19" t="n">
        <v>1920</v>
      </c>
      <c r="L233" s="20" t="n"/>
      <c r="M233" s="20" t="n"/>
      <c r="N233" s="22" t="n">
        <v>800</v>
      </c>
      <c r="O233" s="22" t="n">
        <v>1536000</v>
      </c>
      <c r="P233" s="22" t="n">
        <v>800</v>
      </c>
      <c r="Q233" s="22" t="n">
        <v>1536000</v>
      </c>
      <c r="R233" s="42">
        <f>+L233+N233-P233</f>
        <v/>
      </c>
      <c r="S233" s="42">
        <f>+M233+O233-Q233</f>
        <v/>
      </c>
    </row>
    <row r="234" ht="30" customHeight="1">
      <c r="A234" s="16" t="n">
        <v>45671</v>
      </c>
      <c r="B234" s="17" t="inlineStr">
        <is>
          <t>MH2501-33</t>
        </is>
      </c>
      <c r="C234" s="16" t="n">
        <v>45671</v>
      </c>
      <c r="D234" s="17" t="inlineStr">
        <is>
          <t>00000175</t>
        </is>
      </c>
      <c r="E234" s="16" t="n">
        <v>45671</v>
      </c>
      <c r="F234" s="16" t="inlineStr">
        <is>
          <t>XK2501-20</t>
        </is>
      </c>
      <c r="G234" s="16" t="n">
        <v>45671</v>
      </c>
      <c r="H234" s="18" t="inlineStr">
        <is>
          <t>CÔNG TY CỔ PHẦN CÔNG NGHIỆP VÀ THƯƠNG MẠI CƯỜNG THỊNH</t>
        </is>
      </c>
      <c r="I234" s="18" t="inlineStr">
        <is>
          <t>Vít B3 Dacromet 12-14x20</t>
        </is>
      </c>
      <c r="J234" s="18" t="inlineStr">
        <is>
          <t>Cái</t>
        </is>
      </c>
      <c r="K234" s="19" t="n">
        <v>730</v>
      </c>
      <c r="L234" s="20" t="n"/>
      <c r="M234" s="20" t="n"/>
      <c r="N234" s="22" t="n">
        <v>800</v>
      </c>
      <c r="O234" s="22" t="n">
        <v>584000</v>
      </c>
      <c r="P234" s="22" t="n">
        <v>800</v>
      </c>
      <c r="Q234" s="22" t="n">
        <v>584000</v>
      </c>
      <c r="R234" s="42">
        <f>+L234+N234-P234</f>
        <v/>
      </c>
      <c r="S234" s="42">
        <f>+M234+O234-Q234</f>
        <v/>
      </c>
    </row>
    <row r="235" ht="30" customHeight="1">
      <c r="A235" s="16" t="n">
        <v>45671</v>
      </c>
      <c r="B235" s="17" t="inlineStr">
        <is>
          <t>MH2501-33</t>
        </is>
      </c>
      <c r="C235" s="16" t="n">
        <v>45671</v>
      </c>
      <c r="D235" s="17" t="inlineStr">
        <is>
          <t>00000175</t>
        </is>
      </c>
      <c r="E235" s="16" t="n">
        <v>45671</v>
      </c>
      <c r="F235" s="16" t="inlineStr">
        <is>
          <t>XK2501-20</t>
        </is>
      </c>
      <c r="G235" s="16" t="n">
        <v>45671</v>
      </c>
      <c r="H235" s="18" t="inlineStr">
        <is>
          <t>CÔNG TY CỔ PHẦN CÔNG NGHIỆP VÀ THƯƠNG MẠI CƯỜNG THỊNH</t>
        </is>
      </c>
      <c r="I235" s="18" t="inlineStr">
        <is>
          <t>Bulong Din 933 8.8 ZP M16x50</t>
        </is>
      </c>
      <c r="J235" s="18" t="inlineStr">
        <is>
          <t>Cái</t>
        </is>
      </c>
      <c r="K235" s="19" t="n">
        <v>3470</v>
      </c>
      <c r="L235" s="20" t="n"/>
      <c r="M235" s="20" t="n"/>
      <c r="N235" s="22" t="n">
        <v>12</v>
      </c>
      <c r="O235" s="22" t="n">
        <v>41640</v>
      </c>
      <c r="P235" s="22" t="n">
        <v>12</v>
      </c>
      <c r="Q235" s="22" t="n">
        <v>41640</v>
      </c>
      <c r="R235" s="42">
        <f>+L235+N235-P235</f>
        <v/>
      </c>
      <c r="S235" s="42">
        <f>+M235+O235-Q235</f>
        <v/>
      </c>
    </row>
    <row r="236" ht="30" customHeight="1">
      <c r="A236" s="16" t="n">
        <v>45671</v>
      </c>
      <c r="B236" s="17" t="inlineStr">
        <is>
          <t>MH2501-33</t>
        </is>
      </c>
      <c r="C236" s="16" t="n">
        <v>45671</v>
      </c>
      <c r="D236" s="17" t="inlineStr">
        <is>
          <t>00000175</t>
        </is>
      </c>
      <c r="E236" s="16" t="n">
        <v>45671</v>
      </c>
      <c r="F236" s="16" t="inlineStr">
        <is>
          <t>XK2501-20</t>
        </is>
      </c>
      <c r="G236" s="16" t="n">
        <v>45671</v>
      </c>
      <c r="H236" s="18" t="inlineStr">
        <is>
          <t>CÔNG TY CỔ PHẦN CÔNG NGHIỆP VÀ THƯƠNG MẠI CƯỜNG THỊNH</t>
        </is>
      </c>
      <c r="I236" s="18" t="inlineStr">
        <is>
          <t>Đai ốc Din 934 8 ZP M16</t>
        </is>
      </c>
      <c r="J236" s="18" t="inlineStr">
        <is>
          <t>Cái</t>
        </is>
      </c>
      <c r="K236" s="19" t="n">
        <v>1090</v>
      </c>
      <c r="L236" s="20" t="n"/>
      <c r="M236" s="20" t="n"/>
      <c r="N236" s="22" t="n">
        <v>12</v>
      </c>
      <c r="O236" s="22" t="n">
        <v>13080</v>
      </c>
      <c r="P236" s="22" t="n">
        <v>12</v>
      </c>
      <c r="Q236" s="22" t="n">
        <v>13080</v>
      </c>
      <c r="R236" s="42">
        <f>+L236+N236-P236</f>
        <v/>
      </c>
      <c r="S236" s="42">
        <f>+M236+O236-Q236</f>
        <v/>
      </c>
    </row>
    <row r="237" ht="30" customHeight="1">
      <c r="A237" s="16" t="n">
        <v>45671</v>
      </c>
      <c r="B237" s="17" t="inlineStr">
        <is>
          <t>MH2501-33</t>
        </is>
      </c>
      <c r="C237" s="16" t="n">
        <v>45671</v>
      </c>
      <c r="D237" s="17" t="inlineStr">
        <is>
          <t>00000175</t>
        </is>
      </c>
      <c r="E237" s="16" t="n">
        <v>45671</v>
      </c>
      <c r="F237" s="16" t="inlineStr">
        <is>
          <t>XK2501-20</t>
        </is>
      </c>
      <c r="G237" s="16" t="n">
        <v>45671</v>
      </c>
      <c r="H237" s="18" t="inlineStr">
        <is>
          <t>CÔNG TY CỔ PHẦN CÔNG NGHIỆP VÀ THƯƠNG MẠI CƯỜNG THỊNH</t>
        </is>
      </c>
      <c r="I237" s="18" t="inlineStr">
        <is>
          <t>Long đền thường ZP M16B30D2</t>
        </is>
      </c>
      <c r="J237" s="18" t="inlineStr">
        <is>
          <t>Cái</t>
        </is>
      </c>
      <c r="K237" s="19" t="n">
        <v>350</v>
      </c>
      <c r="L237" s="20" t="n"/>
      <c r="M237" s="20" t="n"/>
      <c r="N237" s="22" t="n">
        <v>12</v>
      </c>
      <c r="O237" s="22" t="n">
        <v>4200</v>
      </c>
      <c r="P237" s="22" t="n">
        <v>12</v>
      </c>
      <c r="Q237" s="22" t="n">
        <v>4200</v>
      </c>
      <c r="R237" s="42">
        <f>+L237+N237-P237</f>
        <v/>
      </c>
      <c r="S237" s="42">
        <f>+M237+O237-Q237</f>
        <v/>
      </c>
    </row>
    <row r="238" ht="30" customHeight="1">
      <c r="A238" s="16" t="n">
        <v>45671</v>
      </c>
      <c r="B238" s="17" t="inlineStr">
        <is>
          <t>MH2501-33</t>
        </is>
      </c>
      <c r="C238" s="16" t="n">
        <v>45671</v>
      </c>
      <c r="D238" s="17" t="inlineStr">
        <is>
          <t>00000175</t>
        </is>
      </c>
      <c r="E238" s="16" t="n">
        <v>45671</v>
      </c>
      <c r="F238" s="16" t="inlineStr">
        <is>
          <t>XK2501-20</t>
        </is>
      </c>
      <c r="G238" s="16" t="n">
        <v>45671</v>
      </c>
      <c r="H238" s="18" t="inlineStr">
        <is>
          <t>CÔNG TY CỔ PHẦN CÔNG NGHIỆP VÀ THƯƠNG MẠI CƯỜNG THỊNH</t>
        </is>
      </c>
      <c r="I238" s="18" t="inlineStr">
        <is>
          <t>Bulong Din 933 8.8 ZP M20x60</t>
        </is>
      </c>
      <c r="J238" s="18" t="inlineStr">
        <is>
          <t>Cái</t>
        </is>
      </c>
      <c r="K238" s="19" t="n">
        <v>6440</v>
      </c>
      <c r="L238" s="20" t="n"/>
      <c r="M238" s="20" t="n"/>
      <c r="N238" s="22" t="n">
        <v>1169</v>
      </c>
      <c r="O238" s="22" t="n">
        <v>7528360</v>
      </c>
      <c r="P238" s="22" t="n">
        <v>1169</v>
      </c>
      <c r="Q238" s="22" t="n">
        <v>7528360</v>
      </c>
      <c r="R238" s="42">
        <f>+L238+N238-P238</f>
        <v/>
      </c>
      <c r="S238" s="42">
        <f>+M238+O238-Q238</f>
        <v/>
      </c>
    </row>
    <row r="239" ht="30" customHeight="1">
      <c r="A239" s="16" t="n">
        <v>45671</v>
      </c>
      <c r="B239" s="17" t="inlineStr">
        <is>
          <t>MH2501-33</t>
        </is>
      </c>
      <c r="C239" s="16" t="n">
        <v>45671</v>
      </c>
      <c r="D239" s="17" t="inlineStr">
        <is>
          <t>00000175</t>
        </is>
      </c>
      <c r="E239" s="16" t="n">
        <v>45671</v>
      </c>
      <c r="F239" s="16" t="inlineStr">
        <is>
          <t>XK2501-20</t>
        </is>
      </c>
      <c r="G239" s="16" t="n">
        <v>45671</v>
      </c>
      <c r="H239" s="18" t="inlineStr">
        <is>
          <t>CÔNG TY CỔ PHẦN CÔNG NGHIỆP VÀ THƯƠNG MẠI CƯỜNG THỊNH</t>
        </is>
      </c>
      <c r="I239" s="18" t="inlineStr">
        <is>
          <t>Đai ốc Din 934 8 ZP M20</t>
        </is>
      </c>
      <c r="J239" s="18" t="inlineStr">
        <is>
          <t>Cái</t>
        </is>
      </c>
      <c r="K239" s="19" t="n">
        <v>2030</v>
      </c>
      <c r="L239" s="20" t="n"/>
      <c r="M239" s="20" t="n"/>
      <c r="N239" s="22" t="n">
        <v>1169</v>
      </c>
      <c r="O239" s="22" t="n">
        <v>2373070</v>
      </c>
      <c r="P239" s="22" t="n">
        <v>1169</v>
      </c>
      <c r="Q239" s="22" t="n">
        <v>2373070</v>
      </c>
      <c r="R239" s="42">
        <f>+L239+N239-P239</f>
        <v/>
      </c>
      <c r="S239" s="42">
        <f>+M239+O239-Q239</f>
        <v/>
      </c>
    </row>
    <row r="240" ht="30" customHeight="1">
      <c r="A240" s="16" t="n">
        <v>45671</v>
      </c>
      <c r="B240" s="17" t="inlineStr">
        <is>
          <t>MH2501-33</t>
        </is>
      </c>
      <c r="C240" s="16" t="n">
        <v>45671</v>
      </c>
      <c r="D240" s="17" t="inlineStr">
        <is>
          <t>00000175</t>
        </is>
      </c>
      <c r="E240" s="16" t="n">
        <v>45671</v>
      </c>
      <c r="F240" s="16" t="inlineStr">
        <is>
          <t>XK2501-20</t>
        </is>
      </c>
      <c r="G240" s="16" t="n">
        <v>45671</v>
      </c>
      <c r="H240" s="18" t="inlineStr">
        <is>
          <t>CÔNG TY CỔ PHẦN CÔNG NGHIỆP VÀ THƯƠNG MẠI CƯỜNG THỊNH</t>
        </is>
      </c>
      <c r="I240" s="18" t="inlineStr">
        <is>
          <t>Long đền thường ZP M20B35D2</t>
        </is>
      </c>
      <c r="J240" s="18" t="inlineStr">
        <is>
          <t>Cái</t>
        </is>
      </c>
      <c r="K240" s="19" t="n">
        <v>350</v>
      </c>
      <c r="L240" s="20" t="n"/>
      <c r="M240" s="20" t="n"/>
      <c r="N240" s="22" t="n">
        <v>1169</v>
      </c>
      <c r="O240" s="22" t="n">
        <v>409150</v>
      </c>
      <c r="P240" s="22" t="n">
        <v>1169</v>
      </c>
      <c r="Q240" s="22" t="n">
        <v>409150</v>
      </c>
      <c r="R240" s="42">
        <f>+L240+N240-P240</f>
        <v/>
      </c>
      <c r="S240" s="42">
        <f>+M240+O240-Q240</f>
        <v/>
      </c>
    </row>
    <row r="241" ht="30" customHeight="1">
      <c r="A241" s="16" t="n">
        <v>45671</v>
      </c>
      <c r="B241" s="17" t="inlineStr">
        <is>
          <t>MH2501-33</t>
        </is>
      </c>
      <c r="C241" s="16" t="n">
        <v>45671</v>
      </c>
      <c r="D241" s="17" t="inlineStr">
        <is>
          <t>00000175</t>
        </is>
      </c>
      <c r="E241" s="16" t="n">
        <v>45671</v>
      </c>
      <c r="F241" s="16" t="inlineStr">
        <is>
          <t>XK2501-20</t>
        </is>
      </c>
      <c r="G241" s="16" t="n">
        <v>45671</v>
      </c>
      <c r="H241" s="18" t="inlineStr">
        <is>
          <t>CÔNG TY CỔ PHẦN CÔNG NGHIỆP VÀ THƯƠNG MẠI CƯỜNG THỊNH</t>
        </is>
      </c>
      <c r="I241" s="18" t="inlineStr">
        <is>
          <t>Bulong Din 933 8.8 ZP M20x80</t>
        </is>
      </c>
      <c r="J241" s="18" t="inlineStr">
        <is>
          <t>Cái</t>
        </is>
      </c>
      <c r="K241" s="19" t="n">
        <v>7730</v>
      </c>
      <c r="L241" s="20" t="n"/>
      <c r="M241" s="20" t="n"/>
      <c r="N241" s="22" t="n">
        <v>89</v>
      </c>
      <c r="O241" s="22" t="n">
        <v>687970</v>
      </c>
      <c r="P241" s="22" t="n">
        <v>89</v>
      </c>
      <c r="Q241" s="22" t="n">
        <v>687970</v>
      </c>
      <c r="R241" s="42">
        <f>+L241+N241-P241</f>
        <v/>
      </c>
      <c r="S241" s="42">
        <f>+M241+O241-Q241</f>
        <v/>
      </c>
    </row>
    <row r="242" ht="30" customHeight="1">
      <c r="A242" s="16" t="n">
        <v>45671</v>
      </c>
      <c r="B242" s="17" t="inlineStr">
        <is>
          <t>MH2501-33</t>
        </is>
      </c>
      <c r="C242" s="16" t="n">
        <v>45671</v>
      </c>
      <c r="D242" s="17" t="inlineStr">
        <is>
          <t>00000175</t>
        </is>
      </c>
      <c r="E242" s="16" t="n">
        <v>45671</v>
      </c>
      <c r="F242" s="16" t="inlineStr">
        <is>
          <t>XK2501-20</t>
        </is>
      </c>
      <c r="G242" s="16" t="n">
        <v>45671</v>
      </c>
      <c r="H242" s="18" t="inlineStr">
        <is>
          <t>CÔNG TY CỔ PHẦN CÔNG NGHIỆP VÀ THƯƠNG MẠI CƯỜNG THỊNH</t>
        </is>
      </c>
      <c r="I242" s="18" t="inlineStr">
        <is>
          <t>Đai ốc Din 934 8 ZP M20</t>
        </is>
      </c>
      <c r="J242" s="18" t="inlineStr">
        <is>
          <t>Cái</t>
        </is>
      </c>
      <c r="K242" s="19" t="n">
        <v>2030</v>
      </c>
      <c r="L242" s="20" t="n"/>
      <c r="M242" s="20" t="n"/>
      <c r="N242" s="22" t="n">
        <v>89</v>
      </c>
      <c r="O242" s="22" t="n">
        <v>180670</v>
      </c>
      <c r="P242" s="22" t="n">
        <v>89</v>
      </c>
      <c r="Q242" s="22" t="n">
        <v>180670</v>
      </c>
      <c r="R242" s="42">
        <f>+L242+N242-P242</f>
        <v/>
      </c>
      <c r="S242" s="42">
        <f>+M242+O242-Q242</f>
        <v/>
      </c>
    </row>
    <row r="243" ht="30" customHeight="1">
      <c r="A243" s="16" t="n">
        <v>45671</v>
      </c>
      <c r="B243" s="17" t="inlineStr">
        <is>
          <t>MH2501-33</t>
        </is>
      </c>
      <c r="C243" s="16" t="n">
        <v>45671</v>
      </c>
      <c r="D243" s="17" t="inlineStr">
        <is>
          <t>00000175</t>
        </is>
      </c>
      <c r="E243" s="16" t="n">
        <v>45671</v>
      </c>
      <c r="F243" s="16" t="inlineStr">
        <is>
          <t>XK2501-20</t>
        </is>
      </c>
      <c r="G243" s="16" t="n">
        <v>45671</v>
      </c>
      <c r="H243" s="18" t="inlineStr">
        <is>
          <t>CÔNG TY CỔ PHẦN CÔNG NGHIỆP VÀ THƯƠNG MẠI CƯỜNG THỊNH</t>
        </is>
      </c>
      <c r="I243" s="18" t="inlineStr">
        <is>
          <t>Long đền thường ZP M20B35D2</t>
        </is>
      </c>
      <c r="J243" s="18" t="inlineStr">
        <is>
          <t>Cái</t>
        </is>
      </c>
      <c r="K243" s="19" t="n">
        <v>350</v>
      </c>
      <c r="L243" s="20" t="n"/>
      <c r="M243" s="20" t="n"/>
      <c r="N243" s="22" t="n">
        <v>89</v>
      </c>
      <c r="O243" s="22" t="n">
        <v>31150</v>
      </c>
      <c r="P243" s="22" t="n">
        <v>89</v>
      </c>
      <c r="Q243" s="22" t="n">
        <v>31150</v>
      </c>
      <c r="R243" s="42">
        <f>+L243+N243-P243</f>
        <v/>
      </c>
      <c r="S243" s="42">
        <f>+M243+O243-Q243</f>
        <v/>
      </c>
    </row>
    <row r="244" ht="30" customHeight="1">
      <c r="A244" s="16" t="n">
        <v>45671</v>
      </c>
      <c r="B244" s="17" t="inlineStr">
        <is>
          <t>MH2501-33</t>
        </is>
      </c>
      <c r="C244" s="16" t="n">
        <v>45671</v>
      </c>
      <c r="D244" s="17" t="inlineStr">
        <is>
          <t>00000175</t>
        </is>
      </c>
      <c r="E244" s="16" t="n">
        <v>45671</v>
      </c>
      <c r="F244" s="16" t="inlineStr">
        <is>
          <t>XK2501-20</t>
        </is>
      </c>
      <c r="G244" s="16" t="n">
        <v>45671</v>
      </c>
      <c r="H244" s="18" t="inlineStr">
        <is>
          <t>CÔNG TY CỔ PHẦN CÔNG NGHIỆP VÀ THƯƠNG MẠI CƯỜNG THỊNH</t>
        </is>
      </c>
      <c r="I244" s="18" t="inlineStr">
        <is>
          <t>Bulong Din 933 8.8 ZP M24x70</t>
        </is>
      </c>
      <c r="J244" s="18" t="inlineStr">
        <is>
          <t>Cái</t>
        </is>
      </c>
      <c r="K244" s="19" t="n">
        <v>11010</v>
      </c>
      <c r="L244" s="20" t="n"/>
      <c r="M244" s="20" t="n"/>
      <c r="N244" s="22" t="n">
        <v>185</v>
      </c>
      <c r="O244" s="22" t="n">
        <v>2036850</v>
      </c>
      <c r="P244" s="22" t="n">
        <v>185</v>
      </c>
      <c r="Q244" s="22" t="n">
        <v>2036850</v>
      </c>
      <c r="R244" s="42">
        <f>+L244+N244-P244</f>
        <v/>
      </c>
      <c r="S244" s="42">
        <f>+M244+O244-Q244</f>
        <v/>
      </c>
    </row>
    <row r="245" ht="30" customHeight="1">
      <c r="A245" s="16" t="n">
        <v>45671</v>
      </c>
      <c r="B245" s="17" t="inlineStr">
        <is>
          <t>MH2501-33</t>
        </is>
      </c>
      <c r="C245" s="16" t="n">
        <v>45671</v>
      </c>
      <c r="D245" s="17" t="inlineStr">
        <is>
          <t>00000175</t>
        </is>
      </c>
      <c r="E245" s="16" t="n">
        <v>45671</v>
      </c>
      <c r="F245" s="16" t="inlineStr">
        <is>
          <t>XK2501-20</t>
        </is>
      </c>
      <c r="G245" s="16" t="n">
        <v>45671</v>
      </c>
      <c r="H245" s="18" t="inlineStr">
        <is>
          <t>CÔNG TY CỔ PHẦN CÔNG NGHIỆP VÀ THƯƠNG MẠI CƯỜNG THỊNH</t>
        </is>
      </c>
      <c r="I245" s="18" t="inlineStr">
        <is>
          <t>Đai ốc Din 934 8 ZP M24</t>
        </is>
      </c>
      <c r="J245" s="18" t="inlineStr">
        <is>
          <t>Cái</t>
        </is>
      </c>
      <c r="K245" s="19" t="n">
        <v>3500</v>
      </c>
      <c r="L245" s="20" t="n"/>
      <c r="M245" s="20" t="n"/>
      <c r="N245" s="22" t="n">
        <v>185</v>
      </c>
      <c r="O245" s="22" t="n">
        <v>647500</v>
      </c>
      <c r="P245" s="22" t="n">
        <v>185</v>
      </c>
      <c r="Q245" s="22" t="n">
        <v>647500</v>
      </c>
      <c r="R245" s="42">
        <f>+L245+N245-P245</f>
        <v/>
      </c>
      <c r="S245" s="42">
        <f>+M245+O245-Q245</f>
        <v/>
      </c>
    </row>
    <row r="246" ht="30" customHeight="1">
      <c r="A246" s="16" t="n">
        <v>45671</v>
      </c>
      <c r="B246" s="17" t="inlineStr">
        <is>
          <t>MH2501-33</t>
        </is>
      </c>
      <c r="C246" s="16" t="n">
        <v>45671</v>
      </c>
      <c r="D246" s="17" t="inlineStr">
        <is>
          <t>00000175</t>
        </is>
      </c>
      <c r="E246" s="16" t="n">
        <v>45671</v>
      </c>
      <c r="F246" s="16" t="inlineStr">
        <is>
          <t>XK2501-20</t>
        </is>
      </c>
      <c r="G246" s="16" t="n">
        <v>45671</v>
      </c>
      <c r="H246" s="18" t="inlineStr">
        <is>
          <t>CÔNG TY CỔ PHẦN CÔNG NGHIỆP VÀ THƯƠNG MẠI CƯỜNG THỊNH</t>
        </is>
      </c>
      <c r="I246" s="18" t="inlineStr">
        <is>
          <t>Long đền thường ZP M24B42D2</t>
        </is>
      </c>
      <c r="J246" s="18" t="inlineStr">
        <is>
          <t>Cái</t>
        </is>
      </c>
      <c r="K246" s="19" t="n">
        <v>710</v>
      </c>
      <c r="L246" s="20" t="n"/>
      <c r="M246" s="20" t="n"/>
      <c r="N246" s="22" t="n">
        <v>185</v>
      </c>
      <c r="O246" s="22" t="n">
        <v>131350</v>
      </c>
      <c r="P246" s="22" t="n">
        <v>185</v>
      </c>
      <c r="Q246" s="22" t="n">
        <v>131350</v>
      </c>
      <c r="R246" s="42">
        <f>+L246+N246-P246</f>
        <v/>
      </c>
      <c r="S246" s="42">
        <f>+M246+O246-Q246</f>
        <v/>
      </c>
    </row>
    <row r="247" ht="30" customHeight="1">
      <c r="A247" s="16" t="n">
        <v>45671</v>
      </c>
      <c r="B247" s="17" t="inlineStr">
        <is>
          <t>MH2501-33</t>
        </is>
      </c>
      <c r="C247" s="16" t="n">
        <v>45671</v>
      </c>
      <c r="D247" s="17" t="inlineStr">
        <is>
          <t>00000175</t>
        </is>
      </c>
      <c r="E247" s="16" t="n">
        <v>45671</v>
      </c>
      <c r="F247" s="16" t="inlineStr">
        <is>
          <t>XK2501-20</t>
        </is>
      </c>
      <c r="G247" s="16" t="n">
        <v>45671</v>
      </c>
      <c r="H247" s="18" t="inlineStr">
        <is>
          <t>CÔNG TY CỔ PHẦN CÔNG NGHIỆP VÀ THƯƠNG MẠI CƯỜNG THỊNH</t>
        </is>
      </c>
      <c r="I247" s="18" t="inlineStr">
        <is>
          <t>Bulong thường 4.6 ZP M12x30</t>
        </is>
      </c>
      <c r="J247" s="18" t="inlineStr">
        <is>
          <t>Cái</t>
        </is>
      </c>
      <c r="K247" s="19" t="n">
        <v>950</v>
      </c>
      <c r="L247" s="20" t="n"/>
      <c r="M247" s="20" t="n"/>
      <c r="N247" s="22" t="n">
        <v>169</v>
      </c>
      <c r="O247" s="22" t="n">
        <v>160550</v>
      </c>
      <c r="P247" s="22" t="n">
        <v>169</v>
      </c>
      <c r="Q247" s="22" t="n">
        <v>160550</v>
      </c>
      <c r="R247" s="42">
        <f>+L247+N247-P247</f>
        <v/>
      </c>
      <c r="S247" s="42">
        <f>+M247+O247-Q247</f>
        <v/>
      </c>
    </row>
    <row r="248" ht="30" customHeight="1">
      <c r="A248" s="16" t="n">
        <v>45671</v>
      </c>
      <c r="B248" s="17" t="inlineStr">
        <is>
          <t>MH2501-33</t>
        </is>
      </c>
      <c r="C248" s="16" t="n">
        <v>45671</v>
      </c>
      <c r="D248" s="17" t="inlineStr">
        <is>
          <t>00000175</t>
        </is>
      </c>
      <c r="E248" s="16" t="n">
        <v>45671</v>
      </c>
      <c r="F248" s="16" t="inlineStr">
        <is>
          <t>XK2501-20</t>
        </is>
      </c>
      <c r="G248" s="16" t="n">
        <v>45671</v>
      </c>
      <c r="H248" s="18" t="inlineStr">
        <is>
          <t>CÔNG TY CỔ PHẦN CÔNG NGHIỆP VÀ THƯƠNG MẠI CƯỜNG THỊNH</t>
        </is>
      </c>
      <c r="I248" s="18" t="inlineStr">
        <is>
          <t>Đai ốc thường 4 ZP M12 (9mm)</t>
        </is>
      </c>
      <c r="J248" s="18" t="inlineStr">
        <is>
          <t>Cái</t>
        </is>
      </c>
      <c r="K248" s="19" t="n">
        <v>360</v>
      </c>
      <c r="L248" s="20" t="n"/>
      <c r="M248" s="20" t="n"/>
      <c r="N248" s="22" t="n">
        <v>169</v>
      </c>
      <c r="O248" s="22" t="n">
        <v>60840</v>
      </c>
      <c r="P248" s="22" t="n">
        <v>169</v>
      </c>
      <c r="Q248" s="22" t="n">
        <v>60840</v>
      </c>
      <c r="R248" s="42">
        <f>+L248+N248-P248</f>
        <v/>
      </c>
      <c r="S248" s="42">
        <f>+M248+O248-Q248</f>
        <v/>
      </c>
    </row>
    <row r="249" ht="30" customHeight="1">
      <c r="A249" s="16" t="n">
        <v>45671</v>
      </c>
      <c r="B249" s="17" t="inlineStr">
        <is>
          <t>MH2501-33</t>
        </is>
      </c>
      <c r="C249" s="16" t="n">
        <v>45671</v>
      </c>
      <c r="D249" s="17" t="inlineStr">
        <is>
          <t>00000175</t>
        </is>
      </c>
      <c r="E249" s="16" t="n">
        <v>45671</v>
      </c>
      <c r="F249" s="16" t="inlineStr">
        <is>
          <t>XK2501-20</t>
        </is>
      </c>
      <c r="G249" s="16" t="n">
        <v>45671</v>
      </c>
      <c r="H249" s="18" t="inlineStr">
        <is>
          <t>CÔNG TY CỔ PHẦN CÔNG NGHIỆP VÀ THƯƠNG MẠI CƯỜNG THỊNH</t>
        </is>
      </c>
      <c r="I249" s="18" t="inlineStr">
        <is>
          <t>Long đền thường ZP M12B23D1</t>
        </is>
      </c>
      <c r="J249" s="18" t="inlineStr">
        <is>
          <t>Cái</t>
        </is>
      </c>
      <c r="K249" s="19" t="n">
        <v>100</v>
      </c>
      <c r="L249" s="20" t="n"/>
      <c r="M249" s="20" t="n"/>
      <c r="N249" s="22" t="n">
        <v>338</v>
      </c>
      <c r="O249" s="22" t="n">
        <v>33800</v>
      </c>
      <c r="P249" s="22" t="n">
        <v>338</v>
      </c>
      <c r="Q249" s="22" t="n">
        <v>33800</v>
      </c>
      <c r="R249" s="42">
        <f>+L249+N249-P249</f>
        <v/>
      </c>
      <c r="S249" s="42">
        <f>+M249+O249-Q249</f>
        <v/>
      </c>
    </row>
    <row r="250" ht="30" customHeight="1">
      <c r="A250" s="16" t="n">
        <v>45671</v>
      </c>
      <c r="B250" s="17" t="inlineStr">
        <is>
          <t>MH2501-33</t>
        </is>
      </c>
      <c r="C250" s="16" t="n">
        <v>45671</v>
      </c>
      <c r="D250" s="17" t="inlineStr">
        <is>
          <t>00000175</t>
        </is>
      </c>
      <c r="E250" s="16" t="n">
        <v>45671</v>
      </c>
      <c r="F250" s="16" t="inlineStr">
        <is>
          <t>XK2501-20</t>
        </is>
      </c>
      <c r="G250" s="16" t="n">
        <v>45671</v>
      </c>
      <c r="H250" s="18" t="inlineStr">
        <is>
          <t>CÔNG TY CỔ PHẦN CÔNG NGHIỆP VÀ THƯƠNG MẠI CƯỜNG THỊNH</t>
        </is>
      </c>
      <c r="I250" s="18" t="inlineStr">
        <is>
          <t>Ty ren suốt 5.6 (đầu vát-đầu lục giác) ZP M24x250</t>
        </is>
      </c>
      <c r="J250" s="18" t="inlineStr">
        <is>
          <t>Cái</t>
        </is>
      </c>
      <c r="K250" s="19" t="n">
        <v>47680</v>
      </c>
      <c r="L250" s="20" t="n"/>
      <c r="M250" s="20" t="n"/>
      <c r="N250" s="22" t="n">
        <v>227</v>
      </c>
      <c r="O250" s="22" t="n">
        <v>10823360</v>
      </c>
      <c r="P250" s="22" t="n">
        <v>227</v>
      </c>
      <c r="Q250" s="22" t="n">
        <v>10823360</v>
      </c>
      <c r="R250" s="42">
        <f>+L250+N250-P250</f>
        <v/>
      </c>
      <c r="S250" s="42">
        <f>+M250+O250-Q250</f>
        <v/>
      </c>
    </row>
    <row r="251" ht="30" customHeight="1">
      <c r="A251" s="16" t="n">
        <v>45671</v>
      </c>
      <c r="B251" s="17" t="inlineStr">
        <is>
          <t>MH2501-33</t>
        </is>
      </c>
      <c r="C251" s="16" t="n">
        <v>45671</v>
      </c>
      <c r="D251" s="17" t="inlineStr">
        <is>
          <t>00000175</t>
        </is>
      </c>
      <c r="E251" s="16" t="n">
        <v>45671</v>
      </c>
      <c r="F251" s="16" t="inlineStr">
        <is>
          <t>XK2501-20</t>
        </is>
      </c>
      <c r="G251" s="16" t="n">
        <v>45671</v>
      </c>
      <c r="H251" s="18" t="inlineStr">
        <is>
          <t>CÔNG TY CỔ PHẦN CÔNG NGHIỆP VÀ THƯƠNG MẠI CƯỜNG THỊNH</t>
        </is>
      </c>
      <c r="I251" s="18" t="inlineStr">
        <is>
          <t>Đai ốc Din 934 5 ZP M24</t>
        </is>
      </c>
      <c r="J251" s="18" t="inlineStr">
        <is>
          <t>Cái</t>
        </is>
      </c>
      <c r="K251" s="19" t="n">
        <v>3470</v>
      </c>
      <c r="L251" s="20" t="n"/>
      <c r="M251" s="20" t="n"/>
      <c r="N251" s="22" t="n">
        <v>227</v>
      </c>
      <c r="O251" s="22" t="n">
        <v>787690</v>
      </c>
      <c r="P251" s="22" t="n">
        <v>227</v>
      </c>
      <c r="Q251" s="22" t="n">
        <v>787690</v>
      </c>
      <c r="R251" s="42">
        <f>+L251+N251-P251</f>
        <v/>
      </c>
      <c r="S251" s="42">
        <f>+M251+O251-Q251</f>
        <v/>
      </c>
    </row>
    <row r="252" ht="30" customHeight="1">
      <c r="A252" s="16" t="n">
        <v>45671</v>
      </c>
      <c r="B252" s="17" t="inlineStr">
        <is>
          <t>MH2501-33</t>
        </is>
      </c>
      <c r="C252" s="16" t="n">
        <v>45671</v>
      </c>
      <c r="D252" s="17" t="inlineStr">
        <is>
          <t>00000175</t>
        </is>
      </c>
      <c r="E252" s="16" t="n">
        <v>45671</v>
      </c>
      <c r="F252" s="16" t="inlineStr">
        <is>
          <t>XK2501-20</t>
        </is>
      </c>
      <c r="G252" s="16" t="n">
        <v>45671</v>
      </c>
      <c r="H252" s="18" t="inlineStr">
        <is>
          <t>CÔNG TY CỔ PHẦN CÔNG NGHIỆP VÀ THƯƠNG MẠI CƯỜNG THỊNH</t>
        </is>
      </c>
      <c r="I252" s="18" t="inlineStr">
        <is>
          <t>Long đền thường ZP M24B45D2</t>
        </is>
      </c>
      <c r="J252" s="18" t="inlineStr">
        <is>
          <t>Cái</t>
        </is>
      </c>
      <c r="K252" s="19" t="n">
        <v>820</v>
      </c>
      <c r="L252" s="20" t="n"/>
      <c r="M252" s="20" t="n"/>
      <c r="N252" s="22" t="n">
        <v>227</v>
      </c>
      <c r="O252" s="22" t="n">
        <v>186140</v>
      </c>
      <c r="P252" s="22" t="n">
        <v>227</v>
      </c>
      <c r="Q252" s="22" t="n">
        <v>186140</v>
      </c>
      <c r="R252" s="42">
        <f>+L252+N252-P252</f>
        <v/>
      </c>
      <c r="S252" s="42">
        <f>+M252+O252-Q252</f>
        <v/>
      </c>
    </row>
    <row r="253" ht="30" customHeight="1">
      <c r="A253" s="16" t="n">
        <v>45671</v>
      </c>
      <c r="B253" s="17" t="inlineStr">
        <is>
          <t>MH2501-33</t>
        </is>
      </c>
      <c r="C253" s="16" t="n">
        <v>45671</v>
      </c>
      <c r="D253" s="17" t="inlineStr">
        <is>
          <t>00000176</t>
        </is>
      </c>
      <c r="E253" s="16" t="n">
        <v>45671</v>
      </c>
      <c r="F253" s="16" t="inlineStr">
        <is>
          <t>XK2501-20</t>
        </is>
      </c>
      <c r="G253" s="16" t="n">
        <v>45671</v>
      </c>
      <c r="H253" s="18" t="inlineStr">
        <is>
          <t>CÔNG TY CỔ PHẦN CÔNG NGHIỆP VÀ THƯƠNG MẠI CƯỜNG THỊNH</t>
        </is>
      </c>
      <c r="I253" s="18" t="inlineStr">
        <is>
          <t>Ty giằng 2 đầu ren 4.6 ZP M16</t>
        </is>
      </c>
      <c r="J253" s="18" t="inlineStr"/>
      <c r="K253" s="19" t="n">
        <v>48000</v>
      </c>
      <c r="L253" s="20" t="n"/>
      <c r="M253" s="20" t="n"/>
      <c r="N253" s="22" t="n">
        <v>86.45999999999999</v>
      </c>
      <c r="O253" s="22" t="n">
        <v>4150080</v>
      </c>
      <c r="P253" s="22" t="n">
        <v>86.45999999999999</v>
      </c>
      <c r="Q253" s="22" t="n">
        <v>4150080</v>
      </c>
      <c r="R253" s="42">
        <f>+L253+N253-P253</f>
        <v/>
      </c>
      <c r="S253" s="42">
        <f>+M253+O253-Q253</f>
        <v/>
      </c>
    </row>
    <row r="254" ht="30" customHeight="1">
      <c r="A254" s="16" t="n">
        <v>45671</v>
      </c>
      <c r="B254" s="17" t="inlineStr">
        <is>
          <t>MH2501-33</t>
        </is>
      </c>
      <c r="C254" s="16" t="n">
        <v>45671</v>
      </c>
      <c r="D254" s="17" t="inlineStr">
        <is>
          <t>00000176</t>
        </is>
      </c>
      <c r="E254" s="16" t="n">
        <v>45671</v>
      </c>
      <c r="F254" s="16" t="inlineStr">
        <is>
          <t>XK2501-20</t>
        </is>
      </c>
      <c r="G254" s="16" t="n">
        <v>45671</v>
      </c>
      <c r="H254" s="18" t="inlineStr">
        <is>
          <t>CÔNG TY CỔ PHẦN CÔNG NGHIỆP VÀ THƯƠNG MẠI CƯỜNG THỊNH</t>
        </is>
      </c>
      <c r="I254" s="18" t="inlineStr">
        <is>
          <t>Đai ốc Din 934 5 ZP M16</t>
        </is>
      </c>
      <c r="J254" s="18" t="inlineStr">
        <is>
          <t>Cái</t>
        </is>
      </c>
      <c r="K254" s="19" t="n">
        <v>1110</v>
      </c>
      <c r="L254" s="20" t="n"/>
      <c r="M254" s="20" t="n"/>
      <c r="N254" s="22" t="n">
        <v>24</v>
      </c>
      <c r="O254" s="22" t="n">
        <v>26640</v>
      </c>
      <c r="P254" s="22" t="n">
        <v>24</v>
      </c>
      <c r="Q254" s="22" t="n">
        <v>26640</v>
      </c>
      <c r="R254" s="42">
        <f>+L254+N254-P254</f>
        <v/>
      </c>
      <c r="S254" s="42">
        <f>+M254+O254-Q254</f>
        <v/>
      </c>
    </row>
    <row r="255" ht="30" customHeight="1">
      <c r="A255" s="16" t="n">
        <v>45671</v>
      </c>
      <c r="B255" s="17" t="inlineStr">
        <is>
          <t>MH2501-33</t>
        </is>
      </c>
      <c r="C255" s="16" t="n">
        <v>45671</v>
      </c>
      <c r="D255" s="17" t="inlineStr">
        <is>
          <t>00000176</t>
        </is>
      </c>
      <c r="E255" s="16" t="n">
        <v>45671</v>
      </c>
      <c r="F255" s="16" t="inlineStr">
        <is>
          <t>XK2501-20</t>
        </is>
      </c>
      <c r="G255" s="16" t="n">
        <v>45671</v>
      </c>
      <c r="H255" s="18" t="inlineStr">
        <is>
          <t>CÔNG TY CỔ PHẦN CÔNG NGHIỆP VÀ THƯƠNG MẠI CƯỜNG THỊNH</t>
        </is>
      </c>
      <c r="I255" s="18" t="inlineStr">
        <is>
          <t>Long đền thường ZP M16B42D2</t>
        </is>
      </c>
      <c r="J255" s="18" t="inlineStr">
        <is>
          <t>Cái</t>
        </is>
      </c>
      <c r="K255" s="19" t="n">
        <v>800</v>
      </c>
      <c r="L255" s="20" t="n"/>
      <c r="M255" s="20" t="n"/>
      <c r="N255" s="22" t="n">
        <v>24</v>
      </c>
      <c r="O255" s="22" t="n">
        <v>19200</v>
      </c>
      <c r="P255" s="22" t="n">
        <v>24</v>
      </c>
      <c r="Q255" s="22" t="n">
        <v>19200</v>
      </c>
      <c r="R255" s="42">
        <f>+L255+N255-P255</f>
        <v/>
      </c>
      <c r="S255" s="42">
        <f>+M255+O255-Q255</f>
        <v/>
      </c>
    </row>
    <row r="256" ht="30" customHeight="1">
      <c r="A256" s="16" t="n">
        <v>45671</v>
      </c>
      <c r="B256" s="17" t="inlineStr">
        <is>
          <t>MH2501-33</t>
        </is>
      </c>
      <c r="C256" s="16" t="n">
        <v>45671</v>
      </c>
      <c r="D256" s="17" t="inlineStr">
        <is>
          <t>00000176</t>
        </is>
      </c>
      <c r="E256" s="16" t="n">
        <v>45671</v>
      </c>
      <c r="F256" s="16" t="inlineStr">
        <is>
          <t>XK2501-20</t>
        </is>
      </c>
      <c r="G256" s="16" t="n">
        <v>45671</v>
      </c>
      <c r="H256" s="18" t="inlineStr">
        <is>
          <t>CÔNG TY CỔ PHẦN CÔNG NGHIỆP VÀ THƯƠNG MẠI CƯỜNG THỊNH</t>
        </is>
      </c>
      <c r="I256" s="18" t="inlineStr">
        <is>
          <t>Long đền móng ngựa ZP M16</t>
        </is>
      </c>
      <c r="J256" s="18" t="inlineStr">
        <is>
          <t>Cái</t>
        </is>
      </c>
      <c r="K256" s="19" t="n">
        <v>15670</v>
      </c>
      <c r="L256" s="20" t="n"/>
      <c r="M256" s="20" t="n"/>
      <c r="N256" s="22" t="n">
        <v>24</v>
      </c>
      <c r="O256" s="22" t="n">
        <v>376080</v>
      </c>
      <c r="P256" s="22" t="n">
        <v>24</v>
      </c>
      <c r="Q256" s="22" t="n">
        <v>376080</v>
      </c>
      <c r="R256" s="42">
        <f>+L256+N256-P256</f>
        <v/>
      </c>
      <c r="S256" s="42">
        <f>+M256+O256-Q256</f>
        <v/>
      </c>
    </row>
    <row r="257" ht="30" customHeight="1">
      <c r="A257" s="16" t="n">
        <v>45671</v>
      </c>
      <c r="B257" s="17" t="inlineStr">
        <is>
          <t>MH2501-33</t>
        </is>
      </c>
      <c r="C257" s="16" t="n">
        <v>45671</v>
      </c>
      <c r="D257" s="17" t="inlineStr">
        <is>
          <t>00000176</t>
        </is>
      </c>
      <c r="E257" s="16" t="n">
        <v>45671</v>
      </c>
      <c r="F257" s="16" t="inlineStr">
        <is>
          <t>XK2501-20</t>
        </is>
      </c>
      <c r="G257" s="16" t="n">
        <v>45671</v>
      </c>
      <c r="H257" s="18" t="inlineStr">
        <is>
          <t>CÔNG TY CỔ PHẦN CÔNG NGHIỆP VÀ THƯƠNG MẠI CƯỜNG THỊNH</t>
        </is>
      </c>
      <c r="I257" s="18" t="inlineStr">
        <is>
          <t>Nối Ty ZP M16x100 (23mm)</t>
        </is>
      </c>
      <c r="J257" s="18" t="inlineStr">
        <is>
          <t>Cái</t>
        </is>
      </c>
      <c r="K257" s="19" t="n">
        <v>24160</v>
      </c>
      <c r="L257" s="20" t="n"/>
      <c r="M257" s="20" t="n"/>
      <c r="N257" s="22" t="n">
        <v>8</v>
      </c>
      <c r="O257" s="22" t="n">
        <v>193280</v>
      </c>
      <c r="P257" s="22" t="n">
        <v>8</v>
      </c>
      <c r="Q257" s="22" t="n">
        <v>193280</v>
      </c>
      <c r="R257" s="42">
        <f>+L257+N257-P257</f>
        <v/>
      </c>
      <c r="S257" s="42">
        <f>+M257+O257-Q257</f>
        <v/>
      </c>
    </row>
    <row r="258" ht="30" customHeight="1">
      <c r="A258" s="16" t="n">
        <v>45671</v>
      </c>
      <c r="B258" s="17" t="inlineStr">
        <is>
          <t>MH2501-33</t>
        </is>
      </c>
      <c r="C258" s="16" t="n">
        <v>45671</v>
      </c>
      <c r="D258" s="17" t="inlineStr">
        <is>
          <t>00000176</t>
        </is>
      </c>
      <c r="E258" s="16" t="n">
        <v>45671</v>
      </c>
      <c r="F258" s="16" t="inlineStr">
        <is>
          <t>XK2501-20</t>
        </is>
      </c>
      <c r="G258" s="16" t="n">
        <v>45671</v>
      </c>
      <c r="H258" s="18" t="inlineStr">
        <is>
          <t>CÔNG TY CỔ PHẦN CÔNG NGHIỆP VÀ THƯƠNG MẠI CƯỜNG THỊNH</t>
        </is>
      </c>
      <c r="I258" s="18" t="inlineStr">
        <is>
          <t>Ty giằng 2 đầu ren 4.6 Ф11.3-11.5mm ZP M12</t>
        </is>
      </c>
      <c r="J258" s="18" t="inlineStr"/>
      <c r="K258" s="19" t="n">
        <v>22500</v>
      </c>
      <c r="L258" s="20" t="n"/>
      <c r="M258" s="20" t="n"/>
      <c r="N258" s="22" t="n">
        <v>41.45</v>
      </c>
      <c r="O258" s="22" t="n">
        <v>932625</v>
      </c>
      <c r="P258" s="22" t="n">
        <v>41.45</v>
      </c>
      <c r="Q258" s="22" t="n">
        <v>932625</v>
      </c>
      <c r="R258" s="42">
        <f>+L258+N258-P258</f>
        <v/>
      </c>
      <c r="S258" s="42">
        <f>+M258+O258-Q258</f>
        <v/>
      </c>
    </row>
    <row r="259" ht="30" customHeight="1">
      <c r="A259" s="16" t="n">
        <v>45671</v>
      </c>
      <c r="B259" s="17" t="inlineStr">
        <is>
          <t>MH2501-33</t>
        </is>
      </c>
      <c r="C259" s="16" t="n">
        <v>45671</v>
      </c>
      <c r="D259" s="17" t="inlineStr">
        <is>
          <t>00000176</t>
        </is>
      </c>
      <c r="E259" s="16" t="n">
        <v>45671</v>
      </c>
      <c r="F259" s="16" t="inlineStr">
        <is>
          <t>XK2501-20</t>
        </is>
      </c>
      <c r="G259" s="16" t="n">
        <v>45671</v>
      </c>
      <c r="H259" s="18" t="inlineStr">
        <is>
          <t>CÔNG TY CỔ PHẦN CÔNG NGHIỆP VÀ THƯƠNG MẠI CƯỜNG THỊNH</t>
        </is>
      </c>
      <c r="I259" s="18" t="inlineStr">
        <is>
          <t>Ty giằng 2 đầu ren 4.6 Ф11.3-11.5mm ZP M12</t>
        </is>
      </c>
      <c r="J259" s="18" t="inlineStr"/>
      <c r="K259" s="19" t="n">
        <v>24500</v>
      </c>
      <c r="L259" s="20" t="n"/>
      <c r="M259" s="20" t="n"/>
      <c r="N259" s="22" t="n">
        <v>9.720000000000001</v>
      </c>
      <c r="O259" s="22" t="n">
        <v>238140</v>
      </c>
      <c r="P259" s="22" t="n">
        <v>9.720000000000001</v>
      </c>
      <c r="Q259" s="22" t="n">
        <v>238140</v>
      </c>
      <c r="R259" s="42">
        <f>+L259+N259-P259</f>
        <v/>
      </c>
      <c r="S259" s="42">
        <f>+M259+O259-Q259</f>
        <v/>
      </c>
    </row>
    <row r="260" ht="30" customHeight="1">
      <c r="A260" s="16" t="n">
        <v>45671</v>
      </c>
      <c r="B260" s="17" t="inlineStr">
        <is>
          <t>MH2501-33</t>
        </is>
      </c>
      <c r="C260" s="16" t="n">
        <v>45671</v>
      </c>
      <c r="D260" s="17" t="inlineStr">
        <is>
          <t>00000176</t>
        </is>
      </c>
      <c r="E260" s="16" t="n">
        <v>45671</v>
      </c>
      <c r="F260" s="16" t="inlineStr">
        <is>
          <t>XK2501-20</t>
        </is>
      </c>
      <c r="G260" s="16" t="n">
        <v>45671</v>
      </c>
      <c r="H260" s="18" t="inlineStr">
        <is>
          <t>CÔNG TY CỔ PHẦN CÔNG NGHIỆP VÀ THƯƠNG MẠI CƯỜNG THỊNH</t>
        </is>
      </c>
      <c r="I260" s="18" t="inlineStr">
        <is>
          <t>Đai ốc thường 4 ZP M12 (9mm)</t>
        </is>
      </c>
      <c r="J260" s="18" t="inlineStr">
        <is>
          <t>Cái</t>
        </is>
      </c>
      <c r="K260" s="19" t="n">
        <v>360</v>
      </c>
      <c r="L260" s="20" t="n"/>
      <c r="M260" s="20" t="n"/>
      <c r="N260" s="22" t="n">
        <v>152</v>
      </c>
      <c r="O260" s="22" t="n">
        <v>54720</v>
      </c>
      <c r="P260" s="22" t="n">
        <v>152</v>
      </c>
      <c r="Q260" s="22" t="n">
        <v>54720</v>
      </c>
      <c r="R260" s="42">
        <f>+L260+N260-P260</f>
        <v/>
      </c>
      <c r="S260" s="42">
        <f>+M260+O260-Q260</f>
        <v/>
      </c>
    </row>
    <row r="261" ht="30" customHeight="1">
      <c r="A261" s="16" t="n">
        <v>45671</v>
      </c>
      <c r="B261" s="17" t="inlineStr">
        <is>
          <t>MH2501-33</t>
        </is>
      </c>
      <c r="C261" s="16" t="n">
        <v>45671</v>
      </c>
      <c r="D261" s="17" t="inlineStr">
        <is>
          <t>00000176</t>
        </is>
      </c>
      <c r="E261" s="16" t="n">
        <v>45671</v>
      </c>
      <c r="F261" s="16" t="inlineStr">
        <is>
          <t>XK2501-20</t>
        </is>
      </c>
      <c r="G261" s="16" t="n">
        <v>45671</v>
      </c>
      <c r="H261" s="18" t="inlineStr">
        <is>
          <t>CÔNG TY CỔ PHẦN CÔNG NGHIỆP VÀ THƯƠNG MẠI CƯỜNG THỊNH</t>
        </is>
      </c>
      <c r="I261" s="18" t="inlineStr">
        <is>
          <t>Long đền thường ZP M12B26D1.5</t>
        </is>
      </c>
      <c r="J261" s="18" t="inlineStr">
        <is>
          <t>Cái</t>
        </is>
      </c>
      <c r="K261" s="19" t="n">
        <v>190</v>
      </c>
      <c r="L261" s="20" t="n"/>
      <c r="M261" s="20" t="n"/>
      <c r="N261" s="22" t="n">
        <v>152</v>
      </c>
      <c r="O261" s="22" t="n">
        <v>28880</v>
      </c>
      <c r="P261" s="22" t="n">
        <v>152</v>
      </c>
      <c r="Q261" s="22" t="n">
        <v>28880</v>
      </c>
      <c r="R261" s="42">
        <f>+L261+N261-P261</f>
        <v/>
      </c>
      <c r="S261" s="42">
        <f>+M261+O261-Q261</f>
        <v/>
      </c>
    </row>
    <row r="262" ht="15" customHeight="1">
      <c r="A262" s="16" t="n">
        <v>45671</v>
      </c>
      <c r="B262" s="17" t="inlineStr">
        <is>
          <t>MH2501-34</t>
        </is>
      </c>
      <c r="C262" s="16" t="n">
        <v>45671</v>
      </c>
      <c r="D262" s="17" t="inlineStr">
        <is>
          <t>00000022</t>
        </is>
      </c>
      <c r="E262" s="16" t="n">
        <v>45671</v>
      </c>
      <c r="F262" s="16" t="inlineStr">
        <is>
          <t>XK2501-21</t>
        </is>
      </c>
      <c r="G262" s="16" t="n">
        <v>45671</v>
      </c>
      <c r="H262" s="18" t="inlineStr">
        <is>
          <t>CÔNG TY TNHH HILSET VIỆT NAM</t>
        </is>
      </c>
      <c r="I262" s="18" t="inlineStr">
        <is>
          <t>Hóa chất HIT-RE 500 V4</t>
        </is>
      </c>
      <c r="J262" s="18" t="inlineStr">
        <is>
          <t>Gói</t>
        </is>
      </c>
      <c r="K262" s="19" t="n">
        <v>850340</v>
      </c>
      <c r="L262" s="20" t="n"/>
      <c r="M262" s="20" t="n"/>
      <c r="N262" s="22" t="n">
        <v>40</v>
      </c>
      <c r="O262" s="22" t="n">
        <v>34013600</v>
      </c>
      <c r="P262" s="22" t="n">
        <v>40</v>
      </c>
      <c r="Q262" s="22" t="n">
        <v>34013600</v>
      </c>
      <c r="R262" s="42">
        <f>+L262+N262-P262</f>
        <v/>
      </c>
      <c r="S262" s="42">
        <f>+M262+O262-Q262</f>
        <v/>
      </c>
    </row>
    <row r="263" ht="15" customHeight="1">
      <c r="A263" s="16" t="n">
        <v>45671</v>
      </c>
      <c r="B263" s="17" t="inlineStr">
        <is>
          <t>MH2501-35</t>
        </is>
      </c>
      <c r="C263" s="16" t="n">
        <v>45671</v>
      </c>
      <c r="D263" s="17" t="inlineStr">
        <is>
          <t>00000556</t>
        </is>
      </c>
      <c r="E263" s="16" t="n">
        <v>45671</v>
      </c>
      <c r="F263" s="16" t="inlineStr">
        <is>
          <t>XK2501-22</t>
        </is>
      </c>
      <c r="G263" s="16" t="n">
        <v>45671</v>
      </c>
      <c r="H263" s="18" t="inlineStr">
        <is>
          <t>CÔNG TY TNHH SƠN JOTUN VIỆT NAM</t>
        </is>
      </c>
      <c r="I263" s="18" t="inlineStr">
        <is>
          <t>SƠN FUTURA CLASSIC STD0139     18.81L</t>
        </is>
      </c>
      <c r="J263" s="18" t="inlineStr">
        <is>
          <t>Thùng</t>
        </is>
      </c>
      <c r="K263" s="19" t="n">
        <v>155000</v>
      </c>
      <c r="L263" s="20" t="n"/>
      <c r="M263" s="20" t="n"/>
      <c r="N263" s="22" t="n">
        <v>18.81</v>
      </c>
      <c r="O263" s="22" t="n">
        <v>2915550</v>
      </c>
      <c r="P263" s="22" t="n">
        <v>18.81</v>
      </c>
      <c r="Q263" s="22" t="n">
        <v>2915550</v>
      </c>
      <c r="R263" s="42">
        <f>+L263+N263-P263</f>
        <v/>
      </c>
      <c r="S263" s="42">
        <f>+M263+O263-Q263</f>
        <v/>
      </c>
    </row>
    <row r="264" ht="15" customHeight="1">
      <c r="A264" s="16" t="n">
        <v>45671</v>
      </c>
      <c r="B264" s="17" t="inlineStr">
        <is>
          <t>MH2501-36</t>
        </is>
      </c>
      <c r="C264" s="16" t="n">
        <v>45671</v>
      </c>
      <c r="D264" s="17" t="inlineStr">
        <is>
          <t>00000011</t>
        </is>
      </c>
      <c r="E264" s="16" t="n">
        <v>45671</v>
      </c>
      <c r="F264" s="16" t="inlineStr">
        <is>
          <t>XK2501-23</t>
        </is>
      </c>
      <c r="G264" s="16" t="n">
        <v>45671</v>
      </c>
      <c r="H264" s="18" t="inlineStr">
        <is>
          <t>CÔNG TY TNHH XNK THÉP KIM NAM</t>
        </is>
      </c>
      <c r="I264" s="18" t="inlineStr">
        <is>
          <t>Thép ống 26.65x2.0x6m - Đen</t>
        </is>
      </c>
      <c r="J264" s="18" t="inlineStr">
        <is>
          <t>kg</t>
        </is>
      </c>
      <c r="K264" s="19" t="n">
        <v>16168.67</v>
      </c>
      <c r="L264" s="20" t="n"/>
      <c r="M264" s="20" t="n"/>
      <c r="N264" s="22" t="n">
        <v>29.16</v>
      </c>
      <c r="O264" s="22" t="n">
        <v>471478</v>
      </c>
      <c r="P264" s="22" t="n">
        <v>29.16</v>
      </c>
      <c r="Q264" s="22" t="n">
        <v>471478</v>
      </c>
      <c r="R264" s="42">
        <f>+L264+N264-P264</f>
        <v/>
      </c>
      <c r="S264" s="42">
        <f>+M264+O264-Q264</f>
        <v/>
      </c>
    </row>
    <row r="265" ht="15" customHeight="1">
      <c r="A265" s="16" t="n">
        <v>45671</v>
      </c>
      <c r="B265" s="17" t="inlineStr">
        <is>
          <t>MH2501-36</t>
        </is>
      </c>
      <c r="C265" s="16" t="n">
        <v>45671</v>
      </c>
      <c r="D265" s="17" t="inlineStr">
        <is>
          <t>00000011</t>
        </is>
      </c>
      <c r="E265" s="16" t="n">
        <v>45671</v>
      </c>
      <c r="F265" s="16" t="inlineStr">
        <is>
          <t>XK2501-23</t>
        </is>
      </c>
      <c r="G265" s="16" t="n">
        <v>45671</v>
      </c>
      <c r="H265" s="18" t="inlineStr">
        <is>
          <t>CÔNG TY TNHH XNK THÉP KIM NAM</t>
        </is>
      </c>
      <c r="I265" s="18" t="inlineStr">
        <is>
          <t>Thép ống 42.2x3.0x6m - Đen</t>
        </is>
      </c>
      <c r="J265" s="18" t="inlineStr">
        <is>
          <t>kg</t>
        </is>
      </c>
      <c r="K265" s="19" t="n">
        <v>16168.67</v>
      </c>
      <c r="L265" s="20" t="n"/>
      <c r="M265" s="20" t="n"/>
      <c r="N265" s="22" t="n">
        <v>104.4</v>
      </c>
      <c r="O265" s="22" t="n">
        <v>1688009</v>
      </c>
      <c r="P265" s="22" t="n">
        <v>104.4</v>
      </c>
      <c r="Q265" s="22" t="n">
        <v>1688009</v>
      </c>
      <c r="R265" s="42">
        <f>+L265+N265-P265</f>
        <v/>
      </c>
      <c r="S265" s="42">
        <f>+M265+O265-Q265</f>
        <v/>
      </c>
    </row>
    <row r="266" ht="15" customHeight="1">
      <c r="A266" s="16" t="n">
        <v>45671</v>
      </c>
      <c r="B266" s="17" t="inlineStr">
        <is>
          <t>MH2501-36</t>
        </is>
      </c>
      <c r="C266" s="16" t="n">
        <v>45671</v>
      </c>
      <c r="D266" s="17" t="inlineStr">
        <is>
          <t>00000011</t>
        </is>
      </c>
      <c r="E266" s="16" t="n">
        <v>45671</v>
      </c>
      <c r="F266" s="16" t="inlineStr">
        <is>
          <t>XK2501-23</t>
        </is>
      </c>
      <c r="G266" s="16" t="n">
        <v>45671</v>
      </c>
      <c r="H266" s="18" t="inlineStr">
        <is>
          <t>CÔNG TY TNHH XNK THÉP KIM NAM</t>
        </is>
      </c>
      <c r="I266" s="18" t="inlineStr">
        <is>
          <t>Thép Hình I150x75x5x6m</t>
        </is>
      </c>
      <c r="J266" s="18" t="inlineStr">
        <is>
          <t>kg</t>
        </is>
      </c>
      <c r="K266" s="19" t="n">
        <v>16805.04</v>
      </c>
      <c r="L266" s="20" t="n"/>
      <c r="M266" s="20" t="n"/>
      <c r="N266" s="22" t="n">
        <v>84</v>
      </c>
      <c r="O266" s="22" t="n">
        <v>1411623</v>
      </c>
      <c r="P266" s="22" t="n">
        <v>84</v>
      </c>
      <c r="Q266" s="22" t="n">
        <v>1411623</v>
      </c>
      <c r="R266" s="42">
        <f>+L266+N266-P266</f>
        <v/>
      </c>
      <c r="S266" s="42">
        <f>+M266+O266-Q266</f>
        <v/>
      </c>
    </row>
    <row r="267" ht="15" customHeight="1">
      <c r="A267" s="16" t="n">
        <v>45671</v>
      </c>
      <c r="B267" s="17" t="inlineStr">
        <is>
          <t>MH2501-36</t>
        </is>
      </c>
      <c r="C267" s="16" t="n">
        <v>45671</v>
      </c>
      <c r="D267" s="17" t="inlineStr">
        <is>
          <t>00000011</t>
        </is>
      </c>
      <c r="E267" s="16" t="n">
        <v>45671</v>
      </c>
      <c r="F267" s="16" t="inlineStr">
        <is>
          <t>XK2501-23</t>
        </is>
      </c>
      <c r="G267" s="16" t="n">
        <v>45671</v>
      </c>
      <c r="H267" s="18" t="inlineStr">
        <is>
          <t>CÔNG TY TNHH XNK THÉP KIM NAM</t>
        </is>
      </c>
      <c r="I267" s="18" t="inlineStr">
        <is>
          <t>Thép hình V50x50x4x6m</t>
        </is>
      </c>
      <c r="J267" s="18" t="inlineStr">
        <is>
          <t>kg</t>
        </is>
      </c>
      <c r="K267" s="19" t="n">
        <v>15441.4</v>
      </c>
      <c r="L267" s="20" t="n"/>
      <c r="M267" s="20" t="n"/>
      <c r="N267" s="22" t="n">
        <v>18</v>
      </c>
      <c r="O267" s="22" t="n">
        <v>277945</v>
      </c>
      <c r="P267" s="22" t="n">
        <v>18</v>
      </c>
      <c r="Q267" s="22" t="n">
        <v>277945</v>
      </c>
      <c r="R267" s="42">
        <f>+L267+N267-P267</f>
        <v/>
      </c>
      <c r="S267" s="42">
        <f>+M267+O267-Q267</f>
        <v/>
      </c>
    </row>
    <row r="268" ht="15" customHeight="1">
      <c r="A268" s="16" t="n">
        <v>45671</v>
      </c>
      <c r="B268" s="17" t="inlineStr">
        <is>
          <t>MH2501-36</t>
        </is>
      </c>
      <c r="C268" s="16" t="n">
        <v>45671</v>
      </c>
      <c r="D268" s="17" t="inlineStr">
        <is>
          <t>00000011</t>
        </is>
      </c>
      <c r="E268" s="16" t="n">
        <v>45671</v>
      </c>
      <c r="F268" s="16" t="inlineStr">
        <is>
          <t>XK2501-23</t>
        </is>
      </c>
      <c r="G268" s="16" t="n">
        <v>45671</v>
      </c>
      <c r="H268" s="18" t="inlineStr">
        <is>
          <t>CÔNG TY TNHH XNK THÉP KIM NAM</t>
        </is>
      </c>
      <c r="I268" s="18" t="inlineStr">
        <is>
          <t>Thép hình V63x63x5x6m</t>
        </is>
      </c>
      <c r="J268" s="18" t="inlineStr">
        <is>
          <t>kg</t>
        </is>
      </c>
      <c r="K268" s="19" t="n">
        <v>15623.22</v>
      </c>
      <c r="L268" s="20" t="n"/>
      <c r="M268" s="20" t="n"/>
      <c r="N268" s="22" t="n">
        <v>112</v>
      </c>
      <c r="O268" s="22" t="n">
        <v>1749800</v>
      </c>
      <c r="P268" s="22" t="n">
        <v>112</v>
      </c>
      <c r="Q268" s="22" t="n">
        <v>1749800</v>
      </c>
      <c r="R268" s="42">
        <f>+L268+N268-P268</f>
        <v/>
      </c>
      <c r="S268" s="42">
        <f>+M268+O268-Q268</f>
        <v/>
      </c>
    </row>
    <row r="269" ht="15" customHeight="1">
      <c r="A269" s="16" t="n">
        <v>45671</v>
      </c>
      <c r="B269" s="17" t="inlineStr">
        <is>
          <t>MH2501-36</t>
        </is>
      </c>
      <c r="C269" s="16" t="n">
        <v>45671</v>
      </c>
      <c r="D269" s="17" t="inlineStr">
        <is>
          <t>00000011</t>
        </is>
      </c>
      <c r="E269" s="16" t="n">
        <v>45671</v>
      </c>
      <c r="F269" s="16" t="inlineStr">
        <is>
          <t>XK2501-23</t>
        </is>
      </c>
      <c r="G269" s="16" t="n">
        <v>45671</v>
      </c>
      <c r="H269" s="18" t="inlineStr">
        <is>
          <t>CÔNG TY TNHH XNK THÉP KIM NAM</t>
        </is>
      </c>
      <c r="I269" s="18" t="inlineStr">
        <is>
          <t>Hộp vuông 100x100x2.5x6m - Đen</t>
        </is>
      </c>
      <c r="J269" s="18" t="inlineStr">
        <is>
          <t>kg</t>
        </is>
      </c>
      <c r="K269" s="19" t="n">
        <v>16168.67</v>
      </c>
      <c r="L269" s="20" t="n"/>
      <c r="M269" s="20" t="n"/>
      <c r="N269" s="22" t="n">
        <v>593.97</v>
      </c>
      <c r="O269" s="22" t="n">
        <v>9603707</v>
      </c>
      <c r="P269" s="22" t="n">
        <v>593.97</v>
      </c>
      <c r="Q269" s="22" t="n">
        <v>9603707</v>
      </c>
      <c r="R269" s="42">
        <f>+L269+N269-P269</f>
        <v/>
      </c>
      <c r="S269" s="42">
        <f>+M269+O269-Q269</f>
        <v/>
      </c>
    </row>
    <row r="270" ht="15" customHeight="1">
      <c r="A270" s="16" t="n">
        <v>45671</v>
      </c>
      <c r="B270" s="17" t="inlineStr">
        <is>
          <t>MH2501-36</t>
        </is>
      </c>
      <c r="C270" s="16" t="n">
        <v>45671</v>
      </c>
      <c r="D270" s="17" t="inlineStr">
        <is>
          <t>00000011</t>
        </is>
      </c>
      <c r="E270" s="16" t="n">
        <v>45671</v>
      </c>
      <c r="F270" s="16" t="inlineStr">
        <is>
          <t>XK2501-23</t>
        </is>
      </c>
      <c r="G270" s="16" t="n">
        <v>45671</v>
      </c>
      <c r="H270" s="18" t="inlineStr">
        <is>
          <t>CÔNG TY TNHH XNK THÉP KIM NAM</t>
        </is>
      </c>
      <c r="I270" s="18" t="inlineStr">
        <is>
          <t>Thép hình U120x47x3.5x6m</t>
        </is>
      </c>
      <c r="J270" s="18" t="inlineStr">
        <is>
          <t>kg</t>
        </is>
      </c>
      <c r="K270" s="19" t="n">
        <v>15454.55</v>
      </c>
      <c r="L270" s="20" t="n"/>
      <c r="M270" s="20" t="n"/>
      <c r="N270" s="22" t="n">
        <v>42</v>
      </c>
      <c r="O270" s="22" t="n">
        <v>649091</v>
      </c>
      <c r="P270" s="22" t="n">
        <v>42</v>
      </c>
      <c r="Q270" s="22" t="n">
        <v>649091</v>
      </c>
      <c r="R270" s="42">
        <f>+L270+N270-P270</f>
        <v/>
      </c>
      <c r="S270" s="42">
        <f>+M270+O270-Q270</f>
        <v/>
      </c>
    </row>
    <row r="271" ht="15" customHeight="1">
      <c r="A271" s="16" t="n">
        <v>45671</v>
      </c>
      <c r="B271" s="17" t="inlineStr">
        <is>
          <t>MH2501-36</t>
        </is>
      </c>
      <c r="C271" s="16" t="n">
        <v>45671</v>
      </c>
      <c r="D271" s="17" t="inlineStr">
        <is>
          <t>00000011</t>
        </is>
      </c>
      <c r="E271" s="16" t="n">
        <v>45671</v>
      </c>
      <c r="F271" s="16" t="inlineStr">
        <is>
          <t>XK2501-23</t>
        </is>
      </c>
      <c r="G271" s="16" t="n">
        <v>45671</v>
      </c>
      <c r="H271" s="18" t="inlineStr">
        <is>
          <t>CÔNG TY TNHH XNK THÉP KIM NAM</t>
        </is>
      </c>
      <c r="I271" s="18" t="inlineStr">
        <is>
          <t>Thép hình U250x76x6x12m</t>
        </is>
      </c>
      <c r="J271" s="18" t="inlineStr">
        <is>
          <t>kg</t>
        </is>
      </c>
      <c r="K271" s="19" t="n">
        <v>14532.31</v>
      </c>
      <c r="L271" s="20" t="n"/>
      <c r="M271" s="20" t="n"/>
      <c r="N271" s="22" t="n">
        <v>547.2</v>
      </c>
      <c r="O271" s="22" t="n">
        <v>7952080</v>
      </c>
      <c r="P271" s="22" t="n">
        <v>547.2</v>
      </c>
      <c r="Q271" s="22" t="n">
        <v>7952080</v>
      </c>
      <c r="R271" s="42">
        <f>+L271+N271-P271</f>
        <v/>
      </c>
      <c r="S271" s="42">
        <f>+M271+O271-Q271</f>
        <v/>
      </c>
    </row>
    <row r="272" ht="15" customHeight="1">
      <c r="A272" s="16" t="n">
        <v>45671</v>
      </c>
      <c r="B272" s="17" t="inlineStr">
        <is>
          <t>MH2501-36</t>
        </is>
      </c>
      <c r="C272" s="16" t="n">
        <v>45671</v>
      </c>
      <c r="D272" s="17" t="inlineStr">
        <is>
          <t>00000011</t>
        </is>
      </c>
      <c r="E272" s="16" t="n">
        <v>45671</v>
      </c>
      <c r="F272" s="16" t="inlineStr">
        <is>
          <t>XK2501-23</t>
        </is>
      </c>
      <c r="G272" s="16" t="n">
        <v>45671</v>
      </c>
      <c r="H272" s="18" t="inlineStr">
        <is>
          <t>CÔNG TY TNHH XNK THÉP KIM NAM</t>
        </is>
      </c>
      <c r="I272" s="18" t="inlineStr">
        <is>
          <t>Thép tấm gân 5lyx1500x6000</t>
        </is>
      </c>
      <c r="J272" s="18" t="inlineStr">
        <is>
          <t>kg</t>
        </is>
      </c>
      <c r="K272" s="19" t="n">
        <v>13614.13</v>
      </c>
      <c r="L272" s="20" t="n"/>
      <c r="M272" s="20" t="n"/>
      <c r="N272" s="22" t="n">
        <v>380.25</v>
      </c>
      <c r="O272" s="22" t="n">
        <v>5176772</v>
      </c>
      <c r="P272" s="22" t="n">
        <v>380.25</v>
      </c>
      <c r="Q272" s="22" t="n">
        <v>5176772</v>
      </c>
      <c r="R272" s="42">
        <f>+L272+N272-P272</f>
        <v/>
      </c>
      <c r="S272" s="42">
        <f>+M272+O272-Q272</f>
        <v/>
      </c>
    </row>
    <row r="273" ht="15" customHeight="1">
      <c r="A273" s="16" t="n">
        <v>45671</v>
      </c>
      <c r="B273" s="17" t="inlineStr">
        <is>
          <t>MH2501-36</t>
        </is>
      </c>
      <c r="C273" s="16" t="n">
        <v>45671</v>
      </c>
      <c r="D273" s="17" t="inlineStr">
        <is>
          <t>00000011</t>
        </is>
      </c>
      <c r="E273" s="16" t="n">
        <v>45671</v>
      </c>
      <c r="F273" s="16" t="inlineStr">
        <is>
          <t>XK2501-23</t>
        </is>
      </c>
      <c r="G273" s="16" t="n">
        <v>45671</v>
      </c>
      <c r="H273" s="18" t="inlineStr">
        <is>
          <t>CÔNG TY TNHH XNK THÉP KIM NAM</t>
        </is>
      </c>
      <c r="I273" s="18" t="inlineStr">
        <is>
          <t>Thép tấm 5lyx1500x6000</t>
        </is>
      </c>
      <c r="J273" s="18" t="inlineStr">
        <is>
          <t>kg</t>
        </is>
      </c>
      <c r="K273" s="19" t="n">
        <v>13850.49</v>
      </c>
      <c r="L273" s="20" t="n"/>
      <c r="M273" s="20" t="n"/>
      <c r="N273" s="22" t="n">
        <v>3179.25</v>
      </c>
      <c r="O273" s="22" t="n">
        <v>44034173</v>
      </c>
      <c r="P273" s="22" t="n">
        <v>3179.25</v>
      </c>
      <c r="Q273" s="22" t="n">
        <v>44034173</v>
      </c>
      <c r="R273" s="42">
        <f>+L273+N273-P273</f>
        <v/>
      </c>
      <c r="S273" s="42">
        <f>+M273+O273-Q273</f>
        <v/>
      </c>
    </row>
    <row r="274" ht="15" customHeight="1">
      <c r="A274" s="16" t="n">
        <v>45671</v>
      </c>
      <c r="B274" s="17" t="inlineStr">
        <is>
          <t>MH2501-36</t>
        </is>
      </c>
      <c r="C274" s="16" t="n">
        <v>45671</v>
      </c>
      <c r="D274" s="17" t="inlineStr">
        <is>
          <t>00000011</t>
        </is>
      </c>
      <c r="E274" s="16" t="n">
        <v>45671</v>
      </c>
      <c r="F274" s="16" t="inlineStr">
        <is>
          <t>XK2501-23</t>
        </is>
      </c>
      <c r="G274" s="16" t="n">
        <v>45671</v>
      </c>
      <c r="H274" s="18" t="inlineStr">
        <is>
          <t>CÔNG TY TNHH XNK THÉP KIM NAM</t>
        </is>
      </c>
      <c r="I274" s="18" t="inlineStr">
        <is>
          <t>Thép tấm 6lyx1500x6000</t>
        </is>
      </c>
      <c r="J274" s="18" t="inlineStr">
        <is>
          <t>kg</t>
        </is>
      </c>
      <c r="K274" s="19" t="n">
        <v>13850.49</v>
      </c>
      <c r="L274" s="20" t="n"/>
      <c r="M274" s="20" t="n"/>
      <c r="N274" s="22" t="n">
        <v>1271.7</v>
      </c>
      <c r="O274" s="22" t="n">
        <v>17613669</v>
      </c>
      <c r="P274" s="22" t="n">
        <v>1271.7</v>
      </c>
      <c r="Q274" s="22" t="n">
        <v>17613669</v>
      </c>
      <c r="R274" s="42">
        <f>+L274+N274-P274</f>
        <v/>
      </c>
      <c r="S274" s="42">
        <f>+M274+O274-Q274</f>
        <v/>
      </c>
    </row>
    <row r="275" ht="15" customHeight="1">
      <c r="A275" s="16" t="n">
        <v>45671</v>
      </c>
      <c r="B275" s="17" t="inlineStr">
        <is>
          <t>MH2501-36</t>
        </is>
      </c>
      <c r="C275" s="16" t="n">
        <v>45671</v>
      </c>
      <c r="D275" s="17" t="inlineStr">
        <is>
          <t>00000011</t>
        </is>
      </c>
      <c r="E275" s="16" t="n">
        <v>45671</v>
      </c>
      <c r="F275" s="16" t="inlineStr">
        <is>
          <t>XK2501-23</t>
        </is>
      </c>
      <c r="G275" s="16" t="n">
        <v>45671</v>
      </c>
      <c r="H275" s="18" t="inlineStr">
        <is>
          <t>CÔNG TY TNHH XNK THÉP KIM NAM</t>
        </is>
      </c>
      <c r="I275" s="18" t="inlineStr">
        <is>
          <t>Thép tấm 8lyx1500x12000</t>
        </is>
      </c>
      <c r="J275" s="18" t="inlineStr">
        <is>
          <t>kg</t>
        </is>
      </c>
      <c r="K275" s="19" t="n">
        <v>13850.49</v>
      </c>
      <c r="L275" s="20" t="n"/>
      <c r="M275" s="20" t="n"/>
      <c r="N275" s="22" t="n">
        <v>3391.2</v>
      </c>
      <c r="O275" s="22" t="n">
        <v>46969786</v>
      </c>
      <c r="P275" s="22" t="n">
        <v>3391.2</v>
      </c>
      <c r="Q275" s="22" t="n">
        <v>46969786</v>
      </c>
      <c r="R275" s="42">
        <f>+L275+N275-P275</f>
        <v/>
      </c>
      <c r="S275" s="42">
        <f>+M275+O275-Q275</f>
        <v/>
      </c>
    </row>
    <row r="276" ht="15" customHeight="1">
      <c r="A276" s="16" t="n">
        <v>45671</v>
      </c>
      <c r="B276" s="17" t="inlineStr">
        <is>
          <t>MH2501-37</t>
        </is>
      </c>
      <c r="C276" s="16" t="n">
        <v>45671</v>
      </c>
      <c r="D276" s="17" t="inlineStr">
        <is>
          <t>00000012</t>
        </is>
      </c>
      <c r="E276" s="16" t="n">
        <v>45671</v>
      </c>
      <c r="F276" s="16" t="inlineStr">
        <is>
          <t>XK2501-24</t>
        </is>
      </c>
      <c r="G276" s="16" t="n">
        <v>45671</v>
      </c>
      <c r="H276" s="18" t="inlineStr">
        <is>
          <t>CÔNG TY TNHH XNK THÉP KIM NAM</t>
        </is>
      </c>
      <c r="I276" s="18" t="inlineStr">
        <is>
          <t>Thép tấm 5lyx1500x6000</t>
        </is>
      </c>
      <c r="J276" s="18" t="inlineStr">
        <is>
          <t>kg</t>
        </is>
      </c>
      <c r="K276" s="19" t="n">
        <v>13850.49</v>
      </c>
      <c r="L276" s="20" t="n"/>
      <c r="M276" s="20" t="n"/>
      <c r="N276" s="22" t="n">
        <v>7771.5</v>
      </c>
      <c r="O276" s="22" t="n">
        <v>107639090</v>
      </c>
      <c r="P276" s="22" t="n">
        <v>7771.5</v>
      </c>
      <c r="Q276" s="22" t="n">
        <v>107639090</v>
      </c>
      <c r="R276" s="42">
        <f>+L276+N276-P276</f>
        <v/>
      </c>
      <c r="S276" s="42">
        <f>+M276+O276-Q276</f>
        <v/>
      </c>
    </row>
    <row r="277" ht="15" customHeight="1">
      <c r="A277" s="16" t="n">
        <v>45671</v>
      </c>
      <c r="B277" s="17" t="inlineStr">
        <is>
          <t>MH2501-37</t>
        </is>
      </c>
      <c r="C277" s="16" t="n">
        <v>45671</v>
      </c>
      <c r="D277" s="17" t="inlineStr">
        <is>
          <t>00000012</t>
        </is>
      </c>
      <c r="E277" s="16" t="n">
        <v>45671</v>
      </c>
      <c r="F277" s="16" t="inlineStr">
        <is>
          <t>XK2501-24</t>
        </is>
      </c>
      <c r="G277" s="16" t="n">
        <v>45671</v>
      </c>
      <c r="H277" s="18" t="inlineStr">
        <is>
          <t>CÔNG TY TNHH XNK THÉP KIM NAM</t>
        </is>
      </c>
      <c r="I277" s="18" t="inlineStr">
        <is>
          <t>Thép tấm 6lyx1500x6000</t>
        </is>
      </c>
      <c r="J277" s="18" t="inlineStr">
        <is>
          <t>kg</t>
        </is>
      </c>
      <c r="K277" s="19" t="n">
        <v>13850.49</v>
      </c>
      <c r="L277" s="20" t="n"/>
      <c r="M277" s="20" t="n"/>
      <c r="N277" s="22" t="n">
        <v>6358.5</v>
      </c>
      <c r="O277" s="22" t="n">
        <v>88068346</v>
      </c>
      <c r="P277" s="22" t="n">
        <v>6358.5</v>
      </c>
      <c r="Q277" s="22" t="n">
        <v>88068346</v>
      </c>
      <c r="R277" s="42">
        <f>+L277+N277-P277</f>
        <v/>
      </c>
      <c r="S277" s="42">
        <f>+M277+O277-Q277</f>
        <v/>
      </c>
    </row>
    <row r="278" ht="15" customHeight="1">
      <c r="A278" s="16" t="n">
        <v>45671</v>
      </c>
      <c r="B278" s="17" t="inlineStr">
        <is>
          <t>MH2501-37</t>
        </is>
      </c>
      <c r="C278" s="16" t="n">
        <v>45671</v>
      </c>
      <c r="D278" s="17" t="inlineStr">
        <is>
          <t>00000012</t>
        </is>
      </c>
      <c r="E278" s="16" t="n">
        <v>45671</v>
      </c>
      <c r="F278" s="16" t="inlineStr">
        <is>
          <t>XK2501-24</t>
        </is>
      </c>
      <c r="G278" s="16" t="n">
        <v>45671</v>
      </c>
      <c r="H278" s="18" t="inlineStr">
        <is>
          <t>CÔNG TY TNHH XNK THÉP KIM NAM</t>
        </is>
      </c>
      <c r="I278" s="18" t="inlineStr">
        <is>
          <t>Thép tấm 8lyx1500x12000</t>
        </is>
      </c>
      <c r="J278" s="18" t="inlineStr">
        <is>
          <t>kg</t>
        </is>
      </c>
      <c r="K278" s="19" t="n">
        <v>13850.49</v>
      </c>
      <c r="L278" s="20" t="n"/>
      <c r="M278" s="20" t="n"/>
      <c r="N278" s="22" t="n">
        <v>5652</v>
      </c>
      <c r="O278" s="22" t="n">
        <v>78282975</v>
      </c>
      <c r="P278" s="22" t="n">
        <v>5652</v>
      </c>
      <c r="Q278" s="22" t="n">
        <v>78282975</v>
      </c>
      <c r="R278" s="42">
        <f>+L278+N278-P278</f>
        <v/>
      </c>
      <c r="S278" s="42">
        <f>+M278+O278-Q278</f>
        <v/>
      </c>
    </row>
    <row r="279" ht="15" customHeight="1">
      <c r="A279" s="16" t="n">
        <v>45671</v>
      </c>
      <c r="B279" s="17" t="inlineStr">
        <is>
          <t>MH2501-37</t>
        </is>
      </c>
      <c r="C279" s="16" t="n">
        <v>45671</v>
      </c>
      <c r="D279" s="17" t="inlineStr">
        <is>
          <t>00000012</t>
        </is>
      </c>
      <c r="E279" s="16" t="n">
        <v>45671</v>
      </c>
      <c r="F279" s="16" t="inlineStr">
        <is>
          <t>XK2501-24</t>
        </is>
      </c>
      <c r="G279" s="16" t="n">
        <v>45671</v>
      </c>
      <c r="H279" s="18" t="inlineStr">
        <is>
          <t>CÔNG TY TNHH XNK THÉP KIM NAM</t>
        </is>
      </c>
      <c r="I279" s="18" t="inlineStr">
        <is>
          <t>Thép tấm 10lyx1500x6000</t>
        </is>
      </c>
      <c r="J279" s="18" t="inlineStr">
        <is>
          <t>kg</t>
        </is>
      </c>
      <c r="K279" s="19" t="n">
        <v>13850.49</v>
      </c>
      <c r="L279" s="20" t="n"/>
      <c r="M279" s="20" t="n"/>
      <c r="N279" s="22" t="n">
        <v>2826</v>
      </c>
      <c r="O279" s="22" t="n">
        <v>39141487</v>
      </c>
      <c r="P279" s="22" t="n">
        <v>2826</v>
      </c>
      <c r="Q279" s="22" t="n">
        <v>39141487</v>
      </c>
      <c r="R279" s="42">
        <f>+L279+N279-P279</f>
        <v/>
      </c>
      <c r="S279" s="42">
        <f>+M279+O279-Q279</f>
        <v/>
      </c>
    </row>
    <row r="280" ht="15" customHeight="1">
      <c r="A280" s="16" t="n">
        <v>45671</v>
      </c>
      <c r="B280" s="17" t="inlineStr">
        <is>
          <t>MH2501-37</t>
        </is>
      </c>
      <c r="C280" s="16" t="n">
        <v>45671</v>
      </c>
      <c r="D280" s="17" t="inlineStr">
        <is>
          <t>00000012</t>
        </is>
      </c>
      <c r="E280" s="16" t="n">
        <v>45671</v>
      </c>
      <c r="F280" s="16" t="inlineStr">
        <is>
          <t>XK2501-24</t>
        </is>
      </c>
      <c r="G280" s="16" t="n">
        <v>45671</v>
      </c>
      <c r="H280" s="18" t="inlineStr">
        <is>
          <t>CÔNG TY TNHH XNK THÉP KIM NAM</t>
        </is>
      </c>
      <c r="I280" s="18" t="inlineStr">
        <is>
          <t>Thép tấm 12lyx1500x12000</t>
        </is>
      </c>
      <c r="J280" s="18" t="inlineStr">
        <is>
          <t>kg</t>
        </is>
      </c>
      <c r="K280" s="19" t="n">
        <v>13850.49</v>
      </c>
      <c r="L280" s="20" t="n"/>
      <c r="M280" s="20" t="n"/>
      <c r="N280" s="22" t="n">
        <v>8478</v>
      </c>
      <c r="O280" s="22" t="n">
        <v>117424462</v>
      </c>
      <c r="P280" s="22" t="n">
        <v>8478</v>
      </c>
      <c r="Q280" s="22" t="n">
        <v>117424462</v>
      </c>
      <c r="R280" s="42">
        <f>+L280+N280-P280</f>
        <v/>
      </c>
      <c r="S280" s="42">
        <f>+M280+O280-Q280</f>
        <v/>
      </c>
    </row>
    <row r="281" ht="15" customHeight="1">
      <c r="A281" s="16" t="n">
        <v>45671</v>
      </c>
      <c r="B281" s="17" t="inlineStr">
        <is>
          <t>MH2501-37</t>
        </is>
      </c>
      <c r="C281" s="16" t="n">
        <v>45671</v>
      </c>
      <c r="D281" s="17" t="inlineStr">
        <is>
          <t>00000012</t>
        </is>
      </c>
      <c r="E281" s="16" t="n">
        <v>45671</v>
      </c>
      <c r="F281" s="16" t="inlineStr">
        <is>
          <t>XK2501-24</t>
        </is>
      </c>
      <c r="G281" s="16" t="n">
        <v>45671</v>
      </c>
      <c r="H281" s="18" t="inlineStr">
        <is>
          <t>CÔNG TY TNHH XNK THÉP KIM NAM</t>
        </is>
      </c>
      <c r="I281" s="18" t="inlineStr">
        <is>
          <t>Hộp vuông 100x100x2.5x6m - Đen</t>
        </is>
      </c>
      <c r="J281" s="18" t="inlineStr">
        <is>
          <t>kg</t>
        </is>
      </c>
      <c r="K281" s="19" t="n">
        <v>16168.67</v>
      </c>
      <c r="L281" s="20" t="n"/>
      <c r="M281" s="20" t="n"/>
      <c r="N281" s="22" t="n">
        <v>1827.6</v>
      </c>
      <c r="O281" s="22" t="n">
        <v>29549866</v>
      </c>
      <c r="P281" s="22" t="n">
        <v>1827.6</v>
      </c>
      <c r="Q281" s="22" t="n">
        <v>29549866</v>
      </c>
      <c r="R281" s="42">
        <f>+L281+N281-P281</f>
        <v/>
      </c>
      <c r="S281" s="42">
        <f>+M281+O281-Q281</f>
        <v/>
      </c>
    </row>
    <row r="282" ht="15" customHeight="1">
      <c r="A282" s="16" t="n">
        <v>45671</v>
      </c>
      <c r="B282" s="17" t="inlineStr">
        <is>
          <t>MH2501-37</t>
        </is>
      </c>
      <c r="C282" s="16" t="n">
        <v>45671</v>
      </c>
      <c r="D282" s="17" t="inlineStr">
        <is>
          <t>00000012</t>
        </is>
      </c>
      <c r="E282" s="16" t="n">
        <v>45671</v>
      </c>
      <c r="F282" s="16" t="inlineStr">
        <is>
          <t>XK2501-24</t>
        </is>
      </c>
      <c r="G282" s="16" t="n">
        <v>45671</v>
      </c>
      <c r="H282" s="18" t="inlineStr">
        <is>
          <t>CÔNG TY TNHH XNK THÉP KIM NAM</t>
        </is>
      </c>
      <c r="I282" s="18" t="inlineStr">
        <is>
          <t>Hộp vuông 150x150x2.5x6m - Đen</t>
        </is>
      </c>
      <c r="J282" s="18" t="inlineStr">
        <is>
          <t>kg</t>
        </is>
      </c>
      <c r="K282" s="19" t="n">
        <v>16623.22</v>
      </c>
      <c r="L282" s="20" t="n"/>
      <c r="M282" s="20" t="n"/>
      <c r="N282" s="22" t="n">
        <v>346.35</v>
      </c>
      <c r="O282" s="22" t="n">
        <v>5757452</v>
      </c>
      <c r="P282" s="22" t="n">
        <v>346.35</v>
      </c>
      <c r="Q282" s="22" t="n">
        <v>5757452</v>
      </c>
      <c r="R282" s="42">
        <f>+L282+N282-P282</f>
        <v/>
      </c>
      <c r="S282" s="42">
        <f>+M282+O282-Q282</f>
        <v/>
      </c>
    </row>
    <row r="283" ht="15" customHeight="1">
      <c r="A283" s="16" t="n">
        <v>45671</v>
      </c>
      <c r="B283" s="17" t="inlineStr">
        <is>
          <t>MH2501-39</t>
        </is>
      </c>
      <c r="C283" s="16" t="n">
        <v>45671</v>
      </c>
      <c r="D283" s="17" t="inlineStr">
        <is>
          <t>00000010</t>
        </is>
      </c>
      <c r="E283" s="16" t="n">
        <v>45671</v>
      </c>
      <c r="F283" s="16" t="inlineStr">
        <is>
          <t>XK2501-25</t>
        </is>
      </c>
      <c r="G283" s="16" t="n">
        <v>45671</v>
      </c>
      <c r="H283" s="18" t="inlineStr">
        <is>
          <t>CÔNG TY TNHH XNK THÉP KIM NAM</t>
        </is>
      </c>
      <c r="I283" s="18" t="inlineStr">
        <is>
          <t>Thép tấm 5lyx1500x6000</t>
        </is>
      </c>
      <c r="J283" s="18" t="inlineStr">
        <is>
          <t>kg</t>
        </is>
      </c>
      <c r="K283" s="19" t="n">
        <v>13850.49</v>
      </c>
      <c r="L283" s="20" t="n"/>
      <c r="M283" s="20" t="n"/>
      <c r="N283" s="22" t="n">
        <v>10950.75</v>
      </c>
      <c r="O283" s="22" t="n">
        <v>151673263</v>
      </c>
      <c r="P283" s="22" t="n">
        <v>10950.75</v>
      </c>
      <c r="Q283" s="22" t="n">
        <v>151673263</v>
      </c>
      <c r="R283" s="42">
        <f>+L283+N283-P283</f>
        <v/>
      </c>
      <c r="S283" s="42">
        <f>+M283+O283-Q283</f>
        <v/>
      </c>
    </row>
    <row r="284" ht="15" customHeight="1">
      <c r="A284" s="16" t="n">
        <v>45671</v>
      </c>
      <c r="B284" s="17" t="inlineStr">
        <is>
          <t>MH2501-39</t>
        </is>
      </c>
      <c r="C284" s="16" t="n">
        <v>45671</v>
      </c>
      <c r="D284" s="17" t="inlineStr">
        <is>
          <t>00000010</t>
        </is>
      </c>
      <c r="E284" s="16" t="n">
        <v>45671</v>
      </c>
      <c r="F284" s="16" t="inlineStr">
        <is>
          <t>XK2501-25</t>
        </is>
      </c>
      <c r="G284" s="16" t="n">
        <v>45671</v>
      </c>
      <c r="H284" s="18" t="inlineStr">
        <is>
          <t>CÔNG TY TNHH XNK THÉP KIM NAM</t>
        </is>
      </c>
      <c r="I284" s="18" t="inlineStr">
        <is>
          <t>Thép tấm 6lyx1500x6000</t>
        </is>
      </c>
      <c r="J284" s="18" t="inlineStr">
        <is>
          <t>kg</t>
        </is>
      </c>
      <c r="K284" s="19" t="n">
        <v>13850.49</v>
      </c>
      <c r="L284" s="20" t="n"/>
      <c r="M284" s="20" t="n"/>
      <c r="N284" s="22" t="n">
        <v>1271.7</v>
      </c>
      <c r="O284" s="22" t="n">
        <v>17613669</v>
      </c>
      <c r="P284" s="22" t="n">
        <v>1271.7</v>
      </c>
      <c r="Q284" s="22" t="n">
        <v>17613669</v>
      </c>
      <c r="R284" s="42">
        <f>+L284+N284-P284</f>
        <v/>
      </c>
      <c r="S284" s="42">
        <f>+M284+O284-Q284</f>
        <v/>
      </c>
    </row>
    <row r="285" ht="15" customHeight="1">
      <c r="A285" s="16" t="n">
        <v>45671</v>
      </c>
      <c r="B285" s="17" t="inlineStr">
        <is>
          <t>MH2501-39</t>
        </is>
      </c>
      <c r="C285" s="16" t="n">
        <v>45671</v>
      </c>
      <c r="D285" s="17" t="inlineStr">
        <is>
          <t>00000010</t>
        </is>
      </c>
      <c r="E285" s="16" t="n">
        <v>45671</v>
      </c>
      <c r="F285" s="16" t="inlineStr">
        <is>
          <t>XK2501-25</t>
        </is>
      </c>
      <c r="G285" s="16" t="n">
        <v>45671</v>
      </c>
      <c r="H285" s="18" t="inlineStr">
        <is>
          <t>CÔNG TY TNHH XNK THÉP KIM NAM</t>
        </is>
      </c>
      <c r="I285" s="18" t="inlineStr">
        <is>
          <t>Thép tấm 8lyx1500x12000</t>
        </is>
      </c>
      <c r="J285" s="18" t="inlineStr">
        <is>
          <t>kg</t>
        </is>
      </c>
      <c r="K285" s="19" t="n">
        <v>13850.49</v>
      </c>
      <c r="L285" s="20" t="n"/>
      <c r="M285" s="20" t="n"/>
      <c r="N285" s="22" t="n">
        <v>3391.2</v>
      </c>
      <c r="O285" s="22" t="n">
        <v>46969785</v>
      </c>
      <c r="P285" s="22" t="n">
        <v>3391.2</v>
      </c>
      <c r="Q285" s="22" t="n">
        <v>46969785</v>
      </c>
      <c r="R285" s="42">
        <f>+L285+N285-P285</f>
        <v/>
      </c>
      <c r="S285" s="42">
        <f>+M285+O285-Q285</f>
        <v/>
      </c>
    </row>
    <row r="286" ht="15" customHeight="1">
      <c r="A286" s="16" t="n">
        <v>45671</v>
      </c>
      <c r="B286" s="17" t="inlineStr">
        <is>
          <t>MH2501-39</t>
        </is>
      </c>
      <c r="C286" s="16" t="n">
        <v>45671</v>
      </c>
      <c r="D286" s="17" t="inlineStr">
        <is>
          <t>00000010</t>
        </is>
      </c>
      <c r="E286" s="16" t="n">
        <v>45671</v>
      </c>
      <c r="F286" s="16" t="inlineStr">
        <is>
          <t>XK2501-25</t>
        </is>
      </c>
      <c r="G286" s="16" t="n">
        <v>45671</v>
      </c>
      <c r="H286" s="18" t="inlineStr">
        <is>
          <t>CÔNG TY TNHH XNK THÉP KIM NAM</t>
        </is>
      </c>
      <c r="I286" s="18" t="inlineStr">
        <is>
          <t>Thép tấm 10lyx1500x12000</t>
        </is>
      </c>
      <c r="J286" s="18" t="inlineStr">
        <is>
          <t>kg</t>
        </is>
      </c>
      <c r="K286" s="19" t="n">
        <v>13850.49</v>
      </c>
      <c r="L286" s="20" t="n"/>
      <c r="M286" s="20" t="n"/>
      <c r="N286" s="22" t="n">
        <v>1413</v>
      </c>
      <c r="O286" s="22" t="n">
        <v>19570744</v>
      </c>
      <c r="P286" s="22" t="n">
        <v>1413</v>
      </c>
      <c r="Q286" s="22" t="n">
        <v>19570744</v>
      </c>
      <c r="R286" s="42">
        <f>+L286+N286-P286</f>
        <v/>
      </c>
      <c r="S286" s="42">
        <f>+M286+O286-Q286</f>
        <v/>
      </c>
    </row>
    <row r="287" ht="15" customHeight="1">
      <c r="A287" s="16" t="n">
        <v>45671</v>
      </c>
      <c r="B287" s="17" t="inlineStr">
        <is>
          <t>MH2501-39</t>
        </is>
      </c>
      <c r="C287" s="16" t="n">
        <v>45671</v>
      </c>
      <c r="D287" s="17" t="inlineStr">
        <is>
          <t>00000010</t>
        </is>
      </c>
      <c r="E287" s="16" t="n">
        <v>45671</v>
      </c>
      <c r="F287" s="16" t="inlineStr">
        <is>
          <t>XK2501-25</t>
        </is>
      </c>
      <c r="G287" s="16" t="n">
        <v>45671</v>
      </c>
      <c r="H287" s="18" t="inlineStr">
        <is>
          <t>CÔNG TY TNHH XNK THÉP KIM NAM</t>
        </is>
      </c>
      <c r="I287" s="18" t="inlineStr">
        <is>
          <t>Thép tấm 12lyx1500x6000</t>
        </is>
      </c>
      <c r="J287" s="18" t="inlineStr">
        <is>
          <t>kg</t>
        </is>
      </c>
      <c r="K287" s="19" t="n">
        <v>13850.49</v>
      </c>
      <c r="L287" s="20" t="n"/>
      <c r="M287" s="20" t="n"/>
      <c r="N287" s="22" t="n">
        <v>847.8</v>
      </c>
      <c r="O287" s="22" t="n">
        <v>11742446</v>
      </c>
      <c r="P287" s="22" t="n">
        <v>847.8</v>
      </c>
      <c r="Q287" s="22" t="n">
        <v>11742446</v>
      </c>
      <c r="R287" s="42">
        <f>+L287+N287-P287</f>
        <v/>
      </c>
      <c r="S287" s="42">
        <f>+M287+O287-Q287</f>
        <v/>
      </c>
    </row>
    <row r="288" ht="15" customHeight="1">
      <c r="A288" s="16" t="n">
        <v>45671</v>
      </c>
      <c r="B288" s="17" t="inlineStr">
        <is>
          <t>MH2501-39</t>
        </is>
      </c>
      <c r="C288" s="16" t="n">
        <v>45671</v>
      </c>
      <c r="D288" s="17" t="inlineStr">
        <is>
          <t>00000010</t>
        </is>
      </c>
      <c r="E288" s="16" t="n">
        <v>45671</v>
      </c>
      <c r="F288" s="16" t="inlineStr">
        <is>
          <t>XK2501-25</t>
        </is>
      </c>
      <c r="G288" s="16" t="n">
        <v>45671</v>
      </c>
      <c r="H288" s="18" t="inlineStr">
        <is>
          <t>CÔNG TY TNHH XNK THÉP KIM NAM</t>
        </is>
      </c>
      <c r="I288" s="18" t="inlineStr">
        <is>
          <t>Hộp vuông 100x100x2.5x6m - Đen</t>
        </is>
      </c>
      <c r="J288" s="18" t="inlineStr">
        <is>
          <t>kg</t>
        </is>
      </c>
      <c r="K288" s="19" t="n">
        <v>16168.67</v>
      </c>
      <c r="L288" s="20" t="n"/>
      <c r="M288" s="20" t="n"/>
      <c r="N288" s="22" t="n">
        <v>502.59</v>
      </c>
      <c r="O288" s="22" t="n">
        <v>8126213</v>
      </c>
      <c r="P288" s="22" t="n">
        <v>502.59</v>
      </c>
      <c r="Q288" s="22" t="n">
        <v>8126213</v>
      </c>
      <c r="R288" s="42">
        <f>+L288+N288-P288</f>
        <v/>
      </c>
      <c r="S288" s="42">
        <f>+M288+O288-Q288</f>
        <v/>
      </c>
    </row>
    <row r="289" ht="15" customHeight="1">
      <c r="A289" s="16" t="n">
        <v>45671</v>
      </c>
      <c r="B289" s="17" t="inlineStr">
        <is>
          <t>MH2501-39</t>
        </is>
      </c>
      <c r="C289" s="16" t="n">
        <v>45671</v>
      </c>
      <c r="D289" s="17" t="inlineStr">
        <is>
          <t>00000010</t>
        </is>
      </c>
      <c r="E289" s="16" t="n">
        <v>45671</v>
      </c>
      <c r="F289" s="16" t="inlineStr">
        <is>
          <t>XK2501-25</t>
        </is>
      </c>
      <c r="G289" s="16" t="n">
        <v>45671</v>
      </c>
      <c r="H289" s="18" t="inlineStr">
        <is>
          <t>CÔNG TY TNHH XNK THÉP KIM NAM</t>
        </is>
      </c>
      <c r="I289" s="18" t="inlineStr">
        <is>
          <t>Thép hình V63x63x5x6m</t>
        </is>
      </c>
      <c r="J289" s="18" t="inlineStr">
        <is>
          <t>kg</t>
        </is>
      </c>
      <c r="K289" s="19" t="n">
        <v>15623.22</v>
      </c>
      <c r="L289" s="20" t="n"/>
      <c r="M289" s="20" t="n"/>
      <c r="N289" s="22" t="n">
        <v>168</v>
      </c>
      <c r="O289" s="22" t="n">
        <v>2624702</v>
      </c>
      <c r="P289" s="22" t="n">
        <v>168</v>
      </c>
      <c r="Q289" s="22" t="n">
        <v>2624702</v>
      </c>
      <c r="R289" s="42">
        <f>+L289+N289-P289</f>
        <v/>
      </c>
      <c r="S289" s="42">
        <f>+M289+O289-Q289</f>
        <v/>
      </c>
    </row>
    <row r="290" ht="15" customHeight="1">
      <c r="A290" s="16" t="n">
        <v>45671</v>
      </c>
      <c r="B290" s="17" t="inlineStr">
        <is>
          <t>MH2501-39A</t>
        </is>
      </c>
      <c r="C290" s="16" t="n">
        <v>45671</v>
      </c>
      <c r="D290" s="17" t="inlineStr">
        <is>
          <t>00000013</t>
        </is>
      </c>
      <c r="E290" s="16" t="n">
        <v>45671</v>
      </c>
      <c r="F290" s="16" t="inlineStr">
        <is>
          <t>XK2501-26</t>
        </is>
      </c>
      <c r="G290" s="16" t="n">
        <v>45671</v>
      </c>
      <c r="H290" s="18" t="inlineStr">
        <is>
          <t>CÔNG TY TNHH XNK THÉP KIM NAM</t>
        </is>
      </c>
      <c r="I290" s="18" t="inlineStr">
        <is>
          <t>Thép tấm gân 5lyx1500x6000</t>
        </is>
      </c>
      <c r="J290" s="18" t="inlineStr">
        <is>
          <t>kg</t>
        </is>
      </c>
      <c r="K290" s="19" t="n">
        <v>13614.13</v>
      </c>
      <c r="L290" s="20" t="n"/>
      <c r="M290" s="20" t="n"/>
      <c r="N290" s="22" t="n">
        <v>2661.75</v>
      </c>
      <c r="O290" s="22" t="n">
        <v>36237403</v>
      </c>
      <c r="P290" s="22" t="n">
        <v>2661.75</v>
      </c>
      <c r="Q290" s="22" t="n">
        <v>36237403</v>
      </c>
      <c r="R290" s="42">
        <f>+L290+N290-P290</f>
        <v/>
      </c>
      <c r="S290" s="42">
        <f>+M290+O290-Q290</f>
        <v/>
      </c>
    </row>
    <row r="291" ht="15" customHeight="1">
      <c r="A291" s="16" t="n">
        <v>45671</v>
      </c>
      <c r="B291" s="17" t="inlineStr">
        <is>
          <t>MH2501-39A</t>
        </is>
      </c>
      <c r="C291" s="16" t="n">
        <v>45671</v>
      </c>
      <c r="D291" s="17" t="inlineStr">
        <is>
          <t>00000013</t>
        </is>
      </c>
      <c r="E291" s="16" t="n">
        <v>45671</v>
      </c>
      <c r="F291" s="16" t="inlineStr">
        <is>
          <t>XK2501-26</t>
        </is>
      </c>
      <c r="G291" s="16" t="n">
        <v>45671</v>
      </c>
      <c r="H291" s="18" t="inlineStr">
        <is>
          <t>CÔNG TY TNHH XNK THÉP KIM NAM</t>
        </is>
      </c>
      <c r="I291" s="18" t="inlineStr">
        <is>
          <t>Thép hình V50x50x4x6m</t>
        </is>
      </c>
      <c r="J291" s="18" t="inlineStr">
        <is>
          <t>kg</t>
        </is>
      </c>
      <c r="K291" s="19" t="n">
        <v>15441.4</v>
      </c>
      <c r="L291" s="20" t="n"/>
      <c r="M291" s="20" t="n"/>
      <c r="N291" s="22" t="n">
        <v>270</v>
      </c>
      <c r="O291" s="22" t="n">
        <v>4169178</v>
      </c>
      <c r="P291" s="22" t="n">
        <v>270</v>
      </c>
      <c r="Q291" s="22" t="n">
        <v>4169178</v>
      </c>
      <c r="R291" s="42">
        <f>+L291+N291-P291</f>
        <v/>
      </c>
      <c r="S291" s="42">
        <f>+M291+O291-Q291</f>
        <v/>
      </c>
    </row>
    <row r="292" ht="15" customHeight="1">
      <c r="A292" s="16" t="n">
        <v>45671</v>
      </c>
      <c r="B292" s="17" t="inlineStr">
        <is>
          <t>MH2501-39A</t>
        </is>
      </c>
      <c r="C292" s="16" t="n">
        <v>45671</v>
      </c>
      <c r="D292" s="17" t="inlineStr">
        <is>
          <t>00000013</t>
        </is>
      </c>
      <c r="E292" s="16" t="n">
        <v>45671</v>
      </c>
      <c r="F292" s="16" t="inlineStr">
        <is>
          <t>XK2501-26</t>
        </is>
      </c>
      <c r="G292" s="16" t="n">
        <v>45671</v>
      </c>
      <c r="H292" s="18" t="inlineStr">
        <is>
          <t>CÔNG TY TNHH XNK THÉP KIM NAM</t>
        </is>
      </c>
      <c r="I292" s="18" t="inlineStr">
        <is>
          <t>Thép hình U120x47x3.5x6m</t>
        </is>
      </c>
      <c r="J292" s="18" t="inlineStr">
        <is>
          <t>kg</t>
        </is>
      </c>
      <c r="K292" s="19" t="n">
        <v>15454.55</v>
      </c>
      <c r="L292" s="20" t="n"/>
      <c r="M292" s="20" t="n"/>
      <c r="N292" s="22" t="n">
        <v>126</v>
      </c>
      <c r="O292" s="22" t="n">
        <v>1947273</v>
      </c>
      <c r="P292" s="22" t="n">
        <v>126</v>
      </c>
      <c r="Q292" s="22" t="n">
        <v>1947273</v>
      </c>
      <c r="R292" s="42">
        <f>+L292+N292-P292</f>
        <v/>
      </c>
      <c r="S292" s="42">
        <f>+M292+O292-Q292</f>
        <v/>
      </c>
    </row>
    <row r="293" ht="15" customHeight="1">
      <c r="A293" s="16" t="n">
        <v>45671</v>
      </c>
      <c r="B293" s="17" t="inlineStr">
        <is>
          <t>MH2501-39A</t>
        </is>
      </c>
      <c r="C293" s="16" t="n">
        <v>45671</v>
      </c>
      <c r="D293" s="17" t="inlineStr">
        <is>
          <t>00000013</t>
        </is>
      </c>
      <c r="E293" s="16" t="n">
        <v>45671</v>
      </c>
      <c r="F293" s="16" t="inlineStr">
        <is>
          <t>XK2501-26</t>
        </is>
      </c>
      <c r="G293" s="16" t="n">
        <v>45671</v>
      </c>
      <c r="H293" s="18" t="inlineStr">
        <is>
          <t>CÔNG TY TNHH XNK THÉP KIM NAM</t>
        </is>
      </c>
      <c r="I293" s="18" t="inlineStr">
        <is>
          <t>Thép hình U250x76x6x12m</t>
        </is>
      </c>
      <c r="J293" s="18" t="inlineStr">
        <is>
          <t>kg</t>
        </is>
      </c>
      <c r="K293" s="19" t="n">
        <v>14532.31</v>
      </c>
      <c r="L293" s="20" t="n"/>
      <c r="M293" s="20" t="n"/>
      <c r="N293" s="22" t="n">
        <v>1368</v>
      </c>
      <c r="O293" s="22" t="n">
        <v>19880199</v>
      </c>
      <c r="P293" s="22" t="n">
        <v>1368</v>
      </c>
      <c r="Q293" s="22" t="n">
        <v>19880199</v>
      </c>
      <c r="R293" s="42">
        <f>+L293+N293-P293</f>
        <v/>
      </c>
      <c r="S293" s="42">
        <f>+M293+O293-Q293</f>
        <v/>
      </c>
    </row>
    <row r="294" ht="15" customHeight="1">
      <c r="A294" s="16" t="n">
        <v>45671</v>
      </c>
      <c r="B294" s="17" t="inlineStr">
        <is>
          <t>MH2501-39A</t>
        </is>
      </c>
      <c r="C294" s="16" t="n">
        <v>45671</v>
      </c>
      <c r="D294" s="17" t="inlineStr">
        <is>
          <t>00000013</t>
        </is>
      </c>
      <c r="E294" s="16" t="n">
        <v>45671</v>
      </c>
      <c r="F294" s="16" t="inlineStr">
        <is>
          <t>XK2501-26</t>
        </is>
      </c>
      <c r="G294" s="16" t="n">
        <v>45671</v>
      </c>
      <c r="H294" s="18" t="inlineStr">
        <is>
          <t>CÔNG TY TNHH XNK THÉP KIM NAM</t>
        </is>
      </c>
      <c r="I294" s="18" t="inlineStr">
        <is>
          <t>Thép ống 26.65x2.0x6m - Đen</t>
        </is>
      </c>
      <c r="J294" s="18" t="inlineStr">
        <is>
          <t>kg</t>
        </is>
      </c>
      <c r="K294" s="19" t="n">
        <v>16168.67</v>
      </c>
      <c r="L294" s="20" t="n"/>
      <c r="M294" s="20" t="n"/>
      <c r="N294" s="22" t="n">
        <v>116.64</v>
      </c>
      <c r="O294" s="22" t="n">
        <v>1885914</v>
      </c>
      <c r="P294" s="22" t="n">
        <v>116.64</v>
      </c>
      <c r="Q294" s="22" t="n">
        <v>1885914</v>
      </c>
      <c r="R294" s="42">
        <f>+L294+N294-P294</f>
        <v/>
      </c>
      <c r="S294" s="42">
        <f>+M294+O294-Q294</f>
        <v/>
      </c>
    </row>
    <row r="295" ht="15" customHeight="1">
      <c r="A295" s="16" t="n">
        <v>45671</v>
      </c>
      <c r="B295" s="17" t="inlineStr">
        <is>
          <t>MH2501-39A</t>
        </is>
      </c>
      <c r="C295" s="16" t="n">
        <v>45671</v>
      </c>
      <c r="D295" s="17" t="inlineStr">
        <is>
          <t>00000013</t>
        </is>
      </c>
      <c r="E295" s="16" t="n">
        <v>45671</v>
      </c>
      <c r="F295" s="16" t="inlineStr">
        <is>
          <t>XK2501-26</t>
        </is>
      </c>
      <c r="G295" s="16" t="n">
        <v>45671</v>
      </c>
      <c r="H295" s="18" t="inlineStr">
        <is>
          <t>CÔNG TY TNHH XNK THÉP KIM NAM</t>
        </is>
      </c>
      <c r="I295" s="18" t="inlineStr">
        <is>
          <t>Thép ống 42.2x3.0x6m - Đen</t>
        </is>
      </c>
      <c r="J295" s="18" t="inlineStr">
        <is>
          <t>kg</t>
        </is>
      </c>
      <c r="K295" s="19" t="n">
        <v>16168.67</v>
      </c>
      <c r="L295" s="20" t="n"/>
      <c r="M295" s="20" t="n"/>
      <c r="N295" s="22" t="n">
        <v>313.2</v>
      </c>
      <c r="O295" s="22" t="n">
        <v>5064028</v>
      </c>
      <c r="P295" s="22" t="n">
        <v>313.2</v>
      </c>
      <c r="Q295" s="22" t="n">
        <v>5064028</v>
      </c>
      <c r="R295" s="42">
        <f>+L295+N295-P295</f>
        <v/>
      </c>
      <c r="S295" s="42">
        <f>+M295+O295-Q295</f>
        <v/>
      </c>
    </row>
    <row r="296" ht="15" customHeight="1">
      <c r="A296" s="16" t="n">
        <v>45672</v>
      </c>
      <c r="B296" s="17" t="inlineStr">
        <is>
          <t>MH2501-40</t>
        </is>
      </c>
      <c r="C296" s="16" t="n">
        <v>45672</v>
      </c>
      <c r="D296" s="17" t="inlineStr">
        <is>
          <t>00000601</t>
        </is>
      </c>
      <c r="E296" s="16" t="n">
        <v>45672</v>
      </c>
      <c r="F296" s="16" t="inlineStr">
        <is>
          <t>XK2501-27</t>
        </is>
      </c>
      <c r="G296" s="16" t="n">
        <v>45672</v>
      </c>
      <c r="H296" s="18" t="inlineStr">
        <is>
          <t>CÔNG TY TNHH SƠN JOTUN VIỆT NAM</t>
        </is>
      </c>
      <c r="I296" s="18" t="inlineStr">
        <is>
          <t>SƠN JOTAMASTIC 70 RED          18L</t>
        </is>
      </c>
      <c r="J296" s="18" t="inlineStr">
        <is>
          <t>Lít</t>
        </is>
      </c>
      <c r="K296" s="19" t="n">
        <v>90000</v>
      </c>
      <c r="L296" s="20" t="n"/>
      <c r="M296" s="20" t="n"/>
      <c r="N296" s="22" t="n">
        <v>324</v>
      </c>
      <c r="O296" s="22" t="n">
        <v>29160000</v>
      </c>
      <c r="P296" s="22" t="n">
        <v>324</v>
      </c>
      <c r="Q296" s="22" t="n">
        <v>29160000</v>
      </c>
      <c r="R296" s="42">
        <f>+L296+N296-P296</f>
        <v/>
      </c>
      <c r="S296" s="42">
        <f>+M296+O296-Q296</f>
        <v/>
      </c>
    </row>
    <row r="297" ht="15" customHeight="1">
      <c r="A297" s="16" t="n">
        <v>45672</v>
      </c>
      <c r="B297" s="17" t="inlineStr">
        <is>
          <t>MH2501-40</t>
        </is>
      </c>
      <c r="C297" s="16" t="n">
        <v>45672</v>
      </c>
      <c r="D297" s="17" t="inlineStr">
        <is>
          <t>00000601</t>
        </is>
      </c>
      <c r="E297" s="16" t="n">
        <v>45672</v>
      </c>
      <c r="F297" s="16" t="inlineStr">
        <is>
          <t>XK2501-27</t>
        </is>
      </c>
      <c r="G297" s="16" t="n">
        <v>45672</v>
      </c>
      <c r="H297" s="18" t="inlineStr">
        <is>
          <t>CÔNG TY TNHH SƠN JOTUN VIỆT NAM</t>
        </is>
      </c>
      <c r="I297" s="18" t="inlineStr">
        <is>
          <t>DUNG MÔI JOTUN THINNER NO. 17       20L</t>
        </is>
      </c>
      <c r="J297" s="18" t="inlineStr">
        <is>
          <t>Lít</t>
        </is>
      </c>
      <c r="K297" s="19" t="n">
        <v>60000</v>
      </c>
      <c r="L297" s="20" t="n"/>
      <c r="M297" s="20" t="n"/>
      <c r="N297" s="22" t="n">
        <v>40</v>
      </c>
      <c r="O297" s="22" t="n">
        <v>2400000</v>
      </c>
      <c r="P297" s="22" t="n">
        <v>40</v>
      </c>
      <c r="Q297" s="22" t="n">
        <v>2400000</v>
      </c>
      <c r="R297" s="42">
        <f>+L297+N297-P297</f>
        <v/>
      </c>
      <c r="S297" s="42">
        <f>+M297+O297-Q297</f>
        <v/>
      </c>
    </row>
    <row r="298" ht="15" customHeight="1">
      <c r="A298" s="16" t="n">
        <v>45672</v>
      </c>
      <c r="B298" s="17" t="inlineStr">
        <is>
          <t>MH2501-40</t>
        </is>
      </c>
      <c r="C298" s="16" t="n">
        <v>45672</v>
      </c>
      <c r="D298" s="17" t="inlineStr">
        <is>
          <t>00000601</t>
        </is>
      </c>
      <c r="E298" s="16" t="n">
        <v>45672</v>
      </c>
      <c r="F298" s="16" t="inlineStr">
        <is>
          <t>XK2501-27</t>
        </is>
      </c>
      <c r="G298" s="16" t="n">
        <v>45672</v>
      </c>
      <c r="H298" s="18" t="inlineStr">
        <is>
          <t>CÔNG TY TNHH SƠN JOTUN VIỆT NAM</t>
        </is>
      </c>
      <c r="I298" s="18" t="inlineStr">
        <is>
          <t>DUNG MÔI JOTUN THINNER NO. 17        5L</t>
        </is>
      </c>
      <c r="J298" s="18" t="inlineStr">
        <is>
          <t>Lít</t>
        </is>
      </c>
      <c r="K298" s="19" t="n">
        <v>60000</v>
      </c>
      <c r="L298" s="20" t="n"/>
      <c r="M298" s="20" t="n"/>
      <c r="N298" s="22" t="n">
        <v>10</v>
      </c>
      <c r="O298" s="22" t="n">
        <v>600000</v>
      </c>
      <c r="P298" s="22" t="n">
        <v>10</v>
      </c>
      <c r="Q298" s="22" t="n">
        <v>600000</v>
      </c>
      <c r="R298" s="42">
        <f>+L298+N298-P298</f>
        <v/>
      </c>
      <c r="S298" s="42">
        <f>+M298+O298-Q298</f>
        <v/>
      </c>
    </row>
    <row r="299" ht="15" customHeight="1">
      <c r="A299" s="16" t="n">
        <v>45672</v>
      </c>
      <c r="B299" s="17" t="inlineStr">
        <is>
          <t>MH2501-41</t>
        </is>
      </c>
      <c r="C299" s="16" t="n">
        <v>45672</v>
      </c>
      <c r="D299" s="17" t="inlineStr">
        <is>
          <t>00000009</t>
        </is>
      </c>
      <c r="E299" s="16" t="n">
        <v>45672</v>
      </c>
      <c r="F299" s="16" t="inlineStr">
        <is>
          <t>XK2501-28</t>
        </is>
      </c>
      <c r="G299" s="16" t="n">
        <v>45672</v>
      </c>
      <c r="H299" s="18" t="inlineStr">
        <is>
          <t>CÔNG TY TNHH CƠ KHÍ ĐỨC HIỆP</t>
        </is>
      </c>
      <c r="I299" s="18" t="inlineStr">
        <is>
          <t>Bulong neo M24x530mm, 4.6, DIN976</t>
        </is>
      </c>
      <c r="J299" s="18" t="inlineStr">
        <is>
          <t>Cái</t>
        </is>
      </c>
      <c r="K299" s="19" t="n">
        <v>59500</v>
      </c>
      <c r="L299" s="20" t="n"/>
      <c r="M299" s="20" t="n"/>
      <c r="N299" s="22" t="n">
        <v>600</v>
      </c>
      <c r="O299" s="22" t="n">
        <v>35700000</v>
      </c>
      <c r="P299" s="22" t="n">
        <v>600</v>
      </c>
      <c r="Q299" s="22" t="n">
        <v>35700000</v>
      </c>
      <c r="R299" s="42">
        <f>+L299+N299-P299</f>
        <v/>
      </c>
      <c r="S299" s="42">
        <f>+M299+O299-Q299</f>
        <v/>
      </c>
    </row>
    <row r="300" ht="15" customHeight="1">
      <c r="A300" s="16" t="n">
        <v>45672</v>
      </c>
      <c r="B300" s="17" t="inlineStr">
        <is>
          <t>MH2501-42</t>
        </is>
      </c>
      <c r="C300" s="16" t="n">
        <v>45672</v>
      </c>
      <c r="D300" s="17" t="inlineStr">
        <is>
          <t>00000010</t>
        </is>
      </c>
      <c r="E300" s="16" t="n">
        <v>45672</v>
      </c>
      <c r="F300" s="16" t="inlineStr">
        <is>
          <t>XK2501-29</t>
        </is>
      </c>
      <c r="G300" s="16" t="n">
        <v>45672</v>
      </c>
      <c r="H300" s="18" t="inlineStr">
        <is>
          <t>CÔNG TY TNHH CƠ KHÍ ĐỨC HIỆP</t>
        </is>
      </c>
      <c r="I300" s="18" t="inlineStr">
        <is>
          <t>Bulong neo M20x445mm, 4.6, DIN976</t>
        </is>
      </c>
      <c r="J300" s="18" t="inlineStr">
        <is>
          <t>Cái</t>
        </is>
      </c>
      <c r="K300" s="19" t="n">
        <v>30970</v>
      </c>
      <c r="L300" s="20" t="n"/>
      <c r="M300" s="20" t="n"/>
      <c r="N300" s="22" t="n">
        <v>72</v>
      </c>
      <c r="O300" s="22" t="n">
        <v>2229840</v>
      </c>
      <c r="P300" s="22" t="n">
        <v>72</v>
      </c>
      <c r="Q300" s="22" t="n">
        <v>2229840</v>
      </c>
      <c r="R300" s="42">
        <f>+L300+N300-P300</f>
        <v/>
      </c>
      <c r="S300" s="42">
        <f>+M300+O300-Q300</f>
        <v/>
      </c>
    </row>
    <row r="301" ht="15" customHeight="1">
      <c r="A301" s="16" t="n">
        <v>45672</v>
      </c>
      <c r="B301" s="17" t="inlineStr">
        <is>
          <t>MH2501-43</t>
        </is>
      </c>
      <c r="C301" s="16" t="n">
        <v>45672</v>
      </c>
      <c r="D301" s="17" t="inlineStr">
        <is>
          <t>00000155</t>
        </is>
      </c>
      <c r="E301" s="16" t="n">
        <v>45672</v>
      </c>
      <c r="F301" s="16" t="inlineStr">
        <is>
          <t>XK2501-30</t>
        </is>
      </c>
      <c r="G301" s="16" t="n">
        <v>45672</v>
      </c>
      <c r="H301" s="18" t="inlineStr">
        <is>
          <t>CÔNG TY TNHH TÂN MỸ HẠNH</t>
        </is>
      </c>
      <c r="I301" s="18" t="inlineStr">
        <is>
          <t>Thép dày mạ kẽm</t>
        </is>
      </c>
      <c r="J301" s="18" t="inlineStr">
        <is>
          <t>kg</t>
        </is>
      </c>
      <c r="K301" s="19" t="n">
        <v>22696</v>
      </c>
      <c r="L301" s="20" t="n"/>
      <c r="M301" s="20" t="n"/>
      <c r="N301" s="22" t="n">
        <v>5170.7464</v>
      </c>
      <c r="O301" s="22" t="n">
        <v>117355260</v>
      </c>
      <c r="P301" s="22" t="n">
        <v>5170.7464</v>
      </c>
      <c r="Q301" s="22" t="n">
        <v>117355260</v>
      </c>
      <c r="R301" s="42">
        <f>+L301+N301-P301</f>
        <v/>
      </c>
      <c r="S301" s="42">
        <f>+M301+O301-Q301</f>
        <v/>
      </c>
    </row>
    <row r="302" ht="15" customHeight="1">
      <c r="A302" s="16" t="n">
        <v>45672</v>
      </c>
      <c r="B302" s="17" t="inlineStr">
        <is>
          <t>MH2501-43</t>
        </is>
      </c>
      <c r="C302" s="16" t="n">
        <v>45672</v>
      </c>
      <c r="D302" s="17" t="inlineStr">
        <is>
          <t>00000155</t>
        </is>
      </c>
      <c r="E302" s="16" t="n">
        <v>45672</v>
      </c>
      <c r="F302" s="16" t="inlineStr">
        <is>
          <t>XK2501-30</t>
        </is>
      </c>
      <c r="G302" s="16" t="n">
        <v>45672</v>
      </c>
      <c r="H302" s="18" t="inlineStr">
        <is>
          <t>CÔNG TY TNHH TÂN MỸ HẠNH</t>
        </is>
      </c>
      <c r="I302" s="18" t="inlineStr">
        <is>
          <t>Tôn mạ kẽm</t>
        </is>
      </c>
      <c r="J302" s="18" t="inlineStr">
        <is>
          <t>kg</t>
        </is>
      </c>
      <c r="K302" s="19" t="n">
        <v>17445</v>
      </c>
      <c r="L302" s="20" t="n"/>
      <c r="M302" s="20" t="n"/>
      <c r="N302" s="22" t="n">
        <v>6674.53</v>
      </c>
      <c r="O302" s="22" t="n">
        <v>116437176</v>
      </c>
      <c r="P302" s="22" t="n">
        <v>6674.53</v>
      </c>
      <c r="Q302" s="22" t="n">
        <v>116437176</v>
      </c>
      <c r="R302" s="42">
        <f>+L302+N302-P302</f>
        <v/>
      </c>
      <c r="S302" s="42">
        <f>+M302+O302-Q302</f>
        <v/>
      </c>
    </row>
    <row r="303" ht="15" customHeight="1">
      <c r="A303" s="16" t="n">
        <v>45672</v>
      </c>
      <c r="B303" s="17" t="inlineStr">
        <is>
          <t>MH2501-43</t>
        </is>
      </c>
      <c r="C303" s="16" t="n">
        <v>45672</v>
      </c>
      <c r="D303" s="17" t="inlineStr">
        <is>
          <t>00000155</t>
        </is>
      </c>
      <c r="E303" s="16" t="n">
        <v>45672</v>
      </c>
      <c r="F303" s="16" t="inlineStr">
        <is>
          <t>XK2501-30</t>
        </is>
      </c>
      <c r="G303" s="16" t="n">
        <v>45672</v>
      </c>
      <c r="H303" s="18" t="inlineStr">
        <is>
          <t>CÔNG TY TNHH TÂN MỸ HẠNH</t>
        </is>
      </c>
      <c r="I303" s="18" t="inlineStr">
        <is>
          <t>Xà gồ kẽm Z</t>
        </is>
      </c>
      <c r="J303" s="18" t="inlineStr">
        <is>
          <t>kg</t>
        </is>
      </c>
      <c r="K303" s="19" t="n">
        <v>18976</v>
      </c>
      <c r="L303" s="20" t="n"/>
      <c r="M303" s="20" t="n"/>
      <c r="N303" s="22" t="n">
        <v>19009.15</v>
      </c>
      <c r="O303" s="22" t="n">
        <v>360717630</v>
      </c>
      <c r="P303" s="22" t="n">
        <v>19009.15</v>
      </c>
      <c r="Q303" s="22" t="n">
        <v>360717630</v>
      </c>
      <c r="R303" s="42">
        <f>+L303+N303-P303</f>
        <v/>
      </c>
      <c r="S303" s="42">
        <f>+M303+O303-Q303</f>
        <v/>
      </c>
    </row>
    <row r="304" ht="15" customHeight="1">
      <c r="A304" s="16" t="n">
        <v>45672</v>
      </c>
      <c r="B304" s="17" t="inlineStr">
        <is>
          <t>MH2501-43</t>
        </is>
      </c>
      <c r="C304" s="16" t="n">
        <v>45672</v>
      </c>
      <c r="D304" s="17" t="inlineStr">
        <is>
          <t>00000155</t>
        </is>
      </c>
      <c r="E304" s="16" t="n">
        <v>45672</v>
      </c>
      <c r="F304" s="16" t="inlineStr">
        <is>
          <t>XK2501-30</t>
        </is>
      </c>
      <c r="G304" s="16" t="n">
        <v>45672</v>
      </c>
      <c r="H304" s="18" t="inlineStr">
        <is>
          <t>CÔNG TY TNHH TÂN MỸ HẠNH</t>
        </is>
      </c>
      <c r="I304" s="18" t="inlineStr">
        <is>
          <t>Xà gồ kẽm C</t>
        </is>
      </c>
      <c r="J304" s="18" t="inlineStr">
        <is>
          <t>kg</t>
        </is>
      </c>
      <c r="K304" s="19" t="n">
        <v>18971</v>
      </c>
      <c r="L304" s="20" t="n"/>
      <c r="M304" s="20" t="n"/>
      <c r="N304" s="22" t="n">
        <v>104.56</v>
      </c>
      <c r="O304" s="22" t="n">
        <v>1983608</v>
      </c>
      <c r="P304" s="22" t="n">
        <v>104.56</v>
      </c>
      <c r="Q304" s="22" t="n">
        <v>1983608</v>
      </c>
      <c r="R304" s="42">
        <f>+L304+N304-P304</f>
        <v/>
      </c>
      <c r="S304" s="42">
        <f>+M304+O304-Q304</f>
        <v/>
      </c>
    </row>
    <row r="305" ht="15" customHeight="1">
      <c r="A305" s="16" t="n">
        <v>45672</v>
      </c>
      <c r="B305" s="17" t="inlineStr">
        <is>
          <t>MH2501-44</t>
        </is>
      </c>
      <c r="C305" s="16" t="n">
        <v>45672</v>
      </c>
      <c r="D305" s="17" t="inlineStr">
        <is>
          <t>00000024</t>
        </is>
      </c>
      <c r="E305" s="16" t="n">
        <v>45672</v>
      </c>
      <c r="F305" s="16" t="inlineStr">
        <is>
          <t>XK2501-31</t>
        </is>
      </c>
      <c r="G305" s="16" t="n">
        <v>45672</v>
      </c>
      <c r="H305" s="18" t="inlineStr">
        <is>
          <t>CÔNG TY TNHH HILSET VIỆT NAM</t>
        </is>
      </c>
      <c r="I305" s="18" t="inlineStr">
        <is>
          <t>Thanh ren HAS-U 8.8 M24x300</t>
        </is>
      </c>
      <c r="J305" s="18" t="inlineStr">
        <is>
          <t>Bộ</t>
        </is>
      </c>
      <c r="K305" s="19" t="n">
        <v>389500</v>
      </c>
      <c r="L305" s="20" t="n"/>
      <c r="M305" s="20" t="n"/>
      <c r="N305" s="22" t="n">
        <v>2</v>
      </c>
      <c r="O305" s="22" t="n">
        <v>779000</v>
      </c>
      <c r="P305" s="22" t="n">
        <v>2</v>
      </c>
      <c r="Q305" s="22" t="n">
        <v>779000</v>
      </c>
      <c r="R305" s="42">
        <f>+L305+N305-P305</f>
        <v/>
      </c>
      <c r="S305" s="42">
        <f>+M305+O305-Q305</f>
        <v/>
      </c>
    </row>
    <row r="306" ht="30" customHeight="1">
      <c r="A306" s="16" t="n">
        <v>45674</v>
      </c>
      <c r="B306" s="17" t="inlineStr">
        <is>
          <t>MH2501-47</t>
        </is>
      </c>
      <c r="C306" s="16" t="n">
        <v>45674</v>
      </c>
      <c r="D306" s="17" t="inlineStr">
        <is>
          <t>00000237</t>
        </is>
      </c>
      <c r="E306" s="16" t="n">
        <v>45674</v>
      </c>
      <c r="F306" s="16" t="inlineStr">
        <is>
          <t>XK2501-32</t>
        </is>
      </c>
      <c r="G306" s="16" t="n">
        <v>45674</v>
      </c>
      <c r="H306" s="18" t="inlineStr">
        <is>
          <t>CÔNG TY CỔ PHẦN CÔNG NGHIỆP VÀ THƯƠNG MẠI CƯỜNG THỊNH</t>
        </is>
      </c>
      <c r="I306" s="18" t="inlineStr">
        <is>
          <t>Bulong Din 933 8.8 ZP M20x50</t>
        </is>
      </c>
      <c r="J306" s="18" t="inlineStr">
        <is>
          <t>Cái</t>
        </is>
      </c>
      <c r="K306" s="19" t="n">
        <v>5760</v>
      </c>
      <c r="L306" s="20" t="n"/>
      <c r="M306" s="20" t="n"/>
      <c r="N306" s="22" t="n">
        <v>187</v>
      </c>
      <c r="O306" s="22" t="n">
        <v>1077120</v>
      </c>
      <c r="P306" s="22" t="n">
        <v>187</v>
      </c>
      <c r="Q306" s="22" t="n">
        <v>1077120</v>
      </c>
      <c r="R306" s="42">
        <f>+L306+N306-P306</f>
        <v/>
      </c>
      <c r="S306" s="42">
        <f>+M306+O306-Q306</f>
        <v/>
      </c>
    </row>
    <row r="307" ht="30" customHeight="1">
      <c r="A307" s="16" t="n">
        <v>45674</v>
      </c>
      <c r="B307" s="17" t="inlineStr">
        <is>
          <t>MH2501-47</t>
        </is>
      </c>
      <c r="C307" s="16" t="n">
        <v>45674</v>
      </c>
      <c r="D307" s="17" t="inlineStr">
        <is>
          <t>00000237</t>
        </is>
      </c>
      <c r="E307" s="16" t="n">
        <v>45674</v>
      </c>
      <c r="F307" s="16" t="inlineStr">
        <is>
          <t>XK2501-32</t>
        </is>
      </c>
      <c r="G307" s="16" t="n">
        <v>45674</v>
      </c>
      <c r="H307" s="18" t="inlineStr">
        <is>
          <t>CÔNG TY CỔ PHẦN CÔNG NGHIỆP VÀ THƯƠNG MẠI CƯỜNG THỊNH</t>
        </is>
      </c>
      <c r="I307" s="18" t="inlineStr">
        <is>
          <t>Đai ốc Din 934 8 ZP M20</t>
        </is>
      </c>
      <c r="J307" s="18" t="inlineStr">
        <is>
          <t>Cái</t>
        </is>
      </c>
      <c r="K307" s="19" t="n">
        <v>2030</v>
      </c>
      <c r="L307" s="20" t="n"/>
      <c r="M307" s="20" t="n"/>
      <c r="N307" s="22" t="n">
        <v>187</v>
      </c>
      <c r="O307" s="22" t="n">
        <v>379610</v>
      </c>
      <c r="P307" s="22" t="n">
        <v>187</v>
      </c>
      <c r="Q307" s="22" t="n">
        <v>379610</v>
      </c>
      <c r="R307" s="42">
        <f>+L307+N307-P307</f>
        <v/>
      </c>
      <c r="S307" s="42">
        <f>+M307+O307-Q307</f>
        <v/>
      </c>
    </row>
    <row r="308" ht="30" customHeight="1">
      <c r="A308" s="16" t="n">
        <v>45674</v>
      </c>
      <c r="B308" s="17" t="inlineStr">
        <is>
          <t>MH2501-47</t>
        </is>
      </c>
      <c r="C308" s="16" t="n">
        <v>45674</v>
      </c>
      <c r="D308" s="17" t="inlineStr">
        <is>
          <t>00000237</t>
        </is>
      </c>
      <c r="E308" s="16" t="n">
        <v>45674</v>
      </c>
      <c r="F308" s="16" t="inlineStr">
        <is>
          <t>XK2501-32</t>
        </is>
      </c>
      <c r="G308" s="16" t="n">
        <v>45674</v>
      </c>
      <c r="H308" s="18" t="inlineStr">
        <is>
          <t>CÔNG TY CỔ PHẦN CÔNG NGHIỆP VÀ THƯƠNG MẠI CƯỜNG THỊNH</t>
        </is>
      </c>
      <c r="I308" s="18" t="inlineStr">
        <is>
          <t>Long đền thường ZP M20B35D2</t>
        </is>
      </c>
      <c r="J308" s="18" t="inlineStr">
        <is>
          <t>Cái</t>
        </is>
      </c>
      <c r="K308" s="19" t="n">
        <v>350</v>
      </c>
      <c r="L308" s="20" t="n"/>
      <c r="M308" s="20" t="n"/>
      <c r="N308" s="22" t="n">
        <v>187</v>
      </c>
      <c r="O308" s="22" t="n">
        <v>65450</v>
      </c>
      <c r="P308" s="22" t="n">
        <v>187</v>
      </c>
      <c r="Q308" s="22" t="n">
        <v>65450</v>
      </c>
      <c r="R308" s="42">
        <f>+L308+N308-P308</f>
        <v/>
      </c>
      <c r="S308" s="42">
        <f>+M308+O308-Q308</f>
        <v/>
      </c>
    </row>
    <row r="309" ht="30" customHeight="1">
      <c r="A309" s="16" t="n">
        <v>45674</v>
      </c>
      <c r="B309" s="17" t="inlineStr">
        <is>
          <t>MH2501-47</t>
        </is>
      </c>
      <c r="C309" s="16" t="n">
        <v>45674</v>
      </c>
      <c r="D309" s="17" t="inlineStr">
        <is>
          <t>00000237</t>
        </is>
      </c>
      <c r="E309" s="16" t="n">
        <v>45674</v>
      </c>
      <c r="F309" s="16" t="inlineStr">
        <is>
          <t>XK2501-32</t>
        </is>
      </c>
      <c r="G309" s="16" t="n">
        <v>45674</v>
      </c>
      <c r="H309" s="18" t="inlineStr">
        <is>
          <t>CÔNG TY CỔ PHẦN CÔNG NGHIỆP VÀ THƯƠNG MẠI CƯỜNG THỊNH</t>
        </is>
      </c>
      <c r="I309" s="18" t="inlineStr">
        <is>
          <t>Bulong Din 933 8.8 ZP M20x60</t>
        </is>
      </c>
      <c r="J309" s="18" t="inlineStr">
        <is>
          <t>Cái</t>
        </is>
      </c>
      <c r="K309" s="19" t="n">
        <v>6440</v>
      </c>
      <c r="L309" s="20" t="n"/>
      <c r="M309" s="20" t="n"/>
      <c r="N309" s="22" t="n">
        <v>404</v>
      </c>
      <c r="O309" s="22" t="n">
        <v>2601760</v>
      </c>
      <c r="P309" s="22" t="n">
        <v>404</v>
      </c>
      <c r="Q309" s="22" t="n">
        <v>2601760</v>
      </c>
      <c r="R309" s="42">
        <f>+L309+N309-P309</f>
        <v/>
      </c>
      <c r="S309" s="42">
        <f>+M309+O309-Q309</f>
        <v/>
      </c>
    </row>
    <row r="310" ht="30" customHeight="1">
      <c r="A310" s="16" t="n">
        <v>45674</v>
      </c>
      <c r="B310" s="17" t="inlineStr">
        <is>
          <t>MH2501-47</t>
        </is>
      </c>
      <c r="C310" s="16" t="n">
        <v>45674</v>
      </c>
      <c r="D310" s="17" t="inlineStr">
        <is>
          <t>00000237</t>
        </is>
      </c>
      <c r="E310" s="16" t="n">
        <v>45674</v>
      </c>
      <c r="F310" s="16" t="inlineStr">
        <is>
          <t>XK2501-32</t>
        </is>
      </c>
      <c r="G310" s="16" t="n">
        <v>45674</v>
      </c>
      <c r="H310" s="18" t="inlineStr">
        <is>
          <t>CÔNG TY CỔ PHẦN CÔNG NGHIỆP VÀ THƯƠNG MẠI CƯỜNG THỊNH</t>
        </is>
      </c>
      <c r="I310" s="18" t="inlineStr">
        <is>
          <t>Đai ốc Din 934 8 ZP M20</t>
        </is>
      </c>
      <c r="J310" s="18" t="inlineStr">
        <is>
          <t>Cái</t>
        </is>
      </c>
      <c r="K310" s="19" t="n">
        <v>2030</v>
      </c>
      <c r="L310" s="20" t="n"/>
      <c r="M310" s="20" t="n"/>
      <c r="N310" s="22" t="n">
        <v>404</v>
      </c>
      <c r="O310" s="22" t="n">
        <v>820120</v>
      </c>
      <c r="P310" s="22" t="n">
        <v>404</v>
      </c>
      <c r="Q310" s="22" t="n">
        <v>820120</v>
      </c>
      <c r="R310" s="42">
        <f>+L310+N310-P310</f>
        <v/>
      </c>
      <c r="S310" s="42">
        <f>+M310+O310-Q310</f>
        <v/>
      </c>
    </row>
    <row r="311" ht="30" customHeight="1">
      <c r="A311" s="16" t="n">
        <v>45674</v>
      </c>
      <c r="B311" s="17" t="inlineStr">
        <is>
          <t>MH2501-47</t>
        </is>
      </c>
      <c r="C311" s="16" t="n">
        <v>45674</v>
      </c>
      <c r="D311" s="17" t="inlineStr">
        <is>
          <t>00000237</t>
        </is>
      </c>
      <c r="E311" s="16" t="n">
        <v>45674</v>
      </c>
      <c r="F311" s="16" t="inlineStr">
        <is>
          <t>XK2501-32</t>
        </is>
      </c>
      <c r="G311" s="16" t="n">
        <v>45674</v>
      </c>
      <c r="H311" s="18" t="inlineStr">
        <is>
          <t>CÔNG TY CỔ PHẦN CÔNG NGHIỆP VÀ THƯƠNG MẠI CƯỜNG THỊNH</t>
        </is>
      </c>
      <c r="I311" s="18" t="inlineStr">
        <is>
          <t>Long đền thường ZP M20B35D2</t>
        </is>
      </c>
      <c r="J311" s="18" t="inlineStr">
        <is>
          <t>Cái</t>
        </is>
      </c>
      <c r="K311" s="19" t="n">
        <v>350</v>
      </c>
      <c r="L311" s="20" t="n"/>
      <c r="M311" s="20" t="n"/>
      <c r="N311" s="22" t="n">
        <v>404</v>
      </c>
      <c r="O311" s="22" t="n">
        <v>141400</v>
      </c>
      <c r="P311" s="22" t="n">
        <v>404</v>
      </c>
      <c r="Q311" s="22" t="n">
        <v>141400</v>
      </c>
      <c r="R311" s="42">
        <f>+L311+N311-P311</f>
        <v/>
      </c>
      <c r="S311" s="42">
        <f>+M311+O311-Q311</f>
        <v/>
      </c>
    </row>
    <row r="312" ht="30" customHeight="1">
      <c r="A312" s="16" t="n">
        <v>45674</v>
      </c>
      <c r="B312" s="17" t="inlineStr">
        <is>
          <t>MH2501-47</t>
        </is>
      </c>
      <c r="C312" s="16" t="n">
        <v>45674</v>
      </c>
      <c r="D312" s="17" t="inlineStr">
        <is>
          <t>00000237</t>
        </is>
      </c>
      <c r="E312" s="16" t="n">
        <v>45674</v>
      </c>
      <c r="F312" s="16" t="inlineStr">
        <is>
          <t>XK2501-32</t>
        </is>
      </c>
      <c r="G312" s="16" t="n">
        <v>45674</v>
      </c>
      <c r="H312" s="18" t="inlineStr">
        <is>
          <t>CÔNG TY CỔ PHẦN CÔNG NGHIỆP VÀ THƯƠNG MẠI CƯỜNG THỊNH</t>
        </is>
      </c>
      <c r="I312" s="18" t="inlineStr">
        <is>
          <t>Bulong Din 933 8.8 ZP M24x80</t>
        </is>
      </c>
      <c r="J312" s="18" t="inlineStr">
        <is>
          <t>Cái</t>
        </is>
      </c>
      <c r="K312" s="19" t="n">
        <v>12010</v>
      </c>
      <c r="L312" s="20" t="n"/>
      <c r="M312" s="20" t="n"/>
      <c r="N312" s="22" t="n">
        <v>173</v>
      </c>
      <c r="O312" s="22" t="n">
        <v>2077730</v>
      </c>
      <c r="P312" s="22" t="n">
        <v>173</v>
      </c>
      <c r="Q312" s="22" t="n">
        <v>2077730</v>
      </c>
      <c r="R312" s="42">
        <f>+L312+N312-P312</f>
        <v/>
      </c>
      <c r="S312" s="42">
        <f>+M312+O312-Q312</f>
        <v/>
      </c>
    </row>
    <row r="313" ht="30" customHeight="1">
      <c r="A313" s="16" t="n">
        <v>45674</v>
      </c>
      <c r="B313" s="17" t="inlineStr">
        <is>
          <t>MH2501-47</t>
        </is>
      </c>
      <c r="C313" s="16" t="n">
        <v>45674</v>
      </c>
      <c r="D313" s="17" t="inlineStr">
        <is>
          <t>00000237</t>
        </is>
      </c>
      <c r="E313" s="16" t="n">
        <v>45674</v>
      </c>
      <c r="F313" s="16" t="inlineStr">
        <is>
          <t>XK2501-32</t>
        </is>
      </c>
      <c r="G313" s="16" t="n">
        <v>45674</v>
      </c>
      <c r="H313" s="18" t="inlineStr">
        <is>
          <t>CÔNG TY CỔ PHẦN CÔNG NGHIỆP VÀ THƯƠNG MẠI CƯỜNG THỊNH</t>
        </is>
      </c>
      <c r="I313" s="18" t="inlineStr">
        <is>
          <t>Đai ốc Din 934 8 ZP M24</t>
        </is>
      </c>
      <c r="J313" s="18" t="inlineStr">
        <is>
          <t>Cái</t>
        </is>
      </c>
      <c r="K313" s="19" t="n">
        <v>3500</v>
      </c>
      <c r="L313" s="20" t="n"/>
      <c r="M313" s="20" t="n"/>
      <c r="N313" s="22" t="n">
        <v>173</v>
      </c>
      <c r="O313" s="22" t="n">
        <v>605500</v>
      </c>
      <c r="P313" s="22" t="n">
        <v>173</v>
      </c>
      <c r="Q313" s="22" t="n">
        <v>605500</v>
      </c>
      <c r="R313" s="42">
        <f>+L313+N313-P313</f>
        <v/>
      </c>
      <c r="S313" s="42">
        <f>+M313+O313-Q313</f>
        <v/>
      </c>
    </row>
    <row r="314" ht="30" customHeight="1">
      <c r="A314" s="16" t="n">
        <v>45674</v>
      </c>
      <c r="B314" s="17" t="inlineStr">
        <is>
          <t>MH2501-47</t>
        </is>
      </c>
      <c r="C314" s="16" t="n">
        <v>45674</v>
      </c>
      <c r="D314" s="17" t="inlineStr">
        <is>
          <t>00000237</t>
        </is>
      </c>
      <c r="E314" s="16" t="n">
        <v>45674</v>
      </c>
      <c r="F314" s="16" t="inlineStr">
        <is>
          <t>XK2501-32</t>
        </is>
      </c>
      <c r="G314" s="16" t="n">
        <v>45674</v>
      </c>
      <c r="H314" s="18" t="inlineStr">
        <is>
          <t>CÔNG TY CỔ PHẦN CÔNG NGHIỆP VÀ THƯƠNG MẠI CƯỜNG THỊNH</t>
        </is>
      </c>
      <c r="I314" s="18" t="inlineStr">
        <is>
          <t>Long đền thường ZP M24B42D2</t>
        </is>
      </c>
      <c r="J314" s="18" t="inlineStr">
        <is>
          <t>Cái</t>
        </is>
      </c>
      <c r="K314" s="19" t="n">
        <v>710</v>
      </c>
      <c r="L314" s="20" t="n"/>
      <c r="M314" s="20" t="n"/>
      <c r="N314" s="22" t="n">
        <v>173</v>
      </c>
      <c r="O314" s="22" t="n">
        <v>122830</v>
      </c>
      <c r="P314" s="22" t="n">
        <v>173</v>
      </c>
      <c r="Q314" s="22" t="n">
        <v>122830</v>
      </c>
      <c r="R314" s="42">
        <f>+L314+N314-P314</f>
        <v/>
      </c>
      <c r="S314" s="42">
        <f>+M314+O314-Q314</f>
        <v/>
      </c>
    </row>
    <row r="315" ht="30" customHeight="1">
      <c r="A315" s="16" t="n">
        <v>45674</v>
      </c>
      <c r="B315" s="17" t="inlineStr">
        <is>
          <t>MH2501-47</t>
        </is>
      </c>
      <c r="C315" s="16" t="n">
        <v>45674</v>
      </c>
      <c r="D315" s="17" t="inlineStr">
        <is>
          <t>00000237</t>
        </is>
      </c>
      <c r="E315" s="16" t="n">
        <v>45674</v>
      </c>
      <c r="F315" s="16" t="inlineStr">
        <is>
          <t>XK2501-32</t>
        </is>
      </c>
      <c r="G315" s="16" t="n">
        <v>45674</v>
      </c>
      <c r="H315" s="18" t="inlineStr">
        <is>
          <t>CÔNG TY CỔ PHẦN CÔNG NGHIỆP VÀ THƯƠNG MẠI CƯỜNG THỊNH</t>
        </is>
      </c>
      <c r="I315" s="18" t="inlineStr">
        <is>
          <t>Bulong thường 4.6 ZP M12x30</t>
        </is>
      </c>
      <c r="J315" s="18" t="inlineStr">
        <is>
          <t>Cái</t>
        </is>
      </c>
      <c r="K315" s="19" t="n">
        <v>950</v>
      </c>
      <c r="L315" s="20" t="n"/>
      <c r="M315" s="20" t="n"/>
      <c r="N315" s="22" t="n">
        <v>1782</v>
      </c>
      <c r="O315" s="22" t="n">
        <v>1692900</v>
      </c>
      <c r="P315" s="22" t="n">
        <v>1782</v>
      </c>
      <c r="Q315" s="22" t="n">
        <v>1692900</v>
      </c>
      <c r="R315" s="42">
        <f>+L315+N315-P315</f>
        <v/>
      </c>
      <c r="S315" s="42">
        <f>+M315+O315-Q315</f>
        <v/>
      </c>
    </row>
    <row r="316" ht="30" customHeight="1">
      <c r="A316" s="16" t="n">
        <v>45674</v>
      </c>
      <c r="B316" s="17" t="inlineStr">
        <is>
          <t>MH2501-47</t>
        </is>
      </c>
      <c r="C316" s="16" t="n">
        <v>45674</v>
      </c>
      <c r="D316" s="17" t="inlineStr">
        <is>
          <t>00000237</t>
        </is>
      </c>
      <c r="E316" s="16" t="n">
        <v>45674</v>
      </c>
      <c r="F316" s="16" t="inlineStr">
        <is>
          <t>XK2501-32</t>
        </is>
      </c>
      <c r="G316" s="16" t="n">
        <v>45674</v>
      </c>
      <c r="H316" s="18" t="inlineStr">
        <is>
          <t>CÔNG TY CỔ PHẦN CÔNG NGHIỆP VÀ THƯƠNG MẠI CƯỜNG THỊNH</t>
        </is>
      </c>
      <c r="I316" s="18" t="inlineStr">
        <is>
          <t>Đai ốc thường 4 ZP M12 (9mm)</t>
        </is>
      </c>
      <c r="J316" s="18" t="inlineStr">
        <is>
          <t>Cái</t>
        </is>
      </c>
      <c r="K316" s="19" t="n">
        <v>360</v>
      </c>
      <c r="L316" s="20" t="n"/>
      <c r="M316" s="20" t="n"/>
      <c r="N316" s="22" t="n">
        <v>1782</v>
      </c>
      <c r="O316" s="22" t="n">
        <v>641520</v>
      </c>
      <c r="P316" s="22" t="n">
        <v>1782</v>
      </c>
      <c r="Q316" s="22" t="n">
        <v>641520</v>
      </c>
      <c r="R316" s="42">
        <f>+L316+N316-P316</f>
        <v/>
      </c>
      <c r="S316" s="42">
        <f>+M316+O316-Q316</f>
        <v/>
      </c>
    </row>
    <row r="317" ht="30" customHeight="1">
      <c r="A317" s="16" t="n">
        <v>45674</v>
      </c>
      <c r="B317" s="17" t="inlineStr">
        <is>
          <t>MH2501-47</t>
        </is>
      </c>
      <c r="C317" s="16" t="n">
        <v>45674</v>
      </c>
      <c r="D317" s="17" t="inlineStr">
        <is>
          <t>00000237</t>
        </is>
      </c>
      <c r="E317" s="16" t="n">
        <v>45674</v>
      </c>
      <c r="F317" s="16" t="inlineStr">
        <is>
          <t>XK2501-32</t>
        </is>
      </c>
      <c r="G317" s="16" t="n">
        <v>45674</v>
      </c>
      <c r="H317" s="18" t="inlineStr">
        <is>
          <t>CÔNG TY CỔ PHẦN CÔNG NGHIỆP VÀ THƯƠNG MẠI CƯỜNG THỊNH</t>
        </is>
      </c>
      <c r="I317" s="18" t="inlineStr">
        <is>
          <t>Long đền thường ZP M12B23D1</t>
        </is>
      </c>
      <c r="J317" s="18" t="inlineStr">
        <is>
          <t>Cái</t>
        </is>
      </c>
      <c r="K317" s="19" t="n">
        <v>100</v>
      </c>
      <c r="L317" s="20" t="n"/>
      <c r="M317" s="20" t="n"/>
      <c r="N317" s="22" t="n">
        <v>3564</v>
      </c>
      <c r="O317" s="22" t="n">
        <v>356400</v>
      </c>
      <c r="P317" s="22" t="n">
        <v>3564</v>
      </c>
      <c r="Q317" s="22" t="n">
        <v>356400</v>
      </c>
      <c r="R317" s="42">
        <f>+L317+N317-P317</f>
        <v/>
      </c>
      <c r="S317" s="42">
        <f>+M317+O317-Q317</f>
        <v/>
      </c>
    </row>
    <row r="318" ht="30" customHeight="1">
      <c r="A318" s="16" t="n">
        <v>45674</v>
      </c>
      <c r="B318" s="17" t="inlineStr">
        <is>
          <t>MH2501-47</t>
        </is>
      </c>
      <c r="C318" s="16" t="n">
        <v>45674</v>
      </c>
      <c r="D318" s="17" t="inlineStr">
        <is>
          <t>00000237</t>
        </is>
      </c>
      <c r="E318" s="16" t="n">
        <v>45674</v>
      </c>
      <c r="F318" s="16" t="inlineStr">
        <is>
          <t>XK2501-32</t>
        </is>
      </c>
      <c r="G318" s="16" t="n">
        <v>45674</v>
      </c>
      <c r="H318" s="18" t="inlineStr">
        <is>
          <t>CÔNG TY CỔ PHẦN CÔNG NGHIỆP VÀ THƯƠNG MẠI CƯỜNG THỊNH</t>
        </is>
      </c>
      <c r="I318" s="18" t="inlineStr">
        <is>
          <t>Bulong thường 4.6 ZP M12x40</t>
        </is>
      </c>
      <c r="J318" s="18" t="inlineStr">
        <is>
          <t>Cái</t>
        </is>
      </c>
      <c r="K318" s="19" t="n">
        <v>1100</v>
      </c>
      <c r="L318" s="20" t="n"/>
      <c r="M318" s="20" t="n"/>
      <c r="N318" s="22" t="n">
        <v>278</v>
      </c>
      <c r="O318" s="22" t="n">
        <v>305800</v>
      </c>
      <c r="P318" s="22" t="n">
        <v>278</v>
      </c>
      <c r="Q318" s="22" t="n">
        <v>305800</v>
      </c>
      <c r="R318" s="42">
        <f>+L318+N318-P318</f>
        <v/>
      </c>
      <c r="S318" s="42">
        <f>+M318+O318-Q318</f>
        <v/>
      </c>
    </row>
    <row r="319" ht="30" customHeight="1">
      <c r="A319" s="16" t="n">
        <v>45674</v>
      </c>
      <c r="B319" s="17" t="inlineStr">
        <is>
          <t>MH2501-47</t>
        </is>
      </c>
      <c r="C319" s="16" t="n">
        <v>45674</v>
      </c>
      <c r="D319" s="17" t="inlineStr">
        <is>
          <t>00000237</t>
        </is>
      </c>
      <c r="E319" s="16" t="n">
        <v>45674</v>
      </c>
      <c r="F319" s="16" t="inlineStr">
        <is>
          <t>XK2501-32</t>
        </is>
      </c>
      <c r="G319" s="16" t="n">
        <v>45674</v>
      </c>
      <c r="H319" s="18" t="inlineStr">
        <is>
          <t>CÔNG TY CỔ PHẦN CÔNG NGHIỆP VÀ THƯƠNG MẠI CƯỜNG THỊNH</t>
        </is>
      </c>
      <c r="I319" s="18" t="inlineStr">
        <is>
          <t>Đai ốc thường 4 ZP M12 (9mm)</t>
        </is>
      </c>
      <c r="J319" s="18" t="inlineStr">
        <is>
          <t>Cái</t>
        </is>
      </c>
      <c r="K319" s="19" t="n">
        <v>360</v>
      </c>
      <c r="L319" s="20" t="n"/>
      <c r="M319" s="20" t="n"/>
      <c r="N319" s="22" t="n">
        <v>278</v>
      </c>
      <c r="O319" s="22" t="n">
        <v>100080</v>
      </c>
      <c r="P319" s="22" t="n">
        <v>278</v>
      </c>
      <c r="Q319" s="22" t="n">
        <v>100080</v>
      </c>
      <c r="R319" s="42">
        <f>+L319+N319-P319</f>
        <v/>
      </c>
      <c r="S319" s="42">
        <f>+M319+O319-Q319</f>
        <v/>
      </c>
    </row>
    <row r="320" ht="30" customHeight="1">
      <c r="A320" s="16" t="n">
        <v>45674</v>
      </c>
      <c r="B320" s="17" t="inlineStr">
        <is>
          <t>MH2501-47</t>
        </is>
      </c>
      <c r="C320" s="16" t="n">
        <v>45674</v>
      </c>
      <c r="D320" s="17" t="inlineStr">
        <is>
          <t>00000237</t>
        </is>
      </c>
      <c r="E320" s="16" t="n">
        <v>45674</v>
      </c>
      <c r="F320" s="16" t="inlineStr">
        <is>
          <t>XK2501-32</t>
        </is>
      </c>
      <c r="G320" s="16" t="n">
        <v>45674</v>
      </c>
      <c r="H320" s="18" t="inlineStr">
        <is>
          <t>CÔNG TY CỔ PHẦN CÔNG NGHIỆP VÀ THƯƠNG MẠI CƯỜNG THỊNH</t>
        </is>
      </c>
      <c r="I320" s="18" t="inlineStr">
        <is>
          <t>Long đền thường ZP M12B23D1</t>
        </is>
      </c>
      <c r="J320" s="18" t="inlineStr">
        <is>
          <t>Cái</t>
        </is>
      </c>
      <c r="K320" s="19" t="n">
        <v>100</v>
      </c>
      <c r="L320" s="20" t="n"/>
      <c r="M320" s="20" t="n"/>
      <c r="N320" s="22" t="n">
        <v>556</v>
      </c>
      <c r="O320" s="22" t="n">
        <v>55600</v>
      </c>
      <c r="P320" s="22" t="n">
        <v>556</v>
      </c>
      <c r="Q320" s="22" t="n">
        <v>55600</v>
      </c>
      <c r="R320" s="42">
        <f>+L320+N320-P320</f>
        <v/>
      </c>
      <c r="S320" s="42">
        <f>+M320+O320-Q320</f>
        <v/>
      </c>
    </row>
    <row r="321" ht="30" customHeight="1">
      <c r="A321" s="16" t="n">
        <v>45674</v>
      </c>
      <c r="B321" s="17" t="inlineStr">
        <is>
          <t>MH2501-48</t>
        </is>
      </c>
      <c r="C321" s="16" t="n">
        <v>45674</v>
      </c>
      <c r="D321" s="17" t="inlineStr">
        <is>
          <t>00000238</t>
        </is>
      </c>
      <c r="E321" s="16" t="n">
        <v>45674</v>
      </c>
      <c r="F321" s="16" t="inlineStr">
        <is>
          <t>XK2501-33</t>
        </is>
      </c>
      <c r="G321" s="16" t="n">
        <v>45674</v>
      </c>
      <c r="H321" s="18" t="inlineStr">
        <is>
          <t>CÔNG TY CỔ PHẦN CÔNG NGHIỆP VÀ THƯƠNG MẠI CƯỜNG THỊNH</t>
        </is>
      </c>
      <c r="I321" s="18" t="inlineStr">
        <is>
          <t>Ty giằng 2 đầu ren 4.6 ZP M20</t>
        </is>
      </c>
      <c r="J321" s="18" t="inlineStr">
        <is>
          <t>Mét</t>
        </is>
      </c>
      <c r="K321" s="19" t="n">
        <v>74000</v>
      </c>
      <c r="L321" s="20" t="n"/>
      <c r="M321" s="20" t="n"/>
      <c r="N321" s="22" t="n">
        <v>757.49</v>
      </c>
      <c r="O321" s="22" t="n">
        <v>56054260</v>
      </c>
      <c r="P321" s="22" t="n">
        <v>757.49</v>
      </c>
      <c r="Q321" s="22" t="n">
        <v>56054260</v>
      </c>
      <c r="R321" s="42">
        <f>+L321+N321-P321</f>
        <v/>
      </c>
      <c r="S321" s="42">
        <f>+M321+O321-Q321</f>
        <v/>
      </c>
    </row>
    <row r="322" ht="30" customHeight="1">
      <c r="A322" s="16" t="n">
        <v>45674</v>
      </c>
      <c r="B322" s="17" t="inlineStr">
        <is>
          <t>MH2501-48</t>
        </is>
      </c>
      <c r="C322" s="16" t="n">
        <v>45674</v>
      </c>
      <c r="D322" s="17" t="inlineStr">
        <is>
          <t>00000238</t>
        </is>
      </c>
      <c r="E322" s="16" t="n">
        <v>45674</v>
      </c>
      <c r="F322" s="16" t="inlineStr">
        <is>
          <t>XK2501-33</t>
        </is>
      </c>
      <c r="G322" s="16" t="n">
        <v>45674</v>
      </c>
      <c r="H322" s="18" t="inlineStr">
        <is>
          <t>CÔNG TY CỔ PHẦN CÔNG NGHIỆP VÀ THƯƠNG MẠI CƯỜNG THỊNH</t>
        </is>
      </c>
      <c r="I322" s="18" t="inlineStr">
        <is>
          <t>Đai ốc Din 934 5 ZP M20</t>
        </is>
      </c>
      <c r="J322" s="18" t="inlineStr">
        <is>
          <t>Cái</t>
        </is>
      </c>
      <c r="K322" s="19" t="n">
        <v>1910</v>
      </c>
      <c r="L322" s="20" t="n"/>
      <c r="M322" s="20" t="n"/>
      <c r="N322" s="22" t="n">
        <v>204</v>
      </c>
      <c r="O322" s="22" t="n">
        <v>389640</v>
      </c>
      <c r="P322" s="22" t="n">
        <v>204</v>
      </c>
      <c r="Q322" s="22" t="n">
        <v>389640</v>
      </c>
      <c r="R322" s="42">
        <f>+L322+N322-P322</f>
        <v/>
      </c>
      <c r="S322" s="42">
        <f>+M322+O322-Q322</f>
        <v/>
      </c>
    </row>
    <row r="323" ht="30" customHeight="1">
      <c r="A323" s="16" t="n">
        <v>45674</v>
      </c>
      <c r="B323" s="17" t="inlineStr">
        <is>
          <t>MH2501-48</t>
        </is>
      </c>
      <c r="C323" s="16" t="n">
        <v>45674</v>
      </c>
      <c r="D323" s="17" t="inlineStr">
        <is>
          <t>00000238</t>
        </is>
      </c>
      <c r="E323" s="16" t="n">
        <v>45674</v>
      </c>
      <c r="F323" s="16" t="inlineStr">
        <is>
          <t>XK2501-33</t>
        </is>
      </c>
      <c r="G323" s="16" t="n">
        <v>45674</v>
      </c>
      <c r="H323" s="18" t="inlineStr">
        <is>
          <t>CÔNG TY CỔ PHẦN CÔNG NGHIỆP VÀ THƯƠNG MẠI CƯỜNG THỊNH</t>
        </is>
      </c>
      <c r="I323" s="18" t="inlineStr">
        <is>
          <t>Long đền thường ZP M20B42D2</t>
        </is>
      </c>
      <c r="J323" s="18" t="inlineStr">
        <is>
          <t>Cái</t>
        </is>
      </c>
      <c r="K323" s="19" t="n">
        <v>700</v>
      </c>
      <c r="L323" s="20" t="n"/>
      <c r="M323" s="20" t="n"/>
      <c r="N323" s="22" t="n">
        <v>204</v>
      </c>
      <c r="O323" s="22" t="n">
        <v>142800</v>
      </c>
      <c r="P323" s="22" t="n">
        <v>204</v>
      </c>
      <c r="Q323" s="22" t="n">
        <v>142800</v>
      </c>
      <c r="R323" s="42">
        <f>+L323+N323-P323</f>
        <v/>
      </c>
      <c r="S323" s="42">
        <f>+M323+O323-Q323</f>
        <v/>
      </c>
    </row>
    <row r="324" ht="30" customHeight="1">
      <c r="A324" s="16" t="n">
        <v>45674</v>
      </c>
      <c r="B324" s="17" t="inlineStr">
        <is>
          <t>MH2501-48</t>
        </is>
      </c>
      <c r="C324" s="16" t="n">
        <v>45674</v>
      </c>
      <c r="D324" s="17" t="inlineStr">
        <is>
          <t>00000238</t>
        </is>
      </c>
      <c r="E324" s="16" t="n">
        <v>45674</v>
      </c>
      <c r="F324" s="16" t="inlineStr">
        <is>
          <t>XK2501-33</t>
        </is>
      </c>
      <c r="G324" s="16" t="n">
        <v>45674</v>
      </c>
      <c r="H324" s="18" t="inlineStr">
        <is>
          <t>CÔNG TY CỔ PHẦN CÔNG NGHIỆP VÀ THƯƠNG MẠI CƯỜNG THỊNH</t>
        </is>
      </c>
      <c r="I324" s="18" t="inlineStr">
        <is>
          <t>Long đền móng ngựa ZP M20</t>
        </is>
      </c>
      <c r="J324" s="18" t="inlineStr">
        <is>
          <t>Cái</t>
        </is>
      </c>
      <c r="K324" s="19" t="n">
        <v>16900</v>
      </c>
      <c r="L324" s="20" t="n"/>
      <c r="M324" s="20" t="n"/>
      <c r="N324" s="22" t="n">
        <v>204</v>
      </c>
      <c r="O324" s="22" t="n">
        <v>3447600</v>
      </c>
      <c r="P324" s="22" t="n">
        <v>204</v>
      </c>
      <c r="Q324" s="22" t="n">
        <v>3447600</v>
      </c>
      <c r="R324" s="42">
        <f>+L324+N324-P324</f>
        <v/>
      </c>
      <c r="S324" s="42">
        <f>+M324+O324-Q324</f>
        <v/>
      </c>
    </row>
    <row r="325" ht="30" customHeight="1">
      <c r="A325" s="16" t="n">
        <v>45674</v>
      </c>
      <c r="B325" s="17" t="inlineStr">
        <is>
          <t>MH2501-48</t>
        </is>
      </c>
      <c r="C325" s="16" t="n">
        <v>45674</v>
      </c>
      <c r="D325" s="17" t="inlineStr">
        <is>
          <t>00000238</t>
        </is>
      </c>
      <c r="E325" s="16" t="n">
        <v>45674</v>
      </c>
      <c r="F325" s="16" t="inlineStr">
        <is>
          <t>XK2501-33</t>
        </is>
      </c>
      <c r="G325" s="16" t="n">
        <v>45674</v>
      </c>
      <c r="H325" s="18" t="inlineStr">
        <is>
          <t>CÔNG TY CỔ PHẦN CÔNG NGHIỆP VÀ THƯƠNG MẠI CƯỜNG THỊNH</t>
        </is>
      </c>
      <c r="I325" s="18" t="inlineStr">
        <is>
          <t>Nối Ty ZP M20x100(28mm)</t>
        </is>
      </c>
      <c r="J325" s="18" t="inlineStr">
        <is>
          <t>Cái</t>
        </is>
      </c>
      <c r="K325" s="19" t="n">
        <v>30250</v>
      </c>
      <c r="L325" s="20" t="n"/>
      <c r="M325" s="20" t="n"/>
      <c r="N325" s="22" t="n">
        <v>80</v>
      </c>
      <c r="O325" s="22" t="n">
        <v>2420000</v>
      </c>
      <c r="P325" s="22" t="n">
        <v>80</v>
      </c>
      <c r="Q325" s="22" t="n">
        <v>2420000</v>
      </c>
      <c r="R325" s="42">
        <f>+L325+N325-P325</f>
        <v/>
      </c>
      <c r="S325" s="42">
        <f>+M325+O325-Q325</f>
        <v/>
      </c>
    </row>
    <row r="326" ht="30" customHeight="1">
      <c r="A326" s="16" t="n">
        <v>45674</v>
      </c>
      <c r="B326" s="17" t="inlineStr">
        <is>
          <t>MH2501-48</t>
        </is>
      </c>
      <c r="C326" s="16" t="n">
        <v>45674</v>
      </c>
      <c r="D326" s="17" t="inlineStr">
        <is>
          <t>00000238</t>
        </is>
      </c>
      <c r="E326" s="16" t="n">
        <v>45674</v>
      </c>
      <c r="F326" s="16" t="inlineStr">
        <is>
          <t>XK2501-33</t>
        </is>
      </c>
      <c r="G326" s="16" t="n">
        <v>45674</v>
      </c>
      <c r="H326" s="18" t="inlineStr">
        <is>
          <t>CÔNG TY CỔ PHẦN CÔNG NGHIỆP VÀ THƯƠNG MẠI CƯỜNG THỊNH</t>
        </is>
      </c>
      <c r="I326" s="18" t="inlineStr">
        <is>
          <t>Ty giằng 2 đầu ren 4.6 Ф11.3-11.5mm ZP M12</t>
        </is>
      </c>
      <c r="J326" s="18" t="inlineStr">
        <is>
          <t>Mét</t>
        </is>
      </c>
      <c r="K326" s="19" t="n">
        <v>22500</v>
      </c>
      <c r="L326" s="20" t="n"/>
      <c r="M326" s="20" t="n"/>
      <c r="N326" s="22" t="n">
        <v>342.27</v>
      </c>
      <c r="O326" s="22" t="n">
        <v>7701075</v>
      </c>
      <c r="P326" s="22" t="n">
        <v>342.27</v>
      </c>
      <c r="Q326" s="22" t="n">
        <v>7701075</v>
      </c>
      <c r="R326" s="42">
        <f>+L326+N326-P326</f>
        <v/>
      </c>
      <c r="S326" s="42">
        <f>+M326+O326-Q326</f>
        <v/>
      </c>
    </row>
    <row r="327" ht="30" customHeight="1">
      <c r="A327" s="16" t="n">
        <v>45674</v>
      </c>
      <c r="B327" s="17" t="inlineStr">
        <is>
          <t>MH2501-48</t>
        </is>
      </c>
      <c r="C327" s="16" t="n">
        <v>45674</v>
      </c>
      <c r="D327" s="17" t="inlineStr">
        <is>
          <t>00000238</t>
        </is>
      </c>
      <c r="E327" s="16" t="n">
        <v>45674</v>
      </c>
      <c r="F327" s="16" t="inlineStr">
        <is>
          <t>XK2501-33</t>
        </is>
      </c>
      <c r="G327" s="16" t="n">
        <v>45674</v>
      </c>
      <c r="H327" s="18" t="inlineStr">
        <is>
          <t>CÔNG TY CỔ PHẦN CÔNG NGHIỆP VÀ THƯƠNG MẠI CƯỜNG THỊNH</t>
        </is>
      </c>
      <c r="I327" s="18" t="inlineStr">
        <is>
          <t>Ty giằng 2 đầu ren 4.6 Ф11.3-11.5mm ZP M12</t>
        </is>
      </c>
      <c r="J327" s="18" t="inlineStr">
        <is>
          <t>Mét</t>
        </is>
      </c>
      <c r="K327" s="19" t="n">
        <v>24500</v>
      </c>
      <c r="L327" s="20" t="n"/>
      <c r="M327" s="20" t="n"/>
      <c r="N327" s="22" t="n">
        <v>60.59</v>
      </c>
      <c r="O327" s="22" t="n">
        <v>1484455</v>
      </c>
      <c r="P327" s="22" t="n">
        <v>60.59</v>
      </c>
      <c r="Q327" s="22" t="n">
        <v>1484455</v>
      </c>
      <c r="R327" s="42">
        <f>+L327+N327-P327</f>
        <v/>
      </c>
      <c r="S327" s="42">
        <f>+M327+O327-Q327</f>
        <v/>
      </c>
    </row>
    <row r="328" ht="30" customHeight="1">
      <c r="A328" s="16" t="n">
        <v>45674</v>
      </c>
      <c r="B328" s="17" t="inlineStr">
        <is>
          <t>MH2501-48</t>
        </is>
      </c>
      <c r="C328" s="16" t="n">
        <v>45674</v>
      </c>
      <c r="D328" s="17" t="inlineStr">
        <is>
          <t>00000238</t>
        </is>
      </c>
      <c r="E328" s="16" t="n">
        <v>45674</v>
      </c>
      <c r="F328" s="16" t="inlineStr">
        <is>
          <t>XK2501-33</t>
        </is>
      </c>
      <c r="G328" s="16" t="n">
        <v>45674</v>
      </c>
      <c r="H328" s="18" t="inlineStr">
        <is>
          <t>CÔNG TY CỔ PHẦN CÔNG NGHIỆP VÀ THƯƠNG MẠI CƯỜNG THỊNH</t>
        </is>
      </c>
      <c r="I328" s="18" t="inlineStr">
        <is>
          <t>Đai ốc thường 4 ZP M12 (9mm)</t>
        </is>
      </c>
      <c r="J328" s="18" t="inlineStr">
        <is>
          <t>Cái</t>
        </is>
      </c>
      <c r="K328" s="19" t="n">
        <v>360</v>
      </c>
      <c r="L328" s="20" t="n"/>
      <c r="M328" s="20" t="n"/>
      <c r="N328" s="22" t="n">
        <v>1200</v>
      </c>
      <c r="O328" s="22" t="n">
        <v>432000</v>
      </c>
      <c r="P328" s="22" t="n">
        <v>1200</v>
      </c>
      <c r="Q328" s="22" t="n">
        <v>432000</v>
      </c>
      <c r="R328" s="42">
        <f>+L328+N328-P328</f>
        <v/>
      </c>
      <c r="S328" s="42">
        <f>+M328+O328-Q328</f>
        <v/>
      </c>
    </row>
    <row r="329" ht="30" customHeight="1">
      <c r="A329" s="16" t="n">
        <v>45674</v>
      </c>
      <c r="B329" s="17" t="inlineStr">
        <is>
          <t>MH2501-48</t>
        </is>
      </c>
      <c r="C329" s="16" t="n">
        <v>45674</v>
      </c>
      <c r="D329" s="17" t="inlineStr">
        <is>
          <t>00000238</t>
        </is>
      </c>
      <c r="E329" s="16" t="n">
        <v>45674</v>
      </c>
      <c r="F329" s="16" t="inlineStr">
        <is>
          <t>XK2501-33</t>
        </is>
      </c>
      <c r="G329" s="16" t="n">
        <v>45674</v>
      </c>
      <c r="H329" s="18" t="inlineStr">
        <is>
          <t>CÔNG TY CỔ PHẦN CÔNG NGHIỆP VÀ THƯƠNG MẠI CƯỜNG THỊNH</t>
        </is>
      </c>
      <c r="I329" s="18" t="inlineStr">
        <is>
          <t>Long đền thường ZP M12B26D1.5</t>
        </is>
      </c>
      <c r="J329" s="18" t="inlineStr">
        <is>
          <t>Cái</t>
        </is>
      </c>
      <c r="K329" s="19" t="n">
        <v>190</v>
      </c>
      <c r="L329" s="20" t="n"/>
      <c r="M329" s="20" t="n"/>
      <c r="N329" s="22" t="n">
        <v>1200</v>
      </c>
      <c r="O329" s="22" t="n">
        <v>228000</v>
      </c>
      <c r="P329" s="22" t="n">
        <v>1200</v>
      </c>
      <c r="Q329" s="22" t="n">
        <v>228000</v>
      </c>
      <c r="R329" s="42">
        <f>+L329+N329-P329</f>
        <v/>
      </c>
      <c r="S329" s="42">
        <f>+M329+O329-Q329</f>
        <v/>
      </c>
    </row>
    <row r="330" ht="30" customHeight="1">
      <c r="A330" s="16" t="n">
        <v>45674</v>
      </c>
      <c r="B330" s="17" t="inlineStr">
        <is>
          <t>MH2501-49</t>
        </is>
      </c>
      <c r="C330" s="16" t="n">
        <v>45674</v>
      </c>
      <c r="D330" s="17" t="inlineStr">
        <is>
          <t>00000266</t>
        </is>
      </c>
      <c r="E330" s="16" t="n">
        <v>45674</v>
      </c>
      <c r="F330" s="16" t="inlineStr">
        <is>
          <t>XK2501-34</t>
        </is>
      </c>
      <c r="G330" s="16" t="n">
        <v>45674</v>
      </c>
      <c r="H330" s="18" t="inlineStr">
        <is>
          <t>CÔNG TY TNHH MTV SẢN XUẤT THƯƠNG MẠI DỊCH VỤ THANH HUYỀN</t>
        </is>
      </c>
      <c r="I330" s="18" t="inlineStr">
        <is>
          <t>Thép dày mạ kẽm</t>
        </is>
      </c>
      <c r="J330" s="18" t="inlineStr">
        <is>
          <t>kg</t>
        </is>
      </c>
      <c r="K330" s="19" t="n">
        <v>17128.38</v>
      </c>
      <c r="L330" s="20" t="n"/>
      <c r="M330" s="20" t="n"/>
      <c r="N330" s="22" t="n">
        <v>3798</v>
      </c>
      <c r="O330" s="22" t="n">
        <v>65053572</v>
      </c>
      <c r="P330" s="22" t="n">
        <v>3798</v>
      </c>
      <c r="Q330" s="22" t="n">
        <v>65053572</v>
      </c>
      <c r="R330" s="42">
        <f>+L330+N330-P330</f>
        <v/>
      </c>
      <c r="S330" s="42">
        <f>+M330+O330-Q330</f>
        <v/>
      </c>
    </row>
    <row r="331" ht="30" customHeight="1">
      <c r="A331" s="16" t="n">
        <v>45674</v>
      </c>
      <c r="B331" s="17" t="inlineStr">
        <is>
          <t>MH2501-49</t>
        </is>
      </c>
      <c r="C331" s="16" t="n">
        <v>45674</v>
      </c>
      <c r="D331" s="17" t="inlineStr">
        <is>
          <t>00000266</t>
        </is>
      </c>
      <c r="E331" s="16" t="n">
        <v>45674</v>
      </c>
      <c r="F331" s="16" t="inlineStr">
        <is>
          <t>XK2501-34</t>
        </is>
      </c>
      <c r="G331" s="16" t="n">
        <v>45674</v>
      </c>
      <c r="H331" s="18" t="inlineStr">
        <is>
          <t>CÔNG TY TNHH MTV SẢN XUẤT THƯƠNG MẠI DỊCH VỤ THANH HUYỀN</t>
        </is>
      </c>
      <c r="I331" s="18" t="inlineStr">
        <is>
          <t>Xà gồ mạ kẽm</t>
        </is>
      </c>
      <c r="J331" s="18" t="inlineStr">
        <is>
          <t>kg</t>
        </is>
      </c>
      <c r="K331" s="19" t="n">
        <v>17999.96</v>
      </c>
      <c r="L331" s="20" t="n"/>
      <c r="M331" s="20" t="n"/>
      <c r="N331" s="22" t="n">
        <v>714</v>
      </c>
      <c r="O331" s="22" t="n">
        <v>12851972</v>
      </c>
      <c r="P331" s="22" t="n">
        <v>714</v>
      </c>
      <c r="Q331" s="22" t="n">
        <v>12851972</v>
      </c>
      <c r="R331" s="42">
        <f>+L331+N331-P331</f>
        <v/>
      </c>
      <c r="S331" s="42">
        <f>+M331+O331-Q331</f>
        <v/>
      </c>
    </row>
    <row r="332" ht="30" customHeight="1">
      <c r="A332" s="16" t="n">
        <v>45674</v>
      </c>
      <c r="B332" s="17" t="inlineStr">
        <is>
          <t>MH2501-50</t>
        </is>
      </c>
      <c r="C332" s="16" t="n">
        <v>45674</v>
      </c>
      <c r="D332" s="17" t="inlineStr">
        <is>
          <t>00000267</t>
        </is>
      </c>
      <c r="E332" s="16" t="n">
        <v>45674</v>
      </c>
      <c r="F332" s="16" t="inlineStr">
        <is>
          <t>XK2501-35</t>
        </is>
      </c>
      <c r="G332" s="16" t="n">
        <v>45674</v>
      </c>
      <c r="H332" s="18" t="inlineStr">
        <is>
          <t>CÔNG TY TNHH MTV SẢN XUẤT THƯƠNG MẠI DỊCH VỤ THANH HUYỀN</t>
        </is>
      </c>
      <c r="I332" s="18" t="inlineStr">
        <is>
          <t>Thép dày mạ kẽm</t>
        </is>
      </c>
      <c r="J332" s="18" t="inlineStr">
        <is>
          <t>kg</t>
        </is>
      </c>
      <c r="K332" s="19" t="n">
        <v>20716.89</v>
      </c>
      <c r="L332" s="20" t="n"/>
      <c r="M332" s="20" t="n"/>
      <c r="N332" s="22" t="n">
        <v>184</v>
      </c>
      <c r="O332" s="22" t="n">
        <v>3811907</v>
      </c>
      <c r="P332" s="22" t="n">
        <v>184</v>
      </c>
      <c r="Q332" s="22" t="n">
        <v>3811907</v>
      </c>
      <c r="R332" s="42">
        <f>+L332+N332-P332</f>
        <v/>
      </c>
      <c r="S332" s="42">
        <f>+M332+O332-Q332</f>
        <v/>
      </c>
    </row>
    <row r="333" ht="30" customHeight="1">
      <c r="A333" s="16" t="n">
        <v>45674</v>
      </c>
      <c r="B333" s="17" t="inlineStr">
        <is>
          <t>MH2501-50</t>
        </is>
      </c>
      <c r="C333" s="16" t="n">
        <v>45674</v>
      </c>
      <c r="D333" s="17" t="inlineStr">
        <is>
          <t>00000267</t>
        </is>
      </c>
      <c r="E333" s="16" t="n">
        <v>45674</v>
      </c>
      <c r="F333" s="16" t="inlineStr">
        <is>
          <t>XK2501-35</t>
        </is>
      </c>
      <c r="G333" s="16" t="n">
        <v>45674</v>
      </c>
      <c r="H333" s="18" t="inlineStr">
        <is>
          <t>CÔNG TY TNHH MTV SẢN XUẤT THƯƠNG MẠI DỊCH VỤ THANH HUYỀN</t>
        </is>
      </c>
      <c r="I333" s="18" t="inlineStr">
        <is>
          <t>Xà gồ mạ kẽm</t>
        </is>
      </c>
      <c r="J333" s="18" t="inlineStr">
        <is>
          <t>kg</t>
        </is>
      </c>
      <c r="K333" s="19" t="n">
        <v>18323.34</v>
      </c>
      <c r="L333" s="20" t="n"/>
      <c r="M333" s="20" t="n"/>
      <c r="N333" s="22" t="n">
        <v>3165</v>
      </c>
      <c r="O333" s="22" t="n">
        <v>57993368</v>
      </c>
      <c r="P333" s="22" t="n">
        <v>3165</v>
      </c>
      <c r="Q333" s="22" t="n">
        <v>57993368</v>
      </c>
      <c r="R333" s="42">
        <f>+L333+N333-P333</f>
        <v/>
      </c>
      <c r="S333" s="42">
        <f>+M333+O333-Q333</f>
        <v/>
      </c>
    </row>
    <row r="334" ht="30" customHeight="1">
      <c r="A334" s="16" t="n">
        <v>45674</v>
      </c>
      <c r="B334" s="17" t="inlineStr">
        <is>
          <t>MH2501-51</t>
        </is>
      </c>
      <c r="C334" s="16" t="n">
        <v>45674</v>
      </c>
      <c r="D334" s="17" t="inlineStr">
        <is>
          <t>00000268</t>
        </is>
      </c>
      <c r="E334" s="16" t="n">
        <v>45674</v>
      </c>
      <c r="F334" s="16" t="inlineStr">
        <is>
          <t>XK2501-36</t>
        </is>
      </c>
      <c r="G334" s="16" t="n">
        <v>45674</v>
      </c>
      <c r="H334" s="18" t="inlineStr">
        <is>
          <t>CÔNG TY TNHH MTV SẢN XUẤT THƯƠNG MẠI DỊCH VỤ THANH HUYỀN</t>
        </is>
      </c>
      <c r="I334" s="18" t="inlineStr">
        <is>
          <t>Thép dày mạ kẽm</t>
        </is>
      </c>
      <c r="J334" s="18" t="inlineStr">
        <is>
          <t>kg</t>
        </is>
      </c>
      <c r="K334" s="19" t="n">
        <v>20665.99</v>
      </c>
      <c r="L334" s="20" t="n"/>
      <c r="M334" s="20" t="n"/>
      <c r="N334" s="22" t="n">
        <v>178</v>
      </c>
      <c r="O334" s="22" t="n">
        <v>3678546</v>
      </c>
      <c r="P334" s="22" t="n">
        <v>178</v>
      </c>
      <c r="Q334" s="22" t="n">
        <v>3678546</v>
      </c>
      <c r="R334" s="42">
        <f>+L334+N334-P334</f>
        <v/>
      </c>
      <c r="S334" s="42">
        <f>+M334+O334-Q334</f>
        <v/>
      </c>
    </row>
    <row r="335" ht="30" customHeight="1">
      <c r="A335" s="16" t="n">
        <v>45674</v>
      </c>
      <c r="B335" s="17" t="inlineStr">
        <is>
          <t>MH2501-52</t>
        </is>
      </c>
      <c r="C335" s="16" t="n">
        <v>45674</v>
      </c>
      <c r="D335" s="17" t="inlineStr">
        <is>
          <t>00000060</t>
        </is>
      </c>
      <c r="E335" s="16" t="n">
        <v>45674</v>
      </c>
      <c r="F335" s="16" t="inlineStr">
        <is>
          <t>XK2501-37</t>
        </is>
      </c>
      <c r="G335" s="16" t="n">
        <v>45674</v>
      </c>
      <c r="H335" s="18" t="inlineStr">
        <is>
          <t>CÔNG TY TNHH THƯƠNG MẠI THÉP CƯỜNG LÂM</t>
        </is>
      </c>
      <c r="I335" s="18" t="inlineStr">
        <is>
          <t>Thép hình H150x75x5x7x12000</t>
        </is>
      </c>
      <c r="J335" s="18" t="inlineStr">
        <is>
          <t>kg</t>
        </is>
      </c>
      <c r="K335" s="19" t="n">
        <v>16727.27</v>
      </c>
      <c r="L335" s="20" t="n"/>
      <c r="M335" s="20" t="n"/>
      <c r="N335" s="22" t="n">
        <v>3360</v>
      </c>
      <c r="O335" s="22" t="n">
        <v>56203627</v>
      </c>
      <c r="P335" s="22" t="n">
        <v>3360</v>
      </c>
      <c r="Q335" s="22" t="n">
        <v>56203627</v>
      </c>
      <c r="R335" s="42">
        <f>+L335+N335-P335</f>
        <v/>
      </c>
      <c r="S335" s="42">
        <f>+M335+O335-Q335</f>
        <v/>
      </c>
    </row>
    <row r="336" ht="30" customHeight="1">
      <c r="A336" s="16" t="n">
        <v>45674</v>
      </c>
      <c r="B336" s="17" t="inlineStr">
        <is>
          <t>MH2501-52</t>
        </is>
      </c>
      <c r="C336" s="16" t="n">
        <v>45674</v>
      </c>
      <c r="D336" s="17" t="inlineStr">
        <is>
          <t>00000060</t>
        </is>
      </c>
      <c r="E336" s="16" t="n">
        <v>45674</v>
      </c>
      <c r="F336" s="16" t="inlineStr">
        <is>
          <t>XK2501-37</t>
        </is>
      </c>
      <c r="G336" s="16" t="n">
        <v>45674</v>
      </c>
      <c r="H336" s="18" t="inlineStr">
        <is>
          <t>CÔNG TY TNHH THƯƠNG MẠI THÉP CƯỜNG LÂM</t>
        </is>
      </c>
      <c r="I336" s="18" t="inlineStr">
        <is>
          <t>Thép V63</t>
        </is>
      </c>
      <c r="J336" s="18" t="inlineStr">
        <is>
          <t>kg</t>
        </is>
      </c>
      <c r="K336" s="19" t="n">
        <v>17275.28</v>
      </c>
      <c r="L336" s="20" t="n"/>
      <c r="M336" s="20" t="n"/>
      <c r="N336" s="22" t="n">
        <v>110.51</v>
      </c>
      <c r="O336" s="22" t="n">
        <v>1909091</v>
      </c>
      <c r="P336" s="22" t="n">
        <v>110.51</v>
      </c>
      <c r="Q336" s="22" t="n">
        <v>1909091</v>
      </c>
      <c r="R336" s="42">
        <f>+L336+N336-P336</f>
        <v/>
      </c>
      <c r="S336" s="42">
        <f>+M336+O336-Q336</f>
        <v/>
      </c>
    </row>
    <row r="337" ht="30" customHeight="1">
      <c r="A337" s="16" t="n">
        <v>45674</v>
      </c>
      <c r="B337" s="17" t="inlineStr">
        <is>
          <t>MH2501-52</t>
        </is>
      </c>
      <c r="C337" s="16" t="n">
        <v>45674</v>
      </c>
      <c r="D337" s="17" t="inlineStr">
        <is>
          <t>00000060</t>
        </is>
      </c>
      <c r="E337" s="16" t="n">
        <v>45674</v>
      </c>
      <c r="F337" s="16" t="inlineStr">
        <is>
          <t>XK2501-37</t>
        </is>
      </c>
      <c r="G337" s="16" t="n">
        <v>45674</v>
      </c>
      <c r="H337" s="18" t="inlineStr">
        <is>
          <t>CÔNG TY TNHH THƯƠNG MẠI THÉP CƯỜNG LÂM</t>
        </is>
      </c>
      <c r="I337" s="18" t="inlineStr">
        <is>
          <t>Ống thép vuông 100x2.5x6.0</t>
        </is>
      </c>
      <c r="J337" s="18" t="inlineStr">
        <is>
          <t>kg</t>
        </is>
      </c>
      <c r="K337" s="19" t="n">
        <v>16363.64</v>
      </c>
      <c r="L337" s="20" t="n"/>
      <c r="M337" s="20" t="n"/>
      <c r="N337" s="22" t="n">
        <v>1005.18</v>
      </c>
      <c r="O337" s="22" t="n">
        <v>16448404</v>
      </c>
      <c r="P337" s="22" t="n">
        <v>1005.18</v>
      </c>
      <c r="Q337" s="22" t="n">
        <v>16448404</v>
      </c>
      <c r="R337" s="42">
        <f>+L337+N337-P337</f>
        <v/>
      </c>
      <c r="S337" s="42">
        <f>+M337+O337-Q337</f>
        <v/>
      </c>
    </row>
    <row r="338" ht="30" customHeight="1">
      <c r="A338" s="16" t="n">
        <v>45674</v>
      </c>
      <c r="B338" s="17" t="inlineStr">
        <is>
          <t>MH2501-52</t>
        </is>
      </c>
      <c r="C338" s="16" t="n">
        <v>45674</v>
      </c>
      <c r="D338" s="17" t="inlineStr">
        <is>
          <t>00000060</t>
        </is>
      </c>
      <c r="E338" s="16" t="n">
        <v>45674</v>
      </c>
      <c r="F338" s="16" t="inlineStr">
        <is>
          <t>XK2501-37</t>
        </is>
      </c>
      <c r="G338" s="16" t="n">
        <v>45674</v>
      </c>
      <c r="H338" s="18" t="inlineStr">
        <is>
          <t>CÔNG TY TNHH THƯƠNG MẠI THÉP CƯỜNG LÂM</t>
        </is>
      </c>
      <c r="I338" s="18" t="inlineStr">
        <is>
          <t>Thép tấm 5 ly</t>
        </is>
      </c>
      <c r="J338" s="18" t="inlineStr">
        <is>
          <t>kg</t>
        </is>
      </c>
      <c r="K338" s="19" t="n">
        <v>13790.91</v>
      </c>
      <c r="L338" s="20" t="n"/>
      <c r="M338" s="20" t="n"/>
      <c r="N338" s="22" t="n">
        <v>8478</v>
      </c>
      <c r="O338" s="22" t="n">
        <v>116919335</v>
      </c>
      <c r="P338" s="22" t="n">
        <v>8478</v>
      </c>
      <c r="Q338" s="22" t="n">
        <v>116919335</v>
      </c>
      <c r="R338" s="42">
        <f>+L338+N338-P338</f>
        <v/>
      </c>
      <c r="S338" s="42">
        <f>+M338+O338-Q338</f>
        <v/>
      </c>
    </row>
    <row r="339" ht="30" customHeight="1">
      <c r="A339" s="16" t="n">
        <v>45674</v>
      </c>
      <c r="B339" s="17" t="inlineStr">
        <is>
          <t>MH2501-52</t>
        </is>
      </c>
      <c r="C339" s="16" t="n">
        <v>45674</v>
      </c>
      <c r="D339" s="17" t="inlineStr">
        <is>
          <t>00000060</t>
        </is>
      </c>
      <c r="E339" s="16" t="n">
        <v>45674</v>
      </c>
      <c r="F339" s="16" t="inlineStr">
        <is>
          <t>XK2501-37</t>
        </is>
      </c>
      <c r="G339" s="16" t="n">
        <v>45674</v>
      </c>
      <c r="H339" s="18" t="inlineStr">
        <is>
          <t>CÔNG TY TNHH THƯƠNG MẠI THÉP CƯỜNG LÂM</t>
        </is>
      </c>
      <c r="I339" s="18" t="inlineStr">
        <is>
          <t>Thép tấm 6 ly</t>
        </is>
      </c>
      <c r="J339" s="18" t="inlineStr">
        <is>
          <t>kg</t>
        </is>
      </c>
      <c r="K339" s="19" t="n">
        <v>13790.91</v>
      </c>
      <c r="L339" s="20" t="n"/>
      <c r="M339" s="20" t="n"/>
      <c r="N339" s="22" t="n">
        <v>4662.9</v>
      </c>
      <c r="O339" s="22" t="n">
        <v>64305634</v>
      </c>
      <c r="P339" s="22" t="n">
        <v>4662.9</v>
      </c>
      <c r="Q339" s="22" t="n">
        <v>64305634</v>
      </c>
      <c r="R339" s="42">
        <f>+L339+N339-P339</f>
        <v/>
      </c>
      <c r="S339" s="42">
        <f>+M339+O339-Q339</f>
        <v/>
      </c>
    </row>
    <row r="340" ht="30" customHeight="1">
      <c r="A340" s="16" t="n">
        <v>45674</v>
      </c>
      <c r="B340" s="17" t="inlineStr">
        <is>
          <t>MH2501-52</t>
        </is>
      </c>
      <c r="C340" s="16" t="n">
        <v>45674</v>
      </c>
      <c r="D340" s="17" t="inlineStr">
        <is>
          <t>00000060</t>
        </is>
      </c>
      <c r="E340" s="16" t="n">
        <v>45674</v>
      </c>
      <c r="F340" s="16" t="inlineStr">
        <is>
          <t>XK2501-37</t>
        </is>
      </c>
      <c r="G340" s="16" t="n">
        <v>45674</v>
      </c>
      <c r="H340" s="18" t="inlineStr">
        <is>
          <t>CÔNG TY TNHH THƯƠNG MẠI THÉP CƯỜNG LÂM</t>
        </is>
      </c>
      <c r="I340" s="18" t="inlineStr">
        <is>
          <t>Thép tấm 8 ly</t>
        </is>
      </c>
      <c r="J340" s="18" t="inlineStr">
        <is>
          <t>kg</t>
        </is>
      </c>
      <c r="K340" s="19" t="n">
        <v>13790.91</v>
      </c>
      <c r="L340" s="20" t="n"/>
      <c r="M340" s="20" t="n"/>
      <c r="N340" s="22" t="n">
        <v>4521.6</v>
      </c>
      <c r="O340" s="22" t="n">
        <v>62356979</v>
      </c>
      <c r="P340" s="22" t="n">
        <v>4521.6</v>
      </c>
      <c r="Q340" s="22" t="n">
        <v>62356979</v>
      </c>
      <c r="R340" s="42">
        <f>+L340+N340-P340</f>
        <v/>
      </c>
      <c r="S340" s="42">
        <f>+M340+O340-Q340</f>
        <v/>
      </c>
    </row>
    <row r="341" ht="30" customHeight="1">
      <c r="A341" s="16" t="n">
        <v>45674</v>
      </c>
      <c r="B341" s="17" t="inlineStr">
        <is>
          <t>MH2501-52</t>
        </is>
      </c>
      <c r="C341" s="16" t="n">
        <v>45674</v>
      </c>
      <c r="D341" s="17" t="inlineStr">
        <is>
          <t>00000060</t>
        </is>
      </c>
      <c r="E341" s="16" t="n">
        <v>45674</v>
      </c>
      <c r="F341" s="16" t="inlineStr">
        <is>
          <t>XK2501-37</t>
        </is>
      </c>
      <c r="G341" s="16" t="n">
        <v>45674</v>
      </c>
      <c r="H341" s="18" t="inlineStr">
        <is>
          <t>CÔNG TY TNHH THƯƠNG MẠI THÉP CƯỜNG LÂM</t>
        </is>
      </c>
      <c r="I341" s="18" t="inlineStr">
        <is>
          <t>Thép tấm 12 ly</t>
        </is>
      </c>
      <c r="J341" s="18" t="inlineStr">
        <is>
          <t>kg</t>
        </is>
      </c>
      <c r="K341" s="19" t="n">
        <v>13790.91</v>
      </c>
      <c r="L341" s="20" t="n"/>
      <c r="M341" s="20" t="n"/>
      <c r="N341" s="22" t="n">
        <v>3391.2</v>
      </c>
      <c r="O341" s="22" t="n">
        <v>46767734</v>
      </c>
      <c r="P341" s="22" t="n">
        <v>3391.2</v>
      </c>
      <c r="Q341" s="22" t="n">
        <v>46767734</v>
      </c>
      <c r="R341" s="42">
        <f>+L341+N341-P341</f>
        <v/>
      </c>
      <c r="S341" s="42">
        <f>+M341+O341-Q341</f>
        <v/>
      </c>
    </row>
    <row r="342" ht="30" customHeight="1">
      <c r="A342" s="16" t="n">
        <v>45674</v>
      </c>
      <c r="B342" s="17" t="inlineStr">
        <is>
          <t>MH2501-52</t>
        </is>
      </c>
      <c r="C342" s="16" t="n">
        <v>45674</v>
      </c>
      <c r="D342" s="17" t="inlineStr">
        <is>
          <t>00000060</t>
        </is>
      </c>
      <c r="E342" s="16" t="n">
        <v>45674</v>
      </c>
      <c r="F342" s="16" t="inlineStr">
        <is>
          <t>XK2501-37</t>
        </is>
      </c>
      <c r="G342" s="16" t="n">
        <v>45674</v>
      </c>
      <c r="H342" s="18" t="inlineStr">
        <is>
          <t>CÔNG TY TNHH THƯƠNG MẠI THÉP CƯỜNG LÂM</t>
        </is>
      </c>
      <c r="I342" s="18" t="inlineStr">
        <is>
          <t>Thép tấm 14 ly</t>
        </is>
      </c>
      <c r="J342" s="18" t="inlineStr">
        <is>
          <t>kg</t>
        </is>
      </c>
      <c r="K342" s="19" t="n">
        <v>15272.73</v>
      </c>
      <c r="L342" s="20" t="n"/>
      <c r="M342" s="20" t="n"/>
      <c r="N342" s="22" t="n">
        <v>2637.6</v>
      </c>
      <c r="O342" s="22" t="n">
        <v>40283353</v>
      </c>
      <c r="P342" s="22" t="n">
        <v>2637.6</v>
      </c>
      <c r="Q342" s="22" t="n">
        <v>40283353</v>
      </c>
      <c r="R342" s="42">
        <f>+L342+N342-P342</f>
        <v/>
      </c>
      <c r="S342" s="42">
        <f>+M342+O342-Q342</f>
        <v/>
      </c>
    </row>
    <row r="343" ht="15" customHeight="1">
      <c r="A343" s="16" t="n">
        <v>45677</v>
      </c>
      <c r="B343" s="17" t="inlineStr">
        <is>
          <t>MH2501-54</t>
        </is>
      </c>
      <c r="C343" s="16" t="n">
        <v>45677</v>
      </c>
      <c r="D343" s="17" t="inlineStr">
        <is>
          <t>00000230</t>
        </is>
      </c>
      <c r="E343" s="16" t="n">
        <v>45677</v>
      </c>
      <c r="F343" s="16" t="inlineStr">
        <is>
          <t>XK2501-38</t>
        </is>
      </c>
      <c r="G343" s="16" t="n">
        <v>45677</v>
      </c>
      <c r="H343" s="18" t="inlineStr">
        <is>
          <t>CÔNG TY TNHH TÂN MỸ HẠNH</t>
        </is>
      </c>
      <c r="I343" s="18" t="inlineStr">
        <is>
          <t>Thép dày mạ kẽm</t>
        </is>
      </c>
      <c r="J343" s="18" t="inlineStr">
        <is>
          <t>kg</t>
        </is>
      </c>
      <c r="K343" s="19" t="n">
        <v>22696</v>
      </c>
      <c r="L343" s="20" t="n"/>
      <c r="M343" s="20" t="n"/>
      <c r="N343" s="22" t="n">
        <v>163.552</v>
      </c>
      <c r="O343" s="22" t="n">
        <v>3711976</v>
      </c>
      <c r="P343" s="22" t="n">
        <v>163.552</v>
      </c>
      <c r="Q343" s="22" t="n">
        <v>3711976</v>
      </c>
      <c r="R343" s="42">
        <f>+L343+N343-P343</f>
        <v/>
      </c>
      <c r="S343" s="42">
        <f>+M343+O343-Q343</f>
        <v/>
      </c>
    </row>
    <row r="344" ht="15" customHeight="1">
      <c r="A344" s="16" t="n">
        <v>45677</v>
      </c>
      <c r="B344" s="17" t="inlineStr">
        <is>
          <t>MH2501-54</t>
        </is>
      </c>
      <c r="C344" s="16" t="n">
        <v>45677</v>
      </c>
      <c r="D344" s="17" t="inlineStr">
        <is>
          <t>00000230</t>
        </is>
      </c>
      <c r="E344" s="16" t="n">
        <v>45677</v>
      </c>
      <c r="F344" s="16" t="inlineStr">
        <is>
          <t>XK2501-38</t>
        </is>
      </c>
      <c r="G344" s="16" t="n">
        <v>45677</v>
      </c>
      <c r="H344" s="18" t="inlineStr">
        <is>
          <t>CÔNG TY TNHH TÂN MỸ HẠNH</t>
        </is>
      </c>
      <c r="I344" s="18" t="inlineStr">
        <is>
          <t>Xà gồ kẽm Z</t>
        </is>
      </c>
      <c r="J344" s="18" t="inlineStr">
        <is>
          <t>kg</t>
        </is>
      </c>
      <c r="K344" s="19" t="n">
        <v>18976</v>
      </c>
      <c r="L344" s="20" t="n"/>
      <c r="M344" s="20" t="n"/>
      <c r="N344" s="22" t="n">
        <v>6464.43</v>
      </c>
      <c r="O344" s="22" t="n">
        <v>122669024</v>
      </c>
      <c r="P344" s="22" t="n">
        <v>6464.43</v>
      </c>
      <c r="Q344" s="22" t="n">
        <v>122669024</v>
      </c>
      <c r="R344" s="42">
        <f>+L344+N344-P344</f>
        <v/>
      </c>
      <c r="S344" s="42">
        <f>+M344+O344-Q344</f>
        <v/>
      </c>
    </row>
    <row r="345" ht="15" customHeight="1">
      <c r="A345" s="16" t="n">
        <v>45677</v>
      </c>
      <c r="B345" s="17" t="inlineStr">
        <is>
          <t>MH2501-54</t>
        </is>
      </c>
      <c r="C345" s="16" t="n">
        <v>45677</v>
      </c>
      <c r="D345" s="17" t="inlineStr">
        <is>
          <t>00000230</t>
        </is>
      </c>
      <c r="E345" s="16" t="n">
        <v>45677</v>
      </c>
      <c r="F345" s="16" t="inlineStr">
        <is>
          <t>XK2501-38</t>
        </is>
      </c>
      <c r="G345" s="16" t="n">
        <v>45677</v>
      </c>
      <c r="H345" s="18" t="inlineStr">
        <is>
          <t>CÔNG TY TNHH TÂN MỸ HẠNH</t>
        </is>
      </c>
      <c r="I345" s="18" t="inlineStr">
        <is>
          <t>Xà gồ kẽm C</t>
        </is>
      </c>
      <c r="J345" s="18" t="inlineStr">
        <is>
          <t>kg</t>
        </is>
      </c>
      <c r="K345" s="19" t="n">
        <v>18971</v>
      </c>
      <c r="L345" s="20" t="n"/>
      <c r="M345" s="20" t="n"/>
      <c r="N345" s="22" t="n">
        <v>12.6</v>
      </c>
      <c r="O345" s="22" t="n">
        <v>239035</v>
      </c>
      <c r="P345" s="22" t="n">
        <v>12.6</v>
      </c>
      <c r="Q345" s="22" t="n">
        <v>239035</v>
      </c>
      <c r="R345" s="42">
        <f>+L345+N345-P345</f>
        <v/>
      </c>
      <c r="S345" s="42">
        <f>+M345+O345-Q345</f>
        <v/>
      </c>
    </row>
    <row r="346" ht="15" customHeight="1">
      <c r="A346" s="16" t="n">
        <v>45677</v>
      </c>
      <c r="B346" s="17" t="inlineStr">
        <is>
          <t>MH2501-55</t>
        </is>
      </c>
      <c r="C346" s="16" t="n">
        <v>45677</v>
      </c>
      <c r="D346" s="17" t="inlineStr">
        <is>
          <t>00000833</t>
        </is>
      </c>
      <c r="E346" s="16" t="n">
        <v>45677</v>
      </c>
      <c r="F346" s="16" t="inlineStr">
        <is>
          <t>XK2501-39</t>
        </is>
      </c>
      <c r="G346" s="16" t="n">
        <v>45677</v>
      </c>
      <c r="H346" s="18" t="inlineStr">
        <is>
          <t>CÔNG TY TNHH SƠN JOTUN VIỆT NAM</t>
        </is>
      </c>
      <c r="I346" s="18" t="inlineStr">
        <is>
          <t>SƠN JOTAMASTIC 70 RED          18L</t>
        </is>
      </c>
      <c r="J346" s="18" t="inlineStr">
        <is>
          <t>Lít</t>
        </is>
      </c>
      <c r="K346" s="19" t="n">
        <v>90000</v>
      </c>
      <c r="L346" s="20" t="n"/>
      <c r="M346" s="20" t="n"/>
      <c r="N346" s="22" t="n">
        <v>162</v>
      </c>
      <c r="O346" s="22" t="n">
        <v>14580000</v>
      </c>
      <c r="P346" s="22" t="n">
        <v>162</v>
      </c>
      <c r="Q346" s="22" t="n">
        <v>14580000</v>
      </c>
      <c r="R346" s="42">
        <f>+L346+N346-P346</f>
        <v/>
      </c>
      <c r="S346" s="42">
        <f>+M346+O346-Q346</f>
        <v/>
      </c>
    </row>
    <row r="347" ht="15" customHeight="1">
      <c r="A347" s="16" t="n">
        <v>45677</v>
      </c>
      <c r="B347" s="17" t="inlineStr">
        <is>
          <t>MH2501-55</t>
        </is>
      </c>
      <c r="C347" s="16" t="n">
        <v>45677</v>
      </c>
      <c r="D347" s="17" t="inlineStr">
        <is>
          <t>00000833</t>
        </is>
      </c>
      <c r="E347" s="16" t="n">
        <v>45677</v>
      </c>
      <c r="F347" s="16" t="inlineStr">
        <is>
          <t>XK2501-39</t>
        </is>
      </c>
      <c r="G347" s="16" t="n">
        <v>45677</v>
      </c>
      <c r="H347" s="18" t="inlineStr">
        <is>
          <t>CÔNG TY TNHH SƠN JOTUN VIỆT NAM</t>
        </is>
      </c>
      <c r="I347" s="18" t="inlineStr">
        <is>
          <t>DUNG MÔI JOTUN THINNER NO. 17       20L</t>
        </is>
      </c>
      <c r="J347" s="18" t="inlineStr">
        <is>
          <t>Lít</t>
        </is>
      </c>
      <c r="K347" s="19" t="n">
        <v>60000</v>
      </c>
      <c r="L347" s="20" t="n"/>
      <c r="M347" s="20" t="n"/>
      <c r="N347" s="22" t="n">
        <v>20</v>
      </c>
      <c r="O347" s="22" t="n">
        <v>1200000</v>
      </c>
      <c r="P347" s="22" t="n">
        <v>20</v>
      </c>
      <c r="Q347" s="22" t="n">
        <v>1200000</v>
      </c>
      <c r="R347" s="42">
        <f>+L347+N347-P347</f>
        <v/>
      </c>
      <c r="S347" s="42">
        <f>+M347+O347-Q347</f>
        <v/>
      </c>
    </row>
    <row r="348" ht="15" customHeight="1">
      <c r="A348" s="16" t="n">
        <v>45677</v>
      </c>
      <c r="B348" s="17" t="inlineStr">
        <is>
          <t>MH2501-56</t>
        </is>
      </c>
      <c r="C348" s="16" t="n">
        <v>45677</v>
      </c>
      <c r="D348" s="17" t="inlineStr">
        <is>
          <t>00000836</t>
        </is>
      </c>
      <c r="E348" s="16" t="n">
        <v>45677</v>
      </c>
      <c r="F348" s="16" t="inlineStr">
        <is>
          <t>XK2501-40</t>
        </is>
      </c>
      <c r="G348" s="16" t="n">
        <v>45677</v>
      </c>
      <c r="H348" s="18" t="inlineStr">
        <is>
          <t>CÔNG TY TNHH SƠN JOTUN VIỆT NAM</t>
        </is>
      </c>
      <c r="I348" s="18" t="inlineStr">
        <is>
          <t>DUNG MÔI JOTUN THINNER NO. 17       20L</t>
        </is>
      </c>
      <c r="J348" s="18" t="inlineStr">
        <is>
          <t>Lít</t>
        </is>
      </c>
      <c r="K348" s="19" t="n">
        <v>60000</v>
      </c>
      <c r="L348" s="20" t="n"/>
      <c r="M348" s="20" t="n"/>
      <c r="N348" s="22" t="n">
        <v>40</v>
      </c>
      <c r="O348" s="22" t="n">
        <v>2400000</v>
      </c>
      <c r="P348" s="22" t="n">
        <v>40</v>
      </c>
      <c r="Q348" s="22" t="n">
        <v>2400000</v>
      </c>
      <c r="R348" s="42">
        <f>+L348+N348-P348</f>
        <v/>
      </c>
      <c r="S348" s="42">
        <f>+M348+O348-Q348</f>
        <v/>
      </c>
    </row>
    <row r="349" ht="15" customHeight="1">
      <c r="A349" s="16" t="n">
        <v>45677</v>
      </c>
      <c r="B349" s="17" t="inlineStr">
        <is>
          <t>MH2501-56</t>
        </is>
      </c>
      <c r="C349" s="16" t="n">
        <v>45677</v>
      </c>
      <c r="D349" s="17" t="inlineStr">
        <is>
          <t>00000836</t>
        </is>
      </c>
      <c r="E349" s="16" t="n">
        <v>45677</v>
      </c>
      <c r="F349" s="16" t="inlineStr">
        <is>
          <t>XK2501-40</t>
        </is>
      </c>
      <c r="G349" s="16" t="n">
        <v>45677</v>
      </c>
      <c r="H349" s="18" t="inlineStr">
        <is>
          <t>CÔNG TY TNHH SƠN JOTUN VIỆT NAM</t>
        </is>
      </c>
      <c r="I349" s="18" t="inlineStr">
        <is>
          <t>DUNG MÔI JOTUN THINNER NO. 17        5L</t>
        </is>
      </c>
      <c r="J349" s="18" t="inlineStr">
        <is>
          <t>Lít</t>
        </is>
      </c>
      <c r="K349" s="19" t="n">
        <v>60000</v>
      </c>
      <c r="L349" s="20" t="n"/>
      <c r="M349" s="20" t="n"/>
      <c r="N349" s="22" t="n">
        <v>10</v>
      </c>
      <c r="O349" s="22" t="n">
        <v>600000</v>
      </c>
      <c r="P349" s="22" t="n">
        <v>10</v>
      </c>
      <c r="Q349" s="22" t="n">
        <v>600000</v>
      </c>
      <c r="R349" s="42">
        <f>+L349+N349-P349</f>
        <v/>
      </c>
      <c r="S349" s="42">
        <f>+M349+O349-Q349</f>
        <v/>
      </c>
    </row>
    <row r="350" ht="15" customHeight="1">
      <c r="A350" s="16" t="n">
        <v>45677</v>
      </c>
      <c r="B350" s="17" t="inlineStr">
        <is>
          <t>MH2501-56</t>
        </is>
      </c>
      <c r="C350" s="16" t="n">
        <v>45677</v>
      </c>
      <c r="D350" s="17" t="inlineStr">
        <is>
          <t>00000836</t>
        </is>
      </c>
      <c r="E350" s="16" t="n">
        <v>45677</v>
      </c>
      <c r="F350" s="16" t="inlineStr">
        <is>
          <t>XK2501-40</t>
        </is>
      </c>
      <c r="G350" s="16" t="n">
        <v>45677</v>
      </c>
      <c r="H350" s="18" t="inlineStr">
        <is>
          <t>CÔNG TY TNHH SƠN JOTUN VIỆT NAM</t>
        </is>
      </c>
      <c r="I350" s="18" t="inlineStr">
        <is>
          <t>DUNG MÔI JOTUN THINNER NO. 10       20L</t>
        </is>
      </c>
      <c r="J350" s="18" t="inlineStr">
        <is>
          <t>Lít</t>
        </is>
      </c>
      <c r="K350" s="19" t="n">
        <v>60000</v>
      </c>
      <c r="L350" s="20" t="n"/>
      <c r="M350" s="20" t="n"/>
      <c r="N350" s="22" t="n">
        <v>60</v>
      </c>
      <c r="O350" s="22" t="n">
        <v>3600000</v>
      </c>
      <c r="P350" s="22" t="n">
        <v>60</v>
      </c>
      <c r="Q350" s="22" t="n">
        <v>3600000</v>
      </c>
      <c r="R350" s="42">
        <f>+L350+N350-P350</f>
        <v/>
      </c>
      <c r="S350" s="42">
        <f>+M350+O350-Q350</f>
        <v/>
      </c>
    </row>
    <row r="351" ht="30" customHeight="1">
      <c r="A351" s="16" t="n">
        <v>45679</v>
      </c>
      <c r="B351" s="17" t="inlineStr">
        <is>
          <t>MH2501-57</t>
        </is>
      </c>
      <c r="C351" s="16" t="n">
        <v>45679</v>
      </c>
      <c r="D351" s="17" t="inlineStr">
        <is>
          <t>00000293</t>
        </is>
      </c>
      <c r="E351" s="16" t="n">
        <v>45679</v>
      </c>
      <c r="F351" s="16" t="inlineStr">
        <is>
          <t>XK2501-41</t>
        </is>
      </c>
      <c r="G351" s="16" t="n">
        <v>45679</v>
      </c>
      <c r="H351" s="18" t="inlineStr">
        <is>
          <t>CÔNG TY CỔ PHẦN CÔNG NGHIỆP VÀ THƯƠNG MẠI CƯỜNG THỊNH</t>
        </is>
      </c>
      <c r="I351" s="18" t="inlineStr">
        <is>
          <t>Ty giằng 2 đầu ren 4.6 ZP M16</t>
        </is>
      </c>
      <c r="J351" s="18" t="inlineStr">
        <is>
          <t>Mét</t>
        </is>
      </c>
      <c r="K351" s="19" t="n">
        <v>48000</v>
      </c>
      <c r="L351" s="20" t="n"/>
      <c r="M351" s="20" t="n"/>
      <c r="N351" s="22" t="n">
        <v>176.1</v>
      </c>
      <c r="O351" s="22" t="n">
        <v>8452800</v>
      </c>
      <c r="P351" s="22" t="n">
        <v>176.1</v>
      </c>
      <c r="Q351" s="22" t="n">
        <v>8452800</v>
      </c>
      <c r="R351" s="42">
        <f>+L351+N351-P351</f>
        <v/>
      </c>
      <c r="S351" s="42">
        <f>+M351+O351-Q351</f>
        <v/>
      </c>
    </row>
    <row r="352" ht="30" customHeight="1">
      <c r="A352" s="16" t="n">
        <v>45679</v>
      </c>
      <c r="B352" s="17" t="inlineStr">
        <is>
          <t>MH2501-57</t>
        </is>
      </c>
      <c r="C352" s="16" t="n">
        <v>45679</v>
      </c>
      <c r="D352" s="17" t="inlineStr">
        <is>
          <t>00000293</t>
        </is>
      </c>
      <c r="E352" s="16" t="n">
        <v>45679</v>
      </c>
      <c r="F352" s="16" t="inlineStr">
        <is>
          <t>XK2501-41</t>
        </is>
      </c>
      <c r="G352" s="16" t="n">
        <v>45679</v>
      </c>
      <c r="H352" s="18" t="inlineStr">
        <is>
          <t>CÔNG TY CỔ PHẦN CÔNG NGHIỆP VÀ THƯƠNG MẠI CƯỜNG THỊNH</t>
        </is>
      </c>
      <c r="I352" s="18" t="inlineStr">
        <is>
          <t>Đai ốc Din 934 5 ZP M16</t>
        </is>
      </c>
      <c r="J352" s="18" t="inlineStr">
        <is>
          <t>Cái</t>
        </is>
      </c>
      <c r="K352" s="19" t="n">
        <v>1110</v>
      </c>
      <c r="L352" s="20" t="n"/>
      <c r="M352" s="20" t="n"/>
      <c r="N352" s="22" t="n">
        <v>100</v>
      </c>
      <c r="O352" s="22" t="n">
        <v>111000</v>
      </c>
      <c r="P352" s="22" t="n">
        <v>100</v>
      </c>
      <c r="Q352" s="22" t="n">
        <v>111000</v>
      </c>
      <c r="R352" s="42">
        <f>+L352+N352-P352</f>
        <v/>
      </c>
      <c r="S352" s="42">
        <f>+M352+O352-Q352</f>
        <v/>
      </c>
    </row>
    <row r="353" ht="30" customHeight="1">
      <c r="A353" s="16" t="n">
        <v>45679</v>
      </c>
      <c r="B353" s="17" t="inlineStr">
        <is>
          <t>MH2501-57</t>
        </is>
      </c>
      <c r="C353" s="16" t="n">
        <v>45679</v>
      </c>
      <c r="D353" s="17" t="inlineStr">
        <is>
          <t>00000293</t>
        </is>
      </c>
      <c r="E353" s="16" t="n">
        <v>45679</v>
      </c>
      <c r="F353" s="16" t="inlineStr">
        <is>
          <t>XK2501-41</t>
        </is>
      </c>
      <c r="G353" s="16" t="n">
        <v>45679</v>
      </c>
      <c r="H353" s="18" t="inlineStr">
        <is>
          <t>CÔNG TY CỔ PHẦN CÔNG NGHIỆP VÀ THƯƠNG MẠI CƯỜNG THỊNH</t>
        </is>
      </c>
      <c r="I353" s="18" t="inlineStr">
        <is>
          <t>Long đền thường ZP M16B42D2</t>
        </is>
      </c>
      <c r="J353" s="18" t="inlineStr">
        <is>
          <t>Cái</t>
        </is>
      </c>
      <c r="K353" s="19" t="n">
        <v>800</v>
      </c>
      <c r="L353" s="20" t="n"/>
      <c r="M353" s="20" t="n"/>
      <c r="N353" s="22" t="n">
        <v>100</v>
      </c>
      <c r="O353" s="22" t="n">
        <v>80000</v>
      </c>
      <c r="P353" s="22" t="n">
        <v>100</v>
      </c>
      <c r="Q353" s="22" t="n">
        <v>80000</v>
      </c>
      <c r="R353" s="42">
        <f>+L353+N353-P353</f>
        <v/>
      </c>
      <c r="S353" s="42">
        <f>+M353+O353-Q353</f>
        <v/>
      </c>
    </row>
    <row r="354" ht="30" customHeight="1">
      <c r="A354" s="16" t="n">
        <v>45679</v>
      </c>
      <c r="B354" s="17" t="inlineStr">
        <is>
          <t>MH2501-57</t>
        </is>
      </c>
      <c r="C354" s="16" t="n">
        <v>45679</v>
      </c>
      <c r="D354" s="17" t="inlineStr">
        <is>
          <t>00000293</t>
        </is>
      </c>
      <c r="E354" s="16" t="n">
        <v>45679</v>
      </c>
      <c r="F354" s="16" t="inlineStr">
        <is>
          <t>XK2501-41</t>
        </is>
      </c>
      <c r="G354" s="16" t="n">
        <v>45679</v>
      </c>
      <c r="H354" s="18" t="inlineStr">
        <is>
          <t>CÔNG TY CỔ PHẦN CÔNG NGHIỆP VÀ THƯƠNG MẠI CƯỜNG THỊNH</t>
        </is>
      </c>
      <c r="I354" s="18" t="inlineStr">
        <is>
          <t>Long đền móng ngựa ZP M16</t>
        </is>
      </c>
      <c r="J354" s="18" t="inlineStr">
        <is>
          <t>Cái</t>
        </is>
      </c>
      <c r="K354" s="19" t="n">
        <v>15670</v>
      </c>
      <c r="L354" s="20" t="n"/>
      <c r="M354" s="20" t="n"/>
      <c r="N354" s="22" t="n">
        <v>100</v>
      </c>
      <c r="O354" s="22" t="n">
        <v>1567000</v>
      </c>
      <c r="P354" s="22" t="n">
        <v>100</v>
      </c>
      <c r="Q354" s="22" t="n">
        <v>1567000</v>
      </c>
      <c r="R354" s="42">
        <f>+L354+N354-P354</f>
        <v/>
      </c>
      <c r="S354" s="42">
        <f>+M354+O354-Q354</f>
        <v/>
      </c>
    </row>
    <row r="355" ht="30" customHeight="1">
      <c r="A355" s="16" t="n">
        <v>45679</v>
      </c>
      <c r="B355" s="17" t="inlineStr">
        <is>
          <t>MH2501-58</t>
        </is>
      </c>
      <c r="C355" s="16" t="n">
        <v>45679</v>
      </c>
      <c r="D355" s="17" t="inlineStr">
        <is>
          <t>00000294</t>
        </is>
      </c>
      <c r="E355" s="16" t="n">
        <v>45679</v>
      </c>
      <c r="F355" s="16" t="inlineStr">
        <is>
          <t>XK2501-42</t>
        </is>
      </c>
      <c r="G355" s="16" t="n">
        <v>45679</v>
      </c>
      <c r="H355" s="18" t="inlineStr">
        <is>
          <t>CÔNG TY CỔ PHẦN CÔNG NGHIỆP VÀ THƯƠNG MẠI CƯỜNG THỊNH</t>
        </is>
      </c>
      <c r="I355" s="18" t="inlineStr">
        <is>
          <t>Ty giằng 2 đầu ren 4.6 ZP M20</t>
        </is>
      </c>
      <c r="J355" s="18" t="inlineStr">
        <is>
          <t>Mét</t>
        </is>
      </c>
      <c r="K355" s="19" t="n">
        <v>74000</v>
      </c>
      <c r="L355" s="20" t="n"/>
      <c r="M355" s="20" t="n"/>
      <c r="N355" s="22" t="n">
        <v>687.05</v>
      </c>
      <c r="O355" s="22" t="n">
        <v>50841700</v>
      </c>
      <c r="P355" s="22" t="n">
        <v>687.05</v>
      </c>
      <c r="Q355" s="22" t="n">
        <v>50841700</v>
      </c>
      <c r="R355" s="42">
        <f>+L355+N355-P355</f>
        <v/>
      </c>
      <c r="S355" s="42">
        <f>+M355+O355-Q355</f>
        <v/>
      </c>
    </row>
    <row r="356" ht="30" customHeight="1">
      <c r="A356" s="16" t="n">
        <v>45679</v>
      </c>
      <c r="B356" s="17" t="inlineStr">
        <is>
          <t>MH2501-58</t>
        </is>
      </c>
      <c r="C356" s="16" t="n">
        <v>45679</v>
      </c>
      <c r="D356" s="17" t="inlineStr">
        <is>
          <t>00000294</t>
        </is>
      </c>
      <c r="E356" s="16" t="n">
        <v>45679</v>
      </c>
      <c r="F356" s="16" t="inlineStr">
        <is>
          <t>XK2501-42</t>
        </is>
      </c>
      <c r="G356" s="16" t="n">
        <v>45679</v>
      </c>
      <c r="H356" s="18" t="inlineStr">
        <is>
          <t>CÔNG TY CỔ PHẦN CÔNG NGHIỆP VÀ THƯƠNG MẠI CƯỜNG THỊNH</t>
        </is>
      </c>
      <c r="I356" s="18" t="inlineStr">
        <is>
          <t>Đai ốc Din 934 5 ZP M20</t>
        </is>
      </c>
      <c r="J356" s="18" t="inlineStr">
        <is>
          <t>Cái</t>
        </is>
      </c>
      <c r="K356" s="19" t="n">
        <v>1910</v>
      </c>
      <c r="L356" s="20" t="n"/>
      <c r="M356" s="20" t="n"/>
      <c r="N356" s="22" t="n">
        <v>144</v>
      </c>
      <c r="O356" s="22" t="n">
        <v>275040</v>
      </c>
      <c r="P356" s="22" t="n">
        <v>144</v>
      </c>
      <c r="Q356" s="22" t="n">
        <v>275040</v>
      </c>
      <c r="R356" s="42">
        <f>+L356+N356-P356</f>
        <v/>
      </c>
      <c r="S356" s="42">
        <f>+M356+O356-Q356</f>
        <v/>
      </c>
    </row>
    <row r="357" ht="30" customHeight="1">
      <c r="A357" s="16" t="n">
        <v>45679</v>
      </c>
      <c r="B357" s="17" t="inlineStr">
        <is>
          <t>MH2501-58</t>
        </is>
      </c>
      <c r="C357" s="16" t="n">
        <v>45679</v>
      </c>
      <c r="D357" s="17" t="inlineStr">
        <is>
          <t>00000294</t>
        </is>
      </c>
      <c r="E357" s="16" t="n">
        <v>45679</v>
      </c>
      <c r="F357" s="16" t="inlineStr">
        <is>
          <t>XK2501-42</t>
        </is>
      </c>
      <c r="G357" s="16" t="n">
        <v>45679</v>
      </c>
      <c r="H357" s="18" t="inlineStr">
        <is>
          <t>CÔNG TY CỔ PHẦN CÔNG NGHIỆP VÀ THƯƠNG MẠI CƯỜNG THỊNH</t>
        </is>
      </c>
      <c r="I357" s="18" t="inlineStr">
        <is>
          <t>Long đền thường ZP M20B42D2</t>
        </is>
      </c>
      <c r="J357" s="18" t="inlineStr">
        <is>
          <t>Cái</t>
        </is>
      </c>
      <c r="K357" s="19" t="n">
        <v>700</v>
      </c>
      <c r="L357" s="20" t="n"/>
      <c r="M357" s="20" t="n"/>
      <c r="N357" s="22" t="n">
        <v>144</v>
      </c>
      <c r="O357" s="22" t="n">
        <v>100800</v>
      </c>
      <c r="P357" s="22" t="n">
        <v>144</v>
      </c>
      <c r="Q357" s="22" t="n">
        <v>100800</v>
      </c>
      <c r="R357" s="42">
        <f>+L357+N357-P357</f>
        <v/>
      </c>
      <c r="S357" s="42">
        <f>+M357+O357-Q357</f>
        <v/>
      </c>
    </row>
    <row r="358" ht="30" customHeight="1">
      <c r="A358" s="16" t="n">
        <v>45679</v>
      </c>
      <c r="B358" s="17" t="inlineStr">
        <is>
          <t>MH2501-58</t>
        </is>
      </c>
      <c r="C358" s="16" t="n">
        <v>45679</v>
      </c>
      <c r="D358" s="17" t="inlineStr">
        <is>
          <t>00000294</t>
        </is>
      </c>
      <c r="E358" s="16" t="n">
        <v>45679</v>
      </c>
      <c r="F358" s="16" t="inlineStr">
        <is>
          <t>XK2501-42</t>
        </is>
      </c>
      <c r="G358" s="16" t="n">
        <v>45679</v>
      </c>
      <c r="H358" s="18" t="inlineStr">
        <is>
          <t>CÔNG TY CỔ PHẦN CÔNG NGHIỆP VÀ THƯƠNG MẠI CƯỜNG THỊNH</t>
        </is>
      </c>
      <c r="I358" s="18" t="inlineStr">
        <is>
          <t>Long đền móng ngựa ZP M20</t>
        </is>
      </c>
      <c r="J358" s="18" t="inlineStr">
        <is>
          <t>Cái</t>
        </is>
      </c>
      <c r="K358" s="19" t="n">
        <v>16900</v>
      </c>
      <c r="L358" s="20" t="n"/>
      <c r="M358" s="20" t="n"/>
      <c r="N358" s="22" t="n">
        <v>144</v>
      </c>
      <c r="O358" s="22" t="n">
        <v>2433600</v>
      </c>
      <c r="P358" s="22" t="n">
        <v>144</v>
      </c>
      <c r="Q358" s="22" t="n">
        <v>2433600</v>
      </c>
      <c r="R358" s="42">
        <f>+L358+N358-P358</f>
        <v/>
      </c>
      <c r="S358" s="42">
        <f>+M358+O358-Q358</f>
        <v/>
      </c>
    </row>
    <row r="359" ht="30" customHeight="1">
      <c r="A359" s="16" t="n">
        <v>45679</v>
      </c>
      <c r="B359" s="17" t="inlineStr">
        <is>
          <t>MH2501-58</t>
        </is>
      </c>
      <c r="C359" s="16" t="n">
        <v>45679</v>
      </c>
      <c r="D359" s="17" t="inlineStr">
        <is>
          <t>00000294</t>
        </is>
      </c>
      <c r="E359" s="16" t="n">
        <v>45679</v>
      </c>
      <c r="F359" s="16" t="inlineStr">
        <is>
          <t>XK2501-42</t>
        </is>
      </c>
      <c r="G359" s="16" t="n">
        <v>45679</v>
      </c>
      <c r="H359" s="18" t="inlineStr">
        <is>
          <t>CÔNG TY CỔ PHẦN CÔNG NGHIỆP VÀ THƯƠNG MẠI CƯỜNG THỊNH</t>
        </is>
      </c>
      <c r="I359" s="18" t="inlineStr">
        <is>
          <t>Nối Ty ZP M20x100(28mm)</t>
        </is>
      </c>
      <c r="J359" s="18" t="inlineStr">
        <is>
          <t>Cái</t>
        </is>
      </c>
      <c r="K359" s="19" t="n">
        <v>30250</v>
      </c>
      <c r="L359" s="20" t="n"/>
      <c r="M359" s="20" t="n"/>
      <c r="N359" s="22" t="n">
        <v>72</v>
      </c>
      <c r="O359" s="22" t="n">
        <v>2178000</v>
      </c>
      <c r="P359" s="22" t="n">
        <v>72</v>
      </c>
      <c r="Q359" s="22" t="n">
        <v>2178000</v>
      </c>
      <c r="R359" s="42">
        <f>+L359+N359-P359</f>
        <v/>
      </c>
      <c r="S359" s="42">
        <f>+M359+O359-Q359</f>
        <v/>
      </c>
    </row>
    <row r="360" ht="30" customHeight="1">
      <c r="A360" s="16" t="n">
        <v>45679</v>
      </c>
      <c r="B360" s="17" t="inlineStr">
        <is>
          <t>MH2501-58</t>
        </is>
      </c>
      <c r="C360" s="16" t="n">
        <v>45679</v>
      </c>
      <c r="D360" s="17" t="inlineStr">
        <is>
          <t>00000294</t>
        </is>
      </c>
      <c r="E360" s="16" t="n">
        <v>45679</v>
      </c>
      <c r="F360" s="16" t="inlineStr">
        <is>
          <t>XK2501-42</t>
        </is>
      </c>
      <c r="G360" s="16" t="n">
        <v>45679</v>
      </c>
      <c r="H360" s="18" t="inlineStr">
        <is>
          <t>CÔNG TY CỔ PHẦN CÔNG NGHIỆP VÀ THƯƠNG MẠI CƯỜNG THỊNH</t>
        </is>
      </c>
      <c r="I360" s="18" t="inlineStr">
        <is>
          <t>Ty giằng 2 đầu ren 4.6 ZP M25</t>
        </is>
      </c>
      <c r="J360" s="18" t="inlineStr">
        <is>
          <t>Mét</t>
        </is>
      </c>
      <c r="K360" s="19" t="n">
        <v>106000</v>
      </c>
      <c r="L360" s="20" t="n"/>
      <c r="M360" s="20" t="n"/>
      <c r="N360" s="22" t="n">
        <v>77.59</v>
      </c>
      <c r="O360" s="22" t="n">
        <v>8224540</v>
      </c>
      <c r="P360" s="22" t="n">
        <v>77.59</v>
      </c>
      <c r="Q360" s="22" t="n">
        <v>8224540</v>
      </c>
      <c r="R360" s="42">
        <f>+L360+N360-P360</f>
        <v/>
      </c>
      <c r="S360" s="42">
        <f>+M360+O360-Q360</f>
        <v/>
      </c>
    </row>
    <row r="361" ht="30" customHeight="1">
      <c r="A361" s="16" t="n">
        <v>45679</v>
      </c>
      <c r="B361" s="17" t="inlineStr">
        <is>
          <t>MH2501-58</t>
        </is>
      </c>
      <c r="C361" s="16" t="n">
        <v>45679</v>
      </c>
      <c r="D361" s="17" t="inlineStr">
        <is>
          <t>00000294</t>
        </is>
      </c>
      <c r="E361" s="16" t="n">
        <v>45679</v>
      </c>
      <c r="F361" s="16" t="inlineStr">
        <is>
          <t>XK2501-42</t>
        </is>
      </c>
      <c r="G361" s="16" t="n">
        <v>45679</v>
      </c>
      <c r="H361" s="18" t="inlineStr">
        <is>
          <t>CÔNG TY CỔ PHẦN CÔNG NGHIỆP VÀ THƯƠNG MẠI CƯỜNG THỊNH</t>
        </is>
      </c>
      <c r="I361" s="18" t="inlineStr">
        <is>
          <t>Đai ốc Din 934 5 ZP M24</t>
        </is>
      </c>
      <c r="J361" s="18" t="inlineStr">
        <is>
          <t>Cái</t>
        </is>
      </c>
      <c r="K361" s="19" t="n">
        <v>3410</v>
      </c>
      <c r="L361" s="20" t="n"/>
      <c r="M361" s="20" t="n"/>
      <c r="N361" s="22" t="n">
        <v>20</v>
      </c>
      <c r="O361" s="22" t="n">
        <v>68200</v>
      </c>
      <c r="P361" s="22" t="n">
        <v>20</v>
      </c>
      <c r="Q361" s="22" t="n">
        <v>68200</v>
      </c>
      <c r="R361" s="42">
        <f>+L361+N361-P361</f>
        <v/>
      </c>
      <c r="S361" s="42">
        <f>+M361+O361-Q361</f>
        <v/>
      </c>
    </row>
    <row r="362" ht="30" customHeight="1">
      <c r="A362" s="16" t="n">
        <v>45679</v>
      </c>
      <c r="B362" s="17" t="inlineStr">
        <is>
          <t>MH2501-58</t>
        </is>
      </c>
      <c r="C362" s="16" t="n">
        <v>45679</v>
      </c>
      <c r="D362" s="17" t="inlineStr">
        <is>
          <t>00000294</t>
        </is>
      </c>
      <c r="E362" s="16" t="n">
        <v>45679</v>
      </c>
      <c r="F362" s="16" t="inlineStr">
        <is>
          <t>XK2501-42</t>
        </is>
      </c>
      <c r="G362" s="16" t="n">
        <v>45679</v>
      </c>
      <c r="H362" s="18" t="inlineStr">
        <is>
          <t>CÔNG TY CỔ PHẦN CÔNG NGHIỆP VÀ THƯƠNG MẠI CƯỜNG THỊNH</t>
        </is>
      </c>
      <c r="I362" s="18" t="inlineStr">
        <is>
          <t>Long đền thường ZP M24B45D2</t>
        </is>
      </c>
      <c r="J362" s="18" t="inlineStr">
        <is>
          <t>Cái</t>
        </is>
      </c>
      <c r="K362" s="19" t="n">
        <v>820</v>
      </c>
      <c r="L362" s="20" t="n"/>
      <c r="M362" s="20" t="n"/>
      <c r="N362" s="22" t="n">
        <v>20</v>
      </c>
      <c r="O362" s="22" t="n">
        <v>16400</v>
      </c>
      <c r="P362" s="22" t="n">
        <v>20</v>
      </c>
      <c r="Q362" s="22" t="n">
        <v>16400</v>
      </c>
      <c r="R362" s="42">
        <f>+L362+N362-P362</f>
        <v/>
      </c>
      <c r="S362" s="42">
        <f>+M362+O362-Q362</f>
        <v/>
      </c>
    </row>
    <row r="363" ht="30" customHeight="1">
      <c r="A363" s="16" t="n">
        <v>45679</v>
      </c>
      <c r="B363" s="17" t="inlineStr">
        <is>
          <t>MH2501-58</t>
        </is>
      </c>
      <c r="C363" s="16" t="n">
        <v>45679</v>
      </c>
      <c r="D363" s="17" t="inlineStr">
        <is>
          <t>00000294</t>
        </is>
      </c>
      <c r="E363" s="16" t="n">
        <v>45679</v>
      </c>
      <c r="F363" s="16" t="inlineStr">
        <is>
          <t>XK2501-42</t>
        </is>
      </c>
      <c r="G363" s="16" t="n">
        <v>45679</v>
      </c>
      <c r="H363" s="18" t="inlineStr">
        <is>
          <t>CÔNG TY CỔ PHẦN CÔNG NGHIỆP VÀ THƯƠNG MẠI CƯỜNG THỊNH</t>
        </is>
      </c>
      <c r="I363" s="18" t="inlineStr">
        <is>
          <t>Nối Ty ZP M24x100 (34mm)</t>
        </is>
      </c>
      <c r="J363" s="18" t="inlineStr">
        <is>
          <t>Cái</t>
        </is>
      </c>
      <c r="K363" s="19" t="n">
        <v>35220</v>
      </c>
      <c r="L363" s="20" t="n"/>
      <c r="M363" s="20" t="n"/>
      <c r="N363" s="22" t="n">
        <v>10</v>
      </c>
      <c r="O363" s="22" t="n">
        <v>352200</v>
      </c>
      <c r="P363" s="22" t="n">
        <v>10</v>
      </c>
      <c r="Q363" s="22" t="n">
        <v>352200</v>
      </c>
      <c r="R363" s="42">
        <f>+L363+N363-P363</f>
        <v/>
      </c>
      <c r="S363" s="42">
        <f>+M363+O363-Q363</f>
        <v/>
      </c>
    </row>
    <row r="364" ht="30" customHeight="1">
      <c r="A364" s="16" t="n">
        <v>45679</v>
      </c>
      <c r="B364" s="17" t="inlineStr">
        <is>
          <t>MH2501-58</t>
        </is>
      </c>
      <c r="C364" s="16" t="n">
        <v>45679</v>
      </c>
      <c r="D364" s="17" t="inlineStr">
        <is>
          <t>00000294</t>
        </is>
      </c>
      <c r="E364" s="16" t="n">
        <v>45679</v>
      </c>
      <c r="F364" s="16" t="inlineStr">
        <is>
          <t>XK2501-42</t>
        </is>
      </c>
      <c r="G364" s="16" t="n">
        <v>45679</v>
      </c>
      <c r="H364" s="18" t="inlineStr">
        <is>
          <t>CÔNG TY CỔ PHẦN CÔNG NGHIỆP VÀ THƯƠNG MẠI CƯỜNG THỊNH</t>
        </is>
      </c>
      <c r="I364" s="18" t="inlineStr">
        <is>
          <t>Long đền móng ngựa ZP M24</t>
        </is>
      </c>
      <c r="J364" s="18" t="inlineStr">
        <is>
          <t>Cái</t>
        </is>
      </c>
      <c r="K364" s="19" t="n">
        <v>23500</v>
      </c>
      <c r="L364" s="20" t="n"/>
      <c r="M364" s="20" t="n"/>
      <c r="N364" s="22" t="n">
        <v>20</v>
      </c>
      <c r="O364" s="22" t="n">
        <v>470000</v>
      </c>
      <c r="P364" s="22" t="n">
        <v>20</v>
      </c>
      <c r="Q364" s="22" t="n">
        <v>470000</v>
      </c>
      <c r="R364" s="42">
        <f>+L364+N364-P364</f>
        <v/>
      </c>
      <c r="S364" s="42">
        <f>+M364+O364-Q364</f>
        <v/>
      </c>
    </row>
    <row r="365" ht="30" customHeight="1">
      <c r="A365" s="16" t="n">
        <v>45679</v>
      </c>
      <c r="B365" s="17" t="inlineStr">
        <is>
          <t>MH2501-58</t>
        </is>
      </c>
      <c r="C365" s="16" t="n">
        <v>45679</v>
      </c>
      <c r="D365" s="17" t="inlineStr">
        <is>
          <t>00000294</t>
        </is>
      </c>
      <c r="E365" s="16" t="n">
        <v>45679</v>
      </c>
      <c r="F365" s="16" t="inlineStr">
        <is>
          <t>XK2501-42</t>
        </is>
      </c>
      <c r="G365" s="16" t="n">
        <v>45679</v>
      </c>
      <c r="H365" s="18" t="inlineStr">
        <is>
          <t>CÔNG TY CỔ PHẦN CÔNG NGHIỆP VÀ THƯƠNG MẠI CƯỜNG THỊNH</t>
        </is>
      </c>
      <c r="I365" s="18" t="inlineStr">
        <is>
          <t>Ty giằng 2 đầu ren 4.6 ZP M16</t>
        </is>
      </c>
      <c r="J365" s="18" t="inlineStr">
        <is>
          <t>Mét</t>
        </is>
      </c>
      <c r="K365" s="19" t="n">
        <v>48000</v>
      </c>
      <c r="L365" s="20" t="n"/>
      <c r="M365" s="20" t="n"/>
      <c r="N365" s="22" t="n">
        <v>405.9</v>
      </c>
      <c r="O365" s="22" t="n">
        <v>19483200</v>
      </c>
      <c r="P365" s="22" t="n">
        <v>405.9</v>
      </c>
      <c r="Q365" s="22" t="n">
        <v>19483200</v>
      </c>
      <c r="R365" s="42">
        <f>+L365+N365-P365</f>
        <v/>
      </c>
      <c r="S365" s="42">
        <f>+M365+O365-Q365</f>
        <v/>
      </c>
    </row>
    <row r="366" ht="30" customHeight="1">
      <c r="A366" s="16" t="n">
        <v>45679</v>
      </c>
      <c r="B366" s="17" t="inlineStr">
        <is>
          <t>MH2501-58</t>
        </is>
      </c>
      <c r="C366" s="16" t="n">
        <v>45679</v>
      </c>
      <c r="D366" s="17" t="inlineStr">
        <is>
          <t>00000294</t>
        </is>
      </c>
      <c r="E366" s="16" t="n">
        <v>45679</v>
      </c>
      <c r="F366" s="16" t="inlineStr">
        <is>
          <t>XK2501-42</t>
        </is>
      </c>
      <c r="G366" s="16" t="n">
        <v>45679</v>
      </c>
      <c r="H366" s="18" t="inlineStr">
        <is>
          <t>CÔNG TY CỔ PHẦN CÔNG NGHIỆP VÀ THƯƠNG MẠI CƯỜNG THỊNH</t>
        </is>
      </c>
      <c r="I366" s="18" t="inlineStr">
        <is>
          <t>Đai ốc Din 934 5 ZP M16</t>
        </is>
      </c>
      <c r="J366" s="18" t="inlineStr">
        <is>
          <t>Cái</t>
        </is>
      </c>
      <c r="K366" s="19" t="n">
        <v>1110</v>
      </c>
      <c r="L366" s="20" t="n"/>
      <c r="M366" s="20" t="n"/>
      <c r="N366" s="22" t="n">
        <v>104</v>
      </c>
      <c r="O366" s="22" t="n">
        <v>115440</v>
      </c>
      <c r="P366" s="22" t="n">
        <v>104</v>
      </c>
      <c r="Q366" s="22" t="n">
        <v>115440</v>
      </c>
      <c r="R366" s="42">
        <f>+L366+N366-P366</f>
        <v/>
      </c>
      <c r="S366" s="42">
        <f>+M366+O366-Q366</f>
        <v/>
      </c>
    </row>
    <row r="367" ht="30" customHeight="1">
      <c r="A367" s="16" t="n">
        <v>45679</v>
      </c>
      <c r="B367" s="17" t="inlineStr">
        <is>
          <t>MH2501-58</t>
        </is>
      </c>
      <c r="C367" s="16" t="n">
        <v>45679</v>
      </c>
      <c r="D367" s="17" t="inlineStr">
        <is>
          <t>00000294</t>
        </is>
      </c>
      <c r="E367" s="16" t="n">
        <v>45679</v>
      </c>
      <c r="F367" s="16" t="inlineStr">
        <is>
          <t>XK2501-42</t>
        </is>
      </c>
      <c r="G367" s="16" t="n">
        <v>45679</v>
      </c>
      <c r="H367" s="18" t="inlineStr">
        <is>
          <t>CÔNG TY CỔ PHẦN CÔNG NGHIỆP VÀ THƯƠNG MẠI CƯỜNG THỊNH</t>
        </is>
      </c>
      <c r="I367" s="18" t="inlineStr">
        <is>
          <t>Long đền thường ZP M16B42D2</t>
        </is>
      </c>
      <c r="J367" s="18" t="inlineStr">
        <is>
          <t>Cái</t>
        </is>
      </c>
      <c r="K367" s="19" t="n">
        <v>800</v>
      </c>
      <c r="L367" s="20" t="n"/>
      <c r="M367" s="20" t="n"/>
      <c r="N367" s="22" t="n">
        <v>104</v>
      </c>
      <c r="O367" s="22" t="n">
        <v>83200</v>
      </c>
      <c r="P367" s="22" t="n">
        <v>104</v>
      </c>
      <c r="Q367" s="22" t="n">
        <v>83200</v>
      </c>
      <c r="R367" s="42">
        <f>+L367+N367-P367</f>
        <v/>
      </c>
      <c r="S367" s="42">
        <f>+M367+O367-Q367</f>
        <v/>
      </c>
    </row>
    <row r="368" ht="30" customHeight="1">
      <c r="A368" s="16" t="n">
        <v>45679</v>
      </c>
      <c r="B368" s="17" t="inlineStr">
        <is>
          <t>MH2501-58</t>
        </is>
      </c>
      <c r="C368" s="16" t="n">
        <v>45679</v>
      </c>
      <c r="D368" s="17" t="inlineStr">
        <is>
          <t>00000294</t>
        </is>
      </c>
      <c r="E368" s="16" t="n">
        <v>45679</v>
      </c>
      <c r="F368" s="16" t="inlineStr">
        <is>
          <t>XK2501-42</t>
        </is>
      </c>
      <c r="G368" s="16" t="n">
        <v>45679</v>
      </c>
      <c r="H368" s="18" t="inlineStr">
        <is>
          <t>CÔNG TY CỔ PHẦN CÔNG NGHIỆP VÀ THƯƠNG MẠI CƯỜNG THỊNH</t>
        </is>
      </c>
      <c r="I368" s="18" t="inlineStr">
        <is>
          <t>Long đền móng ngựa ZP M16</t>
        </is>
      </c>
      <c r="J368" s="18" t="inlineStr">
        <is>
          <t>Cái</t>
        </is>
      </c>
      <c r="K368" s="19" t="n">
        <v>15670</v>
      </c>
      <c r="L368" s="20" t="n"/>
      <c r="M368" s="20" t="n"/>
      <c r="N368" s="22" t="n">
        <v>104</v>
      </c>
      <c r="O368" s="22" t="n">
        <v>1629680</v>
      </c>
      <c r="P368" s="22" t="n">
        <v>104</v>
      </c>
      <c r="Q368" s="22" t="n">
        <v>1629680</v>
      </c>
      <c r="R368" s="42">
        <f>+L368+N368-P368</f>
        <v/>
      </c>
      <c r="S368" s="42">
        <f>+M368+O368-Q368</f>
        <v/>
      </c>
    </row>
    <row r="369" ht="30" customHeight="1">
      <c r="A369" s="16" t="n">
        <v>45679</v>
      </c>
      <c r="B369" s="17" t="inlineStr">
        <is>
          <t>MH2501-58</t>
        </is>
      </c>
      <c r="C369" s="16" t="n">
        <v>45679</v>
      </c>
      <c r="D369" s="17" t="inlineStr">
        <is>
          <t>00000294</t>
        </is>
      </c>
      <c r="E369" s="16" t="n">
        <v>45679</v>
      </c>
      <c r="F369" s="16" t="inlineStr">
        <is>
          <t>XK2501-42</t>
        </is>
      </c>
      <c r="G369" s="16" t="n">
        <v>45679</v>
      </c>
      <c r="H369" s="18" t="inlineStr">
        <is>
          <t>CÔNG TY CỔ PHẦN CÔNG NGHIỆP VÀ THƯƠNG MẠI CƯỜNG THỊNH</t>
        </is>
      </c>
      <c r="I369" s="18" t="inlineStr">
        <is>
          <t>Nối Ty ZP M16x100 (23mm)</t>
        </is>
      </c>
      <c r="J369" s="18" t="inlineStr">
        <is>
          <t>Cái</t>
        </is>
      </c>
      <c r="K369" s="19" t="n">
        <v>24160</v>
      </c>
      <c r="L369" s="20" t="n"/>
      <c r="M369" s="20" t="n"/>
      <c r="N369" s="22" t="n">
        <v>52</v>
      </c>
      <c r="O369" s="22" t="n">
        <v>1256320</v>
      </c>
      <c r="P369" s="22" t="n">
        <v>52</v>
      </c>
      <c r="Q369" s="22" t="n">
        <v>1256320</v>
      </c>
      <c r="R369" s="42">
        <f>+L369+N369-P369</f>
        <v/>
      </c>
      <c r="S369" s="42">
        <f>+M369+O369-Q369</f>
        <v/>
      </c>
    </row>
    <row r="370" ht="30" customHeight="1">
      <c r="A370" s="16" t="n">
        <v>45679</v>
      </c>
      <c r="B370" s="17" t="inlineStr">
        <is>
          <t>MH2501-59</t>
        </is>
      </c>
      <c r="C370" s="16" t="n">
        <v>45679</v>
      </c>
      <c r="D370" s="17" t="inlineStr">
        <is>
          <t>00000295</t>
        </is>
      </c>
      <c r="E370" s="16" t="n">
        <v>45679</v>
      </c>
      <c r="F370" s="16" t="inlineStr">
        <is>
          <t>XK2501-43</t>
        </is>
      </c>
      <c r="G370" s="16" t="n">
        <v>45679</v>
      </c>
      <c r="H370" s="18" t="inlineStr">
        <is>
          <t>CÔNG TY CỔ PHẦN CÔNG NGHIỆP VÀ THƯƠNG MẠI CƯỜNG THỊNH</t>
        </is>
      </c>
      <c r="I370" s="18" t="inlineStr">
        <is>
          <t>Vít B3 Dacromet 12-14x20</t>
        </is>
      </c>
      <c r="J370" s="18" t="inlineStr">
        <is>
          <t>Cái</t>
        </is>
      </c>
      <c r="K370" s="19" t="n">
        <v>730</v>
      </c>
      <c r="L370" s="20" t="n"/>
      <c r="M370" s="20" t="n"/>
      <c r="N370" s="22" t="n">
        <v>600</v>
      </c>
      <c r="O370" s="22" t="n">
        <v>438000</v>
      </c>
      <c r="P370" s="22" t="n">
        <v>600</v>
      </c>
      <c r="Q370" s="22" t="n">
        <v>438000</v>
      </c>
      <c r="R370" s="42">
        <f>+L370+N370-P370</f>
        <v/>
      </c>
      <c r="S370" s="42">
        <f>+M370+O370-Q370</f>
        <v/>
      </c>
    </row>
    <row r="371" ht="30" customHeight="1">
      <c r="A371" s="16" t="n">
        <v>45679</v>
      </c>
      <c r="B371" s="17" t="inlineStr">
        <is>
          <t>MH2501-59</t>
        </is>
      </c>
      <c r="C371" s="16" t="n">
        <v>45679</v>
      </c>
      <c r="D371" s="17" t="inlineStr">
        <is>
          <t>00000295</t>
        </is>
      </c>
      <c r="E371" s="16" t="n">
        <v>45679</v>
      </c>
      <c r="F371" s="16" t="inlineStr">
        <is>
          <t>XK2501-43</t>
        </is>
      </c>
      <c r="G371" s="16" t="n">
        <v>45679</v>
      </c>
      <c r="H371" s="18" t="inlineStr">
        <is>
          <t>CÔNG TY CỔ PHẦN CÔNG NGHIỆP VÀ THƯƠNG MẠI CƯỜNG THỊNH</t>
        </is>
      </c>
      <c r="I371" s="18" t="inlineStr">
        <is>
          <t>Bulong Din 933 8.8 ZP M16x40</t>
        </is>
      </c>
      <c r="J371" s="18" t="inlineStr">
        <is>
          <t>Cái</t>
        </is>
      </c>
      <c r="K371" s="19" t="n">
        <v>3030</v>
      </c>
      <c r="L371" s="20" t="n"/>
      <c r="M371" s="20" t="n"/>
      <c r="N371" s="22" t="n">
        <v>461</v>
      </c>
      <c r="O371" s="22" t="n">
        <v>1396830</v>
      </c>
      <c r="P371" s="22" t="n">
        <v>461</v>
      </c>
      <c r="Q371" s="22" t="n">
        <v>1396830</v>
      </c>
      <c r="R371" s="42">
        <f>+L371+N371-P371</f>
        <v/>
      </c>
      <c r="S371" s="42">
        <f>+M371+O371-Q371</f>
        <v/>
      </c>
    </row>
    <row r="372" ht="30" customHeight="1">
      <c r="A372" s="16" t="n">
        <v>45679</v>
      </c>
      <c r="B372" s="17" t="inlineStr">
        <is>
          <t>MH2501-59</t>
        </is>
      </c>
      <c r="C372" s="16" t="n">
        <v>45679</v>
      </c>
      <c r="D372" s="17" t="inlineStr">
        <is>
          <t>00000295</t>
        </is>
      </c>
      <c r="E372" s="16" t="n">
        <v>45679</v>
      </c>
      <c r="F372" s="16" t="inlineStr">
        <is>
          <t>XK2501-43</t>
        </is>
      </c>
      <c r="G372" s="16" t="n">
        <v>45679</v>
      </c>
      <c r="H372" s="18" t="inlineStr">
        <is>
          <t>CÔNG TY CỔ PHẦN CÔNG NGHIỆP VÀ THƯƠNG MẠI CƯỜNG THỊNH</t>
        </is>
      </c>
      <c r="I372" s="18" t="inlineStr">
        <is>
          <t>Đai ốc Din 934 8 ZP M16</t>
        </is>
      </c>
      <c r="J372" s="18" t="inlineStr">
        <is>
          <t>Cái</t>
        </is>
      </c>
      <c r="K372" s="19" t="n">
        <v>1090</v>
      </c>
      <c r="L372" s="20" t="n"/>
      <c r="M372" s="20" t="n"/>
      <c r="N372" s="22" t="n">
        <v>461</v>
      </c>
      <c r="O372" s="22" t="n">
        <v>502490</v>
      </c>
      <c r="P372" s="22" t="n">
        <v>461</v>
      </c>
      <c r="Q372" s="22" t="n">
        <v>502490</v>
      </c>
      <c r="R372" s="42">
        <f>+L372+N372-P372</f>
        <v/>
      </c>
      <c r="S372" s="42">
        <f>+M372+O372-Q372</f>
        <v/>
      </c>
    </row>
    <row r="373" ht="30" customHeight="1">
      <c r="A373" s="16" t="n">
        <v>45679</v>
      </c>
      <c r="B373" s="17" t="inlineStr">
        <is>
          <t>MH2501-59</t>
        </is>
      </c>
      <c r="C373" s="16" t="n">
        <v>45679</v>
      </c>
      <c r="D373" s="17" t="inlineStr">
        <is>
          <t>00000295</t>
        </is>
      </c>
      <c r="E373" s="16" t="n">
        <v>45679</v>
      </c>
      <c r="F373" s="16" t="inlineStr">
        <is>
          <t>XK2501-43</t>
        </is>
      </c>
      <c r="G373" s="16" t="n">
        <v>45679</v>
      </c>
      <c r="H373" s="18" t="inlineStr">
        <is>
          <t>CÔNG TY CỔ PHẦN CÔNG NGHIỆP VÀ THƯƠNG MẠI CƯỜNG THỊNH</t>
        </is>
      </c>
      <c r="I373" s="18" t="inlineStr">
        <is>
          <t>Long đền thường ZP M16B30D2</t>
        </is>
      </c>
      <c r="J373" s="18" t="inlineStr">
        <is>
          <t>Cái</t>
        </is>
      </c>
      <c r="K373" s="19" t="n">
        <v>350</v>
      </c>
      <c r="L373" s="20" t="n"/>
      <c r="M373" s="20" t="n"/>
      <c r="N373" s="22" t="n">
        <v>461</v>
      </c>
      <c r="O373" s="22" t="n">
        <v>161350</v>
      </c>
      <c r="P373" s="22" t="n">
        <v>461</v>
      </c>
      <c r="Q373" s="22" t="n">
        <v>161350</v>
      </c>
      <c r="R373" s="42">
        <f>+L373+N373-P373</f>
        <v/>
      </c>
      <c r="S373" s="42">
        <f>+M373+O373-Q373</f>
        <v/>
      </c>
    </row>
    <row r="374" ht="30" customHeight="1">
      <c r="A374" s="16" t="n">
        <v>45679</v>
      </c>
      <c r="B374" s="17" t="inlineStr">
        <is>
          <t>MH2501-59</t>
        </is>
      </c>
      <c r="C374" s="16" t="n">
        <v>45679</v>
      </c>
      <c r="D374" s="17" t="inlineStr">
        <is>
          <t>00000295</t>
        </is>
      </c>
      <c r="E374" s="16" t="n">
        <v>45679</v>
      </c>
      <c r="F374" s="16" t="inlineStr">
        <is>
          <t>XK2501-43</t>
        </is>
      </c>
      <c r="G374" s="16" t="n">
        <v>45679</v>
      </c>
      <c r="H374" s="18" t="inlineStr">
        <is>
          <t>CÔNG TY CỔ PHẦN CÔNG NGHIỆP VÀ THƯƠNG MẠI CƯỜNG THỊNH</t>
        </is>
      </c>
      <c r="I374" s="18" t="inlineStr">
        <is>
          <t>Bulong Din 933 8.8 ZP M16x50</t>
        </is>
      </c>
      <c r="J374" s="18" t="inlineStr">
        <is>
          <t>Cái</t>
        </is>
      </c>
      <c r="K374" s="19" t="n">
        <v>3470</v>
      </c>
      <c r="L374" s="20" t="n"/>
      <c r="M374" s="20" t="n"/>
      <c r="N374" s="22" t="n">
        <v>142</v>
      </c>
      <c r="O374" s="22" t="n">
        <v>492740</v>
      </c>
      <c r="P374" s="22" t="n">
        <v>142</v>
      </c>
      <c r="Q374" s="22" t="n">
        <v>492740</v>
      </c>
      <c r="R374" s="42">
        <f>+L374+N374-P374</f>
        <v/>
      </c>
      <c r="S374" s="42">
        <f>+M374+O374-Q374</f>
        <v/>
      </c>
    </row>
    <row r="375" ht="30" customHeight="1">
      <c r="A375" s="16" t="n">
        <v>45679</v>
      </c>
      <c r="B375" s="17" t="inlineStr">
        <is>
          <t>MH2501-59</t>
        </is>
      </c>
      <c r="C375" s="16" t="n">
        <v>45679</v>
      </c>
      <c r="D375" s="17" t="inlineStr">
        <is>
          <t>00000295</t>
        </is>
      </c>
      <c r="E375" s="16" t="n">
        <v>45679</v>
      </c>
      <c r="F375" s="16" t="inlineStr">
        <is>
          <t>XK2501-43</t>
        </is>
      </c>
      <c r="G375" s="16" t="n">
        <v>45679</v>
      </c>
      <c r="H375" s="18" t="inlineStr">
        <is>
          <t>CÔNG TY CỔ PHẦN CÔNG NGHIỆP VÀ THƯƠNG MẠI CƯỜNG THỊNH</t>
        </is>
      </c>
      <c r="I375" s="18" t="inlineStr">
        <is>
          <t>Đai ốc Din 934 8 ZP M16</t>
        </is>
      </c>
      <c r="J375" s="18" t="inlineStr">
        <is>
          <t>Cái</t>
        </is>
      </c>
      <c r="K375" s="19" t="n">
        <v>1090</v>
      </c>
      <c r="L375" s="20" t="n"/>
      <c r="M375" s="20" t="n"/>
      <c r="N375" s="22" t="n">
        <v>142</v>
      </c>
      <c r="O375" s="22" t="n">
        <v>154780</v>
      </c>
      <c r="P375" s="22" t="n">
        <v>142</v>
      </c>
      <c r="Q375" s="22" t="n">
        <v>154780</v>
      </c>
      <c r="R375" s="42">
        <f>+L375+N375-P375</f>
        <v/>
      </c>
      <c r="S375" s="42">
        <f>+M375+O375-Q375</f>
        <v/>
      </c>
    </row>
    <row r="376" ht="30" customHeight="1">
      <c r="A376" s="16" t="n">
        <v>45679</v>
      </c>
      <c r="B376" s="17" t="inlineStr">
        <is>
          <t>MH2501-59</t>
        </is>
      </c>
      <c r="C376" s="16" t="n">
        <v>45679</v>
      </c>
      <c r="D376" s="17" t="inlineStr">
        <is>
          <t>00000295</t>
        </is>
      </c>
      <c r="E376" s="16" t="n">
        <v>45679</v>
      </c>
      <c r="F376" s="16" t="inlineStr">
        <is>
          <t>XK2501-43</t>
        </is>
      </c>
      <c r="G376" s="16" t="n">
        <v>45679</v>
      </c>
      <c r="H376" s="18" t="inlineStr">
        <is>
          <t>CÔNG TY CỔ PHẦN CÔNG NGHIỆP VÀ THƯƠNG MẠI CƯỜNG THỊNH</t>
        </is>
      </c>
      <c r="I376" s="18" t="inlineStr">
        <is>
          <t>Long đền thường ZP M16B30D2</t>
        </is>
      </c>
      <c r="J376" s="18" t="inlineStr">
        <is>
          <t>Cái</t>
        </is>
      </c>
      <c r="K376" s="19" t="n">
        <v>350</v>
      </c>
      <c r="L376" s="20" t="n"/>
      <c r="M376" s="20" t="n"/>
      <c r="N376" s="22" t="n">
        <v>142</v>
      </c>
      <c r="O376" s="22" t="n">
        <v>49700</v>
      </c>
      <c r="P376" s="22" t="n">
        <v>142</v>
      </c>
      <c r="Q376" s="22" t="n">
        <v>49700</v>
      </c>
      <c r="R376" s="42">
        <f>+L376+N376-P376</f>
        <v/>
      </c>
      <c r="S376" s="42">
        <f>+M376+O376-Q376</f>
        <v/>
      </c>
    </row>
    <row r="377" ht="30" customHeight="1">
      <c r="A377" s="16" t="n">
        <v>45679</v>
      </c>
      <c r="B377" s="17" t="inlineStr">
        <is>
          <t>MH2501-59</t>
        </is>
      </c>
      <c r="C377" s="16" t="n">
        <v>45679</v>
      </c>
      <c r="D377" s="17" t="inlineStr">
        <is>
          <t>00000295</t>
        </is>
      </c>
      <c r="E377" s="16" t="n">
        <v>45679</v>
      </c>
      <c r="F377" s="16" t="inlineStr">
        <is>
          <t>XK2501-43</t>
        </is>
      </c>
      <c r="G377" s="16" t="n">
        <v>45679</v>
      </c>
      <c r="H377" s="18" t="inlineStr">
        <is>
          <t>CÔNG TY CỔ PHẦN CÔNG NGHIỆP VÀ THƯƠNG MẠI CƯỜNG THỊNH</t>
        </is>
      </c>
      <c r="I377" s="18" t="inlineStr">
        <is>
          <t>Bulong Din 933 8.8 ZP M20x50</t>
        </is>
      </c>
      <c r="J377" s="18" t="inlineStr">
        <is>
          <t>Cái</t>
        </is>
      </c>
      <c r="K377" s="19" t="n">
        <v>5760</v>
      </c>
      <c r="L377" s="20" t="n"/>
      <c r="M377" s="20" t="n"/>
      <c r="N377" s="22" t="n">
        <v>60</v>
      </c>
      <c r="O377" s="22" t="n">
        <v>345600</v>
      </c>
      <c r="P377" s="22" t="n">
        <v>60</v>
      </c>
      <c r="Q377" s="22" t="n">
        <v>345600</v>
      </c>
      <c r="R377" s="42">
        <f>+L377+N377-P377</f>
        <v/>
      </c>
      <c r="S377" s="42">
        <f>+M377+O377-Q377</f>
        <v/>
      </c>
    </row>
    <row r="378" ht="30" customHeight="1">
      <c r="A378" s="16" t="n">
        <v>45679</v>
      </c>
      <c r="B378" s="17" t="inlineStr">
        <is>
          <t>MH2501-59</t>
        </is>
      </c>
      <c r="C378" s="16" t="n">
        <v>45679</v>
      </c>
      <c r="D378" s="17" t="inlineStr">
        <is>
          <t>00000295</t>
        </is>
      </c>
      <c r="E378" s="16" t="n">
        <v>45679</v>
      </c>
      <c r="F378" s="16" t="inlineStr">
        <is>
          <t>XK2501-43</t>
        </is>
      </c>
      <c r="G378" s="16" t="n">
        <v>45679</v>
      </c>
      <c r="H378" s="18" t="inlineStr">
        <is>
          <t>CÔNG TY CỔ PHẦN CÔNG NGHIỆP VÀ THƯƠNG MẠI CƯỜNG THỊNH</t>
        </is>
      </c>
      <c r="I378" s="18" t="inlineStr">
        <is>
          <t>Đai ốc Din 934 8 ZP M20</t>
        </is>
      </c>
      <c r="J378" s="18" t="inlineStr">
        <is>
          <t>Cái</t>
        </is>
      </c>
      <c r="K378" s="19" t="n">
        <v>2030</v>
      </c>
      <c r="L378" s="20" t="n"/>
      <c r="M378" s="20" t="n"/>
      <c r="N378" s="22" t="n">
        <v>60</v>
      </c>
      <c r="O378" s="22" t="n">
        <v>121800</v>
      </c>
      <c r="P378" s="22" t="n">
        <v>60</v>
      </c>
      <c r="Q378" s="22" t="n">
        <v>121800</v>
      </c>
      <c r="R378" s="42">
        <f>+L378+N378-P378</f>
        <v/>
      </c>
      <c r="S378" s="42">
        <f>+M378+O378-Q378</f>
        <v/>
      </c>
    </row>
    <row r="379" ht="30" customHeight="1">
      <c r="A379" s="16" t="n">
        <v>45679</v>
      </c>
      <c r="B379" s="17" t="inlineStr">
        <is>
          <t>MH2501-59</t>
        </is>
      </c>
      <c r="C379" s="16" t="n">
        <v>45679</v>
      </c>
      <c r="D379" s="17" t="inlineStr">
        <is>
          <t>00000295</t>
        </is>
      </c>
      <c r="E379" s="16" t="n">
        <v>45679</v>
      </c>
      <c r="F379" s="16" t="inlineStr">
        <is>
          <t>XK2501-43</t>
        </is>
      </c>
      <c r="G379" s="16" t="n">
        <v>45679</v>
      </c>
      <c r="H379" s="18" t="inlineStr">
        <is>
          <t>CÔNG TY CỔ PHẦN CÔNG NGHIỆP VÀ THƯƠNG MẠI CƯỜNG THỊNH</t>
        </is>
      </c>
      <c r="I379" s="18" t="inlineStr">
        <is>
          <t>Long đền thường ZP M20B35D2</t>
        </is>
      </c>
      <c r="J379" s="18" t="inlineStr">
        <is>
          <t>Cái</t>
        </is>
      </c>
      <c r="K379" s="19" t="n">
        <v>350</v>
      </c>
      <c r="L379" s="20" t="n"/>
      <c r="M379" s="20" t="n"/>
      <c r="N379" s="22" t="n">
        <v>60</v>
      </c>
      <c r="O379" s="22" t="n">
        <v>21000</v>
      </c>
      <c r="P379" s="22" t="n">
        <v>60</v>
      </c>
      <c r="Q379" s="22" t="n">
        <v>21000</v>
      </c>
      <c r="R379" s="42">
        <f>+L379+N379-P379</f>
        <v/>
      </c>
      <c r="S379" s="42">
        <f>+M379+O379-Q379</f>
        <v/>
      </c>
    </row>
    <row r="380" ht="30" customHeight="1">
      <c r="A380" s="16" t="n">
        <v>45679</v>
      </c>
      <c r="B380" s="17" t="inlineStr">
        <is>
          <t>MH2501-59</t>
        </is>
      </c>
      <c r="C380" s="16" t="n">
        <v>45679</v>
      </c>
      <c r="D380" s="17" t="inlineStr">
        <is>
          <t>00000295</t>
        </is>
      </c>
      <c r="E380" s="16" t="n">
        <v>45679</v>
      </c>
      <c r="F380" s="16" t="inlineStr">
        <is>
          <t>XK2501-43</t>
        </is>
      </c>
      <c r="G380" s="16" t="n">
        <v>45679</v>
      </c>
      <c r="H380" s="18" t="inlineStr">
        <is>
          <t>CÔNG TY CỔ PHẦN CÔNG NGHIỆP VÀ THƯƠNG MẠI CƯỜNG THỊNH</t>
        </is>
      </c>
      <c r="I380" s="18" t="inlineStr">
        <is>
          <t>Bulong Din 933 8.8 ZP M20x60</t>
        </is>
      </c>
      <c r="J380" s="18" t="inlineStr">
        <is>
          <t>Cái</t>
        </is>
      </c>
      <c r="K380" s="19" t="n">
        <v>6440</v>
      </c>
      <c r="L380" s="20" t="n"/>
      <c r="M380" s="20" t="n"/>
      <c r="N380" s="22" t="n">
        <v>1380</v>
      </c>
      <c r="O380" s="22" t="n">
        <v>8887200</v>
      </c>
      <c r="P380" s="22" t="n">
        <v>1380</v>
      </c>
      <c r="Q380" s="22" t="n">
        <v>8887200</v>
      </c>
      <c r="R380" s="42">
        <f>+L380+N380-P380</f>
        <v/>
      </c>
      <c r="S380" s="42">
        <f>+M380+O380-Q380</f>
        <v/>
      </c>
    </row>
    <row r="381" ht="30" customHeight="1">
      <c r="A381" s="16" t="n">
        <v>45679</v>
      </c>
      <c r="B381" s="17" t="inlineStr">
        <is>
          <t>MH2501-59</t>
        </is>
      </c>
      <c r="C381" s="16" t="n">
        <v>45679</v>
      </c>
      <c r="D381" s="17" t="inlineStr">
        <is>
          <t>00000295</t>
        </is>
      </c>
      <c r="E381" s="16" t="n">
        <v>45679</v>
      </c>
      <c r="F381" s="16" t="inlineStr">
        <is>
          <t>XK2501-43</t>
        </is>
      </c>
      <c r="G381" s="16" t="n">
        <v>45679</v>
      </c>
      <c r="H381" s="18" t="inlineStr">
        <is>
          <t>CÔNG TY CỔ PHẦN CÔNG NGHIỆP VÀ THƯƠNG MẠI CƯỜNG THỊNH</t>
        </is>
      </c>
      <c r="I381" s="18" t="inlineStr">
        <is>
          <t>Đai ốc Din 934 8 ZP M20</t>
        </is>
      </c>
      <c r="J381" s="18" t="inlineStr">
        <is>
          <t>Cái</t>
        </is>
      </c>
      <c r="K381" s="19" t="n">
        <v>2030</v>
      </c>
      <c r="L381" s="20" t="n"/>
      <c r="M381" s="20" t="n"/>
      <c r="N381" s="22" t="n">
        <v>1380</v>
      </c>
      <c r="O381" s="22" t="n">
        <v>2801400</v>
      </c>
      <c r="P381" s="22" t="n">
        <v>1380</v>
      </c>
      <c r="Q381" s="22" t="n">
        <v>2801400</v>
      </c>
      <c r="R381" s="42">
        <f>+L381+N381-P381</f>
        <v/>
      </c>
      <c r="S381" s="42">
        <f>+M381+O381-Q381</f>
        <v/>
      </c>
    </row>
    <row r="382" ht="30" customHeight="1">
      <c r="A382" s="16" t="n">
        <v>45679</v>
      </c>
      <c r="B382" s="17" t="inlineStr">
        <is>
          <t>MH2501-59</t>
        </is>
      </c>
      <c r="C382" s="16" t="n">
        <v>45679</v>
      </c>
      <c r="D382" s="17" t="inlineStr">
        <is>
          <t>00000295</t>
        </is>
      </c>
      <c r="E382" s="16" t="n">
        <v>45679</v>
      </c>
      <c r="F382" s="16" t="inlineStr">
        <is>
          <t>XK2501-43</t>
        </is>
      </c>
      <c r="G382" s="16" t="n">
        <v>45679</v>
      </c>
      <c r="H382" s="18" t="inlineStr">
        <is>
          <t>CÔNG TY CỔ PHẦN CÔNG NGHIỆP VÀ THƯƠNG MẠI CƯỜNG THỊNH</t>
        </is>
      </c>
      <c r="I382" s="18" t="inlineStr">
        <is>
          <t>Long đền thường ZP M20B35D2</t>
        </is>
      </c>
      <c r="J382" s="18" t="inlineStr">
        <is>
          <t>Cái</t>
        </is>
      </c>
      <c r="K382" s="19" t="n">
        <v>350</v>
      </c>
      <c r="L382" s="20" t="n"/>
      <c r="M382" s="20" t="n"/>
      <c r="N382" s="22" t="n">
        <v>1380</v>
      </c>
      <c r="O382" s="22" t="n">
        <v>483000</v>
      </c>
      <c r="P382" s="22" t="n">
        <v>1380</v>
      </c>
      <c r="Q382" s="22" t="n">
        <v>483000</v>
      </c>
      <c r="R382" s="42">
        <f>+L382+N382-P382</f>
        <v/>
      </c>
      <c r="S382" s="42">
        <f>+M382+O382-Q382</f>
        <v/>
      </c>
    </row>
    <row r="383" ht="30" customHeight="1">
      <c r="A383" s="16" t="n">
        <v>45679</v>
      </c>
      <c r="B383" s="17" t="inlineStr">
        <is>
          <t>MH2501-59</t>
        </is>
      </c>
      <c r="C383" s="16" t="n">
        <v>45679</v>
      </c>
      <c r="D383" s="17" t="inlineStr">
        <is>
          <t>00000295</t>
        </is>
      </c>
      <c r="E383" s="16" t="n">
        <v>45679</v>
      </c>
      <c r="F383" s="16" t="inlineStr">
        <is>
          <t>XK2501-43</t>
        </is>
      </c>
      <c r="G383" s="16" t="n">
        <v>45679</v>
      </c>
      <c r="H383" s="18" t="inlineStr">
        <is>
          <t>CÔNG TY CỔ PHẦN CÔNG NGHIỆP VÀ THƯƠNG MẠI CƯỜNG THỊNH</t>
        </is>
      </c>
      <c r="I383" s="18" t="inlineStr">
        <is>
          <t>Bulong thường 4.6 ZP M12x30</t>
        </is>
      </c>
      <c r="J383" s="18" t="inlineStr">
        <is>
          <t>Cái</t>
        </is>
      </c>
      <c r="K383" s="19" t="n">
        <v>950</v>
      </c>
      <c r="L383" s="20" t="n"/>
      <c r="M383" s="20" t="n"/>
      <c r="N383" s="22" t="n">
        <v>699</v>
      </c>
      <c r="O383" s="22" t="n">
        <v>664050</v>
      </c>
      <c r="P383" s="22" t="n">
        <v>699</v>
      </c>
      <c r="Q383" s="22" t="n">
        <v>664050</v>
      </c>
      <c r="R383" s="42">
        <f>+L383+N383-P383</f>
        <v/>
      </c>
      <c r="S383" s="42">
        <f>+M383+O383-Q383</f>
        <v/>
      </c>
    </row>
    <row r="384" ht="30" customHeight="1">
      <c r="A384" s="16" t="n">
        <v>45679</v>
      </c>
      <c r="B384" s="17" t="inlineStr">
        <is>
          <t>MH2501-59</t>
        </is>
      </c>
      <c r="C384" s="16" t="n">
        <v>45679</v>
      </c>
      <c r="D384" s="17" t="inlineStr">
        <is>
          <t>00000295</t>
        </is>
      </c>
      <c r="E384" s="16" t="n">
        <v>45679</v>
      </c>
      <c r="F384" s="16" t="inlineStr">
        <is>
          <t>XK2501-43</t>
        </is>
      </c>
      <c r="G384" s="16" t="n">
        <v>45679</v>
      </c>
      <c r="H384" s="18" t="inlineStr">
        <is>
          <t>CÔNG TY CỔ PHẦN CÔNG NGHIỆP VÀ THƯƠNG MẠI CƯỜNG THỊNH</t>
        </is>
      </c>
      <c r="I384" s="18" t="inlineStr">
        <is>
          <t>Đai ốc thường 4 ZP M12 (9mm)</t>
        </is>
      </c>
      <c r="J384" s="18" t="inlineStr">
        <is>
          <t>Cái</t>
        </is>
      </c>
      <c r="K384" s="19" t="n">
        <v>360</v>
      </c>
      <c r="L384" s="20" t="n"/>
      <c r="M384" s="20" t="n"/>
      <c r="N384" s="22" t="n">
        <v>699</v>
      </c>
      <c r="O384" s="22" t="n">
        <v>251640</v>
      </c>
      <c r="P384" s="22" t="n">
        <v>699</v>
      </c>
      <c r="Q384" s="22" t="n">
        <v>251640</v>
      </c>
      <c r="R384" s="42">
        <f>+L384+N384-P384</f>
        <v/>
      </c>
      <c r="S384" s="42">
        <f>+M384+O384-Q384</f>
        <v/>
      </c>
    </row>
    <row r="385" ht="30" customHeight="1">
      <c r="A385" s="16" t="n">
        <v>45679</v>
      </c>
      <c r="B385" s="17" t="inlineStr">
        <is>
          <t>MH2501-59</t>
        </is>
      </c>
      <c r="C385" s="16" t="n">
        <v>45679</v>
      </c>
      <c r="D385" s="17" t="inlineStr">
        <is>
          <t>00000295</t>
        </is>
      </c>
      <c r="E385" s="16" t="n">
        <v>45679</v>
      </c>
      <c r="F385" s="16" t="inlineStr">
        <is>
          <t>XK2501-43</t>
        </is>
      </c>
      <c r="G385" s="16" t="n">
        <v>45679</v>
      </c>
      <c r="H385" s="18" t="inlineStr">
        <is>
          <t>CÔNG TY CỔ PHẦN CÔNG NGHIỆP VÀ THƯƠNG MẠI CƯỜNG THỊNH</t>
        </is>
      </c>
      <c r="I385" s="18" t="inlineStr">
        <is>
          <t>Long đền thường ZP M12B23D1</t>
        </is>
      </c>
      <c r="J385" s="18" t="inlineStr">
        <is>
          <t>Cái</t>
        </is>
      </c>
      <c r="K385" s="19" t="n">
        <v>100</v>
      </c>
      <c r="L385" s="20" t="n"/>
      <c r="M385" s="20" t="n"/>
      <c r="N385" s="22" t="n">
        <v>1398</v>
      </c>
      <c r="O385" s="22" t="n">
        <v>139800</v>
      </c>
      <c r="P385" s="22" t="n">
        <v>1398</v>
      </c>
      <c r="Q385" s="22" t="n">
        <v>139800</v>
      </c>
      <c r="R385" s="42">
        <f>+L385+N385-P385</f>
        <v/>
      </c>
      <c r="S385" s="42">
        <f>+M385+O385-Q385</f>
        <v/>
      </c>
    </row>
    <row r="386" ht="30" customHeight="1">
      <c r="A386" s="16" t="n">
        <v>45679</v>
      </c>
      <c r="B386" s="17" t="inlineStr">
        <is>
          <t>MH2501-60</t>
        </is>
      </c>
      <c r="C386" s="16" t="n">
        <v>45679</v>
      </c>
      <c r="D386" s="17" t="inlineStr">
        <is>
          <t>00000296</t>
        </is>
      </c>
      <c r="E386" s="16" t="n">
        <v>45679</v>
      </c>
      <c r="F386" s="16" t="inlineStr">
        <is>
          <t>XK2501-44</t>
        </is>
      </c>
      <c r="G386" s="16" t="n">
        <v>45679</v>
      </c>
      <c r="H386" s="18" t="inlineStr">
        <is>
          <t>CÔNG TY CỔ PHẦN CÔNG NGHIỆP VÀ THƯƠNG MẠI CƯỜNG THỊNH</t>
        </is>
      </c>
      <c r="I386" s="18" t="inlineStr">
        <is>
          <t>Bulong nở 5.6 ZP M12x120</t>
        </is>
      </c>
      <c r="J386" s="18" t="inlineStr">
        <is>
          <t>Bộ</t>
        </is>
      </c>
      <c r="K386" s="19" t="n">
        <v>15000</v>
      </c>
      <c r="L386" s="20" t="n"/>
      <c r="M386" s="20" t="n"/>
      <c r="N386" s="22" t="n">
        <v>993</v>
      </c>
      <c r="O386" s="22" t="n">
        <v>14895000</v>
      </c>
      <c r="P386" s="22" t="n">
        <v>993</v>
      </c>
      <c r="Q386" s="22" t="n">
        <v>14895000</v>
      </c>
      <c r="R386" s="42">
        <f>+L386+N386-P386</f>
        <v/>
      </c>
      <c r="S386" s="42">
        <f>+M386+O386-Q386</f>
        <v/>
      </c>
    </row>
    <row r="387" ht="30" customHeight="1">
      <c r="A387" s="16" t="n">
        <v>45679</v>
      </c>
      <c r="B387" s="17" t="inlineStr">
        <is>
          <t>MH2501-60</t>
        </is>
      </c>
      <c r="C387" s="16" t="n">
        <v>45679</v>
      </c>
      <c r="D387" s="17" t="inlineStr">
        <is>
          <t>00000296</t>
        </is>
      </c>
      <c r="E387" s="16" t="n">
        <v>45679</v>
      </c>
      <c r="F387" s="16" t="inlineStr">
        <is>
          <t>XK2501-44</t>
        </is>
      </c>
      <c r="G387" s="16" t="n">
        <v>45679</v>
      </c>
      <c r="H387" s="18" t="inlineStr">
        <is>
          <t>CÔNG TY CỔ PHẦN CÔNG NGHIỆP VÀ THƯƠNG MẠI CƯỜNG THỊNH</t>
        </is>
      </c>
      <c r="I387" s="18" t="inlineStr">
        <is>
          <t>Vít B2 Dacromet 12-14x20</t>
        </is>
      </c>
      <c r="J387" s="18" t="inlineStr">
        <is>
          <t>Cái</t>
        </is>
      </c>
      <c r="K387" s="19" t="n">
        <v>600</v>
      </c>
      <c r="L387" s="20" t="n"/>
      <c r="M387" s="20" t="n"/>
      <c r="N387" s="22" t="n">
        <v>50000</v>
      </c>
      <c r="O387" s="22" t="n">
        <v>30000000</v>
      </c>
      <c r="P387" s="22" t="n">
        <v>50000</v>
      </c>
      <c r="Q387" s="22" t="n">
        <v>30000000</v>
      </c>
      <c r="R387" s="42">
        <f>+L387+N387-P387</f>
        <v/>
      </c>
      <c r="S387" s="42">
        <f>+M387+O387-Q387</f>
        <v/>
      </c>
    </row>
    <row r="388" ht="30" customHeight="1">
      <c r="A388" s="16" t="n">
        <v>45679</v>
      </c>
      <c r="B388" s="17" t="inlineStr">
        <is>
          <t>MH2501-60</t>
        </is>
      </c>
      <c r="C388" s="16" t="n">
        <v>45679</v>
      </c>
      <c r="D388" s="17" t="inlineStr">
        <is>
          <t>00000296</t>
        </is>
      </c>
      <c r="E388" s="16" t="n">
        <v>45679</v>
      </c>
      <c r="F388" s="16" t="inlineStr">
        <is>
          <t>XK2501-44</t>
        </is>
      </c>
      <c r="G388" s="16" t="n">
        <v>45679</v>
      </c>
      <c r="H388" s="18" t="inlineStr">
        <is>
          <t>CÔNG TY CỔ PHẦN CÔNG NGHIỆP VÀ THƯƠNG MẠI CƯỜNG THỊNH</t>
        </is>
      </c>
      <c r="I388" s="18" t="inlineStr">
        <is>
          <t>Vít B2 Dacromet 10-24x22 WAF (bake)</t>
        </is>
      </c>
      <c r="J388" s="18" t="inlineStr">
        <is>
          <t>Cái</t>
        </is>
      </c>
      <c r="K388" s="19" t="n">
        <v>440</v>
      </c>
      <c r="L388" s="20" t="n"/>
      <c r="M388" s="20" t="n"/>
      <c r="N388" s="22" t="n">
        <v>800</v>
      </c>
      <c r="O388" s="22" t="n">
        <v>352000</v>
      </c>
      <c r="P388" s="22" t="n">
        <v>800</v>
      </c>
      <c r="Q388" s="22" t="n">
        <v>352000</v>
      </c>
      <c r="R388" s="42">
        <f>+L388+N388-P388</f>
        <v/>
      </c>
      <c r="S388" s="42">
        <f>+M388+O388-Q388</f>
        <v/>
      </c>
    </row>
    <row r="389" ht="30" customHeight="1">
      <c r="A389" s="16" t="n">
        <v>45679</v>
      </c>
      <c r="B389" s="17" t="inlineStr">
        <is>
          <t>MH2501-60</t>
        </is>
      </c>
      <c r="C389" s="16" t="n">
        <v>45679</v>
      </c>
      <c r="D389" s="17" t="inlineStr">
        <is>
          <t>00000296</t>
        </is>
      </c>
      <c r="E389" s="16" t="n">
        <v>45679</v>
      </c>
      <c r="F389" s="16" t="inlineStr">
        <is>
          <t>XK2501-44</t>
        </is>
      </c>
      <c r="G389" s="16" t="n">
        <v>45679</v>
      </c>
      <c r="H389" s="18" t="inlineStr">
        <is>
          <t>CÔNG TY CỔ PHẦN CÔNG NGHIỆP VÀ THƯƠNG MẠI CƯỜNG THỊNH</t>
        </is>
      </c>
      <c r="I389" s="18" t="inlineStr">
        <is>
          <t>Bulong Din 933 8.8 ZP M16x50</t>
        </is>
      </c>
      <c r="J389" s="18" t="inlineStr">
        <is>
          <t>Cái</t>
        </is>
      </c>
      <c r="K389" s="19" t="n">
        <v>3470</v>
      </c>
      <c r="L389" s="20" t="n"/>
      <c r="M389" s="20" t="n"/>
      <c r="N389" s="22" t="n">
        <v>496</v>
      </c>
      <c r="O389" s="22" t="n">
        <v>1721120</v>
      </c>
      <c r="P389" s="22" t="n">
        <v>496</v>
      </c>
      <c r="Q389" s="22" t="n">
        <v>1721120</v>
      </c>
      <c r="R389" s="42">
        <f>+L389+N389-P389</f>
        <v/>
      </c>
      <c r="S389" s="42">
        <f>+M389+O389-Q389</f>
        <v/>
      </c>
    </row>
    <row r="390" ht="30" customHeight="1">
      <c r="A390" s="16" t="n">
        <v>45679</v>
      </c>
      <c r="B390" s="17" t="inlineStr">
        <is>
          <t>MH2501-60</t>
        </is>
      </c>
      <c r="C390" s="16" t="n">
        <v>45679</v>
      </c>
      <c r="D390" s="17" t="inlineStr">
        <is>
          <t>00000296</t>
        </is>
      </c>
      <c r="E390" s="16" t="n">
        <v>45679</v>
      </c>
      <c r="F390" s="16" t="inlineStr">
        <is>
          <t>XK2501-44</t>
        </is>
      </c>
      <c r="G390" s="16" t="n">
        <v>45679</v>
      </c>
      <c r="H390" s="18" t="inlineStr">
        <is>
          <t>CÔNG TY CỔ PHẦN CÔNG NGHIỆP VÀ THƯƠNG MẠI CƯỜNG THỊNH</t>
        </is>
      </c>
      <c r="I390" s="18" t="inlineStr">
        <is>
          <t>Đai ốc Din 934 8 ZP M16</t>
        </is>
      </c>
      <c r="J390" s="18" t="inlineStr">
        <is>
          <t>Cái</t>
        </is>
      </c>
      <c r="K390" s="19" t="n">
        <v>1090</v>
      </c>
      <c r="L390" s="20" t="n"/>
      <c r="M390" s="20" t="n"/>
      <c r="N390" s="22" t="n">
        <v>496</v>
      </c>
      <c r="O390" s="22" t="n">
        <v>540640</v>
      </c>
      <c r="P390" s="22" t="n">
        <v>496</v>
      </c>
      <c r="Q390" s="22" t="n">
        <v>540640</v>
      </c>
      <c r="R390" s="42">
        <f>+L390+N390-P390</f>
        <v/>
      </c>
      <c r="S390" s="42">
        <f>+M390+O390-Q390</f>
        <v/>
      </c>
    </row>
    <row r="391" ht="30" customHeight="1">
      <c r="A391" s="16" t="n">
        <v>45679</v>
      </c>
      <c r="B391" s="17" t="inlineStr">
        <is>
          <t>MH2501-60</t>
        </is>
      </c>
      <c r="C391" s="16" t="n">
        <v>45679</v>
      </c>
      <c r="D391" s="17" t="inlineStr">
        <is>
          <t>00000296</t>
        </is>
      </c>
      <c r="E391" s="16" t="n">
        <v>45679</v>
      </c>
      <c r="F391" s="16" t="inlineStr">
        <is>
          <t>XK2501-44</t>
        </is>
      </c>
      <c r="G391" s="16" t="n">
        <v>45679</v>
      </c>
      <c r="H391" s="18" t="inlineStr">
        <is>
          <t>CÔNG TY CỔ PHẦN CÔNG NGHIỆP VÀ THƯƠNG MẠI CƯỜNG THỊNH</t>
        </is>
      </c>
      <c r="I391" s="18" t="inlineStr">
        <is>
          <t>Long đền thường ZP M16B30D2</t>
        </is>
      </c>
      <c r="J391" s="18" t="inlineStr">
        <is>
          <t>Cái</t>
        </is>
      </c>
      <c r="K391" s="19" t="n">
        <v>350</v>
      </c>
      <c r="L391" s="20" t="n"/>
      <c r="M391" s="20" t="n"/>
      <c r="N391" s="22" t="n">
        <v>496</v>
      </c>
      <c r="O391" s="22" t="n">
        <v>173600</v>
      </c>
      <c r="P391" s="22" t="n">
        <v>496</v>
      </c>
      <c r="Q391" s="22" t="n">
        <v>173600</v>
      </c>
      <c r="R391" s="42">
        <f>+L391+N391-P391</f>
        <v/>
      </c>
      <c r="S391" s="42">
        <f>+M391+O391-Q391</f>
        <v/>
      </c>
    </row>
    <row r="392" ht="30" customHeight="1">
      <c r="A392" s="16" t="n">
        <v>45679</v>
      </c>
      <c r="B392" s="17" t="inlineStr">
        <is>
          <t>MH2501-60</t>
        </is>
      </c>
      <c r="C392" s="16" t="n">
        <v>45679</v>
      </c>
      <c r="D392" s="17" t="inlineStr">
        <is>
          <t>00000296</t>
        </is>
      </c>
      <c r="E392" s="16" t="n">
        <v>45679</v>
      </c>
      <c r="F392" s="16" t="inlineStr">
        <is>
          <t>XK2501-44</t>
        </is>
      </c>
      <c r="G392" s="16" t="n">
        <v>45679</v>
      </c>
      <c r="H392" s="18" t="inlineStr">
        <is>
          <t>CÔNG TY CỔ PHẦN CÔNG NGHIỆP VÀ THƯƠNG MẠI CƯỜNG THỊNH</t>
        </is>
      </c>
      <c r="I392" s="18" t="inlineStr">
        <is>
          <t>Bulong Din 933 8.8 ZP M16x70</t>
        </is>
      </c>
      <c r="J392" s="18" t="inlineStr">
        <is>
          <t>Cái</t>
        </is>
      </c>
      <c r="K392" s="19" t="n">
        <v>4490</v>
      </c>
      <c r="L392" s="20" t="n"/>
      <c r="M392" s="20" t="n"/>
      <c r="N392" s="22" t="n">
        <v>595</v>
      </c>
      <c r="O392" s="22" t="n">
        <v>2671550</v>
      </c>
      <c r="P392" s="22" t="n">
        <v>595</v>
      </c>
      <c r="Q392" s="22" t="n">
        <v>2671550</v>
      </c>
      <c r="R392" s="42">
        <f>+L392+N392-P392</f>
        <v/>
      </c>
      <c r="S392" s="42">
        <f>+M392+O392-Q392</f>
        <v/>
      </c>
    </row>
    <row r="393" ht="30" customHeight="1">
      <c r="A393" s="16" t="n">
        <v>45679</v>
      </c>
      <c r="B393" s="17" t="inlineStr">
        <is>
          <t>MH2501-60</t>
        </is>
      </c>
      <c r="C393" s="16" t="n">
        <v>45679</v>
      </c>
      <c r="D393" s="17" t="inlineStr">
        <is>
          <t>00000296</t>
        </is>
      </c>
      <c r="E393" s="16" t="n">
        <v>45679</v>
      </c>
      <c r="F393" s="16" t="inlineStr">
        <is>
          <t>XK2501-44</t>
        </is>
      </c>
      <c r="G393" s="16" t="n">
        <v>45679</v>
      </c>
      <c r="H393" s="18" t="inlineStr">
        <is>
          <t>CÔNG TY CỔ PHẦN CÔNG NGHIỆP VÀ THƯƠNG MẠI CƯỜNG THỊNH</t>
        </is>
      </c>
      <c r="I393" s="18" t="inlineStr">
        <is>
          <t>Đai ốc Din 934 8 ZP M16</t>
        </is>
      </c>
      <c r="J393" s="18" t="inlineStr">
        <is>
          <t>Cái</t>
        </is>
      </c>
      <c r="K393" s="19" t="n">
        <v>1090</v>
      </c>
      <c r="L393" s="20" t="n"/>
      <c r="M393" s="20" t="n"/>
      <c r="N393" s="22" t="n">
        <v>595</v>
      </c>
      <c r="O393" s="22" t="n">
        <v>648550</v>
      </c>
      <c r="P393" s="22" t="n">
        <v>595</v>
      </c>
      <c r="Q393" s="22" t="n">
        <v>648550</v>
      </c>
      <c r="R393" s="42">
        <f>+L393+N393-P393</f>
        <v/>
      </c>
      <c r="S393" s="42">
        <f>+M393+O393-Q393</f>
        <v/>
      </c>
    </row>
    <row r="394" ht="30" customHeight="1">
      <c r="A394" s="16" t="n">
        <v>45679</v>
      </c>
      <c r="B394" s="17" t="inlineStr">
        <is>
          <t>MH2501-60</t>
        </is>
      </c>
      <c r="C394" s="16" t="n">
        <v>45679</v>
      </c>
      <c r="D394" s="17" t="inlineStr">
        <is>
          <t>00000296</t>
        </is>
      </c>
      <c r="E394" s="16" t="n">
        <v>45679</v>
      </c>
      <c r="F394" s="16" t="inlineStr">
        <is>
          <t>XK2501-44</t>
        </is>
      </c>
      <c r="G394" s="16" t="n">
        <v>45679</v>
      </c>
      <c r="H394" s="18" t="inlineStr">
        <is>
          <t>CÔNG TY CỔ PHẦN CÔNG NGHIỆP VÀ THƯƠNG MẠI CƯỜNG THỊNH</t>
        </is>
      </c>
      <c r="I394" s="18" t="inlineStr">
        <is>
          <t>Long đền thường ZP M16B30D2</t>
        </is>
      </c>
      <c r="J394" s="18" t="inlineStr">
        <is>
          <t>Cái</t>
        </is>
      </c>
      <c r="K394" s="19" t="n">
        <v>350</v>
      </c>
      <c r="L394" s="20" t="n"/>
      <c r="M394" s="20" t="n"/>
      <c r="N394" s="22" t="n">
        <v>595</v>
      </c>
      <c r="O394" s="22" t="n">
        <v>208250</v>
      </c>
      <c r="P394" s="22" t="n">
        <v>595</v>
      </c>
      <c r="Q394" s="22" t="n">
        <v>208250</v>
      </c>
      <c r="R394" s="42">
        <f>+L394+N394-P394</f>
        <v/>
      </c>
      <c r="S394" s="42">
        <f>+M394+O394-Q394</f>
        <v/>
      </c>
    </row>
    <row r="395" ht="30" customHeight="1">
      <c r="A395" s="16" t="n">
        <v>45679</v>
      </c>
      <c r="B395" s="17" t="inlineStr">
        <is>
          <t>MH2501-60</t>
        </is>
      </c>
      <c r="C395" s="16" t="n">
        <v>45679</v>
      </c>
      <c r="D395" s="17" t="inlineStr">
        <is>
          <t>00000296</t>
        </is>
      </c>
      <c r="E395" s="16" t="n">
        <v>45679</v>
      </c>
      <c r="F395" s="16" t="inlineStr">
        <is>
          <t>XK2501-44</t>
        </is>
      </c>
      <c r="G395" s="16" t="n">
        <v>45679</v>
      </c>
      <c r="H395" s="18" t="inlineStr">
        <is>
          <t>CÔNG TY CỔ PHẦN CÔNG NGHIỆP VÀ THƯƠNG MẠI CƯỜNG THỊNH</t>
        </is>
      </c>
      <c r="I395" s="18" t="inlineStr">
        <is>
          <t>Bulong Din 933 8.8 ZP M20x60</t>
        </is>
      </c>
      <c r="J395" s="18" t="inlineStr">
        <is>
          <t>Cái</t>
        </is>
      </c>
      <c r="K395" s="19" t="n">
        <v>6440</v>
      </c>
      <c r="L395" s="20" t="n"/>
      <c r="M395" s="20" t="n"/>
      <c r="N395" s="22" t="n">
        <v>1374</v>
      </c>
      <c r="O395" s="22" t="n">
        <v>8848560</v>
      </c>
      <c r="P395" s="22" t="n">
        <v>1374</v>
      </c>
      <c r="Q395" s="22" t="n">
        <v>8848560</v>
      </c>
      <c r="R395" s="42">
        <f>+L395+N395-P395</f>
        <v/>
      </c>
      <c r="S395" s="42">
        <f>+M395+O395-Q395</f>
        <v/>
      </c>
    </row>
    <row r="396" ht="30" customHeight="1">
      <c r="A396" s="16" t="n">
        <v>45679</v>
      </c>
      <c r="B396" s="17" t="inlineStr">
        <is>
          <t>MH2501-60</t>
        </is>
      </c>
      <c r="C396" s="16" t="n">
        <v>45679</v>
      </c>
      <c r="D396" s="17" t="inlineStr">
        <is>
          <t>00000296</t>
        </is>
      </c>
      <c r="E396" s="16" t="n">
        <v>45679</v>
      </c>
      <c r="F396" s="16" t="inlineStr">
        <is>
          <t>XK2501-44</t>
        </is>
      </c>
      <c r="G396" s="16" t="n">
        <v>45679</v>
      </c>
      <c r="H396" s="18" t="inlineStr">
        <is>
          <t>CÔNG TY CỔ PHẦN CÔNG NGHIỆP VÀ THƯƠNG MẠI CƯỜNG THỊNH</t>
        </is>
      </c>
      <c r="I396" s="18" t="inlineStr">
        <is>
          <t>Đai ốc Din 934 8 ZP M20</t>
        </is>
      </c>
      <c r="J396" s="18" t="inlineStr">
        <is>
          <t>Cái</t>
        </is>
      </c>
      <c r="K396" s="19" t="n">
        <v>2030</v>
      </c>
      <c r="L396" s="20" t="n"/>
      <c r="M396" s="20" t="n"/>
      <c r="N396" s="22" t="n">
        <v>1374</v>
      </c>
      <c r="O396" s="22" t="n">
        <v>2789220</v>
      </c>
      <c r="P396" s="22" t="n">
        <v>1374</v>
      </c>
      <c r="Q396" s="22" t="n">
        <v>2789220</v>
      </c>
      <c r="R396" s="42">
        <f>+L396+N396-P396</f>
        <v/>
      </c>
      <c r="S396" s="42">
        <f>+M396+O396-Q396</f>
        <v/>
      </c>
    </row>
    <row r="397" ht="30" customHeight="1">
      <c r="A397" s="16" t="n">
        <v>45679</v>
      </c>
      <c r="B397" s="17" t="inlineStr">
        <is>
          <t>MH2501-60</t>
        </is>
      </c>
      <c r="C397" s="16" t="n">
        <v>45679</v>
      </c>
      <c r="D397" s="17" t="inlineStr">
        <is>
          <t>00000296</t>
        </is>
      </c>
      <c r="E397" s="16" t="n">
        <v>45679</v>
      </c>
      <c r="F397" s="16" t="inlineStr">
        <is>
          <t>XK2501-44</t>
        </is>
      </c>
      <c r="G397" s="16" t="n">
        <v>45679</v>
      </c>
      <c r="H397" s="18" t="inlineStr">
        <is>
          <t>CÔNG TY CỔ PHẦN CÔNG NGHIỆP VÀ THƯƠNG MẠI CƯỜNG THỊNH</t>
        </is>
      </c>
      <c r="I397" s="18" t="inlineStr">
        <is>
          <t>Long đền thường ZP M20B35D2</t>
        </is>
      </c>
      <c r="J397" s="18" t="inlineStr">
        <is>
          <t>Cái</t>
        </is>
      </c>
      <c r="K397" s="19" t="n">
        <v>350</v>
      </c>
      <c r="L397" s="20" t="n"/>
      <c r="M397" s="20" t="n"/>
      <c r="N397" s="22" t="n">
        <v>1374</v>
      </c>
      <c r="O397" s="22" t="n">
        <v>480900</v>
      </c>
      <c r="P397" s="22" t="n">
        <v>1374</v>
      </c>
      <c r="Q397" s="22" t="n">
        <v>480900</v>
      </c>
      <c r="R397" s="42">
        <f>+L397+N397-P397</f>
        <v/>
      </c>
      <c r="S397" s="42">
        <f>+M397+O397-Q397</f>
        <v/>
      </c>
    </row>
    <row r="398" ht="30" customHeight="1">
      <c r="A398" s="16" t="n">
        <v>45679</v>
      </c>
      <c r="B398" s="17" t="inlineStr">
        <is>
          <t>MH2501-60</t>
        </is>
      </c>
      <c r="C398" s="16" t="n">
        <v>45679</v>
      </c>
      <c r="D398" s="17" t="inlineStr">
        <is>
          <t>00000296</t>
        </is>
      </c>
      <c r="E398" s="16" t="n">
        <v>45679</v>
      </c>
      <c r="F398" s="16" t="inlineStr">
        <is>
          <t>XK2501-44</t>
        </is>
      </c>
      <c r="G398" s="16" t="n">
        <v>45679</v>
      </c>
      <c r="H398" s="18" t="inlineStr">
        <is>
          <t>CÔNG TY CỔ PHẦN CÔNG NGHIỆP VÀ THƯƠNG MẠI CƯỜNG THỊNH</t>
        </is>
      </c>
      <c r="I398" s="18" t="inlineStr">
        <is>
          <t>Bulong Din 933 8.8 ZP M20x80</t>
        </is>
      </c>
      <c r="J398" s="18" t="inlineStr">
        <is>
          <t>Cái</t>
        </is>
      </c>
      <c r="K398" s="19" t="n">
        <v>7730</v>
      </c>
      <c r="L398" s="20" t="n"/>
      <c r="M398" s="20" t="n"/>
      <c r="N398" s="22" t="n">
        <v>3135</v>
      </c>
      <c r="O398" s="22" t="n">
        <v>24233550</v>
      </c>
      <c r="P398" s="22" t="n">
        <v>3135</v>
      </c>
      <c r="Q398" s="22" t="n">
        <v>24233550</v>
      </c>
      <c r="R398" s="42">
        <f>+L398+N398-P398</f>
        <v/>
      </c>
      <c r="S398" s="42">
        <f>+M398+O398-Q398</f>
        <v/>
      </c>
    </row>
    <row r="399" ht="30" customHeight="1">
      <c r="A399" s="16" t="n">
        <v>45679</v>
      </c>
      <c r="B399" s="17" t="inlineStr">
        <is>
          <t>MH2501-60</t>
        </is>
      </c>
      <c r="C399" s="16" t="n">
        <v>45679</v>
      </c>
      <c r="D399" s="17" t="inlineStr">
        <is>
          <t>00000296</t>
        </is>
      </c>
      <c r="E399" s="16" t="n">
        <v>45679</v>
      </c>
      <c r="F399" s="16" t="inlineStr">
        <is>
          <t>XK2501-44</t>
        </is>
      </c>
      <c r="G399" s="16" t="n">
        <v>45679</v>
      </c>
      <c r="H399" s="18" t="inlineStr">
        <is>
          <t>CÔNG TY CỔ PHẦN CÔNG NGHIỆP VÀ THƯƠNG MẠI CƯỜNG THỊNH</t>
        </is>
      </c>
      <c r="I399" s="18" t="inlineStr">
        <is>
          <t>Đai ốc Din 934 8 ZP M20</t>
        </is>
      </c>
      <c r="J399" s="18" t="inlineStr">
        <is>
          <t>Cái</t>
        </is>
      </c>
      <c r="K399" s="19" t="n">
        <v>2030</v>
      </c>
      <c r="L399" s="20" t="n"/>
      <c r="M399" s="20" t="n"/>
      <c r="N399" s="22" t="n">
        <v>3135</v>
      </c>
      <c r="O399" s="22" t="n">
        <v>6364050</v>
      </c>
      <c r="P399" s="22" t="n">
        <v>3135</v>
      </c>
      <c r="Q399" s="22" t="n">
        <v>6364050</v>
      </c>
      <c r="R399" s="42">
        <f>+L399+N399-P399</f>
        <v/>
      </c>
      <c r="S399" s="42">
        <f>+M399+O399-Q399</f>
        <v/>
      </c>
    </row>
    <row r="400" ht="30" customHeight="1">
      <c r="A400" s="16" t="n">
        <v>45679</v>
      </c>
      <c r="B400" s="17" t="inlineStr">
        <is>
          <t>MH2501-60</t>
        </is>
      </c>
      <c r="C400" s="16" t="n">
        <v>45679</v>
      </c>
      <c r="D400" s="17" t="inlineStr">
        <is>
          <t>00000296</t>
        </is>
      </c>
      <c r="E400" s="16" t="n">
        <v>45679</v>
      </c>
      <c r="F400" s="16" t="inlineStr">
        <is>
          <t>XK2501-44</t>
        </is>
      </c>
      <c r="G400" s="16" t="n">
        <v>45679</v>
      </c>
      <c r="H400" s="18" t="inlineStr">
        <is>
          <t>CÔNG TY CỔ PHẦN CÔNG NGHIỆP VÀ THƯƠNG MẠI CƯỜNG THỊNH</t>
        </is>
      </c>
      <c r="I400" s="18" t="inlineStr">
        <is>
          <t>Long đền thường ZP M20B35D2</t>
        </is>
      </c>
      <c r="J400" s="18" t="inlineStr">
        <is>
          <t>Cái</t>
        </is>
      </c>
      <c r="K400" s="19" t="n">
        <v>350</v>
      </c>
      <c r="L400" s="20" t="n"/>
      <c r="M400" s="20" t="n"/>
      <c r="N400" s="22" t="n">
        <v>3135</v>
      </c>
      <c r="O400" s="22" t="n">
        <v>1097250</v>
      </c>
      <c r="P400" s="22" t="n">
        <v>3135</v>
      </c>
      <c r="Q400" s="22" t="n">
        <v>1097250</v>
      </c>
      <c r="R400" s="42">
        <f>+L400+N400-P400</f>
        <v/>
      </c>
      <c r="S400" s="42">
        <f>+M400+O400-Q400</f>
        <v/>
      </c>
    </row>
    <row r="401" ht="30" customHeight="1">
      <c r="A401" s="16" t="n">
        <v>45679</v>
      </c>
      <c r="B401" s="17" t="inlineStr">
        <is>
          <t>MH2501-60</t>
        </is>
      </c>
      <c r="C401" s="16" t="n">
        <v>45679</v>
      </c>
      <c r="D401" s="17" t="inlineStr">
        <is>
          <t>00000296</t>
        </is>
      </c>
      <c r="E401" s="16" t="n">
        <v>45679</v>
      </c>
      <c r="F401" s="16" t="inlineStr">
        <is>
          <t>XK2501-44</t>
        </is>
      </c>
      <c r="G401" s="16" t="n">
        <v>45679</v>
      </c>
      <c r="H401" s="18" t="inlineStr">
        <is>
          <t>CÔNG TY CỔ PHẦN CÔNG NGHIỆP VÀ THƯƠNG MẠI CƯỜNG THỊNH</t>
        </is>
      </c>
      <c r="I401" s="18" t="inlineStr">
        <is>
          <t>Bulong Din 933 8.8 ZP M24x70</t>
        </is>
      </c>
      <c r="J401" s="18" t="inlineStr">
        <is>
          <t>Cái</t>
        </is>
      </c>
      <c r="K401" s="19" t="n">
        <v>11010</v>
      </c>
      <c r="L401" s="20" t="n"/>
      <c r="M401" s="20" t="n"/>
      <c r="N401" s="22" t="n">
        <v>268</v>
      </c>
      <c r="O401" s="22" t="n">
        <v>2950680</v>
      </c>
      <c r="P401" s="22" t="n">
        <v>268</v>
      </c>
      <c r="Q401" s="22" t="n">
        <v>2950680</v>
      </c>
      <c r="R401" s="42">
        <f>+L401+N401-P401</f>
        <v/>
      </c>
      <c r="S401" s="42">
        <f>+M401+O401-Q401</f>
        <v/>
      </c>
    </row>
    <row r="402" ht="30" customHeight="1">
      <c r="A402" s="16" t="n">
        <v>45679</v>
      </c>
      <c r="B402" s="17" t="inlineStr">
        <is>
          <t>MH2501-60</t>
        </is>
      </c>
      <c r="C402" s="16" t="n">
        <v>45679</v>
      </c>
      <c r="D402" s="17" t="inlineStr">
        <is>
          <t>00000296</t>
        </is>
      </c>
      <c r="E402" s="16" t="n">
        <v>45679</v>
      </c>
      <c r="F402" s="16" t="inlineStr">
        <is>
          <t>XK2501-44</t>
        </is>
      </c>
      <c r="G402" s="16" t="n">
        <v>45679</v>
      </c>
      <c r="H402" s="18" t="inlineStr">
        <is>
          <t>CÔNG TY CỔ PHẦN CÔNG NGHIỆP VÀ THƯƠNG MẠI CƯỜNG THỊNH</t>
        </is>
      </c>
      <c r="I402" s="18" t="inlineStr">
        <is>
          <t>Đai ốc Din 934 8 ZP M24</t>
        </is>
      </c>
      <c r="J402" s="18" t="inlineStr">
        <is>
          <t>Cái</t>
        </is>
      </c>
      <c r="K402" s="19" t="n">
        <v>3500</v>
      </c>
      <c r="L402" s="20" t="n"/>
      <c r="M402" s="20" t="n"/>
      <c r="N402" s="22" t="n">
        <v>268</v>
      </c>
      <c r="O402" s="22" t="n">
        <v>938000</v>
      </c>
      <c r="P402" s="22" t="n">
        <v>268</v>
      </c>
      <c r="Q402" s="22" t="n">
        <v>938000</v>
      </c>
      <c r="R402" s="42">
        <f>+L402+N402-P402</f>
        <v/>
      </c>
      <c r="S402" s="42">
        <f>+M402+O402-Q402</f>
        <v/>
      </c>
    </row>
    <row r="403" ht="30" customHeight="1">
      <c r="A403" s="16" t="n">
        <v>45679</v>
      </c>
      <c r="B403" s="17" t="inlineStr">
        <is>
          <t>MH2501-60</t>
        </is>
      </c>
      <c r="C403" s="16" t="n">
        <v>45679</v>
      </c>
      <c r="D403" s="17" t="inlineStr">
        <is>
          <t>00000296</t>
        </is>
      </c>
      <c r="E403" s="16" t="n">
        <v>45679</v>
      </c>
      <c r="F403" s="16" t="inlineStr">
        <is>
          <t>XK2501-44</t>
        </is>
      </c>
      <c r="G403" s="16" t="n">
        <v>45679</v>
      </c>
      <c r="H403" s="18" t="inlineStr">
        <is>
          <t>CÔNG TY CỔ PHẦN CÔNG NGHIỆP VÀ THƯƠNG MẠI CƯỜNG THỊNH</t>
        </is>
      </c>
      <c r="I403" s="18" t="inlineStr">
        <is>
          <t>Long đền thường ZP M24B42D2</t>
        </is>
      </c>
      <c r="J403" s="18" t="inlineStr">
        <is>
          <t>Cái</t>
        </is>
      </c>
      <c r="K403" s="19" t="n">
        <v>710</v>
      </c>
      <c r="L403" s="20" t="n"/>
      <c r="M403" s="20" t="n"/>
      <c r="N403" s="22" t="n">
        <v>268</v>
      </c>
      <c r="O403" s="22" t="n">
        <v>190280</v>
      </c>
      <c r="P403" s="22" t="n">
        <v>268</v>
      </c>
      <c r="Q403" s="22" t="n">
        <v>190280</v>
      </c>
      <c r="R403" s="42">
        <f>+L403+N403-P403</f>
        <v/>
      </c>
      <c r="S403" s="42">
        <f>+M403+O403-Q403</f>
        <v/>
      </c>
    </row>
    <row r="404" ht="30" customHeight="1">
      <c r="A404" s="16" t="n">
        <v>45679</v>
      </c>
      <c r="B404" s="17" t="inlineStr">
        <is>
          <t>MH2501-60</t>
        </is>
      </c>
      <c r="C404" s="16" t="n">
        <v>45679</v>
      </c>
      <c r="D404" s="17" t="inlineStr">
        <is>
          <t>00000296</t>
        </is>
      </c>
      <c r="E404" s="16" t="n">
        <v>45679</v>
      </c>
      <c r="F404" s="16" t="inlineStr">
        <is>
          <t>XK2501-44</t>
        </is>
      </c>
      <c r="G404" s="16" t="n">
        <v>45679</v>
      </c>
      <c r="H404" s="18" t="inlineStr">
        <is>
          <t>CÔNG TY CỔ PHẦN CÔNG NGHIỆP VÀ THƯƠNG MẠI CƯỜNG THỊNH</t>
        </is>
      </c>
      <c r="I404" s="18" t="inlineStr">
        <is>
          <t>Bulong Din 933 8.8 ZP M24x90</t>
        </is>
      </c>
      <c r="J404" s="18" t="inlineStr">
        <is>
          <t>Cái</t>
        </is>
      </c>
      <c r="K404" s="19" t="n">
        <v>12950</v>
      </c>
      <c r="L404" s="20" t="n"/>
      <c r="M404" s="20" t="n"/>
      <c r="N404" s="22" t="n">
        <v>496</v>
      </c>
      <c r="O404" s="22" t="n">
        <v>6423200</v>
      </c>
      <c r="P404" s="22" t="n">
        <v>496</v>
      </c>
      <c r="Q404" s="22" t="n">
        <v>6423200</v>
      </c>
      <c r="R404" s="42">
        <f>+L404+N404-P404</f>
        <v/>
      </c>
      <c r="S404" s="42">
        <f>+M404+O404-Q404</f>
        <v/>
      </c>
    </row>
    <row r="405" ht="30" customHeight="1">
      <c r="A405" s="16" t="n">
        <v>45679</v>
      </c>
      <c r="B405" s="17" t="inlineStr">
        <is>
          <t>MH2501-60</t>
        </is>
      </c>
      <c r="C405" s="16" t="n">
        <v>45679</v>
      </c>
      <c r="D405" s="17" t="inlineStr">
        <is>
          <t>00000296</t>
        </is>
      </c>
      <c r="E405" s="16" t="n">
        <v>45679</v>
      </c>
      <c r="F405" s="16" t="inlineStr">
        <is>
          <t>XK2501-44</t>
        </is>
      </c>
      <c r="G405" s="16" t="n">
        <v>45679</v>
      </c>
      <c r="H405" s="18" t="inlineStr">
        <is>
          <t>CÔNG TY CỔ PHẦN CÔNG NGHIỆP VÀ THƯƠNG MẠI CƯỜNG THỊNH</t>
        </is>
      </c>
      <c r="I405" s="18" t="inlineStr">
        <is>
          <t>Đai ốc Din 934 8 ZP M24</t>
        </is>
      </c>
      <c r="J405" s="18" t="inlineStr">
        <is>
          <t>Cái</t>
        </is>
      </c>
      <c r="K405" s="19" t="n">
        <v>3500</v>
      </c>
      <c r="L405" s="20" t="n"/>
      <c r="M405" s="20" t="n"/>
      <c r="N405" s="22" t="n">
        <v>496</v>
      </c>
      <c r="O405" s="22" t="n">
        <v>1736000</v>
      </c>
      <c r="P405" s="22" t="n">
        <v>496</v>
      </c>
      <c r="Q405" s="22" t="n">
        <v>1736000</v>
      </c>
      <c r="R405" s="42">
        <f>+L405+N405-P405</f>
        <v/>
      </c>
      <c r="S405" s="42">
        <f>+M405+O405-Q405</f>
        <v/>
      </c>
    </row>
    <row r="406" ht="30" customHeight="1">
      <c r="A406" s="16" t="n">
        <v>45679</v>
      </c>
      <c r="B406" s="17" t="inlineStr">
        <is>
          <t>MH2501-60</t>
        </is>
      </c>
      <c r="C406" s="16" t="n">
        <v>45679</v>
      </c>
      <c r="D406" s="17" t="inlineStr">
        <is>
          <t>00000296</t>
        </is>
      </c>
      <c r="E406" s="16" t="n">
        <v>45679</v>
      </c>
      <c r="F406" s="16" t="inlineStr">
        <is>
          <t>XK2501-44</t>
        </is>
      </c>
      <c r="G406" s="16" t="n">
        <v>45679</v>
      </c>
      <c r="H406" s="18" t="inlineStr">
        <is>
          <t>CÔNG TY CỔ PHẦN CÔNG NGHIỆP VÀ THƯƠNG MẠI CƯỜNG THỊNH</t>
        </is>
      </c>
      <c r="I406" s="18" t="inlineStr">
        <is>
          <t>Long đền thường ZP M24B42D2</t>
        </is>
      </c>
      <c r="J406" s="18" t="inlineStr">
        <is>
          <t>Cái</t>
        </is>
      </c>
      <c r="K406" s="19" t="n">
        <v>710</v>
      </c>
      <c r="L406" s="20" t="n"/>
      <c r="M406" s="20" t="n"/>
      <c r="N406" s="22" t="n">
        <v>496</v>
      </c>
      <c r="O406" s="22" t="n">
        <v>352160</v>
      </c>
      <c r="P406" s="22" t="n">
        <v>496</v>
      </c>
      <c r="Q406" s="22" t="n">
        <v>352160</v>
      </c>
      <c r="R406" s="42">
        <f>+L406+N406-P406</f>
        <v/>
      </c>
      <c r="S406" s="42">
        <f>+M406+O406-Q406</f>
        <v/>
      </c>
    </row>
    <row r="407" ht="30" customHeight="1">
      <c r="A407" s="16" t="n">
        <v>45679</v>
      </c>
      <c r="B407" s="17" t="inlineStr">
        <is>
          <t>MH2501-60</t>
        </is>
      </c>
      <c r="C407" s="16" t="n">
        <v>45679</v>
      </c>
      <c r="D407" s="17" t="inlineStr">
        <is>
          <t>00000296</t>
        </is>
      </c>
      <c r="E407" s="16" t="n">
        <v>45679</v>
      </c>
      <c r="F407" s="16" t="inlineStr">
        <is>
          <t>XK2501-44</t>
        </is>
      </c>
      <c r="G407" s="16" t="n">
        <v>45679</v>
      </c>
      <c r="H407" s="18" t="inlineStr">
        <is>
          <t>CÔNG TY CỔ PHẦN CÔNG NGHIỆP VÀ THƯƠNG MẠI CƯỜNG THỊNH</t>
        </is>
      </c>
      <c r="I407" s="18" t="inlineStr">
        <is>
          <t>Bulong thường 4.6 ZP M12x30</t>
        </is>
      </c>
      <c r="J407" s="18" t="inlineStr">
        <is>
          <t>Cái</t>
        </is>
      </c>
      <c r="K407" s="19" t="n">
        <v>950</v>
      </c>
      <c r="L407" s="20" t="n"/>
      <c r="M407" s="20" t="n"/>
      <c r="N407" s="22" t="n">
        <v>24107</v>
      </c>
      <c r="O407" s="22" t="n">
        <v>22901650</v>
      </c>
      <c r="P407" s="22" t="n">
        <v>24107</v>
      </c>
      <c r="Q407" s="22" t="n">
        <v>22901650</v>
      </c>
      <c r="R407" s="42">
        <f>+L407+N407-P407</f>
        <v/>
      </c>
      <c r="S407" s="42">
        <f>+M407+O407-Q407</f>
        <v/>
      </c>
    </row>
    <row r="408" ht="30" customHeight="1">
      <c r="A408" s="16" t="n">
        <v>45679</v>
      </c>
      <c r="B408" s="17" t="inlineStr">
        <is>
          <t>MH2501-60</t>
        </is>
      </c>
      <c r="C408" s="16" t="n">
        <v>45679</v>
      </c>
      <c r="D408" s="17" t="inlineStr">
        <is>
          <t>00000296</t>
        </is>
      </c>
      <c r="E408" s="16" t="n">
        <v>45679</v>
      </c>
      <c r="F408" s="16" t="inlineStr">
        <is>
          <t>XK2501-44</t>
        </is>
      </c>
      <c r="G408" s="16" t="n">
        <v>45679</v>
      </c>
      <c r="H408" s="18" t="inlineStr">
        <is>
          <t>CÔNG TY CỔ PHẦN CÔNG NGHIỆP VÀ THƯƠNG MẠI CƯỜNG THỊNH</t>
        </is>
      </c>
      <c r="I408" s="18" t="inlineStr">
        <is>
          <t>Đai ốc thường 4 ZP M12 (9mm)</t>
        </is>
      </c>
      <c r="J408" s="18" t="inlineStr">
        <is>
          <t>Cái</t>
        </is>
      </c>
      <c r="K408" s="19" t="n">
        <v>360</v>
      </c>
      <c r="L408" s="20" t="n"/>
      <c r="M408" s="20" t="n"/>
      <c r="N408" s="22" t="n">
        <v>24107</v>
      </c>
      <c r="O408" s="22" t="n">
        <v>8678520</v>
      </c>
      <c r="P408" s="22" t="n">
        <v>24107</v>
      </c>
      <c r="Q408" s="22" t="n">
        <v>8678520</v>
      </c>
      <c r="R408" s="42">
        <f>+L408+N408-P408</f>
        <v/>
      </c>
      <c r="S408" s="42">
        <f>+M408+O408-Q408</f>
        <v/>
      </c>
    </row>
    <row r="409" ht="30" customHeight="1">
      <c r="A409" s="16" t="n">
        <v>45679</v>
      </c>
      <c r="B409" s="17" t="inlineStr">
        <is>
          <t>MH2501-60</t>
        </is>
      </c>
      <c r="C409" s="16" t="n">
        <v>45679</v>
      </c>
      <c r="D409" s="17" t="inlineStr">
        <is>
          <t>00000296</t>
        </is>
      </c>
      <c r="E409" s="16" t="n">
        <v>45679</v>
      </c>
      <c r="F409" s="16" t="inlineStr">
        <is>
          <t>XK2501-44</t>
        </is>
      </c>
      <c r="G409" s="16" t="n">
        <v>45679</v>
      </c>
      <c r="H409" s="18" t="inlineStr">
        <is>
          <t>CÔNG TY CỔ PHẦN CÔNG NGHIỆP VÀ THƯƠNG MẠI CƯỜNG THỊNH</t>
        </is>
      </c>
      <c r="I409" s="18" t="inlineStr">
        <is>
          <t>Long đền thường ZP M12B23D1</t>
        </is>
      </c>
      <c r="J409" s="18" t="inlineStr">
        <is>
          <t>Cái</t>
        </is>
      </c>
      <c r="K409" s="19" t="n">
        <v>100</v>
      </c>
      <c r="L409" s="20" t="n"/>
      <c r="M409" s="20" t="n"/>
      <c r="N409" s="22" t="n">
        <v>48214</v>
      </c>
      <c r="O409" s="22" t="n">
        <v>4821400</v>
      </c>
      <c r="P409" s="22" t="n">
        <v>48214</v>
      </c>
      <c r="Q409" s="22" t="n">
        <v>4821400</v>
      </c>
      <c r="R409" s="42">
        <f>+L409+N409-P409</f>
        <v/>
      </c>
      <c r="S409" s="42">
        <f>+M409+O409-Q409</f>
        <v/>
      </c>
    </row>
    <row r="410" ht="30" customHeight="1">
      <c r="A410" s="16" t="n">
        <v>45679</v>
      </c>
      <c r="B410" s="17" t="inlineStr">
        <is>
          <t>MH2501-61</t>
        </is>
      </c>
      <c r="C410" s="16" t="n">
        <v>45679</v>
      </c>
      <c r="D410" s="17" t="inlineStr">
        <is>
          <t>00000297</t>
        </is>
      </c>
      <c r="E410" s="16" t="n">
        <v>45679</v>
      </c>
      <c r="F410" s="16" t="inlineStr">
        <is>
          <t>XK2501-45</t>
        </is>
      </c>
      <c r="G410" s="16" t="n">
        <v>45679</v>
      </c>
      <c r="H410" s="18" t="inlineStr">
        <is>
          <t>CÔNG TY CỔ PHẦN CÔNG NGHIỆP VÀ THƯƠNG MẠI CƯỜNG THỊNH</t>
        </is>
      </c>
      <c r="I410" s="18" t="inlineStr">
        <is>
          <t>Ty giằng 2 đầu ren 4.6 ZP M16</t>
        </is>
      </c>
      <c r="J410" s="18" t="inlineStr">
        <is>
          <t>Mét</t>
        </is>
      </c>
      <c r="K410" s="19" t="n">
        <v>48000</v>
      </c>
      <c r="L410" s="20" t="n"/>
      <c r="M410" s="20" t="n"/>
      <c r="N410" s="22" t="n">
        <v>96.37</v>
      </c>
      <c r="O410" s="22" t="n">
        <v>4625760</v>
      </c>
      <c r="P410" s="22" t="n">
        <v>96.37</v>
      </c>
      <c r="Q410" s="22" t="n">
        <v>4625760</v>
      </c>
      <c r="R410" s="42">
        <f>+L410+N410-P410</f>
        <v/>
      </c>
      <c r="S410" s="42">
        <f>+M410+O410-Q410</f>
        <v/>
      </c>
    </row>
    <row r="411" ht="30" customHeight="1">
      <c r="A411" s="16" t="n">
        <v>45679</v>
      </c>
      <c r="B411" s="17" t="inlineStr">
        <is>
          <t>MH2501-61</t>
        </is>
      </c>
      <c r="C411" s="16" t="n">
        <v>45679</v>
      </c>
      <c r="D411" s="17" t="inlineStr">
        <is>
          <t>00000297</t>
        </is>
      </c>
      <c r="E411" s="16" t="n">
        <v>45679</v>
      </c>
      <c r="F411" s="16" t="inlineStr">
        <is>
          <t>XK2501-45</t>
        </is>
      </c>
      <c r="G411" s="16" t="n">
        <v>45679</v>
      </c>
      <c r="H411" s="18" t="inlineStr">
        <is>
          <t>CÔNG TY CỔ PHẦN CÔNG NGHIỆP VÀ THƯƠNG MẠI CƯỜNG THỊNH</t>
        </is>
      </c>
      <c r="I411" s="18" t="inlineStr">
        <is>
          <t>Đai ốc Din 934 5 ZP M16</t>
        </is>
      </c>
      <c r="J411" s="18" t="inlineStr">
        <is>
          <t>Cái</t>
        </is>
      </c>
      <c r="K411" s="19" t="n">
        <v>1110</v>
      </c>
      <c r="L411" s="20" t="n"/>
      <c r="M411" s="20" t="n"/>
      <c r="N411" s="22" t="n">
        <v>52</v>
      </c>
      <c r="O411" s="22" t="n">
        <v>57720</v>
      </c>
      <c r="P411" s="22" t="n">
        <v>52</v>
      </c>
      <c r="Q411" s="22" t="n">
        <v>57720</v>
      </c>
      <c r="R411" s="42">
        <f>+L411+N411-P411</f>
        <v/>
      </c>
      <c r="S411" s="42">
        <f>+M411+O411-Q411</f>
        <v/>
      </c>
    </row>
    <row r="412" ht="30" customHeight="1">
      <c r="A412" s="16" t="n">
        <v>45679</v>
      </c>
      <c r="B412" s="17" t="inlineStr">
        <is>
          <t>MH2501-61</t>
        </is>
      </c>
      <c r="C412" s="16" t="n">
        <v>45679</v>
      </c>
      <c r="D412" s="17" t="inlineStr">
        <is>
          <t>00000297</t>
        </is>
      </c>
      <c r="E412" s="16" t="n">
        <v>45679</v>
      </c>
      <c r="F412" s="16" t="inlineStr">
        <is>
          <t>XK2501-45</t>
        </is>
      </c>
      <c r="G412" s="16" t="n">
        <v>45679</v>
      </c>
      <c r="H412" s="18" t="inlineStr">
        <is>
          <t>CÔNG TY CỔ PHẦN CÔNG NGHIỆP VÀ THƯƠNG MẠI CƯỜNG THỊNH</t>
        </is>
      </c>
      <c r="I412" s="18" t="inlineStr">
        <is>
          <t>Long đền thường ZP M16B42D2</t>
        </is>
      </c>
      <c r="J412" s="18" t="inlineStr">
        <is>
          <t>Cái</t>
        </is>
      </c>
      <c r="K412" s="19" t="n">
        <v>800</v>
      </c>
      <c r="L412" s="20" t="n"/>
      <c r="M412" s="20" t="n"/>
      <c r="N412" s="22" t="n">
        <v>52</v>
      </c>
      <c r="O412" s="22" t="n">
        <v>41600</v>
      </c>
      <c r="P412" s="22" t="n">
        <v>52</v>
      </c>
      <c r="Q412" s="22" t="n">
        <v>41600</v>
      </c>
      <c r="R412" s="42">
        <f>+L412+N412-P412</f>
        <v/>
      </c>
      <c r="S412" s="42">
        <f>+M412+O412-Q412</f>
        <v/>
      </c>
    </row>
    <row r="413" ht="30" customHeight="1">
      <c r="A413" s="16" t="n">
        <v>45679</v>
      </c>
      <c r="B413" s="17" t="inlineStr">
        <is>
          <t>MH2501-61</t>
        </is>
      </c>
      <c r="C413" s="16" t="n">
        <v>45679</v>
      </c>
      <c r="D413" s="17" t="inlineStr">
        <is>
          <t>00000297</t>
        </is>
      </c>
      <c r="E413" s="16" t="n">
        <v>45679</v>
      </c>
      <c r="F413" s="16" t="inlineStr">
        <is>
          <t>XK2501-45</t>
        </is>
      </c>
      <c r="G413" s="16" t="n">
        <v>45679</v>
      </c>
      <c r="H413" s="18" t="inlineStr">
        <is>
          <t>CÔNG TY CỔ PHẦN CÔNG NGHIỆP VÀ THƯƠNG MẠI CƯỜNG THỊNH</t>
        </is>
      </c>
      <c r="I413" s="18" t="inlineStr">
        <is>
          <t>Long đền móng ngựa ZP M16</t>
        </is>
      </c>
      <c r="J413" s="18" t="inlineStr">
        <is>
          <t>Cái</t>
        </is>
      </c>
      <c r="K413" s="19" t="n">
        <v>15670</v>
      </c>
      <c r="L413" s="20" t="n"/>
      <c r="M413" s="20" t="n"/>
      <c r="N413" s="22" t="n">
        <v>52</v>
      </c>
      <c r="O413" s="22" t="n">
        <v>814840</v>
      </c>
      <c r="P413" s="22" t="n">
        <v>52</v>
      </c>
      <c r="Q413" s="22" t="n">
        <v>814840</v>
      </c>
      <c r="R413" s="42">
        <f>+L413+N413-P413</f>
        <v/>
      </c>
      <c r="S413" s="42">
        <f>+M413+O413-Q413</f>
        <v/>
      </c>
    </row>
    <row r="414" ht="15" customHeight="1">
      <c r="A414" s="16" t="n">
        <v>45691</v>
      </c>
      <c r="B414" s="17" t="inlineStr">
        <is>
          <t>MH2502-01A</t>
        </is>
      </c>
      <c r="C414" s="16" t="n">
        <v>45691</v>
      </c>
      <c r="D414" s="18" t="inlineStr">
        <is>
          <t>00000946</t>
        </is>
      </c>
      <c r="E414" s="16" t="n">
        <v>45691</v>
      </c>
      <c r="F414" s="16" t="inlineStr">
        <is>
          <t>XK2502-01</t>
        </is>
      </c>
      <c r="G414" s="16" t="n">
        <v>45691</v>
      </c>
      <c r="H414" s="17" t="inlineStr">
        <is>
          <t>CÔNG TY TNHH SƠN JOTUN VIỆT NAM</t>
        </is>
      </c>
      <c r="I414" s="18" t="inlineStr">
        <is>
          <t>SƠN FUTURA CLASSIC STD7395 19.15L</t>
        </is>
      </c>
      <c r="J414" s="18" t="inlineStr">
        <is>
          <t>Thùng</t>
        </is>
      </c>
      <c r="K414" s="19" t="n">
        <v>155000</v>
      </c>
      <c r="L414" s="21" t="n"/>
      <c r="M414" s="22" t="n"/>
      <c r="N414" s="22" t="n">
        <v>306.4</v>
      </c>
      <c r="O414" s="22" t="n">
        <v>47492000</v>
      </c>
      <c r="P414" s="22" t="n">
        <v>306.4</v>
      </c>
      <c r="Q414" s="22" t="n">
        <v>47492000</v>
      </c>
      <c r="R414" s="42">
        <f>+L414+N414-P414</f>
        <v/>
      </c>
      <c r="S414" s="42">
        <f>+M414+O414-Q414</f>
        <v/>
      </c>
    </row>
    <row r="415" ht="15" customHeight="1">
      <c r="A415" s="16" t="n">
        <v>45691</v>
      </c>
      <c r="B415" s="17" t="inlineStr">
        <is>
          <t>MH2502-01A</t>
        </is>
      </c>
      <c r="C415" s="16" t="n">
        <v>45691</v>
      </c>
      <c r="D415" s="18" t="inlineStr">
        <is>
          <t>00000946</t>
        </is>
      </c>
      <c r="E415" s="16" t="n">
        <v>45691</v>
      </c>
      <c r="F415" s="16" t="inlineStr">
        <is>
          <t>XK2502-01</t>
        </is>
      </c>
      <c r="G415" s="16" t="n">
        <v>45691</v>
      </c>
      <c r="H415" s="17" t="inlineStr">
        <is>
          <t>CÔNG TY TNHH SƠN JOTUN VIỆT NAM</t>
        </is>
      </c>
      <c r="I415" s="18" t="inlineStr">
        <is>
          <t>SƠN FUTURA CLASSIC STD7395 4.79L</t>
        </is>
      </c>
      <c r="J415" s="18" t="inlineStr">
        <is>
          <t>Thùng</t>
        </is>
      </c>
      <c r="K415" s="19" t="n">
        <v>155000</v>
      </c>
      <c r="L415" s="21" t="n"/>
      <c r="M415" s="22" t="n"/>
      <c r="N415" s="22" t="n">
        <v>23.95</v>
      </c>
      <c r="O415" s="22" t="n">
        <v>3712250</v>
      </c>
      <c r="P415" s="22" t="n">
        <v>23.95</v>
      </c>
      <c r="Q415" s="22" t="n">
        <v>3712250</v>
      </c>
      <c r="R415" s="42">
        <f>+L415+N415-P415</f>
        <v/>
      </c>
      <c r="S415" s="42">
        <f>+M415+O415-Q415</f>
        <v/>
      </c>
    </row>
    <row r="416" ht="15" customHeight="1">
      <c r="A416" s="16" t="n">
        <v>45691</v>
      </c>
      <c r="B416" s="17" t="inlineStr">
        <is>
          <t>MH2502-01A</t>
        </is>
      </c>
      <c r="C416" s="16" t="n">
        <v>45691</v>
      </c>
      <c r="D416" s="18" t="inlineStr">
        <is>
          <t>00000947</t>
        </is>
      </c>
      <c r="E416" s="16" t="n">
        <v>45691</v>
      </c>
      <c r="F416" s="16" t="inlineStr">
        <is>
          <t>XK2502-02</t>
        </is>
      </c>
      <c r="G416" s="16" t="n">
        <v>45691</v>
      </c>
      <c r="H416" s="17" t="inlineStr">
        <is>
          <t>CÔNG TY TNHH SƠN JOTUN VIỆT NAM</t>
        </is>
      </c>
      <c r="I416" s="18" t="inlineStr">
        <is>
          <t>SƠN JOTAMASTIC 70 GREY 18L</t>
        </is>
      </c>
      <c r="J416" s="18" t="inlineStr">
        <is>
          <t>Thùng</t>
        </is>
      </c>
      <c r="K416" s="19" t="n">
        <v>90000</v>
      </c>
      <c r="L416" s="21" t="n"/>
      <c r="M416" s="22" t="n"/>
      <c r="N416" s="22" t="n">
        <v>342</v>
      </c>
      <c r="O416" s="22" t="n">
        <v>30780000</v>
      </c>
      <c r="P416" s="22" t="n">
        <v>342</v>
      </c>
      <c r="Q416" s="22" t="n">
        <v>30780000</v>
      </c>
      <c r="R416" s="42">
        <f>+L416+N416-P416</f>
        <v/>
      </c>
      <c r="S416" s="42">
        <f>+M416+O416-Q416</f>
        <v/>
      </c>
    </row>
    <row r="417" ht="30" customHeight="1">
      <c r="A417" s="16" t="n">
        <v>45695</v>
      </c>
      <c r="B417" s="17" t="inlineStr">
        <is>
          <t>MH2502-01</t>
        </is>
      </c>
      <c r="C417" s="16" t="n">
        <v>45695</v>
      </c>
      <c r="D417" s="18" t="inlineStr">
        <is>
          <t>00000092</t>
        </is>
      </c>
      <c r="E417" s="16" t="n">
        <v>45695</v>
      </c>
      <c r="F417" s="16" t="inlineStr">
        <is>
          <t>XK2502-03</t>
        </is>
      </c>
      <c r="G417" s="16" t="n">
        <v>45695</v>
      </c>
      <c r="H417" s="17" t="inlineStr">
        <is>
          <t>CÔNG TY TNHH DỊCH VỤ - THƯƠNG MẠI THÉP THIÊN LONG</t>
        </is>
      </c>
      <c r="I417" s="18" t="inlineStr">
        <is>
          <t>Thép tấm</t>
        </is>
      </c>
      <c r="J417" s="18" t="inlineStr">
        <is>
          <t>kg</t>
        </is>
      </c>
      <c r="K417" s="19" t="n">
        <v>13500</v>
      </c>
      <c r="L417" s="21" t="n"/>
      <c r="M417" s="22" t="n"/>
      <c r="N417" s="22" t="n">
        <v>10597.5</v>
      </c>
      <c r="O417" s="22" t="n">
        <v>143066250</v>
      </c>
      <c r="P417" s="22" t="n">
        <v>10597.5</v>
      </c>
      <c r="Q417" s="22" t="n">
        <v>143066250</v>
      </c>
      <c r="R417" s="42">
        <f>+L417+N417-P417</f>
        <v/>
      </c>
      <c r="S417" s="42">
        <f>+M417+O417-Q417</f>
        <v/>
      </c>
    </row>
    <row r="418" ht="15" customHeight="1">
      <c r="A418" s="16" t="n">
        <v>45698</v>
      </c>
      <c r="B418" s="17" t="inlineStr">
        <is>
          <t>MH2502-02</t>
        </is>
      </c>
      <c r="C418" s="16" t="n">
        <v>45698</v>
      </c>
      <c r="D418" s="18" t="inlineStr">
        <is>
          <t>00001107</t>
        </is>
      </c>
      <c r="E418" s="16" t="n">
        <v>45698</v>
      </c>
      <c r="F418" s="16" t="inlineStr">
        <is>
          <t>XK2502-04</t>
        </is>
      </c>
      <c r="G418" s="16" t="n">
        <v>45698</v>
      </c>
      <c r="H418" s="17" t="inlineStr">
        <is>
          <t>CÔNG TY TNHH SƠN JOTUN VIỆT NAM</t>
        </is>
      </c>
      <c r="I418" s="18" t="inlineStr">
        <is>
          <t>SƠN JOTAMASTIC 70 RED 18L</t>
        </is>
      </c>
      <c r="J418" s="18" t="inlineStr">
        <is>
          <t>Thùng</t>
        </is>
      </c>
      <c r="K418" s="19" t="n">
        <v>90000</v>
      </c>
      <c r="L418" s="21" t="n"/>
      <c r="M418" s="22" t="n"/>
      <c r="N418" s="22" t="n">
        <v>198</v>
      </c>
      <c r="O418" s="22" t="n">
        <v>17820000</v>
      </c>
      <c r="P418" s="22" t="n">
        <v>198</v>
      </c>
      <c r="Q418" s="22" t="n">
        <v>17820000</v>
      </c>
      <c r="R418" s="42">
        <f>+L418+N418-P418</f>
        <v/>
      </c>
      <c r="S418" s="42">
        <f>+M418+O418-Q418</f>
        <v/>
      </c>
    </row>
    <row r="419" ht="15" customHeight="1">
      <c r="A419" s="16" t="n">
        <v>45698</v>
      </c>
      <c r="B419" s="17" t="inlineStr">
        <is>
          <t>MH2502-02</t>
        </is>
      </c>
      <c r="C419" s="16" t="n">
        <v>45698</v>
      </c>
      <c r="D419" s="18" t="inlineStr">
        <is>
          <t>00001107</t>
        </is>
      </c>
      <c r="E419" s="16" t="n">
        <v>45698</v>
      </c>
      <c r="F419" s="16" t="inlineStr">
        <is>
          <t>XK2502-04</t>
        </is>
      </c>
      <c r="G419" s="16" t="n">
        <v>45698</v>
      </c>
      <c r="H419" s="17" t="inlineStr">
        <is>
          <t>CÔNG TY TNHH SƠN JOTUN VIỆT NAM</t>
        </is>
      </c>
      <c r="I419" s="18" t="inlineStr">
        <is>
          <t>DUNG MÔI JOTUN THINNER NO. 17 20L</t>
        </is>
      </c>
      <c r="J419" s="18" t="inlineStr">
        <is>
          <t>Thùng</t>
        </is>
      </c>
      <c r="K419" s="19" t="n">
        <v>60000</v>
      </c>
      <c r="L419" s="21" t="n"/>
      <c r="M419" s="22" t="n"/>
      <c r="N419" s="22" t="n">
        <v>20</v>
      </c>
      <c r="O419" s="22" t="n">
        <v>1200000</v>
      </c>
      <c r="P419" s="22" t="n">
        <v>20</v>
      </c>
      <c r="Q419" s="22" t="n">
        <v>1200000</v>
      </c>
      <c r="R419" s="42">
        <f>+L419+N419-P419</f>
        <v/>
      </c>
      <c r="S419" s="42">
        <f>+M419+O419-Q419</f>
        <v/>
      </c>
    </row>
    <row r="420" ht="15" customHeight="1">
      <c r="A420" s="16" t="n">
        <v>45698</v>
      </c>
      <c r="B420" s="17" t="inlineStr">
        <is>
          <t>MH2502-02</t>
        </is>
      </c>
      <c r="C420" s="16" t="n">
        <v>45698</v>
      </c>
      <c r="D420" s="18" t="inlineStr">
        <is>
          <t>00001107</t>
        </is>
      </c>
      <c r="E420" s="16" t="n">
        <v>45698</v>
      </c>
      <c r="F420" s="16" t="inlineStr">
        <is>
          <t>XK2502-04</t>
        </is>
      </c>
      <c r="G420" s="16" t="n">
        <v>45698</v>
      </c>
      <c r="H420" s="17" t="inlineStr">
        <is>
          <t>CÔNG TY TNHH SƠN JOTUN VIỆT NAM</t>
        </is>
      </c>
      <c r="I420" s="18" t="inlineStr">
        <is>
          <t>DUNG MÔI JOTUN THINNER NO. 17 5L</t>
        </is>
      </c>
      <c r="J420" s="18" t="inlineStr">
        <is>
          <t>Thùng</t>
        </is>
      </c>
      <c r="K420" s="19" t="n">
        <v>60000</v>
      </c>
      <c r="L420" s="21" t="n"/>
      <c r="M420" s="22" t="n"/>
      <c r="N420" s="22" t="n">
        <v>10</v>
      </c>
      <c r="O420" s="22" t="n">
        <v>600000</v>
      </c>
      <c r="P420" s="22" t="n">
        <v>10</v>
      </c>
      <c r="Q420" s="22" t="n">
        <v>600000</v>
      </c>
      <c r="R420" s="42">
        <f>+L420+N420-P420</f>
        <v/>
      </c>
      <c r="S420" s="42">
        <f>+M420+O420-Q420</f>
        <v/>
      </c>
    </row>
    <row r="421" ht="15" customHeight="1">
      <c r="A421" s="16" t="n">
        <v>45699</v>
      </c>
      <c r="B421" s="17" t="inlineStr">
        <is>
          <t>MH2502-03</t>
        </is>
      </c>
      <c r="C421" s="16" t="n">
        <v>45699</v>
      </c>
      <c r="D421" s="18" t="inlineStr">
        <is>
          <t>00001159</t>
        </is>
      </c>
      <c r="E421" s="16" t="n">
        <v>45699</v>
      </c>
      <c r="F421" s="16" t="inlineStr">
        <is>
          <t>XK2502-05</t>
        </is>
      </c>
      <c r="G421" s="16" t="n">
        <v>45699</v>
      </c>
      <c r="H421" s="17" t="inlineStr">
        <is>
          <t>CÔNG TY TNHH SƠN JOTUN VIỆT NAM</t>
        </is>
      </c>
      <c r="I421" s="18" t="inlineStr">
        <is>
          <t>SƠN JOTAMASTIC 70 GREY 18L</t>
        </is>
      </c>
      <c r="J421" s="18" t="inlineStr">
        <is>
          <t>Lít</t>
        </is>
      </c>
      <c r="K421" s="19" t="n">
        <v>90000</v>
      </c>
      <c r="L421" s="21" t="n"/>
      <c r="M421" s="22" t="n"/>
      <c r="N421" s="22" t="n">
        <v>1674</v>
      </c>
      <c r="O421" s="22" t="n">
        <v>150660000</v>
      </c>
      <c r="P421" s="22" t="n">
        <v>1674</v>
      </c>
      <c r="Q421" s="22" t="n">
        <v>150660000</v>
      </c>
      <c r="R421" s="42">
        <f>+L421+N421-P421</f>
        <v/>
      </c>
      <c r="S421" s="42">
        <f>+M421+O421-Q421</f>
        <v/>
      </c>
    </row>
    <row r="422" ht="15" customHeight="1">
      <c r="A422" s="16" t="n">
        <v>45699</v>
      </c>
      <c r="B422" s="17" t="inlineStr">
        <is>
          <t>MH2502-03</t>
        </is>
      </c>
      <c r="C422" s="16" t="n">
        <v>45699</v>
      </c>
      <c r="D422" s="18" t="inlineStr">
        <is>
          <t>00001159</t>
        </is>
      </c>
      <c r="E422" s="16" t="n">
        <v>45699</v>
      </c>
      <c r="F422" s="16" t="inlineStr">
        <is>
          <t>XK2502-05</t>
        </is>
      </c>
      <c r="G422" s="16" t="n">
        <v>45699</v>
      </c>
      <c r="H422" s="17" t="inlineStr">
        <is>
          <t>CÔNG TY TNHH SƠN JOTUN VIỆT NAM</t>
        </is>
      </c>
      <c r="I422" s="18" t="inlineStr">
        <is>
          <t>SƠN FUTURA CLASSIC RAL5011 19.97L</t>
        </is>
      </c>
      <c r="J422" s="18" t="inlineStr">
        <is>
          <t>Lít</t>
        </is>
      </c>
      <c r="K422" s="19" t="n">
        <v>155000</v>
      </c>
      <c r="L422" s="21" t="n"/>
      <c r="M422" s="22" t="n"/>
      <c r="N422" s="22" t="n">
        <v>1238.14</v>
      </c>
      <c r="O422" s="22" t="n">
        <v>191911700</v>
      </c>
      <c r="P422" s="22" t="n">
        <v>1238.14</v>
      </c>
      <c r="Q422" s="22" t="n">
        <v>191911700</v>
      </c>
      <c r="R422" s="42">
        <f>+L422+N422-P422</f>
        <v/>
      </c>
      <c r="S422" s="42">
        <f>+M422+O422-Q422</f>
        <v/>
      </c>
    </row>
    <row r="423" ht="15" customHeight="1">
      <c r="A423" s="16" t="n">
        <v>45699</v>
      </c>
      <c r="B423" s="17" t="inlineStr">
        <is>
          <t>MH2502-03</t>
        </is>
      </c>
      <c r="C423" s="16" t="n">
        <v>45699</v>
      </c>
      <c r="D423" s="18" t="inlineStr">
        <is>
          <t>00001159</t>
        </is>
      </c>
      <c r="E423" s="16" t="n">
        <v>45699</v>
      </c>
      <c r="F423" s="16" t="inlineStr">
        <is>
          <t>XK2502-05</t>
        </is>
      </c>
      <c r="G423" s="16" t="n">
        <v>45699</v>
      </c>
      <c r="H423" s="17" t="inlineStr">
        <is>
          <t>CÔNG TY TNHH SƠN JOTUN VIỆT NAM</t>
        </is>
      </c>
      <c r="I423" s="18" t="inlineStr">
        <is>
          <t>SƠN FUTURA CLASSIC RAL 5011 4.99L</t>
        </is>
      </c>
      <c r="J423" s="18" t="inlineStr">
        <is>
          <t>Lít</t>
        </is>
      </c>
      <c r="K423" s="19" t="n">
        <v>155000</v>
      </c>
      <c r="L423" s="21" t="n"/>
      <c r="M423" s="22" t="n"/>
      <c r="N423" s="22" t="n">
        <v>24.95</v>
      </c>
      <c r="O423" s="22" t="n">
        <v>3867250</v>
      </c>
      <c r="P423" s="22" t="n">
        <v>24.95</v>
      </c>
      <c r="Q423" s="22" t="n">
        <v>3867250</v>
      </c>
      <c r="R423" s="42">
        <f>+L423+N423-P423</f>
        <v/>
      </c>
      <c r="S423" s="42">
        <f>+M423+O423-Q423</f>
        <v/>
      </c>
    </row>
    <row r="424" ht="15" customHeight="1">
      <c r="A424" s="16" t="n">
        <v>45699</v>
      </c>
      <c r="B424" s="17" t="inlineStr">
        <is>
          <t>MH2502-03</t>
        </is>
      </c>
      <c r="C424" s="16" t="n">
        <v>45699</v>
      </c>
      <c r="D424" s="18" t="inlineStr">
        <is>
          <t>00001159</t>
        </is>
      </c>
      <c r="E424" s="16" t="n">
        <v>45699</v>
      </c>
      <c r="F424" s="16" t="inlineStr">
        <is>
          <t>XK2502-05</t>
        </is>
      </c>
      <c r="G424" s="16" t="n">
        <v>45699</v>
      </c>
      <c r="H424" s="17" t="inlineStr">
        <is>
          <t>CÔNG TY TNHH SƠN JOTUN VIỆT NAM</t>
        </is>
      </c>
      <c r="I424" s="18" t="inlineStr">
        <is>
          <t>DUNG MÔI JOTUN THINNER NO. 17 20L</t>
        </is>
      </c>
      <c r="J424" s="18" t="inlineStr">
        <is>
          <t>Lít</t>
        </is>
      </c>
      <c r="K424" s="19" t="n">
        <v>60000</v>
      </c>
      <c r="L424" s="21" t="n"/>
      <c r="M424" s="22" t="n"/>
      <c r="N424" s="22" t="n">
        <v>440</v>
      </c>
      <c r="O424" s="22" t="n">
        <v>26400000</v>
      </c>
      <c r="P424" s="22" t="n">
        <v>440</v>
      </c>
      <c r="Q424" s="22" t="n">
        <v>26400000</v>
      </c>
      <c r="R424" s="42">
        <f>+L424+N424-P424</f>
        <v/>
      </c>
      <c r="S424" s="42">
        <f>+M424+O424-Q424</f>
        <v/>
      </c>
    </row>
    <row r="425" ht="15" customHeight="1">
      <c r="A425" s="16" t="n">
        <v>45699</v>
      </c>
      <c r="B425" s="17" t="inlineStr">
        <is>
          <t>MH2502-03</t>
        </is>
      </c>
      <c r="C425" s="16" t="n">
        <v>45699</v>
      </c>
      <c r="D425" s="18" t="inlineStr">
        <is>
          <t>00001159</t>
        </is>
      </c>
      <c r="E425" s="16" t="n">
        <v>45699</v>
      </c>
      <c r="F425" s="16" t="inlineStr">
        <is>
          <t>XK2502-05</t>
        </is>
      </c>
      <c r="G425" s="16" t="n">
        <v>45699</v>
      </c>
      <c r="H425" s="17" t="inlineStr">
        <is>
          <t>CÔNG TY TNHH SƠN JOTUN VIỆT NAM</t>
        </is>
      </c>
      <c r="I425" s="18" t="inlineStr">
        <is>
          <t>DUNG MÔI JOTUN THINNER NO. 10 20L</t>
        </is>
      </c>
      <c r="J425" s="18" t="inlineStr">
        <is>
          <t>Lít</t>
        </is>
      </c>
      <c r="K425" s="19" t="n">
        <v>60000</v>
      </c>
      <c r="L425" s="21" t="n"/>
      <c r="M425" s="22" t="n"/>
      <c r="N425" s="22" t="n">
        <v>180</v>
      </c>
      <c r="O425" s="22" t="n">
        <v>10800000</v>
      </c>
      <c r="P425" s="22" t="n">
        <v>180</v>
      </c>
      <c r="Q425" s="22" t="n">
        <v>10800000</v>
      </c>
      <c r="R425" s="42">
        <f>+L425+N425-P425</f>
        <v/>
      </c>
      <c r="S425" s="42">
        <f>+M425+O425-Q425</f>
        <v/>
      </c>
    </row>
    <row r="426" ht="15" customHeight="1">
      <c r="A426" s="16" t="n">
        <v>45700</v>
      </c>
      <c r="B426" s="17" t="inlineStr">
        <is>
          <t>MH2502-04</t>
        </is>
      </c>
      <c r="C426" s="16" t="n">
        <v>45700</v>
      </c>
      <c r="D426" s="18" t="inlineStr">
        <is>
          <t>00001230</t>
        </is>
      </c>
      <c r="E426" s="16" t="n">
        <v>45700</v>
      </c>
      <c r="F426" s="16" t="inlineStr">
        <is>
          <t>XK2502-06</t>
        </is>
      </c>
      <c r="G426" s="16" t="n">
        <v>45700</v>
      </c>
      <c r="H426" s="17" t="inlineStr">
        <is>
          <t>CÔNG TY TNHH SƠN JOTUN VIỆT NAM</t>
        </is>
      </c>
      <c r="I426" s="18" t="inlineStr">
        <is>
          <t>SƠN JOTAMASTIC 70 GREY 18L</t>
        </is>
      </c>
      <c r="J426" s="18" t="inlineStr">
        <is>
          <t>Lít</t>
        </is>
      </c>
      <c r="K426" s="19" t="n">
        <v>90000</v>
      </c>
      <c r="L426" s="21" t="n"/>
      <c r="M426" s="22" t="n"/>
      <c r="N426" s="22" t="n">
        <v>1188</v>
      </c>
      <c r="O426" s="22" t="n">
        <v>106920000</v>
      </c>
      <c r="P426" s="22" t="n">
        <v>1188</v>
      </c>
      <c r="Q426" s="22" t="n">
        <v>106920000</v>
      </c>
      <c r="R426" s="42">
        <f>+L426+N426-P426</f>
        <v/>
      </c>
      <c r="S426" s="42">
        <f>+M426+O426-Q426</f>
        <v/>
      </c>
    </row>
    <row r="427" ht="15" customHeight="1">
      <c r="A427" s="16" t="n">
        <v>45701</v>
      </c>
      <c r="B427" s="17" t="inlineStr">
        <is>
          <t>MH2502-05</t>
        </is>
      </c>
      <c r="C427" s="16" t="n">
        <v>45701</v>
      </c>
      <c r="D427" s="18" t="inlineStr">
        <is>
          <t>00000027</t>
        </is>
      </c>
      <c r="E427" s="16" t="n">
        <v>45701</v>
      </c>
      <c r="F427" s="16" t="inlineStr">
        <is>
          <t>XK2502-07</t>
        </is>
      </c>
      <c r="G427" s="16" t="n">
        <v>45701</v>
      </c>
      <c r="H427" s="17" t="inlineStr">
        <is>
          <t>CÔNG TY TNHH XNK THÉP KIM NAM</t>
        </is>
      </c>
      <c r="I427" s="18" t="inlineStr">
        <is>
          <t>Thép tấm Q355/A572 5lyx1500x6000</t>
        </is>
      </c>
      <c r="J427" s="18" t="inlineStr">
        <is>
          <t>kg</t>
        </is>
      </c>
      <c r="K427" s="19" t="n">
        <v>13701.82</v>
      </c>
      <c r="L427" s="21" t="n"/>
      <c r="M427" s="22" t="n"/>
      <c r="N427" s="22" t="n">
        <v>5652</v>
      </c>
      <c r="O427" s="22" t="n">
        <v>77442676</v>
      </c>
      <c r="P427" s="22" t="n">
        <v>5652</v>
      </c>
      <c r="Q427" s="22" t="n">
        <v>77442676</v>
      </c>
      <c r="R427" s="42">
        <f>+L427+N427-P427</f>
        <v/>
      </c>
      <c r="S427" s="42">
        <f>+M427+O427-Q427</f>
        <v/>
      </c>
    </row>
    <row r="428" ht="15" customHeight="1">
      <c r="A428" s="16" t="n">
        <v>45701</v>
      </c>
      <c r="B428" s="17" t="inlineStr">
        <is>
          <t>MH2502-05</t>
        </is>
      </c>
      <c r="C428" s="16" t="n">
        <v>45701</v>
      </c>
      <c r="D428" s="18" t="inlineStr">
        <is>
          <t>00000027</t>
        </is>
      </c>
      <c r="E428" s="16" t="n">
        <v>45701</v>
      </c>
      <c r="F428" s="16" t="inlineStr">
        <is>
          <t>XK2502-07</t>
        </is>
      </c>
      <c r="G428" s="16" t="n">
        <v>45701</v>
      </c>
      <c r="H428" s="17" t="inlineStr">
        <is>
          <t>CÔNG TY TNHH XNK THÉP KIM NAM</t>
        </is>
      </c>
      <c r="I428" s="18" t="inlineStr">
        <is>
          <t>Thép tấm Q355/A572 6lyx1500x6000</t>
        </is>
      </c>
      <c r="J428" s="18" t="inlineStr">
        <is>
          <t>kg</t>
        </is>
      </c>
      <c r="K428" s="19" t="n">
        <v>13701.82</v>
      </c>
      <c r="L428" s="21" t="n"/>
      <c r="M428" s="22" t="n"/>
      <c r="N428" s="22" t="n">
        <v>3391.2</v>
      </c>
      <c r="O428" s="22" t="n">
        <v>46465606</v>
      </c>
      <c r="P428" s="22" t="n">
        <v>3391.2</v>
      </c>
      <c r="Q428" s="22" t="n">
        <v>46465606</v>
      </c>
      <c r="R428" s="42">
        <f>+L428+N428-P428</f>
        <v/>
      </c>
      <c r="S428" s="42">
        <f>+M428+O428-Q428</f>
        <v/>
      </c>
    </row>
    <row r="429" ht="15" customHeight="1">
      <c r="A429" s="16" t="n">
        <v>45701</v>
      </c>
      <c r="B429" s="17" t="inlineStr">
        <is>
          <t>MH2502-05</t>
        </is>
      </c>
      <c r="C429" s="16" t="n">
        <v>45701</v>
      </c>
      <c r="D429" s="18" t="inlineStr">
        <is>
          <t>00000027</t>
        </is>
      </c>
      <c r="E429" s="16" t="n">
        <v>45701</v>
      </c>
      <c r="F429" s="16" t="inlineStr">
        <is>
          <t>XK2502-07</t>
        </is>
      </c>
      <c r="G429" s="16" t="n">
        <v>45701</v>
      </c>
      <c r="H429" s="17" t="inlineStr">
        <is>
          <t>CÔNG TY TNHH XNK THÉP KIM NAM</t>
        </is>
      </c>
      <c r="I429" s="18" t="inlineStr">
        <is>
          <t>Thép tấm Q355/A572 8lyx1500x6000</t>
        </is>
      </c>
      <c r="J429" s="18" t="inlineStr">
        <is>
          <t>kg</t>
        </is>
      </c>
      <c r="K429" s="19" t="n">
        <v>13792.73</v>
      </c>
      <c r="L429" s="21" t="n"/>
      <c r="M429" s="22" t="n"/>
      <c r="N429" s="22" t="n">
        <v>3391.2</v>
      </c>
      <c r="O429" s="22" t="n">
        <v>46773897</v>
      </c>
      <c r="P429" s="22" t="n">
        <v>3391.2</v>
      </c>
      <c r="Q429" s="22" t="n">
        <v>46773897</v>
      </c>
      <c r="R429" s="42">
        <f>+L429+N429-P429</f>
        <v/>
      </c>
      <c r="S429" s="42">
        <f>+M429+O429-Q429</f>
        <v/>
      </c>
    </row>
    <row r="430" ht="15" customHeight="1">
      <c r="A430" s="16" t="n">
        <v>45701</v>
      </c>
      <c r="B430" s="17" t="inlineStr">
        <is>
          <t>MH2502-05</t>
        </is>
      </c>
      <c r="C430" s="16" t="n">
        <v>45701</v>
      </c>
      <c r="D430" s="18" t="inlineStr">
        <is>
          <t>00000027</t>
        </is>
      </c>
      <c r="E430" s="16" t="n">
        <v>45701</v>
      </c>
      <c r="F430" s="16" t="inlineStr">
        <is>
          <t>XK2502-07</t>
        </is>
      </c>
      <c r="G430" s="16" t="n">
        <v>45701</v>
      </c>
      <c r="H430" s="17" t="inlineStr">
        <is>
          <t>CÔNG TY TNHH XNK THÉP KIM NAM</t>
        </is>
      </c>
      <c r="I430" s="18" t="inlineStr">
        <is>
          <t>Thép tấm Q355/A572 12lyx1.500x12000</t>
        </is>
      </c>
      <c r="J430" s="18" t="inlineStr">
        <is>
          <t>kg</t>
        </is>
      </c>
      <c r="K430" s="19" t="n">
        <v>13792.73</v>
      </c>
      <c r="L430" s="21" t="n"/>
      <c r="M430" s="22" t="n"/>
      <c r="N430" s="22" t="n">
        <v>1695.6</v>
      </c>
      <c r="O430" s="22" t="n">
        <v>23386948</v>
      </c>
      <c r="P430" s="22" t="n">
        <v>1695.6</v>
      </c>
      <c r="Q430" s="22" t="n">
        <v>23386948</v>
      </c>
      <c r="R430" s="42">
        <f>+L430+N430-P430</f>
        <v/>
      </c>
      <c r="S430" s="42">
        <f>+M430+O430-Q430</f>
        <v/>
      </c>
    </row>
    <row r="431" ht="15" customHeight="1">
      <c r="A431" s="16" t="n">
        <v>45701</v>
      </c>
      <c r="B431" s="17" t="inlineStr">
        <is>
          <t>MH2502-05</t>
        </is>
      </c>
      <c r="C431" s="16" t="n">
        <v>45701</v>
      </c>
      <c r="D431" s="18" t="inlineStr">
        <is>
          <t>00000027</t>
        </is>
      </c>
      <c r="E431" s="16" t="n">
        <v>45701</v>
      </c>
      <c r="F431" s="16" t="inlineStr">
        <is>
          <t>XK2502-07</t>
        </is>
      </c>
      <c r="G431" s="16" t="n">
        <v>45701</v>
      </c>
      <c r="H431" s="17" t="inlineStr">
        <is>
          <t>CÔNG TY TNHH XNK THÉP KIM NAM</t>
        </is>
      </c>
      <c r="I431" s="18" t="inlineStr">
        <is>
          <t>Thép tấm Q355/A572 14lyx2000x12000</t>
        </is>
      </c>
      <c r="J431" s="18" t="inlineStr">
        <is>
          <t>kg</t>
        </is>
      </c>
      <c r="K431" s="19" t="n">
        <v>15038.18</v>
      </c>
      <c r="L431" s="21" t="n"/>
      <c r="M431" s="22" t="n"/>
      <c r="N431" s="22" t="n">
        <v>2637.6</v>
      </c>
      <c r="O431" s="22" t="n">
        <v>39664708</v>
      </c>
      <c r="P431" s="22" t="n">
        <v>2637.6</v>
      </c>
      <c r="Q431" s="22" t="n">
        <v>39664708</v>
      </c>
      <c r="R431" s="42">
        <f>+L431+N431-P431</f>
        <v/>
      </c>
      <c r="S431" s="42">
        <f>+M431+O431-Q431</f>
        <v/>
      </c>
    </row>
    <row r="432" ht="15" customHeight="1">
      <c r="A432" s="16" t="n">
        <v>45701</v>
      </c>
      <c r="B432" s="17" t="inlineStr">
        <is>
          <t>MH2502-05</t>
        </is>
      </c>
      <c r="C432" s="16" t="n">
        <v>45701</v>
      </c>
      <c r="D432" s="18" t="inlineStr">
        <is>
          <t>00000027</t>
        </is>
      </c>
      <c r="E432" s="16" t="n">
        <v>45701</v>
      </c>
      <c r="F432" s="16" t="inlineStr">
        <is>
          <t>XK2502-07</t>
        </is>
      </c>
      <c r="G432" s="16" t="n">
        <v>45701</v>
      </c>
      <c r="H432" s="17" t="inlineStr">
        <is>
          <t>CÔNG TY TNHH XNK THÉP KIM NAM</t>
        </is>
      </c>
      <c r="I432" s="18" t="inlineStr">
        <is>
          <t>Thép Hình I150x75x5x7x12m</t>
        </is>
      </c>
      <c r="J432" s="18" t="inlineStr">
        <is>
          <t>kg</t>
        </is>
      </c>
      <c r="K432" s="19" t="n">
        <v>16710.91</v>
      </c>
      <c r="L432" s="21" t="n"/>
      <c r="M432" s="22" t="n"/>
      <c r="N432" s="22" t="n">
        <v>2184</v>
      </c>
      <c r="O432" s="22" t="n">
        <v>36496625</v>
      </c>
      <c r="P432" s="22" t="n">
        <v>2184</v>
      </c>
      <c r="Q432" s="22" t="n">
        <v>36496625</v>
      </c>
      <c r="R432" s="42">
        <f>+L432+N432-P432</f>
        <v/>
      </c>
      <c r="S432" s="42">
        <f>+M432+O432-Q432</f>
        <v/>
      </c>
    </row>
    <row r="433" ht="15" customHeight="1">
      <c r="A433" s="16" t="n">
        <v>45701</v>
      </c>
      <c r="B433" s="17" t="inlineStr">
        <is>
          <t>MH2502-05</t>
        </is>
      </c>
      <c r="C433" s="16" t="n">
        <v>45701</v>
      </c>
      <c r="D433" s="18" t="inlineStr">
        <is>
          <t>00000027</t>
        </is>
      </c>
      <c r="E433" s="16" t="n">
        <v>45701</v>
      </c>
      <c r="F433" s="16" t="inlineStr">
        <is>
          <t>XK2502-07</t>
        </is>
      </c>
      <c r="G433" s="16" t="n">
        <v>45701</v>
      </c>
      <c r="H433" s="17" t="inlineStr">
        <is>
          <t>CÔNG TY TNHH XNK THÉP KIM NAM</t>
        </is>
      </c>
      <c r="I433" s="18" t="inlineStr">
        <is>
          <t>Hộp vuông 100x100x2.5x6m - Đen</t>
        </is>
      </c>
      <c r="J433" s="18" t="inlineStr">
        <is>
          <t>kg</t>
        </is>
      </c>
      <c r="K433" s="19" t="n">
        <v>15983.64</v>
      </c>
      <c r="L433" s="21" t="n"/>
      <c r="M433" s="22" t="n"/>
      <c r="N433" s="22" t="n">
        <v>731.04</v>
      </c>
      <c r="O433" s="22" t="n">
        <v>11684678</v>
      </c>
      <c r="P433" s="22" t="n">
        <v>731.04</v>
      </c>
      <c r="Q433" s="22" t="n">
        <v>11684678</v>
      </c>
      <c r="R433" s="42">
        <f>+L433+N433-P433</f>
        <v/>
      </c>
      <c r="S433" s="42">
        <f>+M433+O433-Q433</f>
        <v/>
      </c>
    </row>
    <row r="434" ht="15" customHeight="1">
      <c r="A434" s="16" t="n">
        <v>45701</v>
      </c>
      <c r="B434" s="17" t="inlineStr">
        <is>
          <t>MH2502-05</t>
        </is>
      </c>
      <c r="C434" s="16" t="n">
        <v>45701</v>
      </c>
      <c r="D434" s="18" t="inlineStr">
        <is>
          <t>00000027</t>
        </is>
      </c>
      <c r="E434" s="16" t="n">
        <v>45701</v>
      </c>
      <c r="F434" s="16" t="inlineStr">
        <is>
          <t>XK2502-07</t>
        </is>
      </c>
      <c r="G434" s="16" t="n">
        <v>45701</v>
      </c>
      <c r="H434" s="17" t="inlineStr">
        <is>
          <t>CÔNG TY TNHH XNK THÉP KIM NAM</t>
        </is>
      </c>
      <c r="I434" s="18" t="inlineStr">
        <is>
          <t>Thép hình V63x63x5x6m</t>
        </is>
      </c>
      <c r="J434" s="18" t="inlineStr">
        <is>
          <t>kg</t>
        </is>
      </c>
      <c r="K434" s="19" t="n">
        <v>15347.27</v>
      </c>
      <c r="L434" s="21" t="n"/>
      <c r="M434" s="22" t="n"/>
      <c r="N434" s="22" t="n">
        <v>56</v>
      </c>
      <c r="O434" s="22" t="n">
        <v>859447</v>
      </c>
      <c r="P434" s="22" t="n">
        <v>56</v>
      </c>
      <c r="Q434" s="22" t="n">
        <v>859447</v>
      </c>
      <c r="R434" s="42">
        <f>+L434+N434-P434</f>
        <v/>
      </c>
      <c r="S434" s="42">
        <f>+M434+O434-Q434</f>
        <v/>
      </c>
    </row>
    <row r="435" ht="15" customHeight="1">
      <c r="A435" s="16" t="n">
        <v>45701</v>
      </c>
      <c r="B435" s="17" t="inlineStr">
        <is>
          <t>MH2502-05</t>
        </is>
      </c>
      <c r="C435" s="16" t="n">
        <v>45701</v>
      </c>
      <c r="D435" s="18" t="inlineStr">
        <is>
          <t>00000027</t>
        </is>
      </c>
      <c r="E435" s="16" t="n">
        <v>45701</v>
      </c>
      <c r="F435" s="16" t="inlineStr">
        <is>
          <t>XK2502-07</t>
        </is>
      </c>
      <c r="G435" s="16" t="n">
        <v>45701</v>
      </c>
      <c r="H435" s="17" t="inlineStr">
        <is>
          <t>CÔNG TY TNHH XNK THÉP KIM NAM</t>
        </is>
      </c>
      <c r="I435" s="18" t="inlineStr">
        <is>
          <t>Thép hình V90x90x7x6m</t>
        </is>
      </c>
      <c r="J435" s="18" t="inlineStr">
        <is>
          <t>kg</t>
        </is>
      </c>
      <c r="K435" s="19" t="n">
        <v>15347.27</v>
      </c>
      <c r="L435" s="21" t="n"/>
      <c r="M435" s="22" t="n"/>
      <c r="N435" s="22" t="n">
        <v>57</v>
      </c>
      <c r="O435" s="22" t="n">
        <v>874795</v>
      </c>
      <c r="P435" s="22" t="n">
        <v>57</v>
      </c>
      <c r="Q435" s="22" t="n">
        <v>874795</v>
      </c>
      <c r="R435" s="42">
        <f>+L435+N435-P435</f>
        <v/>
      </c>
      <c r="S435" s="42">
        <f>+M435+O435-Q435</f>
        <v/>
      </c>
    </row>
    <row r="436" ht="15" customHeight="1">
      <c r="A436" s="16" t="n">
        <v>45701</v>
      </c>
      <c r="B436" s="17" t="inlineStr">
        <is>
          <t>MH2502-06</t>
        </is>
      </c>
      <c r="C436" s="16" t="n">
        <v>45701</v>
      </c>
      <c r="D436" s="18" t="inlineStr">
        <is>
          <t>00000028</t>
        </is>
      </c>
      <c r="E436" s="16" t="n">
        <v>45701</v>
      </c>
      <c r="F436" s="16" t="inlineStr">
        <is>
          <t>XK2502-08</t>
        </is>
      </c>
      <c r="G436" s="16" t="n">
        <v>45701</v>
      </c>
      <c r="H436" s="17" t="inlineStr">
        <is>
          <t>CÔNG TY TNHH XNK THÉP KIM NAM</t>
        </is>
      </c>
      <c r="I436" s="18" t="inlineStr">
        <is>
          <t>Thép tấm Q355/A572 4lyx1500x6000</t>
        </is>
      </c>
      <c r="J436" s="18" t="inlineStr">
        <is>
          <t>kg</t>
        </is>
      </c>
      <c r="K436" s="19" t="n">
        <v>13701.82</v>
      </c>
      <c r="L436" s="21" t="n"/>
      <c r="M436" s="22" t="n"/>
      <c r="N436" s="22" t="n">
        <v>282.6</v>
      </c>
      <c r="O436" s="22" t="n">
        <v>3872134</v>
      </c>
      <c r="P436" s="22" t="n">
        <v>282.6</v>
      </c>
      <c r="Q436" s="22" t="n">
        <v>3872134</v>
      </c>
      <c r="R436" s="42">
        <f>+L436+N436-P436</f>
        <v/>
      </c>
      <c r="S436" s="42">
        <f>+M436+O436-Q436</f>
        <v/>
      </c>
    </row>
    <row r="437" ht="15" customHeight="1">
      <c r="A437" s="16" t="n">
        <v>45701</v>
      </c>
      <c r="B437" s="17" t="inlineStr">
        <is>
          <t>MH2502-06</t>
        </is>
      </c>
      <c r="C437" s="16" t="n">
        <v>45701</v>
      </c>
      <c r="D437" s="18" t="inlineStr">
        <is>
          <t>00000028</t>
        </is>
      </c>
      <c r="E437" s="16" t="n">
        <v>45701</v>
      </c>
      <c r="F437" s="16" t="inlineStr">
        <is>
          <t>XK2502-08</t>
        </is>
      </c>
      <c r="G437" s="16" t="n">
        <v>45701</v>
      </c>
      <c r="H437" s="17" t="inlineStr">
        <is>
          <t>CÔNG TY TNHH XNK THÉP KIM NAM</t>
        </is>
      </c>
      <c r="I437" s="18" t="inlineStr">
        <is>
          <t>Thép tấm Q355/A572 5lyx1500x6000</t>
        </is>
      </c>
      <c r="J437" s="18" t="inlineStr">
        <is>
          <t>kg</t>
        </is>
      </c>
      <c r="K437" s="19" t="n">
        <v>13701.82</v>
      </c>
      <c r="L437" s="21" t="n"/>
      <c r="M437" s="22" t="n"/>
      <c r="N437" s="22" t="n">
        <v>40623.75</v>
      </c>
      <c r="O437" s="22" t="n">
        <v>556619236</v>
      </c>
      <c r="P437" s="22" t="n">
        <v>40623.75</v>
      </c>
      <c r="Q437" s="22" t="n">
        <v>556619236</v>
      </c>
      <c r="R437" s="42">
        <f>+L437+N437-P437</f>
        <v/>
      </c>
      <c r="S437" s="42">
        <f>+M437+O437-Q437</f>
        <v/>
      </c>
    </row>
    <row r="438" ht="15" customHeight="1">
      <c r="A438" s="16" t="n">
        <v>45701</v>
      </c>
      <c r="B438" s="17" t="inlineStr">
        <is>
          <t>MH2502-06</t>
        </is>
      </c>
      <c r="C438" s="16" t="n">
        <v>45701</v>
      </c>
      <c r="D438" s="18" t="inlineStr">
        <is>
          <t>00000028</t>
        </is>
      </c>
      <c r="E438" s="16" t="n">
        <v>45701</v>
      </c>
      <c r="F438" s="16" t="inlineStr">
        <is>
          <t>XK2502-08</t>
        </is>
      </c>
      <c r="G438" s="16" t="n">
        <v>45701</v>
      </c>
      <c r="H438" s="17" t="inlineStr">
        <is>
          <t>CÔNG TY TNHH XNK THÉP KIM NAM</t>
        </is>
      </c>
      <c r="I438" s="18" t="inlineStr">
        <is>
          <t>Thép tấm Q355/A572 6lyx1500x6000</t>
        </is>
      </c>
      <c r="J438" s="18" t="inlineStr">
        <is>
          <t>kg</t>
        </is>
      </c>
      <c r="K438" s="19" t="n">
        <v>13701.82</v>
      </c>
      <c r="L438" s="21" t="n"/>
      <c r="M438" s="22" t="n"/>
      <c r="N438" s="22" t="n">
        <v>27553.5</v>
      </c>
      <c r="O438" s="22" t="n">
        <v>377533047</v>
      </c>
      <c r="P438" s="22" t="n">
        <v>27553.5</v>
      </c>
      <c r="Q438" s="22" t="n">
        <v>377533047</v>
      </c>
      <c r="R438" s="42">
        <f>+L438+N438-P438</f>
        <v/>
      </c>
      <c r="S438" s="42">
        <f>+M438+O438-Q438</f>
        <v/>
      </c>
    </row>
    <row r="439" ht="15" customHeight="1">
      <c r="A439" s="16" t="n">
        <v>45701</v>
      </c>
      <c r="B439" s="17" t="inlineStr">
        <is>
          <t>MH2502-06</t>
        </is>
      </c>
      <c r="C439" s="16" t="n">
        <v>45701</v>
      </c>
      <c r="D439" s="18" t="inlineStr">
        <is>
          <t>00000028</t>
        </is>
      </c>
      <c r="E439" s="16" t="n">
        <v>45701</v>
      </c>
      <c r="F439" s="16" t="inlineStr">
        <is>
          <t>XK2502-08</t>
        </is>
      </c>
      <c r="G439" s="16" t="n">
        <v>45701</v>
      </c>
      <c r="H439" s="17" t="inlineStr">
        <is>
          <t>CÔNG TY TNHH XNK THÉP KIM NAM</t>
        </is>
      </c>
      <c r="I439" s="18" t="inlineStr">
        <is>
          <t>Thép tấm Q355/A572 8lyx1500x12000</t>
        </is>
      </c>
      <c r="J439" s="18" t="inlineStr">
        <is>
          <t>kg</t>
        </is>
      </c>
      <c r="K439" s="19" t="n">
        <v>13792.73</v>
      </c>
      <c r="L439" s="21" t="n"/>
      <c r="M439" s="22" t="n"/>
      <c r="N439" s="22" t="n">
        <v>23738.4</v>
      </c>
      <c r="O439" s="22" t="n">
        <v>327417277</v>
      </c>
      <c r="P439" s="22" t="n">
        <v>23738.4</v>
      </c>
      <c r="Q439" s="22" t="n">
        <v>327417277</v>
      </c>
      <c r="R439" s="42">
        <f>+L439+N439-P439</f>
        <v/>
      </c>
      <c r="S439" s="42">
        <f>+M439+O439-Q439</f>
        <v/>
      </c>
    </row>
    <row r="440" ht="15" customHeight="1">
      <c r="A440" s="16" t="n">
        <v>45701</v>
      </c>
      <c r="B440" s="17" t="inlineStr">
        <is>
          <t>MH2502-06</t>
        </is>
      </c>
      <c r="C440" s="16" t="n">
        <v>45701</v>
      </c>
      <c r="D440" s="18" t="inlineStr">
        <is>
          <t>00000028</t>
        </is>
      </c>
      <c r="E440" s="16" t="n">
        <v>45701</v>
      </c>
      <c r="F440" s="16" t="inlineStr">
        <is>
          <t>XK2502-08</t>
        </is>
      </c>
      <c r="G440" s="16" t="n">
        <v>45701</v>
      </c>
      <c r="H440" s="17" t="inlineStr">
        <is>
          <t>CÔNG TY TNHH XNK THÉP KIM NAM</t>
        </is>
      </c>
      <c r="I440" s="18" t="inlineStr">
        <is>
          <t>Thép tấm Q355/A572 10lyx1500x12000</t>
        </is>
      </c>
      <c r="J440" s="18" t="inlineStr">
        <is>
          <t>kg</t>
        </is>
      </c>
      <c r="K440" s="19" t="n">
        <v>13792.73</v>
      </c>
      <c r="L440" s="21" t="n"/>
      <c r="M440" s="22" t="n"/>
      <c r="N440" s="22" t="n">
        <v>24021</v>
      </c>
      <c r="O440" s="22" t="n">
        <v>331315102</v>
      </c>
      <c r="P440" s="22" t="n">
        <v>24021</v>
      </c>
      <c r="Q440" s="22" t="n">
        <v>331315102</v>
      </c>
      <c r="R440" s="42">
        <f>+L440+N440-P440</f>
        <v/>
      </c>
      <c r="S440" s="42">
        <f>+M440+O440-Q440</f>
        <v/>
      </c>
    </row>
    <row r="441" ht="15" customHeight="1">
      <c r="A441" s="16" t="n">
        <v>45701</v>
      </c>
      <c r="B441" s="17" t="inlineStr">
        <is>
          <t>MH2502-06</t>
        </is>
      </c>
      <c r="C441" s="16" t="n">
        <v>45701</v>
      </c>
      <c r="D441" s="18" t="inlineStr">
        <is>
          <t>00000028</t>
        </is>
      </c>
      <c r="E441" s="16" t="n">
        <v>45701</v>
      </c>
      <c r="F441" s="16" t="inlineStr">
        <is>
          <t>XK2502-08</t>
        </is>
      </c>
      <c r="G441" s="16" t="n">
        <v>45701</v>
      </c>
      <c r="H441" s="17" t="inlineStr">
        <is>
          <t>CÔNG TY TNHH XNK THÉP KIM NAM</t>
        </is>
      </c>
      <c r="I441" s="18" t="inlineStr">
        <is>
          <t>Thép tấm Q355/A572 12lyx1.500x12000</t>
        </is>
      </c>
      <c r="J441" s="18" t="inlineStr">
        <is>
          <t>kg</t>
        </is>
      </c>
      <c r="K441" s="19" t="n">
        <v>13792.73</v>
      </c>
      <c r="L441" s="21" t="n"/>
      <c r="M441" s="22" t="n"/>
      <c r="N441" s="22" t="n">
        <v>13564.8</v>
      </c>
      <c r="O441" s="22" t="n">
        <v>187095587</v>
      </c>
      <c r="P441" s="22" t="n">
        <v>13564.8</v>
      </c>
      <c r="Q441" s="22" t="n">
        <v>187095587</v>
      </c>
      <c r="R441" s="42">
        <f>+L441+N441-P441</f>
        <v/>
      </c>
      <c r="S441" s="42">
        <f>+M441+O441-Q441</f>
        <v/>
      </c>
    </row>
    <row r="442" ht="15" customHeight="1">
      <c r="A442" s="16" t="n">
        <v>45701</v>
      </c>
      <c r="B442" s="17" t="inlineStr">
        <is>
          <t>MH2502-06</t>
        </is>
      </c>
      <c r="C442" s="16" t="n">
        <v>45701</v>
      </c>
      <c r="D442" s="18" t="inlineStr">
        <is>
          <t>00000028</t>
        </is>
      </c>
      <c r="E442" s="16" t="n">
        <v>45701</v>
      </c>
      <c r="F442" s="16" t="inlineStr">
        <is>
          <t>XK2502-08</t>
        </is>
      </c>
      <c r="G442" s="16" t="n">
        <v>45701</v>
      </c>
      <c r="H442" s="17" t="inlineStr">
        <is>
          <t>CÔNG TY TNHH XNK THÉP KIM NAM</t>
        </is>
      </c>
      <c r="I442" s="18" t="inlineStr">
        <is>
          <t>Thép tấm Q355/A572 14lyx2000x12000</t>
        </is>
      </c>
      <c r="J442" s="18" t="inlineStr">
        <is>
          <t>kg</t>
        </is>
      </c>
      <c r="K442" s="19" t="n">
        <v>15038.18</v>
      </c>
      <c r="L442" s="21" t="n"/>
      <c r="M442" s="22" t="n"/>
      <c r="N442" s="22" t="n">
        <v>13188</v>
      </c>
      <c r="O442" s="22" t="n">
        <v>198323542</v>
      </c>
      <c r="P442" s="22" t="n">
        <v>13188</v>
      </c>
      <c r="Q442" s="22" t="n">
        <v>198323542</v>
      </c>
      <c r="R442" s="42">
        <f>+L442+N442-P442</f>
        <v/>
      </c>
      <c r="S442" s="42">
        <f>+M442+O442-Q442</f>
        <v/>
      </c>
    </row>
    <row r="443" ht="15" customHeight="1">
      <c r="A443" s="16" t="n">
        <v>45701</v>
      </c>
      <c r="B443" s="17" t="inlineStr">
        <is>
          <t>MH2502-06</t>
        </is>
      </c>
      <c r="C443" s="16" t="n">
        <v>45701</v>
      </c>
      <c r="D443" s="18" t="inlineStr">
        <is>
          <t>00000028</t>
        </is>
      </c>
      <c r="E443" s="16" t="n">
        <v>45701</v>
      </c>
      <c r="F443" s="16" t="inlineStr">
        <is>
          <t>XK2502-08</t>
        </is>
      </c>
      <c r="G443" s="16" t="n">
        <v>45701</v>
      </c>
      <c r="H443" s="17" t="inlineStr">
        <is>
          <t>CÔNG TY TNHH XNK THÉP KIM NAM</t>
        </is>
      </c>
      <c r="I443" s="18" t="inlineStr">
        <is>
          <t>Thép tấm Q355/A572 16lyx2000x12000</t>
        </is>
      </c>
      <c r="J443" s="18" t="inlineStr">
        <is>
          <t>kg</t>
        </is>
      </c>
      <c r="K443" s="19" t="n">
        <v>15038.18</v>
      </c>
      <c r="L443" s="21" t="n"/>
      <c r="M443" s="22" t="n"/>
      <c r="N443" s="22" t="n">
        <v>9043.200000000001</v>
      </c>
      <c r="O443" s="22" t="n">
        <v>135993286</v>
      </c>
      <c r="P443" s="22" t="n">
        <v>9043.200000000001</v>
      </c>
      <c r="Q443" s="22" t="n">
        <v>135993286</v>
      </c>
      <c r="R443" s="42">
        <f>+L443+N443-P443</f>
        <v/>
      </c>
      <c r="S443" s="42">
        <f>+M443+O443-Q443</f>
        <v/>
      </c>
    </row>
    <row r="444" ht="15" customHeight="1">
      <c r="A444" s="16" t="n">
        <v>45701</v>
      </c>
      <c r="B444" s="17" t="inlineStr">
        <is>
          <t>MH2502-06</t>
        </is>
      </c>
      <c r="C444" s="16" t="n">
        <v>45701</v>
      </c>
      <c r="D444" s="18" t="inlineStr">
        <is>
          <t>00000028</t>
        </is>
      </c>
      <c r="E444" s="16" t="n">
        <v>45701</v>
      </c>
      <c r="F444" s="16" t="inlineStr">
        <is>
          <t>XK2502-08</t>
        </is>
      </c>
      <c r="G444" s="16" t="n">
        <v>45701</v>
      </c>
      <c r="H444" s="17" t="inlineStr">
        <is>
          <t>CÔNG TY TNHH XNK THÉP KIM NAM</t>
        </is>
      </c>
      <c r="I444" s="18" t="inlineStr">
        <is>
          <t>Thép tấm Q355/A572 20lyx2000x12000</t>
        </is>
      </c>
      <c r="J444" s="18" t="inlineStr">
        <is>
          <t>kg</t>
        </is>
      </c>
      <c r="K444" s="19" t="n">
        <v>15038.18</v>
      </c>
      <c r="L444" s="21" t="n"/>
      <c r="M444" s="22" t="n"/>
      <c r="N444" s="22" t="n">
        <v>3768</v>
      </c>
      <c r="O444" s="22" t="n">
        <v>56663869</v>
      </c>
      <c r="P444" s="22" t="n">
        <v>3768</v>
      </c>
      <c r="Q444" s="22" t="n">
        <v>56663869</v>
      </c>
      <c r="R444" s="42">
        <f>+L444+N444-P444</f>
        <v/>
      </c>
      <c r="S444" s="42">
        <f>+M444+O444-Q444</f>
        <v/>
      </c>
    </row>
    <row r="445" ht="15" customHeight="1">
      <c r="A445" s="16" t="n">
        <v>45701</v>
      </c>
      <c r="B445" s="17" t="inlineStr">
        <is>
          <t>MH2502-06</t>
        </is>
      </c>
      <c r="C445" s="16" t="n">
        <v>45701</v>
      </c>
      <c r="D445" s="18" t="inlineStr">
        <is>
          <t>00000028</t>
        </is>
      </c>
      <c r="E445" s="16" t="n">
        <v>45701</v>
      </c>
      <c r="F445" s="16" t="inlineStr">
        <is>
          <t>XK2502-08</t>
        </is>
      </c>
      <c r="G445" s="16" t="n">
        <v>45701</v>
      </c>
      <c r="H445" s="17" t="inlineStr">
        <is>
          <t>CÔNG TY TNHH XNK THÉP KIM NAM</t>
        </is>
      </c>
      <c r="I445" s="18" t="inlineStr">
        <is>
          <t>Thép tấm Gân 5lyx1500x6000</t>
        </is>
      </c>
      <c r="J445" s="18" t="inlineStr">
        <is>
          <t>kg</t>
        </is>
      </c>
      <c r="K445" s="19" t="n">
        <v>13429.09</v>
      </c>
      <c r="L445" s="21" t="n"/>
      <c r="M445" s="22" t="n"/>
      <c r="N445" s="22" t="n">
        <v>1521</v>
      </c>
      <c r="O445" s="22" t="n">
        <v>20425647</v>
      </c>
      <c r="P445" s="22" t="n">
        <v>1521</v>
      </c>
      <c r="Q445" s="22" t="n">
        <v>20425647</v>
      </c>
      <c r="R445" s="42">
        <f>+L445+N445-P445</f>
        <v/>
      </c>
      <c r="S445" s="42">
        <f>+M445+O445-Q445</f>
        <v/>
      </c>
    </row>
    <row r="446" ht="15" customHeight="1">
      <c r="A446" s="16" t="n">
        <v>45701</v>
      </c>
      <c r="B446" s="17" t="inlineStr">
        <is>
          <t>MH2502-06</t>
        </is>
      </c>
      <c r="C446" s="16" t="n">
        <v>45701</v>
      </c>
      <c r="D446" s="18" t="inlineStr">
        <is>
          <t>00000028</t>
        </is>
      </c>
      <c r="E446" s="16" t="n">
        <v>45701</v>
      </c>
      <c r="F446" s="16" t="inlineStr">
        <is>
          <t>XK2502-08</t>
        </is>
      </c>
      <c r="G446" s="16" t="n">
        <v>45701</v>
      </c>
      <c r="H446" s="17" t="inlineStr">
        <is>
          <t>CÔNG TY TNHH XNK THÉP KIM NAM</t>
        </is>
      </c>
      <c r="I446" s="18" t="inlineStr">
        <is>
          <t>Thép hình U120x6m</t>
        </is>
      </c>
      <c r="J446" s="18" t="inlineStr">
        <is>
          <t>kg</t>
        </is>
      </c>
      <c r="K446" s="19" t="n">
        <v>15620</v>
      </c>
      <c r="L446" s="21" t="n"/>
      <c r="M446" s="22" t="n"/>
      <c r="N446" s="22" t="n">
        <v>110</v>
      </c>
      <c r="O446" s="22" t="n">
        <v>1718200</v>
      </c>
      <c r="P446" s="22" t="n">
        <v>110</v>
      </c>
      <c r="Q446" s="22" t="n">
        <v>1718200</v>
      </c>
      <c r="R446" s="42">
        <f>+L446+N446-P446</f>
        <v/>
      </c>
      <c r="S446" s="42">
        <f>+M446+O446-Q446</f>
        <v/>
      </c>
    </row>
    <row r="447" ht="15" customHeight="1">
      <c r="A447" s="16" t="n">
        <v>45701</v>
      </c>
      <c r="B447" s="17" t="inlineStr">
        <is>
          <t>MH2502-06</t>
        </is>
      </c>
      <c r="C447" s="16" t="n">
        <v>45701</v>
      </c>
      <c r="D447" s="18" t="inlineStr">
        <is>
          <t>00000028</t>
        </is>
      </c>
      <c r="E447" s="16" t="n">
        <v>45701</v>
      </c>
      <c r="F447" s="16" t="inlineStr">
        <is>
          <t>XK2502-08</t>
        </is>
      </c>
      <c r="G447" s="16" t="n">
        <v>45701</v>
      </c>
      <c r="H447" s="17" t="inlineStr">
        <is>
          <t>CÔNG TY TNHH XNK THÉP KIM NAM</t>
        </is>
      </c>
      <c r="I447" s="18" t="inlineStr">
        <is>
          <t>Thép hình V50x50x5x6m</t>
        </is>
      </c>
      <c r="J447" s="18" t="inlineStr">
        <is>
          <t>kg</t>
        </is>
      </c>
      <c r="K447" s="19" t="n">
        <v>15347.27</v>
      </c>
      <c r="L447" s="21" t="n"/>
      <c r="M447" s="22" t="n"/>
      <c r="N447" s="22" t="n">
        <v>88</v>
      </c>
      <c r="O447" s="22" t="n">
        <v>1350560</v>
      </c>
      <c r="P447" s="22" t="n">
        <v>88</v>
      </c>
      <c r="Q447" s="22" t="n">
        <v>1350560</v>
      </c>
      <c r="R447" s="42">
        <f>+L447+N447-P447</f>
        <v/>
      </c>
      <c r="S447" s="42">
        <f>+M447+O447-Q447</f>
        <v/>
      </c>
    </row>
    <row r="448" ht="15" customHeight="1">
      <c r="A448" s="16" t="n">
        <v>45701</v>
      </c>
      <c r="B448" s="17" t="inlineStr">
        <is>
          <t>MH2502-06</t>
        </is>
      </c>
      <c r="C448" s="16" t="n">
        <v>45701</v>
      </c>
      <c r="D448" s="18" t="inlineStr">
        <is>
          <t>00000028</t>
        </is>
      </c>
      <c r="E448" s="16" t="n">
        <v>45701</v>
      </c>
      <c r="F448" s="16" t="inlineStr">
        <is>
          <t>XK2502-08</t>
        </is>
      </c>
      <c r="G448" s="16" t="n">
        <v>45701</v>
      </c>
      <c r="H448" s="17" t="inlineStr">
        <is>
          <t>CÔNG TY TNHH XNK THÉP KIM NAM</t>
        </is>
      </c>
      <c r="I448" s="18" t="inlineStr">
        <is>
          <t>Thép hình V63x63x5x6m</t>
        </is>
      </c>
      <c r="J448" s="18" t="inlineStr">
        <is>
          <t>kg</t>
        </is>
      </c>
      <c r="K448" s="19" t="n">
        <v>15347.27</v>
      </c>
      <c r="L448" s="21" t="n"/>
      <c r="M448" s="22" t="n"/>
      <c r="N448" s="22" t="n">
        <v>7952</v>
      </c>
      <c r="O448" s="22" t="n">
        <v>122041513</v>
      </c>
      <c r="P448" s="22" t="n">
        <v>7952</v>
      </c>
      <c r="Q448" s="22" t="n">
        <v>122041513</v>
      </c>
      <c r="R448" s="42">
        <f>+L448+N448-P448</f>
        <v/>
      </c>
      <c r="S448" s="42">
        <f>+M448+O448-Q448</f>
        <v/>
      </c>
    </row>
    <row r="449" ht="15" customHeight="1">
      <c r="A449" s="16" t="n">
        <v>45701</v>
      </c>
      <c r="B449" s="17" t="inlineStr">
        <is>
          <t>MH2502-06</t>
        </is>
      </c>
      <c r="C449" s="16" t="n">
        <v>45701</v>
      </c>
      <c r="D449" s="18" t="inlineStr">
        <is>
          <t>00000028</t>
        </is>
      </c>
      <c r="E449" s="16" t="n">
        <v>45701</v>
      </c>
      <c r="F449" s="16" t="inlineStr">
        <is>
          <t>XK2502-08</t>
        </is>
      </c>
      <c r="G449" s="16" t="n">
        <v>45701</v>
      </c>
      <c r="H449" s="17" t="inlineStr">
        <is>
          <t>CÔNG TY TNHH XNK THÉP KIM NAM</t>
        </is>
      </c>
      <c r="I449" s="18" t="inlineStr">
        <is>
          <t>Thép hình V75x75x6x6m</t>
        </is>
      </c>
      <c r="J449" s="18" t="inlineStr">
        <is>
          <t>kg</t>
        </is>
      </c>
      <c r="K449" s="19" t="n">
        <v>15347.27</v>
      </c>
      <c r="L449" s="21" t="n"/>
      <c r="M449" s="22" t="n"/>
      <c r="N449" s="22" t="n">
        <v>2800</v>
      </c>
      <c r="O449" s="22" t="n">
        <v>42972364</v>
      </c>
      <c r="P449" s="22" t="n">
        <v>2800</v>
      </c>
      <c r="Q449" s="22" t="n">
        <v>42972364</v>
      </c>
      <c r="R449" s="42">
        <f>+L449+N449-P449</f>
        <v/>
      </c>
      <c r="S449" s="42">
        <f>+M449+O449-Q449</f>
        <v/>
      </c>
    </row>
    <row r="450" ht="15" customHeight="1">
      <c r="A450" s="16" t="n">
        <v>45701</v>
      </c>
      <c r="B450" s="17" t="inlineStr">
        <is>
          <t>MH2502-06</t>
        </is>
      </c>
      <c r="C450" s="16" t="n">
        <v>45701</v>
      </c>
      <c r="D450" s="18" t="inlineStr">
        <is>
          <t>00000028</t>
        </is>
      </c>
      <c r="E450" s="16" t="n">
        <v>45701</v>
      </c>
      <c r="F450" s="16" t="inlineStr">
        <is>
          <t>XK2502-08</t>
        </is>
      </c>
      <c r="G450" s="16" t="n">
        <v>45701</v>
      </c>
      <c r="H450" s="17" t="inlineStr">
        <is>
          <t>CÔNG TY TNHH XNK THÉP KIM NAM</t>
        </is>
      </c>
      <c r="I450" s="18" t="inlineStr">
        <is>
          <t>Thép hình U250x78x7x12m</t>
        </is>
      </c>
      <c r="J450" s="18" t="inlineStr">
        <is>
          <t>kg</t>
        </is>
      </c>
      <c r="K450" s="19" t="n">
        <v>16165.46</v>
      </c>
      <c r="L450" s="21" t="n"/>
      <c r="M450" s="22" t="n"/>
      <c r="N450" s="22" t="n">
        <v>1476</v>
      </c>
      <c r="O450" s="22" t="n">
        <v>23860211</v>
      </c>
      <c r="P450" s="22" t="n">
        <v>1476</v>
      </c>
      <c r="Q450" s="22" t="n">
        <v>23860211</v>
      </c>
      <c r="R450" s="42">
        <f>+L450+N450-P450</f>
        <v/>
      </c>
      <c r="S450" s="42">
        <f>+M450+O450-Q450</f>
        <v/>
      </c>
    </row>
    <row r="451" ht="15" customHeight="1">
      <c r="A451" s="16" t="n">
        <v>45701</v>
      </c>
      <c r="B451" s="17" t="inlineStr">
        <is>
          <t>MH2502-06</t>
        </is>
      </c>
      <c r="C451" s="16" t="n">
        <v>45701</v>
      </c>
      <c r="D451" s="18" t="inlineStr">
        <is>
          <t>00000028</t>
        </is>
      </c>
      <c r="E451" s="16" t="n">
        <v>45701</v>
      </c>
      <c r="F451" s="16" t="inlineStr">
        <is>
          <t>XK2502-08</t>
        </is>
      </c>
      <c r="G451" s="16" t="n">
        <v>45701</v>
      </c>
      <c r="H451" s="17" t="inlineStr">
        <is>
          <t>CÔNG TY TNHH XNK THÉP KIM NAM</t>
        </is>
      </c>
      <c r="I451" s="18" t="inlineStr">
        <is>
          <t>Thép ống 42.2x3.0x6m - Đen</t>
        </is>
      </c>
      <c r="J451" s="18" t="inlineStr">
        <is>
          <t>kg</t>
        </is>
      </c>
      <c r="K451" s="19" t="n">
        <v>16074.55</v>
      </c>
      <c r="L451" s="21" t="n"/>
      <c r="M451" s="22" t="n"/>
      <c r="N451" s="22" t="n">
        <v>817.8</v>
      </c>
      <c r="O451" s="22" t="n">
        <v>13145763</v>
      </c>
      <c r="P451" s="22" t="n">
        <v>817.8</v>
      </c>
      <c r="Q451" s="22" t="n">
        <v>13145763</v>
      </c>
      <c r="R451" s="42">
        <f>+L451+N451-P451</f>
        <v/>
      </c>
      <c r="S451" s="42">
        <f>+M451+O451-Q451</f>
        <v/>
      </c>
    </row>
    <row r="452" ht="15" customHeight="1">
      <c r="A452" s="16" t="n">
        <v>45701</v>
      </c>
      <c r="B452" s="17" t="inlineStr">
        <is>
          <t>MH2502-06</t>
        </is>
      </c>
      <c r="C452" s="16" t="n">
        <v>45701</v>
      </c>
      <c r="D452" s="18" t="inlineStr">
        <is>
          <t>00000028</t>
        </is>
      </c>
      <c r="E452" s="16" t="n">
        <v>45701</v>
      </c>
      <c r="F452" s="16" t="inlineStr">
        <is>
          <t>XK2502-08</t>
        </is>
      </c>
      <c r="G452" s="16" t="n">
        <v>45701</v>
      </c>
      <c r="H452" s="17" t="inlineStr">
        <is>
          <t>CÔNG TY TNHH XNK THÉP KIM NAM</t>
        </is>
      </c>
      <c r="I452" s="18" t="inlineStr">
        <is>
          <t>Thép ống 26.65x2.0x6m - Đen</t>
        </is>
      </c>
      <c r="J452" s="18" t="inlineStr">
        <is>
          <t>kg</t>
        </is>
      </c>
      <c r="K452" s="19" t="n">
        <v>16074.55</v>
      </c>
      <c r="L452" s="21" t="n"/>
      <c r="M452" s="22" t="n"/>
      <c r="N452" s="22" t="n">
        <v>247.86</v>
      </c>
      <c r="O452" s="22" t="n">
        <v>3984237</v>
      </c>
      <c r="P452" s="22" t="n">
        <v>247.86</v>
      </c>
      <c r="Q452" s="22" t="n">
        <v>3984237</v>
      </c>
      <c r="R452" s="42">
        <f>+L452+N452-P452</f>
        <v/>
      </c>
      <c r="S452" s="42">
        <f>+M452+O452-Q452</f>
        <v/>
      </c>
    </row>
    <row r="453" ht="15" customHeight="1">
      <c r="A453" s="16" t="n">
        <v>45701</v>
      </c>
      <c r="B453" s="17" t="inlineStr">
        <is>
          <t>MH2502-06</t>
        </is>
      </c>
      <c r="C453" s="16" t="n">
        <v>45701</v>
      </c>
      <c r="D453" s="18" t="inlineStr">
        <is>
          <t>00000028</t>
        </is>
      </c>
      <c r="E453" s="16" t="n">
        <v>45701</v>
      </c>
      <c r="F453" s="16" t="inlineStr">
        <is>
          <t>XK2502-08</t>
        </is>
      </c>
      <c r="G453" s="16" t="n">
        <v>45701</v>
      </c>
      <c r="H453" s="17" t="inlineStr">
        <is>
          <t>CÔNG TY TNHH XNK THÉP KIM NAM</t>
        </is>
      </c>
      <c r="I453" s="18" t="inlineStr">
        <is>
          <t>Thép ống 141.3x3.96x6m - Đen</t>
        </is>
      </c>
      <c r="J453" s="18" t="inlineStr">
        <is>
          <t>kg</t>
        </is>
      </c>
      <c r="K453" s="19" t="n">
        <v>16074.55</v>
      </c>
      <c r="L453" s="21" t="n"/>
      <c r="M453" s="22" t="n"/>
      <c r="N453" s="22" t="n">
        <v>160.92</v>
      </c>
      <c r="O453" s="22" t="n">
        <v>2586716</v>
      </c>
      <c r="P453" s="22" t="n">
        <v>160.92</v>
      </c>
      <c r="Q453" s="22" t="n">
        <v>2586716</v>
      </c>
      <c r="R453" s="42">
        <f>+L453+N453-P453</f>
        <v/>
      </c>
      <c r="S453" s="42">
        <f>+M453+O453-Q453</f>
        <v/>
      </c>
    </row>
    <row r="454" ht="15" customHeight="1">
      <c r="A454" s="16" t="n">
        <v>45701</v>
      </c>
      <c r="B454" s="17" t="inlineStr">
        <is>
          <t>MH2502-06</t>
        </is>
      </c>
      <c r="C454" s="16" t="n">
        <v>45701</v>
      </c>
      <c r="D454" s="18" t="inlineStr">
        <is>
          <t>00000028</t>
        </is>
      </c>
      <c r="E454" s="16" t="n">
        <v>45701</v>
      </c>
      <c r="F454" s="16" t="inlineStr">
        <is>
          <t>XK2502-08</t>
        </is>
      </c>
      <c r="G454" s="16" t="n">
        <v>45701</v>
      </c>
      <c r="H454" s="17" t="inlineStr">
        <is>
          <t>CÔNG TY TNHH XNK THÉP KIM NAM</t>
        </is>
      </c>
      <c r="I454" s="18" t="inlineStr">
        <is>
          <t>Hộp vuông 150x150x2.5x6m - Đen</t>
        </is>
      </c>
      <c r="J454" s="18" t="inlineStr">
        <is>
          <t>kg</t>
        </is>
      </c>
      <c r="K454" s="19" t="n">
        <v>16165.46</v>
      </c>
      <c r="L454" s="21" t="n"/>
      <c r="M454" s="22" t="n"/>
      <c r="N454" s="22" t="n">
        <v>10529.04</v>
      </c>
      <c r="O454" s="22" t="n">
        <v>170206718</v>
      </c>
      <c r="P454" s="22" t="n">
        <v>10529.04</v>
      </c>
      <c r="Q454" s="22" t="n">
        <v>170206718</v>
      </c>
      <c r="R454" s="42">
        <f>+L454+N454-P454</f>
        <v/>
      </c>
      <c r="S454" s="42">
        <f>+M454+O454-Q454</f>
        <v/>
      </c>
    </row>
    <row r="455" ht="15" customHeight="1">
      <c r="A455" s="16" t="n">
        <v>45701</v>
      </c>
      <c r="B455" s="17" t="inlineStr">
        <is>
          <t>MH2502-06</t>
        </is>
      </c>
      <c r="C455" s="16" t="n">
        <v>45701</v>
      </c>
      <c r="D455" s="18" t="inlineStr">
        <is>
          <t>00000028</t>
        </is>
      </c>
      <c r="E455" s="16" t="n">
        <v>45701</v>
      </c>
      <c r="F455" s="16" t="inlineStr">
        <is>
          <t>XK2502-08</t>
        </is>
      </c>
      <c r="G455" s="16" t="n">
        <v>45701</v>
      </c>
      <c r="H455" s="17" t="inlineStr">
        <is>
          <t>CÔNG TY TNHH XNK THÉP KIM NAM</t>
        </is>
      </c>
      <c r="I455" s="18" t="inlineStr">
        <is>
          <t>Hộp vuông 150x150x3.5x6m - Đen</t>
        </is>
      </c>
      <c r="J455" s="18" t="inlineStr">
        <is>
          <t>kg</t>
        </is>
      </c>
      <c r="K455" s="19" t="n">
        <v>16801.82</v>
      </c>
      <c r="L455" s="21" t="n"/>
      <c r="M455" s="22" t="n"/>
      <c r="N455" s="22" t="n">
        <v>3172.62</v>
      </c>
      <c r="O455" s="22" t="n">
        <v>53305784</v>
      </c>
      <c r="P455" s="22" t="n">
        <v>3172.62</v>
      </c>
      <c r="Q455" s="22" t="n">
        <v>53305784</v>
      </c>
      <c r="R455" s="42">
        <f>+L455+N455-P455</f>
        <v/>
      </c>
      <c r="S455" s="42">
        <f>+M455+O455-Q455</f>
        <v/>
      </c>
    </row>
    <row r="456" ht="15" customHeight="1">
      <c r="A456" s="16" t="n">
        <v>45701</v>
      </c>
      <c r="B456" s="17" t="inlineStr">
        <is>
          <t>MH2502-07</t>
        </is>
      </c>
      <c r="C456" s="16" t="n">
        <v>45701</v>
      </c>
      <c r="D456" s="18" t="inlineStr">
        <is>
          <t>00000029</t>
        </is>
      </c>
      <c r="E456" s="16" t="n">
        <v>45701</v>
      </c>
      <c r="F456" s="16" t="inlineStr">
        <is>
          <t>XK2502-09</t>
        </is>
      </c>
      <c r="G456" s="16" t="n">
        <v>45701</v>
      </c>
      <c r="H456" s="17" t="inlineStr">
        <is>
          <t>CÔNG TY TNHH XNK THÉP KIM NAM</t>
        </is>
      </c>
      <c r="I456" s="18" t="inlineStr">
        <is>
          <t>Thép tấm Q355/A572 5lyx1500x6000</t>
        </is>
      </c>
      <c r="J456" s="18" t="inlineStr">
        <is>
          <t>kg</t>
        </is>
      </c>
      <c r="K456" s="19" t="n">
        <v>13701.82</v>
      </c>
      <c r="L456" s="21" t="n"/>
      <c r="M456" s="22" t="n"/>
      <c r="N456" s="22" t="n">
        <v>4239</v>
      </c>
      <c r="O456" s="22" t="n">
        <v>58082007</v>
      </c>
      <c r="P456" s="22" t="n">
        <v>4239</v>
      </c>
      <c r="Q456" s="22" t="n">
        <v>58082007</v>
      </c>
      <c r="R456" s="42">
        <f>+L456+N456-P456</f>
        <v/>
      </c>
      <c r="S456" s="42">
        <f>+M456+O456-Q456</f>
        <v/>
      </c>
    </row>
    <row r="457" ht="15" customHeight="1">
      <c r="A457" s="16" t="n">
        <v>45701</v>
      </c>
      <c r="B457" s="17" t="inlineStr">
        <is>
          <t>MH2502-07</t>
        </is>
      </c>
      <c r="C457" s="16" t="n">
        <v>45701</v>
      </c>
      <c r="D457" s="18" t="inlineStr">
        <is>
          <t>00000029</t>
        </is>
      </c>
      <c r="E457" s="16" t="n">
        <v>45701</v>
      </c>
      <c r="F457" s="16" t="inlineStr">
        <is>
          <t>XK2502-09</t>
        </is>
      </c>
      <c r="G457" s="16" t="n">
        <v>45701</v>
      </c>
      <c r="H457" s="17" t="inlineStr">
        <is>
          <t>CÔNG TY TNHH XNK THÉP KIM NAM</t>
        </is>
      </c>
      <c r="I457" s="18" t="inlineStr">
        <is>
          <t>Thép tấm Q355/A572 6lyx1500x6000</t>
        </is>
      </c>
      <c r="J457" s="18" t="inlineStr">
        <is>
          <t>kg</t>
        </is>
      </c>
      <c r="K457" s="19" t="n">
        <v>13701.82</v>
      </c>
      <c r="L457" s="21" t="n"/>
      <c r="M457" s="22" t="n"/>
      <c r="N457" s="22" t="n">
        <v>2119.5</v>
      </c>
      <c r="O457" s="22" t="n">
        <v>29041004</v>
      </c>
      <c r="P457" s="22" t="n">
        <v>2119.5</v>
      </c>
      <c r="Q457" s="22" t="n">
        <v>29041004</v>
      </c>
      <c r="R457" s="42">
        <f>+L457+N457-P457</f>
        <v/>
      </c>
      <c r="S457" s="42">
        <f>+M457+O457-Q457</f>
        <v/>
      </c>
    </row>
    <row r="458" ht="15" customHeight="1">
      <c r="A458" s="16" t="n">
        <v>45701</v>
      </c>
      <c r="B458" s="17" t="inlineStr">
        <is>
          <t>MH2502-07</t>
        </is>
      </c>
      <c r="C458" s="16" t="n">
        <v>45701</v>
      </c>
      <c r="D458" s="18" t="inlineStr">
        <is>
          <t>00000029</t>
        </is>
      </c>
      <c r="E458" s="16" t="n">
        <v>45701</v>
      </c>
      <c r="F458" s="16" t="inlineStr">
        <is>
          <t>XK2502-09</t>
        </is>
      </c>
      <c r="G458" s="16" t="n">
        <v>45701</v>
      </c>
      <c r="H458" s="17" t="inlineStr">
        <is>
          <t>CÔNG TY TNHH XNK THÉP KIM NAM</t>
        </is>
      </c>
      <c r="I458" s="18" t="inlineStr">
        <is>
          <t>Thép tấm Q355/A572 8lyx1500x12000</t>
        </is>
      </c>
      <c r="J458" s="18" t="inlineStr">
        <is>
          <t>kg</t>
        </is>
      </c>
      <c r="K458" s="19" t="n">
        <v>13792.73</v>
      </c>
      <c r="L458" s="21" t="n"/>
      <c r="M458" s="22" t="n"/>
      <c r="N458" s="22" t="n">
        <v>2260.8</v>
      </c>
      <c r="O458" s="22" t="n">
        <v>31182598</v>
      </c>
      <c r="P458" s="22" t="n">
        <v>2260.8</v>
      </c>
      <c r="Q458" s="22" t="n">
        <v>31182598</v>
      </c>
      <c r="R458" s="42">
        <f>+L458+N458-P458</f>
        <v/>
      </c>
      <c r="S458" s="42">
        <f>+M458+O458-Q458</f>
        <v/>
      </c>
    </row>
    <row r="459" ht="15" customHeight="1">
      <c r="A459" s="16" t="n">
        <v>45701</v>
      </c>
      <c r="B459" s="17" t="inlineStr">
        <is>
          <t>MH2502-07</t>
        </is>
      </c>
      <c r="C459" s="16" t="n">
        <v>45701</v>
      </c>
      <c r="D459" s="18" t="inlineStr">
        <is>
          <t>00000029</t>
        </is>
      </c>
      <c r="E459" s="16" t="n">
        <v>45701</v>
      </c>
      <c r="F459" s="16" t="inlineStr">
        <is>
          <t>XK2502-09</t>
        </is>
      </c>
      <c r="G459" s="16" t="n">
        <v>45701</v>
      </c>
      <c r="H459" s="17" t="inlineStr">
        <is>
          <t>CÔNG TY TNHH XNK THÉP KIM NAM</t>
        </is>
      </c>
      <c r="I459" s="18" t="inlineStr">
        <is>
          <t>Thép tấm Q355/A572 14lyx2000x12000</t>
        </is>
      </c>
      <c r="J459" s="18" t="inlineStr">
        <is>
          <t>kg</t>
        </is>
      </c>
      <c r="K459" s="19" t="n">
        <v>15038.18</v>
      </c>
      <c r="L459" s="21" t="n"/>
      <c r="M459" s="22" t="n"/>
      <c r="N459" s="22" t="n">
        <v>2637.6</v>
      </c>
      <c r="O459" s="22" t="n">
        <v>39664708</v>
      </c>
      <c r="P459" s="22" t="n">
        <v>2637.6</v>
      </c>
      <c r="Q459" s="22" t="n">
        <v>39664708</v>
      </c>
      <c r="R459" s="42">
        <f>+L459+N459-P459</f>
        <v/>
      </c>
      <c r="S459" s="42">
        <f>+M459+O459-Q459</f>
        <v/>
      </c>
    </row>
    <row r="460" ht="15" customHeight="1">
      <c r="A460" s="16" t="n">
        <v>45701</v>
      </c>
      <c r="B460" s="17" t="inlineStr">
        <is>
          <t>MH2502-07</t>
        </is>
      </c>
      <c r="C460" s="16" t="n">
        <v>45701</v>
      </c>
      <c r="D460" s="18" t="inlineStr">
        <is>
          <t>00000029</t>
        </is>
      </c>
      <c r="E460" s="16" t="n">
        <v>45701</v>
      </c>
      <c r="F460" s="16" t="inlineStr">
        <is>
          <t>XK2502-09</t>
        </is>
      </c>
      <c r="G460" s="16" t="n">
        <v>45701</v>
      </c>
      <c r="H460" s="17" t="inlineStr">
        <is>
          <t>CÔNG TY TNHH XNK THÉP KIM NAM</t>
        </is>
      </c>
      <c r="I460" s="18" t="inlineStr">
        <is>
          <t>Thép Hình I150x75x5x7x12m</t>
        </is>
      </c>
      <c r="J460" s="18" t="inlineStr">
        <is>
          <t>kg</t>
        </is>
      </c>
      <c r="K460" s="19" t="n">
        <v>16710.91</v>
      </c>
      <c r="L460" s="21" t="n"/>
      <c r="M460" s="22" t="n"/>
      <c r="N460" s="22" t="n">
        <v>1680</v>
      </c>
      <c r="O460" s="22" t="n">
        <v>28074327</v>
      </c>
      <c r="P460" s="22" t="n">
        <v>1680</v>
      </c>
      <c r="Q460" s="22" t="n">
        <v>28074327</v>
      </c>
      <c r="R460" s="42">
        <f>+L460+N460-P460</f>
        <v/>
      </c>
      <c r="S460" s="42">
        <f>+M460+O460-Q460</f>
        <v/>
      </c>
    </row>
    <row r="461" ht="15" customHeight="1">
      <c r="A461" s="16" t="n">
        <v>45701</v>
      </c>
      <c r="B461" s="17" t="inlineStr">
        <is>
          <t>MH2502-07</t>
        </is>
      </c>
      <c r="C461" s="16" t="n">
        <v>45701</v>
      </c>
      <c r="D461" s="18" t="inlineStr">
        <is>
          <t>00000029</t>
        </is>
      </c>
      <c r="E461" s="16" t="n">
        <v>45701</v>
      </c>
      <c r="F461" s="16" t="inlineStr">
        <is>
          <t>XK2502-09</t>
        </is>
      </c>
      <c r="G461" s="16" t="n">
        <v>45701</v>
      </c>
      <c r="H461" s="17" t="inlineStr">
        <is>
          <t>CÔNG TY TNHH XNK THÉP KIM NAM</t>
        </is>
      </c>
      <c r="I461" s="18" t="inlineStr">
        <is>
          <t>Hộp vuông 100x100x2.5x6m - Đen</t>
        </is>
      </c>
      <c r="J461" s="18" t="inlineStr">
        <is>
          <t>kg</t>
        </is>
      </c>
      <c r="K461" s="19" t="n">
        <v>15983.64</v>
      </c>
      <c r="L461" s="21" t="n"/>
      <c r="M461" s="22" t="n"/>
      <c r="N461" s="22" t="n">
        <v>411.21</v>
      </c>
      <c r="O461" s="22" t="n">
        <v>6572631</v>
      </c>
      <c r="P461" s="22" t="n">
        <v>411.21</v>
      </c>
      <c r="Q461" s="22" t="n">
        <v>6572631</v>
      </c>
      <c r="R461" s="42">
        <f>+L461+N461-P461</f>
        <v/>
      </c>
      <c r="S461" s="42">
        <f>+M461+O461-Q461</f>
        <v/>
      </c>
    </row>
    <row r="462" ht="15" customHeight="1">
      <c r="A462" s="16" t="n">
        <v>45701</v>
      </c>
      <c r="B462" s="17" t="inlineStr">
        <is>
          <t>MH2502-07</t>
        </is>
      </c>
      <c r="C462" s="16" t="n">
        <v>45701</v>
      </c>
      <c r="D462" s="18" t="inlineStr">
        <is>
          <t>00000029</t>
        </is>
      </c>
      <c r="E462" s="16" t="n">
        <v>45701</v>
      </c>
      <c r="F462" s="16" t="inlineStr">
        <is>
          <t>XK2502-09</t>
        </is>
      </c>
      <c r="G462" s="16" t="n">
        <v>45701</v>
      </c>
      <c r="H462" s="17" t="inlineStr">
        <is>
          <t>CÔNG TY TNHH XNK THÉP KIM NAM</t>
        </is>
      </c>
      <c r="I462" s="18" t="inlineStr">
        <is>
          <t>Thép hình V63x63x5x6m</t>
        </is>
      </c>
      <c r="J462" s="18" t="inlineStr">
        <is>
          <t>kg</t>
        </is>
      </c>
      <c r="K462" s="19" t="n">
        <v>15347.27</v>
      </c>
      <c r="L462" s="21" t="n"/>
      <c r="M462" s="22" t="n"/>
      <c r="N462" s="22" t="n">
        <v>56</v>
      </c>
      <c r="O462" s="22" t="n">
        <v>859447</v>
      </c>
      <c r="P462" s="22" t="n">
        <v>56</v>
      </c>
      <c r="Q462" s="22" t="n">
        <v>859447</v>
      </c>
      <c r="R462" s="42">
        <f>+L462+N462-P462</f>
        <v/>
      </c>
      <c r="S462" s="42">
        <f>+M462+O462-Q462</f>
        <v/>
      </c>
    </row>
    <row r="463" ht="15" customHeight="1">
      <c r="A463" s="16" t="n">
        <v>45701</v>
      </c>
      <c r="B463" s="17" t="inlineStr">
        <is>
          <t>MH2502-08</t>
        </is>
      </c>
      <c r="C463" s="16" t="n">
        <v>45701</v>
      </c>
      <c r="D463" s="18" t="inlineStr">
        <is>
          <t>00000030</t>
        </is>
      </c>
      <c r="E463" s="16" t="n">
        <v>45701</v>
      </c>
      <c r="F463" s="16" t="inlineStr">
        <is>
          <t>XK2502-10</t>
        </is>
      </c>
      <c r="G463" s="16" t="n">
        <v>45701</v>
      </c>
      <c r="H463" s="17" t="inlineStr">
        <is>
          <t>CÔNG TY TNHH XNK THÉP KIM NAM</t>
        </is>
      </c>
      <c r="I463" s="18" t="inlineStr">
        <is>
          <t>Thép tấm Q355/A572 5lyx1500x6000</t>
        </is>
      </c>
      <c r="J463" s="18" t="inlineStr">
        <is>
          <t>kg</t>
        </is>
      </c>
      <c r="K463" s="19" t="n">
        <v>13701.82</v>
      </c>
      <c r="L463" s="21" t="n"/>
      <c r="M463" s="22" t="n"/>
      <c r="N463" s="22" t="n">
        <v>13070.25</v>
      </c>
      <c r="O463" s="22" t="n">
        <v>179086189</v>
      </c>
      <c r="P463" s="22" t="n">
        <v>13070.25</v>
      </c>
      <c r="Q463" s="22" t="n">
        <v>179086189</v>
      </c>
      <c r="R463" s="42">
        <f>+L463+N463-P463</f>
        <v/>
      </c>
      <c r="S463" s="42">
        <f>+M463+O463-Q463</f>
        <v/>
      </c>
    </row>
    <row r="464" ht="15" customHeight="1">
      <c r="A464" s="16" t="n">
        <v>45701</v>
      </c>
      <c r="B464" s="17" t="inlineStr">
        <is>
          <t>MH2502-08</t>
        </is>
      </c>
      <c r="C464" s="16" t="n">
        <v>45701</v>
      </c>
      <c r="D464" s="18" t="inlineStr">
        <is>
          <t>00000030</t>
        </is>
      </c>
      <c r="E464" s="16" t="n">
        <v>45701</v>
      </c>
      <c r="F464" s="16" t="inlineStr">
        <is>
          <t>XK2502-10</t>
        </is>
      </c>
      <c r="G464" s="16" t="n">
        <v>45701</v>
      </c>
      <c r="H464" s="17" t="inlineStr">
        <is>
          <t>CÔNG TY TNHH XNK THÉP KIM NAM</t>
        </is>
      </c>
      <c r="I464" s="18" t="inlineStr">
        <is>
          <t>Thép tấm Q355/A572 6lyx1500x6000</t>
        </is>
      </c>
      <c r="J464" s="18" t="inlineStr">
        <is>
          <t>kg</t>
        </is>
      </c>
      <c r="K464" s="19" t="n">
        <v>13701.82</v>
      </c>
      <c r="L464" s="21" t="n"/>
      <c r="M464" s="22" t="n"/>
      <c r="N464" s="22" t="n">
        <v>7630.2</v>
      </c>
      <c r="O464" s="22" t="n">
        <v>104547613</v>
      </c>
      <c r="P464" s="22" t="n">
        <v>7630.2</v>
      </c>
      <c r="Q464" s="22" t="n">
        <v>104547613</v>
      </c>
      <c r="R464" s="42">
        <f>+L464+N464-P464</f>
        <v/>
      </c>
      <c r="S464" s="42">
        <f>+M464+O464-Q464</f>
        <v/>
      </c>
    </row>
    <row r="465" ht="15" customHeight="1">
      <c r="A465" s="16" t="n">
        <v>45701</v>
      </c>
      <c r="B465" s="17" t="inlineStr">
        <is>
          <t>MH2502-08</t>
        </is>
      </c>
      <c r="C465" s="16" t="n">
        <v>45701</v>
      </c>
      <c r="D465" s="18" t="inlineStr">
        <is>
          <t>00000030</t>
        </is>
      </c>
      <c r="E465" s="16" t="n">
        <v>45701</v>
      </c>
      <c r="F465" s="16" t="inlineStr">
        <is>
          <t>XK2502-10</t>
        </is>
      </c>
      <c r="G465" s="16" t="n">
        <v>45701</v>
      </c>
      <c r="H465" s="17" t="inlineStr">
        <is>
          <t>CÔNG TY TNHH XNK THÉP KIM NAM</t>
        </is>
      </c>
      <c r="I465" s="18" t="inlineStr">
        <is>
          <t>Thép tấm Q355/A572 8lyx1500x12000</t>
        </is>
      </c>
      <c r="J465" s="18" t="inlineStr">
        <is>
          <t>kg</t>
        </is>
      </c>
      <c r="K465" s="19" t="n">
        <v>13792.73</v>
      </c>
      <c r="L465" s="21" t="n"/>
      <c r="M465" s="22" t="n"/>
      <c r="N465" s="22" t="n">
        <v>7912.8</v>
      </c>
      <c r="O465" s="22" t="n">
        <v>109139092</v>
      </c>
      <c r="P465" s="22" t="n">
        <v>7912.8</v>
      </c>
      <c r="Q465" s="22" t="n">
        <v>109139092</v>
      </c>
      <c r="R465" s="42">
        <f>+L465+N465-P465</f>
        <v/>
      </c>
      <c r="S465" s="42">
        <f>+M465+O465-Q465</f>
        <v/>
      </c>
    </row>
    <row r="466" ht="15" customHeight="1">
      <c r="A466" s="16" t="n">
        <v>45701</v>
      </c>
      <c r="B466" s="17" t="inlineStr">
        <is>
          <t>MH2502-08</t>
        </is>
      </c>
      <c r="C466" s="16" t="n">
        <v>45701</v>
      </c>
      <c r="D466" s="18" t="inlineStr">
        <is>
          <t>00000030</t>
        </is>
      </c>
      <c r="E466" s="16" t="n">
        <v>45701</v>
      </c>
      <c r="F466" s="16" t="inlineStr">
        <is>
          <t>XK2502-10</t>
        </is>
      </c>
      <c r="G466" s="16" t="n">
        <v>45701</v>
      </c>
      <c r="H466" s="17" t="inlineStr">
        <is>
          <t>CÔNG TY TNHH XNK THÉP KIM NAM</t>
        </is>
      </c>
      <c r="I466" s="18" t="inlineStr">
        <is>
          <t>Thép tấm Q355/A572 10lyx1500x12000</t>
        </is>
      </c>
      <c r="J466" s="18" t="inlineStr">
        <is>
          <t>kg</t>
        </is>
      </c>
      <c r="K466" s="19" t="n">
        <v>13792.73</v>
      </c>
      <c r="L466" s="21" t="n"/>
      <c r="M466" s="22" t="n"/>
      <c r="N466" s="22" t="n">
        <v>5652</v>
      </c>
      <c r="O466" s="22" t="n">
        <v>77956495</v>
      </c>
      <c r="P466" s="22" t="n">
        <v>5652</v>
      </c>
      <c r="Q466" s="22" t="n">
        <v>77956495</v>
      </c>
      <c r="R466" s="42">
        <f>+L466+N466-P466</f>
        <v/>
      </c>
      <c r="S466" s="42">
        <f>+M466+O466-Q466</f>
        <v/>
      </c>
    </row>
    <row r="467" ht="15" customHeight="1">
      <c r="A467" s="16" t="n">
        <v>45701</v>
      </c>
      <c r="B467" s="17" t="inlineStr">
        <is>
          <t>MH2502-08</t>
        </is>
      </c>
      <c r="C467" s="16" t="n">
        <v>45701</v>
      </c>
      <c r="D467" s="18" t="inlineStr">
        <is>
          <t>00000030</t>
        </is>
      </c>
      <c r="E467" s="16" t="n">
        <v>45701</v>
      </c>
      <c r="F467" s="16" t="inlineStr">
        <is>
          <t>XK2502-10</t>
        </is>
      </c>
      <c r="G467" s="16" t="n">
        <v>45701</v>
      </c>
      <c r="H467" s="17" t="inlineStr">
        <is>
          <t>CÔNG TY TNHH XNK THÉP KIM NAM</t>
        </is>
      </c>
      <c r="I467" s="18" t="inlineStr">
        <is>
          <t>Thép tấm Q355/A572 12lyx1.500x12000</t>
        </is>
      </c>
      <c r="J467" s="18" t="inlineStr">
        <is>
          <t>kg</t>
        </is>
      </c>
      <c r="K467" s="19" t="n">
        <v>13792.73</v>
      </c>
      <c r="L467" s="21" t="n"/>
      <c r="M467" s="22" t="n"/>
      <c r="N467" s="22" t="n">
        <v>5086.8</v>
      </c>
      <c r="O467" s="22" t="n">
        <v>70160845</v>
      </c>
      <c r="P467" s="22" t="n">
        <v>5086.8</v>
      </c>
      <c r="Q467" s="22" t="n">
        <v>70160845</v>
      </c>
      <c r="R467" s="42">
        <f>+L467+N467-P467</f>
        <v/>
      </c>
      <c r="S467" s="42">
        <f>+M467+O467-Q467</f>
        <v/>
      </c>
    </row>
    <row r="468" ht="15" customHeight="1">
      <c r="A468" s="16" t="n">
        <v>45701</v>
      </c>
      <c r="B468" s="17" t="inlineStr">
        <is>
          <t>MH2502-08</t>
        </is>
      </c>
      <c r="C468" s="16" t="n">
        <v>45701</v>
      </c>
      <c r="D468" s="18" t="inlineStr">
        <is>
          <t>00000030</t>
        </is>
      </c>
      <c r="E468" s="16" t="n">
        <v>45701</v>
      </c>
      <c r="F468" s="16" t="inlineStr">
        <is>
          <t>XK2502-10</t>
        </is>
      </c>
      <c r="G468" s="16" t="n">
        <v>45701</v>
      </c>
      <c r="H468" s="17" t="inlineStr">
        <is>
          <t>CÔNG TY TNHH XNK THÉP KIM NAM</t>
        </is>
      </c>
      <c r="I468" s="18" t="inlineStr">
        <is>
          <t>Thép tấm Q355/A572 14lyx2000x12000</t>
        </is>
      </c>
      <c r="J468" s="18" t="inlineStr">
        <is>
          <t>kg</t>
        </is>
      </c>
      <c r="K468" s="19" t="n">
        <v>15038.18</v>
      </c>
      <c r="L468" s="21" t="n"/>
      <c r="M468" s="22" t="n"/>
      <c r="N468" s="22" t="n">
        <v>5275.2</v>
      </c>
      <c r="O468" s="22" t="n">
        <v>79329417</v>
      </c>
      <c r="P468" s="22" t="n">
        <v>5275.2</v>
      </c>
      <c r="Q468" s="22" t="n">
        <v>79329417</v>
      </c>
      <c r="R468" s="42">
        <f>+L468+N468-P468</f>
        <v/>
      </c>
      <c r="S468" s="42">
        <f>+M468+O468-Q468</f>
        <v/>
      </c>
    </row>
    <row r="469" ht="15" customHeight="1">
      <c r="A469" s="16" t="n">
        <v>45701</v>
      </c>
      <c r="B469" s="17" t="inlineStr">
        <is>
          <t>MH2502-08</t>
        </is>
      </c>
      <c r="C469" s="16" t="n">
        <v>45701</v>
      </c>
      <c r="D469" s="18" t="inlineStr">
        <is>
          <t>00000030</t>
        </is>
      </c>
      <c r="E469" s="16" t="n">
        <v>45701</v>
      </c>
      <c r="F469" s="16" t="inlineStr">
        <is>
          <t>XK2502-10</t>
        </is>
      </c>
      <c r="G469" s="16" t="n">
        <v>45701</v>
      </c>
      <c r="H469" s="17" t="inlineStr">
        <is>
          <t>CÔNG TY TNHH XNK THÉP KIM NAM</t>
        </is>
      </c>
      <c r="I469" s="18" t="inlineStr">
        <is>
          <t>Thép tấm Q355/A572 16lyx2000x12000</t>
        </is>
      </c>
      <c r="J469" s="18" t="inlineStr">
        <is>
          <t>kg</t>
        </is>
      </c>
      <c r="K469" s="19" t="n">
        <v>15038.18</v>
      </c>
      <c r="L469" s="21" t="n"/>
      <c r="M469" s="22" t="n"/>
      <c r="N469" s="22" t="n">
        <v>6028.8</v>
      </c>
      <c r="O469" s="22" t="n">
        <v>90662191</v>
      </c>
      <c r="P469" s="22" t="n">
        <v>6028.8</v>
      </c>
      <c r="Q469" s="22" t="n">
        <v>90662191</v>
      </c>
      <c r="R469" s="42">
        <f>+L469+N469-P469</f>
        <v/>
      </c>
      <c r="S469" s="42">
        <f>+M469+O469-Q469</f>
        <v/>
      </c>
    </row>
    <row r="470" ht="15" customHeight="1">
      <c r="A470" s="16" t="n">
        <v>45701</v>
      </c>
      <c r="B470" s="17" t="inlineStr">
        <is>
          <t>MH2502-08</t>
        </is>
      </c>
      <c r="C470" s="16" t="n">
        <v>45701</v>
      </c>
      <c r="D470" s="18" t="inlineStr">
        <is>
          <t>00000030</t>
        </is>
      </c>
      <c r="E470" s="16" t="n">
        <v>45701</v>
      </c>
      <c r="F470" s="16" t="inlineStr">
        <is>
          <t>XK2502-10</t>
        </is>
      </c>
      <c r="G470" s="16" t="n">
        <v>45701</v>
      </c>
      <c r="H470" s="17" t="inlineStr">
        <is>
          <t>CÔNG TY TNHH XNK THÉP KIM NAM</t>
        </is>
      </c>
      <c r="I470" s="18" t="inlineStr">
        <is>
          <t>Thép tấm Q355/A572 20lyx2000x12000</t>
        </is>
      </c>
      <c r="J470" s="18" t="inlineStr">
        <is>
          <t>kg</t>
        </is>
      </c>
      <c r="K470" s="19" t="n">
        <v>15038.18</v>
      </c>
      <c r="L470" s="21" t="n"/>
      <c r="M470" s="22" t="n"/>
      <c r="N470" s="22" t="n">
        <v>7536</v>
      </c>
      <c r="O470" s="22" t="n">
        <v>113327738</v>
      </c>
      <c r="P470" s="22" t="n">
        <v>7536</v>
      </c>
      <c r="Q470" s="22" t="n">
        <v>113327738</v>
      </c>
      <c r="R470" s="42">
        <f>+L470+N470-P470</f>
        <v/>
      </c>
      <c r="S470" s="42">
        <f>+M470+O470-Q470</f>
        <v/>
      </c>
    </row>
    <row r="471" ht="15" customHeight="1">
      <c r="A471" s="16" t="n">
        <v>45701</v>
      </c>
      <c r="B471" s="17" t="inlineStr">
        <is>
          <t>MH2502-08</t>
        </is>
      </c>
      <c r="C471" s="16" t="n">
        <v>45701</v>
      </c>
      <c r="D471" s="18" t="inlineStr">
        <is>
          <t>00000030</t>
        </is>
      </c>
      <c r="E471" s="16" t="n">
        <v>45701</v>
      </c>
      <c r="F471" s="16" t="inlineStr">
        <is>
          <t>XK2502-10</t>
        </is>
      </c>
      <c r="G471" s="16" t="n">
        <v>45701</v>
      </c>
      <c r="H471" s="17" t="inlineStr">
        <is>
          <t>CÔNG TY TNHH XNK THÉP KIM NAM</t>
        </is>
      </c>
      <c r="I471" s="18" t="inlineStr">
        <is>
          <t>Hộp vuông 100x100x2.5x6m - Đen</t>
        </is>
      </c>
      <c r="J471" s="18" t="inlineStr">
        <is>
          <t>kg</t>
        </is>
      </c>
      <c r="K471" s="19" t="n">
        <v>15983.64</v>
      </c>
      <c r="L471" s="21" t="n"/>
      <c r="M471" s="22" t="n"/>
      <c r="N471" s="22" t="n">
        <v>91.38</v>
      </c>
      <c r="O471" s="22" t="n">
        <v>1460585</v>
      </c>
      <c r="P471" s="22" t="n">
        <v>91.38</v>
      </c>
      <c r="Q471" s="22" t="n">
        <v>1460585</v>
      </c>
      <c r="R471" s="42">
        <f>+L471+N471-P471</f>
        <v/>
      </c>
      <c r="S471" s="42">
        <f>+M471+O471-Q471</f>
        <v/>
      </c>
    </row>
    <row r="472" ht="30" customHeight="1">
      <c r="A472" s="16" t="n">
        <v>45703</v>
      </c>
      <c r="B472" s="17" t="inlineStr">
        <is>
          <t>MH2502-09</t>
        </is>
      </c>
      <c r="C472" s="16" t="n">
        <v>45703</v>
      </c>
      <c r="D472" s="18" t="inlineStr">
        <is>
          <t>00000572</t>
        </is>
      </c>
      <c r="E472" s="16" t="n">
        <v>45703</v>
      </c>
      <c r="F472" s="16" t="inlineStr">
        <is>
          <t>XK2502-11</t>
        </is>
      </c>
      <c r="G472" s="16" t="n">
        <v>45703</v>
      </c>
      <c r="H472" s="17" t="inlineStr">
        <is>
          <t>CÔNG TY TNHH MTV SẢN XUẤT THƯƠNG MẠI DỊCH VỤ THANH HUYỀN</t>
        </is>
      </c>
      <c r="I472" s="18" t="inlineStr">
        <is>
          <t>Thép dày mạ kẽm</t>
        </is>
      </c>
      <c r="J472" s="18" t="inlineStr">
        <is>
          <t>kg</t>
        </is>
      </c>
      <c r="K472" s="19" t="n">
        <v>17127.94</v>
      </c>
      <c r="L472" s="21" t="n"/>
      <c r="M472" s="22" t="n"/>
      <c r="N472" s="22" t="n">
        <v>8260</v>
      </c>
      <c r="O472" s="22" t="n">
        <v>141476768</v>
      </c>
      <c r="P472" s="22" t="n">
        <v>8260</v>
      </c>
      <c r="Q472" s="22" t="n">
        <v>141476768</v>
      </c>
      <c r="R472" s="42">
        <f>+L472+N472-P472</f>
        <v/>
      </c>
      <c r="S472" s="42">
        <f>+M472+O472-Q472</f>
        <v/>
      </c>
    </row>
    <row r="473" ht="30" customHeight="1">
      <c r="A473" s="16" t="n">
        <v>45703</v>
      </c>
      <c r="B473" s="17" t="inlineStr">
        <is>
          <t>MH2502-09</t>
        </is>
      </c>
      <c r="C473" s="16" t="n">
        <v>45703</v>
      </c>
      <c r="D473" s="18" t="inlineStr">
        <is>
          <t>00000572</t>
        </is>
      </c>
      <c r="E473" s="16" t="n">
        <v>45703</v>
      </c>
      <c r="F473" s="16" t="inlineStr">
        <is>
          <t>XK2502-11</t>
        </is>
      </c>
      <c r="G473" s="16" t="n">
        <v>45703</v>
      </c>
      <c r="H473" s="17" t="inlineStr">
        <is>
          <t>CÔNG TY TNHH MTV SẢN XUẤT THƯƠNG MẠI DỊCH VỤ THANH HUYỀN</t>
        </is>
      </c>
      <c r="I473" s="18" t="inlineStr">
        <is>
          <t>Xà gồ mạ kẽm</t>
        </is>
      </c>
      <c r="J473" s="18" t="inlineStr">
        <is>
          <t>kg</t>
        </is>
      </c>
      <c r="K473" s="19" t="n">
        <v>18311.01</v>
      </c>
      <c r="L473" s="21" t="n"/>
      <c r="M473" s="22" t="n"/>
      <c r="N473" s="22" t="n">
        <v>95</v>
      </c>
      <c r="O473" s="22" t="n">
        <v>1739545</v>
      </c>
      <c r="P473" s="22" t="n">
        <v>95</v>
      </c>
      <c r="Q473" s="22" t="n">
        <v>1739545</v>
      </c>
      <c r="R473" s="42">
        <f>+L473+N473-P473</f>
        <v/>
      </c>
      <c r="S473" s="42">
        <f>+M473+O473-Q473</f>
        <v/>
      </c>
    </row>
    <row r="474" ht="30" customHeight="1">
      <c r="A474" s="16" t="n">
        <v>45705</v>
      </c>
      <c r="B474" s="17" t="inlineStr">
        <is>
          <t>MH2502-10</t>
        </is>
      </c>
      <c r="C474" s="16" t="n">
        <v>45705</v>
      </c>
      <c r="D474" s="18" t="inlineStr">
        <is>
          <t>00000408</t>
        </is>
      </c>
      <c r="E474" s="16" t="n">
        <v>45705</v>
      </c>
      <c r="F474" s="16" t="inlineStr">
        <is>
          <t>XK2502-12</t>
        </is>
      </c>
      <c r="G474" s="16" t="n">
        <v>45705</v>
      </c>
      <c r="H474" s="17" t="inlineStr">
        <is>
          <t>CÔNG TY CỔ PHẦN CÔNG NGHIỆP VÀ THƯƠNG MẠI CƯỜNG THỊNH</t>
        </is>
      </c>
      <c r="I474" s="18" t="inlineStr">
        <is>
          <t>Đinh hàn 4.8 M16x100</t>
        </is>
      </c>
      <c r="J474" s="18" t="inlineStr">
        <is>
          <t>Bộ</t>
        </is>
      </c>
      <c r="K474" s="19" t="n">
        <v>5800</v>
      </c>
      <c r="L474" s="21" t="n"/>
      <c r="M474" s="22" t="n"/>
      <c r="N474" s="22" t="n">
        <v>1906</v>
      </c>
      <c r="O474" s="22" t="n">
        <v>11054800</v>
      </c>
      <c r="P474" s="22" t="n">
        <v>1906</v>
      </c>
      <c r="Q474" s="22" t="n">
        <v>11054800</v>
      </c>
      <c r="R474" s="42">
        <f>+L474+N474-P474</f>
        <v/>
      </c>
      <c r="S474" s="42">
        <f>+M474+O474-Q474</f>
        <v/>
      </c>
    </row>
    <row r="475" ht="30" customHeight="1">
      <c r="A475" s="16" t="n">
        <v>45705</v>
      </c>
      <c r="B475" s="17" t="inlineStr">
        <is>
          <t>MH2502-10</t>
        </is>
      </c>
      <c r="C475" s="16" t="n">
        <v>45705</v>
      </c>
      <c r="D475" s="18" t="inlineStr">
        <is>
          <t>00000408</t>
        </is>
      </c>
      <c r="E475" s="16" t="n">
        <v>45705</v>
      </c>
      <c r="F475" s="16" t="inlineStr">
        <is>
          <t>XK2502-12</t>
        </is>
      </c>
      <c r="G475" s="16" t="n">
        <v>45705</v>
      </c>
      <c r="H475" s="17" t="inlineStr">
        <is>
          <t>CÔNG TY CỔ PHẦN CÔNG NGHIỆP VÀ THƯƠNG MẠI CƯỜNG THỊNH</t>
        </is>
      </c>
      <c r="I475" s="18" t="inlineStr">
        <is>
          <t>Vít B2 Dacromet 12-14x20</t>
        </is>
      </c>
      <c r="J475" s="18" t="inlineStr">
        <is>
          <t>Cái</t>
        </is>
      </c>
      <c r="K475" s="19" t="n">
        <v>600</v>
      </c>
      <c r="L475" s="21" t="n"/>
      <c r="M475" s="22" t="n"/>
      <c r="N475" s="22" t="n">
        <v>1000</v>
      </c>
      <c r="O475" s="22" t="n">
        <v>600000</v>
      </c>
      <c r="P475" s="22" t="n">
        <v>1000</v>
      </c>
      <c r="Q475" s="22" t="n">
        <v>600000</v>
      </c>
      <c r="R475" s="42">
        <f>+L475+N475-P475</f>
        <v/>
      </c>
      <c r="S475" s="42">
        <f>+M475+O475-Q475</f>
        <v/>
      </c>
    </row>
    <row r="476" ht="30" customHeight="1">
      <c r="A476" s="16" t="n">
        <v>45705</v>
      </c>
      <c r="B476" s="17" t="inlineStr">
        <is>
          <t>MH2502-10</t>
        </is>
      </c>
      <c r="C476" s="16" t="n">
        <v>45705</v>
      </c>
      <c r="D476" s="18" t="inlineStr">
        <is>
          <t>00000408</t>
        </is>
      </c>
      <c r="E476" s="16" t="n">
        <v>45705</v>
      </c>
      <c r="F476" s="16" t="inlineStr">
        <is>
          <t>XK2502-12</t>
        </is>
      </c>
      <c r="G476" s="16" t="n">
        <v>45705</v>
      </c>
      <c r="H476" s="17" t="inlineStr">
        <is>
          <t>CÔNG TY CỔ PHẦN CÔNG NGHIỆP VÀ THƯƠNG MẠI CƯỜNG THỊNH</t>
        </is>
      </c>
      <c r="I476" s="18" t="inlineStr">
        <is>
          <t>Vít B2 Dacromet 12-24x38 HWFS (lục giác)</t>
        </is>
      </c>
      <c r="J476" s="18" t="inlineStr">
        <is>
          <t>Cái</t>
        </is>
      </c>
      <c r="K476" s="19" t="n">
        <v>1920</v>
      </c>
      <c r="L476" s="21" t="n"/>
      <c r="M476" s="22" t="n"/>
      <c r="N476" s="22" t="n">
        <v>2000</v>
      </c>
      <c r="O476" s="22" t="n">
        <v>3840000</v>
      </c>
      <c r="P476" s="22" t="n">
        <v>2000</v>
      </c>
      <c r="Q476" s="22" t="n">
        <v>3840000</v>
      </c>
      <c r="R476" s="42">
        <f>+L476+N476-P476</f>
        <v/>
      </c>
      <c r="S476" s="42">
        <f>+M476+O476-Q476</f>
        <v/>
      </c>
    </row>
    <row r="477" ht="30" customHeight="1">
      <c r="A477" s="16" t="n">
        <v>45705</v>
      </c>
      <c r="B477" s="17" t="inlineStr">
        <is>
          <t>MH2502-10</t>
        </is>
      </c>
      <c r="C477" s="16" t="n">
        <v>45705</v>
      </c>
      <c r="D477" s="18" t="inlineStr">
        <is>
          <t>00000408</t>
        </is>
      </c>
      <c r="E477" s="16" t="n">
        <v>45705</v>
      </c>
      <c r="F477" s="16" t="inlineStr">
        <is>
          <t>XK2502-12</t>
        </is>
      </c>
      <c r="G477" s="16" t="n">
        <v>45705</v>
      </c>
      <c r="H477" s="17" t="inlineStr">
        <is>
          <t>CÔNG TY CỔ PHẦN CÔNG NGHIỆP VÀ THƯƠNG MẠI CƯỜNG THỊNH</t>
        </is>
      </c>
      <c r="I477" s="18" t="inlineStr">
        <is>
          <t>Bulong Din 933 8.8 ZP M20x60</t>
        </is>
      </c>
      <c r="J477" s="18" t="inlineStr">
        <is>
          <t>Cái</t>
        </is>
      </c>
      <c r="K477" s="19" t="n">
        <v>6440</v>
      </c>
      <c r="L477" s="21" t="n"/>
      <c r="M477" s="22" t="n"/>
      <c r="N477" s="22" t="n">
        <v>680</v>
      </c>
      <c r="O477" s="22" t="n">
        <v>4379200</v>
      </c>
      <c r="P477" s="22" t="n">
        <v>680</v>
      </c>
      <c r="Q477" s="22" t="n">
        <v>4379200</v>
      </c>
      <c r="R477" s="42">
        <f>+L477+N477-P477</f>
        <v/>
      </c>
      <c r="S477" s="42">
        <f>+M477+O477-Q477</f>
        <v/>
      </c>
    </row>
    <row r="478" ht="30" customHeight="1">
      <c r="A478" s="16" t="n">
        <v>45705</v>
      </c>
      <c r="B478" s="17" t="inlineStr">
        <is>
          <t>MH2502-10</t>
        </is>
      </c>
      <c r="C478" s="16" t="n">
        <v>45705</v>
      </c>
      <c r="D478" s="18" t="inlineStr">
        <is>
          <t>00000408</t>
        </is>
      </c>
      <c r="E478" s="16" t="n">
        <v>45705</v>
      </c>
      <c r="F478" s="16" t="inlineStr">
        <is>
          <t>XK2502-12</t>
        </is>
      </c>
      <c r="G478" s="16" t="n">
        <v>45705</v>
      </c>
      <c r="H478" s="17" t="inlineStr">
        <is>
          <t>CÔNG TY CỔ PHẦN CÔNG NGHIỆP VÀ THƯƠNG MẠI CƯỜNG THỊNH</t>
        </is>
      </c>
      <c r="I478" s="18" t="inlineStr">
        <is>
          <t>Đai ốc Din 934 8 ZP M20</t>
        </is>
      </c>
      <c r="J478" s="18" t="inlineStr">
        <is>
          <t>Cái</t>
        </is>
      </c>
      <c r="K478" s="19" t="n">
        <v>2030</v>
      </c>
      <c r="L478" s="21" t="n"/>
      <c r="M478" s="22" t="n"/>
      <c r="N478" s="22" t="n">
        <v>680</v>
      </c>
      <c r="O478" s="22" t="n">
        <v>1380400</v>
      </c>
      <c r="P478" s="22" t="n">
        <v>680</v>
      </c>
      <c r="Q478" s="22" t="n">
        <v>1380400</v>
      </c>
      <c r="R478" s="42">
        <f>+L478+N478-P478</f>
        <v/>
      </c>
      <c r="S478" s="42">
        <f>+M478+O478-Q478</f>
        <v/>
      </c>
    </row>
    <row r="479" ht="30" customHeight="1">
      <c r="A479" s="16" t="n">
        <v>45705</v>
      </c>
      <c r="B479" s="17" t="inlineStr">
        <is>
          <t>MH2502-10</t>
        </is>
      </c>
      <c r="C479" s="16" t="n">
        <v>45705</v>
      </c>
      <c r="D479" s="18" t="inlineStr">
        <is>
          <t>00000408</t>
        </is>
      </c>
      <c r="E479" s="16" t="n">
        <v>45705</v>
      </c>
      <c r="F479" s="16" t="inlineStr">
        <is>
          <t>XK2502-12</t>
        </is>
      </c>
      <c r="G479" s="16" t="n">
        <v>45705</v>
      </c>
      <c r="H479" s="17" t="inlineStr">
        <is>
          <t>CÔNG TY CỔ PHẦN CÔNG NGHIỆP VÀ THƯƠNG MẠI CƯỜNG THỊNH</t>
        </is>
      </c>
      <c r="I479" s="18" t="inlineStr">
        <is>
          <t>Long đền thường ZP M20B35D2</t>
        </is>
      </c>
      <c r="J479" s="18" t="inlineStr">
        <is>
          <t>Cái</t>
        </is>
      </c>
      <c r="K479" s="19" t="n">
        <v>350</v>
      </c>
      <c r="L479" s="21" t="n"/>
      <c r="M479" s="22" t="n"/>
      <c r="N479" s="22" t="n">
        <v>680</v>
      </c>
      <c r="O479" s="22" t="n">
        <v>238000</v>
      </c>
      <c r="P479" s="22" t="n">
        <v>680</v>
      </c>
      <c r="Q479" s="22" t="n">
        <v>238000</v>
      </c>
      <c r="R479" s="42">
        <f>+L479+N479-P479</f>
        <v/>
      </c>
      <c r="S479" s="42">
        <f>+M479+O479-Q479</f>
        <v/>
      </c>
    </row>
    <row r="480" ht="30" customHeight="1">
      <c r="A480" s="16" t="n">
        <v>45705</v>
      </c>
      <c r="B480" s="17" t="inlineStr">
        <is>
          <t>MH2502-10</t>
        </is>
      </c>
      <c r="C480" s="16" t="n">
        <v>45705</v>
      </c>
      <c r="D480" s="18" t="inlineStr">
        <is>
          <t>00000408</t>
        </is>
      </c>
      <c r="E480" s="16" t="n">
        <v>45705</v>
      </c>
      <c r="F480" s="16" t="inlineStr">
        <is>
          <t>XK2502-12</t>
        </is>
      </c>
      <c r="G480" s="16" t="n">
        <v>45705</v>
      </c>
      <c r="H480" s="17" t="inlineStr">
        <is>
          <t>CÔNG TY CỔ PHẦN CÔNG NGHIỆP VÀ THƯƠNG MẠI CƯỜNG THỊNH</t>
        </is>
      </c>
      <c r="I480" s="18" t="inlineStr">
        <is>
          <t>Bulong Din 933 8.8 ZP M24x70</t>
        </is>
      </c>
      <c r="J480" s="18" t="inlineStr">
        <is>
          <t>Cái</t>
        </is>
      </c>
      <c r="K480" s="19" t="n">
        <v>11010</v>
      </c>
      <c r="L480" s="21" t="n"/>
      <c r="M480" s="22" t="n"/>
      <c r="N480" s="22" t="n">
        <v>445</v>
      </c>
      <c r="O480" s="22" t="n">
        <v>4899450</v>
      </c>
      <c r="P480" s="22" t="n">
        <v>445</v>
      </c>
      <c r="Q480" s="22" t="n">
        <v>4899450</v>
      </c>
      <c r="R480" s="42">
        <f>+L480+N480-P480</f>
        <v/>
      </c>
      <c r="S480" s="42">
        <f>+M480+O480-Q480</f>
        <v/>
      </c>
    </row>
    <row r="481" ht="30" customHeight="1">
      <c r="A481" s="16" t="n">
        <v>45705</v>
      </c>
      <c r="B481" s="17" t="inlineStr">
        <is>
          <t>MH2502-10</t>
        </is>
      </c>
      <c r="C481" s="16" t="n">
        <v>45705</v>
      </c>
      <c r="D481" s="18" t="inlineStr">
        <is>
          <t>00000408</t>
        </is>
      </c>
      <c r="E481" s="16" t="n">
        <v>45705</v>
      </c>
      <c r="F481" s="16" t="inlineStr">
        <is>
          <t>XK2502-12</t>
        </is>
      </c>
      <c r="G481" s="16" t="n">
        <v>45705</v>
      </c>
      <c r="H481" s="17" t="inlineStr">
        <is>
          <t>CÔNG TY CỔ PHẦN CÔNG NGHIỆP VÀ THƯƠNG MẠI CƯỜNG THỊNH</t>
        </is>
      </c>
      <c r="I481" s="18" t="inlineStr">
        <is>
          <t>Đai ốc Din 934 8 ZP M24</t>
        </is>
      </c>
      <c r="J481" s="18" t="inlineStr">
        <is>
          <t>Cái</t>
        </is>
      </c>
      <c r="K481" s="19" t="n">
        <v>3500</v>
      </c>
      <c r="L481" s="21" t="n"/>
      <c r="M481" s="22" t="n"/>
      <c r="N481" s="22" t="n">
        <v>445</v>
      </c>
      <c r="O481" s="22" t="n">
        <v>1557500</v>
      </c>
      <c r="P481" s="22" t="n">
        <v>445</v>
      </c>
      <c r="Q481" s="22" t="n">
        <v>1557500</v>
      </c>
      <c r="R481" s="42">
        <f>+L481+N481-P481</f>
        <v/>
      </c>
      <c r="S481" s="42">
        <f>+M481+O481-Q481</f>
        <v/>
      </c>
    </row>
    <row r="482" ht="30" customHeight="1">
      <c r="A482" s="16" t="n">
        <v>45705</v>
      </c>
      <c r="B482" s="17" t="inlineStr">
        <is>
          <t>MH2502-10</t>
        </is>
      </c>
      <c r="C482" s="16" t="n">
        <v>45705</v>
      </c>
      <c r="D482" s="18" t="inlineStr">
        <is>
          <t>00000408</t>
        </is>
      </c>
      <c r="E482" s="16" t="n">
        <v>45705</v>
      </c>
      <c r="F482" s="16" t="inlineStr">
        <is>
          <t>XK2502-12</t>
        </is>
      </c>
      <c r="G482" s="16" t="n">
        <v>45705</v>
      </c>
      <c r="H482" s="17" t="inlineStr">
        <is>
          <t>CÔNG TY CỔ PHẦN CÔNG NGHIỆP VÀ THƯƠNG MẠI CƯỜNG THỊNH</t>
        </is>
      </c>
      <c r="I482" s="18" t="inlineStr">
        <is>
          <t>Long đền thường ZP M24B42D2</t>
        </is>
      </c>
      <c r="J482" s="18" t="inlineStr">
        <is>
          <t>Cái</t>
        </is>
      </c>
      <c r="K482" s="19" t="n">
        <v>710</v>
      </c>
      <c r="L482" s="21" t="n"/>
      <c r="M482" s="22" t="n"/>
      <c r="N482" s="22" t="n">
        <v>445</v>
      </c>
      <c r="O482" s="22" t="n">
        <v>315950</v>
      </c>
      <c r="P482" s="22" t="n">
        <v>445</v>
      </c>
      <c r="Q482" s="22" t="n">
        <v>315950</v>
      </c>
      <c r="R482" s="42">
        <f>+L482+N482-P482</f>
        <v/>
      </c>
      <c r="S482" s="42">
        <f>+M482+O482-Q482</f>
        <v/>
      </c>
    </row>
    <row r="483" ht="30" customHeight="1">
      <c r="A483" s="16" t="n">
        <v>45705</v>
      </c>
      <c r="B483" s="17" t="inlineStr">
        <is>
          <t>MH2502-10</t>
        </is>
      </c>
      <c r="C483" s="16" t="n">
        <v>45705</v>
      </c>
      <c r="D483" s="18" t="inlineStr">
        <is>
          <t>00000408</t>
        </is>
      </c>
      <c r="E483" s="16" t="n">
        <v>45705</v>
      </c>
      <c r="F483" s="16" t="inlineStr">
        <is>
          <t>XK2502-12</t>
        </is>
      </c>
      <c r="G483" s="16" t="n">
        <v>45705</v>
      </c>
      <c r="H483" s="17" t="inlineStr">
        <is>
          <t>CÔNG TY CỔ PHẦN CÔNG NGHIỆP VÀ THƯƠNG MẠI CƯỜNG THỊNH</t>
        </is>
      </c>
      <c r="I483" s="18" t="inlineStr">
        <is>
          <t>Bulong Din 933 8.8 ZP M24x90</t>
        </is>
      </c>
      <c r="J483" s="18" t="inlineStr">
        <is>
          <t>Cái</t>
        </is>
      </c>
      <c r="K483" s="19" t="n">
        <v>12950</v>
      </c>
      <c r="L483" s="21" t="n"/>
      <c r="M483" s="22" t="n"/>
      <c r="N483" s="22" t="n">
        <v>667</v>
      </c>
      <c r="O483" s="22" t="n">
        <v>8637650</v>
      </c>
      <c r="P483" s="22" t="n">
        <v>667</v>
      </c>
      <c r="Q483" s="22" t="n">
        <v>8637650</v>
      </c>
      <c r="R483" s="42">
        <f>+L483+N483-P483</f>
        <v/>
      </c>
      <c r="S483" s="42">
        <f>+M483+O483-Q483</f>
        <v/>
      </c>
    </row>
    <row r="484" ht="30" customHeight="1">
      <c r="A484" s="16" t="n">
        <v>45705</v>
      </c>
      <c r="B484" s="17" t="inlineStr">
        <is>
          <t>MH2502-10</t>
        </is>
      </c>
      <c r="C484" s="16" t="n">
        <v>45705</v>
      </c>
      <c r="D484" s="18" t="inlineStr">
        <is>
          <t>00000408</t>
        </is>
      </c>
      <c r="E484" s="16" t="n">
        <v>45705</v>
      </c>
      <c r="F484" s="16" t="inlineStr">
        <is>
          <t>XK2502-12</t>
        </is>
      </c>
      <c r="G484" s="16" t="n">
        <v>45705</v>
      </c>
      <c r="H484" s="17" t="inlineStr">
        <is>
          <t>CÔNG TY CỔ PHẦN CÔNG NGHIỆP VÀ THƯƠNG MẠI CƯỜNG THỊNH</t>
        </is>
      </c>
      <c r="I484" s="18" t="inlineStr">
        <is>
          <t>Đai ốc Din 934 8 ZP M24</t>
        </is>
      </c>
      <c r="J484" s="18" t="inlineStr">
        <is>
          <t>Cái</t>
        </is>
      </c>
      <c r="K484" s="19" t="n">
        <v>3500</v>
      </c>
      <c r="L484" s="21" t="n"/>
      <c r="M484" s="22" t="n"/>
      <c r="N484" s="22" t="n">
        <v>667</v>
      </c>
      <c r="O484" s="22" t="n">
        <v>2334500</v>
      </c>
      <c r="P484" s="22" t="n">
        <v>667</v>
      </c>
      <c r="Q484" s="22" t="n">
        <v>2334500</v>
      </c>
      <c r="R484" s="42">
        <f>+L484+N484-P484</f>
        <v/>
      </c>
      <c r="S484" s="42">
        <f>+M484+O484-Q484</f>
        <v/>
      </c>
    </row>
    <row r="485" ht="30" customHeight="1">
      <c r="A485" s="16" t="n">
        <v>45705</v>
      </c>
      <c r="B485" s="17" t="inlineStr">
        <is>
          <t>MH2502-10</t>
        </is>
      </c>
      <c r="C485" s="16" t="n">
        <v>45705</v>
      </c>
      <c r="D485" s="18" t="inlineStr">
        <is>
          <t>00000408</t>
        </is>
      </c>
      <c r="E485" s="16" t="n">
        <v>45705</v>
      </c>
      <c r="F485" s="16" t="inlineStr">
        <is>
          <t>XK2502-12</t>
        </is>
      </c>
      <c r="G485" s="16" t="n">
        <v>45705</v>
      </c>
      <c r="H485" s="17" t="inlineStr">
        <is>
          <t>CÔNG TY CỔ PHẦN CÔNG NGHIỆP VÀ THƯƠNG MẠI CƯỜNG THỊNH</t>
        </is>
      </c>
      <c r="I485" s="18" t="inlineStr">
        <is>
          <t>Long đền thường ZP M24B42D2</t>
        </is>
      </c>
      <c r="J485" s="18" t="inlineStr">
        <is>
          <t>Cái</t>
        </is>
      </c>
      <c r="K485" s="19" t="n">
        <v>710</v>
      </c>
      <c r="L485" s="21" t="n"/>
      <c r="M485" s="22" t="n"/>
      <c r="N485" s="22" t="n">
        <v>667</v>
      </c>
      <c r="O485" s="22" t="n">
        <v>473570</v>
      </c>
      <c r="P485" s="22" t="n">
        <v>667</v>
      </c>
      <c r="Q485" s="22" t="n">
        <v>473570</v>
      </c>
      <c r="R485" s="42">
        <f>+L485+N485-P485</f>
        <v/>
      </c>
      <c r="S485" s="42">
        <f>+M485+O485-Q485</f>
        <v/>
      </c>
    </row>
    <row r="486" ht="30" customHeight="1">
      <c r="A486" s="16" t="n">
        <v>45705</v>
      </c>
      <c r="B486" s="17" t="inlineStr">
        <is>
          <t>MH2502-10</t>
        </is>
      </c>
      <c r="C486" s="16" t="n">
        <v>45705</v>
      </c>
      <c r="D486" s="18" t="inlineStr">
        <is>
          <t>00000408</t>
        </is>
      </c>
      <c r="E486" s="16" t="n">
        <v>45705</v>
      </c>
      <c r="F486" s="16" t="inlineStr">
        <is>
          <t>XK2502-12</t>
        </is>
      </c>
      <c r="G486" s="16" t="n">
        <v>45705</v>
      </c>
      <c r="H486" s="17" t="inlineStr">
        <is>
          <t>CÔNG TY CỔ PHẦN CÔNG NGHIỆP VÀ THƯƠNG MẠI CƯỜNG THỊNH</t>
        </is>
      </c>
      <c r="I486" s="18" t="inlineStr">
        <is>
          <t>Bulong Din 933 8.8 ZP M30x100</t>
        </is>
      </c>
      <c r="J486" s="18" t="inlineStr">
        <is>
          <t>Cái</t>
        </is>
      </c>
      <c r="K486" s="19" t="n">
        <v>25490</v>
      </c>
      <c r="L486" s="21" t="n"/>
      <c r="M486" s="22" t="n"/>
      <c r="N486" s="22" t="n">
        <v>222</v>
      </c>
      <c r="O486" s="22" t="n">
        <v>5658780</v>
      </c>
      <c r="P486" s="22" t="n">
        <v>222</v>
      </c>
      <c r="Q486" s="22" t="n">
        <v>5658780</v>
      </c>
      <c r="R486" s="42">
        <f>+L486+N486-P486</f>
        <v/>
      </c>
      <c r="S486" s="42">
        <f>+M486+O486-Q486</f>
        <v/>
      </c>
    </row>
    <row r="487" ht="30" customHeight="1">
      <c r="A487" s="16" t="n">
        <v>45705</v>
      </c>
      <c r="B487" s="17" t="inlineStr">
        <is>
          <t>MH2502-10</t>
        </is>
      </c>
      <c r="C487" s="16" t="n">
        <v>45705</v>
      </c>
      <c r="D487" s="18" t="inlineStr">
        <is>
          <t>00000408</t>
        </is>
      </c>
      <c r="E487" s="16" t="n">
        <v>45705</v>
      </c>
      <c r="F487" s="16" t="inlineStr">
        <is>
          <t>XK2502-12</t>
        </is>
      </c>
      <c r="G487" s="16" t="n">
        <v>45705</v>
      </c>
      <c r="H487" s="17" t="inlineStr">
        <is>
          <t>CÔNG TY CỔ PHẦN CÔNG NGHIỆP VÀ THƯƠNG MẠI CƯỜNG THỊNH</t>
        </is>
      </c>
      <c r="I487" s="18" t="inlineStr">
        <is>
          <t>Đai ốc Din 934 8 ZP M30</t>
        </is>
      </c>
      <c r="J487" s="18" t="inlineStr">
        <is>
          <t>Cái</t>
        </is>
      </c>
      <c r="K487" s="19" t="n">
        <v>7590</v>
      </c>
      <c r="L487" s="21" t="n"/>
      <c r="M487" s="22" t="n"/>
      <c r="N487" s="22" t="n">
        <v>222</v>
      </c>
      <c r="O487" s="22" t="n">
        <v>1684980</v>
      </c>
      <c r="P487" s="22" t="n">
        <v>222</v>
      </c>
      <c r="Q487" s="22" t="n">
        <v>1684980</v>
      </c>
      <c r="R487" s="42">
        <f>+L487+N487-P487</f>
        <v/>
      </c>
      <c r="S487" s="42">
        <f>+M487+O487-Q487</f>
        <v/>
      </c>
    </row>
    <row r="488" ht="30" customHeight="1">
      <c r="A488" s="16" t="n">
        <v>45705</v>
      </c>
      <c r="B488" s="17" t="inlineStr">
        <is>
          <t>MH2502-10</t>
        </is>
      </c>
      <c r="C488" s="16" t="n">
        <v>45705</v>
      </c>
      <c r="D488" s="18" t="inlineStr">
        <is>
          <t>00000408</t>
        </is>
      </c>
      <c r="E488" s="16" t="n">
        <v>45705</v>
      </c>
      <c r="F488" s="16" t="inlineStr">
        <is>
          <t>XK2502-12</t>
        </is>
      </c>
      <c r="G488" s="16" t="n">
        <v>45705</v>
      </c>
      <c r="H488" s="17" t="inlineStr">
        <is>
          <t>CÔNG TY CỔ PHẦN CÔNG NGHIỆP VÀ THƯƠNG MẠI CƯỜNG THỊNH</t>
        </is>
      </c>
      <c r="I488" s="18" t="inlineStr">
        <is>
          <t>Long đền thường ZP M30B50D2</t>
        </is>
      </c>
      <c r="J488" s="18" t="inlineStr">
        <is>
          <t>Cái</t>
        </is>
      </c>
      <c r="K488" s="19" t="n">
        <v>890</v>
      </c>
      <c r="L488" s="21" t="n"/>
      <c r="M488" s="22" t="n"/>
      <c r="N488" s="22" t="n">
        <v>222</v>
      </c>
      <c r="O488" s="22" t="n">
        <v>197580</v>
      </c>
      <c r="P488" s="22" t="n">
        <v>222</v>
      </c>
      <c r="Q488" s="22" t="n">
        <v>197580</v>
      </c>
      <c r="R488" s="42">
        <f>+L488+N488-P488</f>
        <v/>
      </c>
      <c r="S488" s="42">
        <f>+M488+O488-Q488</f>
        <v/>
      </c>
    </row>
    <row r="489" ht="30" customHeight="1">
      <c r="A489" s="16" t="n">
        <v>45705</v>
      </c>
      <c r="B489" s="17" t="inlineStr">
        <is>
          <t>MH2502-10</t>
        </is>
      </c>
      <c r="C489" s="16" t="n">
        <v>45705</v>
      </c>
      <c r="D489" s="18" t="inlineStr">
        <is>
          <t>00000408</t>
        </is>
      </c>
      <c r="E489" s="16" t="n">
        <v>45705</v>
      </c>
      <c r="F489" s="16" t="inlineStr">
        <is>
          <t>XK2502-12</t>
        </is>
      </c>
      <c r="G489" s="16" t="n">
        <v>45705</v>
      </c>
      <c r="H489" s="17" t="inlineStr">
        <is>
          <t>CÔNG TY CỔ PHẦN CÔNG NGHIỆP VÀ THƯƠNG MẠI CƯỜNG THỊNH</t>
        </is>
      </c>
      <c r="I489" s="18" t="inlineStr">
        <is>
          <t>Bulong thường 4.6 ZP M12x30</t>
        </is>
      </c>
      <c r="J489" s="18" t="inlineStr">
        <is>
          <t>Cái</t>
        </is>
      </c>
      <c r="K489" s="19" t="n">
        <v>950</v>
      </c>
      <c r="L489" s="21" t="n"/>
      <c r="M489" s="22" t="n"/>
      <c r="N489" s="22" t="n">
        <v>37</v>
      </c>
      <c r="O489" s="22" t="n">
        <v>35150</v>
      </c>
      <c r="P489" s="22" t="n">
        <v>37</v>
      </c>
      <c r="Q489" s="22" t="n">
        <v>35150</v>
      </c>
      <c r="R489" s="42">
        <f>+L489+N489-P489</f>
        <v/>
      </c>
      <c r="S489" s="42">
        <f>+M489+O489-Q489</f>
        <v/>
      </c>
    </row>
    <row r="490" ht="30" customHeight="1">
      <c r="A490" s="16" t="n">
        <v>45705</v>
      </c>
      <c r="B490" s="17" t="inlineStr">
        <is>
          <t>MH2502-10</t>
        </is>
      </c>
      <c r="C490" s="16" t="n">
        <v>45705</v>
      </c>
      <c r="D490" s="18" t="inlineStr">
        <is>
          <t>00000408</t>
        </is>
      </c>
      <c r="E490" s="16" t="n">
        <v>45705</v>
      </c>
      <c r="F490" s="16" t="inlineStr">
        <is>
          <t>XK2502-12</t>
        </is>
      </c>
      <c r="G490" s="16" t="n">
        <v>45705</v>
      </c>
      <c r="H490" s="17" t="inlineStr">
        <is>
          <t>CÔNG TY CỔ PHẦN CÔNG NGHIỆP VÀ THƯƠNG MẠI CƯỜNG THỊNH</t>
        </is>
      </c>
      <c r="I490" s="18" t="inlineStr">
        <is>
          <t>Đai ốc thường 4 ZP M12 (9mm)</t>
        </is>
      </c>
      <c r="J490" s="18" t="inlineStr">
        <is>
          <t>Cái</t>
        </is>
      </c>
      <c r="K490" s="19" t="n">
        <v>360</v>
      </c>
      <c r="L490" s="21" t="n"/>
      <c r="M490" s="22" t="n"/>
      <c r="N490" s="22" t="n">
        <v>37</v>
      </c>
      <c r="O490" s="22" t="n">
        <v>13320</v>
      </c>
      <c r="P490" s="22" t="n">
        <v>37</v>
      </c>
      <c r="Q490" s="22" t="n">
        <v>13320</v>
      </c>
      <c r="R490" s="42">
        <f>+L490+N490-P490</f>
        <v/>
      </c>
      <c r="S490" s="42">
        <f>+M490+O490-Q490</f>
        <v/>
      </c>
    </row>
    <row r="491" ht="30" customHeight="1">
      <c r="A491" s="16" t="n">
        <v>45705</v>
      </c>
      <c r="B491" s="17" t="inlineStr">
        <is>
          <t>MH2502-10</t>
        </is>
      </c>
      <c r="C491" s="16" t="n">
        <v>45705</v>
      </c>
      <c r="D491" s="18" t="inlineStr">
        <is>
          <t>00000408</t>
        </is>
      </c>
      <c r="E491" s="16" t="n">
        <v>45705</v>
      </c>
      <c r="F491" s="16" t="inlineStr">
        <is>
          <t>XK2502-12</t>
        </is>
      </c>
      <c r="G491" s="16" t="n">
        <v>45705</v>
      </c>
      <c r="H491" s="17" t="inlineStr">
        <is>
          <t>CÔNG TY CỔ PHẦN CÔNG NGHIỆP VÀ THƯƠNG MẠI CƯỜNG THỊNH</t>
        </is>
      </c>
      <c r="I491" s="18" t="inlineStr">
        <is>
          <t>Long đền thường ZP M12B23D1</t>
        </is>
      </c>
      <c r="J491" s="18" t="inlineStr">
        <is>
          <t>Cái</t>
        </is>
      </c>
      <c r="K491" s="19" t="n">
        <v>100</v>
      </c>
      <c r="L491" s="21" t="n"/>
      <c r="M491" s="22" t="n"/>
      <c r="N491" s="22" t="n">
        <v>74</v>
      </c>
      <c r="O491" s="22" t="n">
        <v>7400</v>
      </c>
      <c r="P491" s="22" t="n">
        <v>74</v>
      </c>
      <c r="Q491" s="22" t="n">
        <v>7400</v>
      </c>
      <c r="R491" s="42">
        <f>+L491+N491-P491</f>
        <v/>
      </c>
      <c r="S491" s="42">
        <f>+M491+O491-Q491</f>
        <v/>
      </c>
    </row>
    <row r="492" ht="30" customHeight="1">
      <c r="A492" s="16" t="n">
        <v>45705</v>
      </c>
      <c r="B492" s="17" t="inlineStr">
        <is>
          <t>MH2502-11</t>
        </is>
      </c>
      <c r="C492" s="16" t="n">
        <v>45705</v>
      </c>
      <c r="D492" s="18" t="inlineStr">
        <is>
          <t>00000409</t>
        </is>
      </c>
      <c r="E492" s="16" t="n">
        <v>45705</v>
      </c>
      <c r="F492" s="16" t="inlineStr">
        <is>
          <t>XK2502-13</t>
        </is>
      </c>
      <c r="G492" s="16" t="n">
        <v>45705</v>
      </c>
      <c r="H492" s="17" t="inlineStr">
        <is>
          <t>CÔNG TY CỔ PHẦN CÔNG NGHIỆP VÀ THƯƠNG MẠI CƯỜNG THỊNH</t>
        </is>
      </c>
      <c r="I492" s="18" t="inlineStr">
        <is>
          <t>Ty giằng 2 đầu ren 4.6 ZP M16</t>
        </is>
      </c>
      <c r="J492" s="18" t="inlineStr">
        <is>
          <t>Mét</t>
        </is>
      </c>
      <c r="K492" s="19" t="n">
        <v>48000</v>
      </c>
      <c r="L492" s="21" t="n"/>
      <c r="M492" s="22" t="n"/>
      <c r="N492" s="22" t="n">
        <v>30.9</v>
      </c>
      <c r="O492" s="22" t="n">
        <v>1483200</v>
      </c>
      <c r="P492" s="22" t="n">
        <v>30.9</v>
      </c>
      <c r="Q492" s="22" t="n">
        <v>1483200</v>
      </c>
      <c r="R492" s="42">
        <f>+L492+N492-P492</f>
        <v/>
      </c>
      <c r="S492" s="42">
        <f>+M492+O492-Q492</f>
        <v/>
      </c>
    </row>
    <row r="493" ht="30" customHeight="1">
      <c r="A493" s="16" t="n">
        <v>45705</v>
      </c>
      <c r="B493" s="17" t="inlineStr">
        <is>
          <t>MH2502-11</t>
        </is>
      </c>
      <c r="C493" s="16" t="n">
        <v>45705</v>
      </c>
      <c r="D493" s="18" t="inlineStr">
        <is>
          <t>00000409</t>
        </is>
      </c>
      <c r="E493" s="16" t="n">
        <v>45705</v>
      </c>
      <c r="F493" s="16" t="inlineStr">
        <is>
          <t>XK2502-13</t>
        </is>
      </c>
      <c r="G493" s="16" t="n">
        <v>45705</v>
      </c>
      <c r="H493" s="17" t="inlineStr">
        <is>
          <t>CÔNG TY CỔ PHẦN CÔNG NGHIỆP VÀ THƯƠNG MẠI CƯỜNG THỊNH</t>
        </is>
      </c>
      <c r="I493" s="18" t="inlineStr">
        <is>
          <t>Đai ốc Din 934 5 ZP M16</t>
        </is>
      </c>
      <c r="J493" s="18" t="inlineStr">
        <is>
          <t>Cái</t>
        </is>
      </c>
      <c r="K493" s="19" t="n">
        <v>1110</v>
      </c>
      <c r="L493" s="21" t="n"/>
      <c r="M493" s="22" t="n"/>
      <c r="N493" s="22" t="n">
        <v>12</v>
      </c>
      <c r="O493" s="22" t="n">
        <v>13320</v>
      </c>
      <c r="P493" s="22" t="n">
        <v>12</v>
      </c>
      <c r="Q493" s="22" t="n">
        <v>13320</v>
      </c>
      <c r="R493" s="42">
        <f>+L493+N493-P493</f>
        <v/>
      </c>
      <c r="S493" s="42">
        <f>+M493+O493-Q493</f>
        <v/>
      </c>
    </row>
    <row r="494" ht="30" customHeight="1">
      <c r="A494" s="16" t="n">
        <v>45705</v>
      </c>
      <c r="B494" s="17" t="inlineStr">
        <is>
          <t>MH2502-11</t>
        </is>
      </c>
      <c r="C494" s="16" t="n">
        <v>45705</v>
      </c>
      <c r="D494" s="18" t="inlineStr">
        <is>
          <t>00000409</t>
        </is>
      </c>
      <c r="E494" s="16" t="n">
        <v>45705</v>
      </c>
      <c r="F494" s="16" t="inlineStr">
        <is>
          <t>XK2502-13</t>
        </is>
      </c>
      <c r="G494" s="16" t="n">
        <v>45705</v>
      </c>
      <c r="H494" s="17" t="inlineStr">
        <is>
          <t>CÔNG TY CỔ PHẦN CÔNG NGHIỆP VÀ THƯƠNG MẠI CƯỜNG THỊNH</t>
        </is>
      </c>
      <c r="I494" s="18" t="inlineStr">
        <is>
          <t>Long đền thường ZP M16B42D2</t>
        </is>
      </c>
      <c r="J494" s="18" t="inlineStr">
        <is>
          <t>Cái</t>
        </is>
      </c>
      <c r="K494" s="19" t="n">
        <v>800</v>
      </c>
      <c r="L494" s="21" t="n"/>
      <c r="M494" s="22" t="n"/>
      <c r="N494" s="22" t="n">
        <v>12</v>
      </c>
      <c r="O494" s="22" t="n">
        <v>9600</v>
      </c>
      <c r="P494" s="22" t="n">
        <v>12</v>
      </c>
      <c r="Q494" s="22" t="n">
        <v>9600</v>
      </c>
      <c r="R494" s="42">
        <f>+L494+N494-P494</f>
        <v/>
      </c>
      <c r="S494" s="42">
        <f>+M494+O494-Q494</f>
        <v/>
      </c>
    </row>
    <row r="495" ht="30" customHeight="1">
      <c r="A495" s="16" t="n">
        <v>45705</v>
      </c>
      <c r="B495" s="17" t="inlineStr">
        <is>
          <t>MH2502-11</t>
        </is>
      </c>
      <c r="C495" s="16" t="n">
        <v>45705</v>
      </c>
      <c r="D495" s="18" t="inlineStr">
        <is>
          <t>00000409</t>
        </is>
      </c>
      <c r="E495" s="16" t="n">
        <v>45705</v>
      </c>
      <c r="F495" s="16" t="inlineStr">
        <is>
          <t>XK2502-13</t>
        </is>
      </c>
      <c r="G495" s="16" t="n">
        <v>45705</v>
      </c>
      <c r="H495" s="17" t="inlineStr">
        <is>
          <t>CÔNG TY CỔ PHẦN CÔNG NGHIỆP VÀ THƯƠNG MẠI CƯỜNG THỊNH</t>
        </is>
      </c>
      <c r="I495" s="18" t="inlineStr">
        <is>
          <t>Long đền móng ngựa ZP M16</t>
        </is>
      </c>
      <c r="J495" s="18" t="inlineStr">
        <is>
          <t>Cái</t>
        </is>
      </c>
      <c r="K495" s="19" t="n">
        <v>15670</v>
      </c>
      <c r="L495" s="21" t="n"/>
      <c r="M495" s="22" t="n"/>
      <c r="N495" s="22" t="n">
        <v>12</v>
      </c>
      <c r="O495" s="22" t="n">
        <v>188040</v>
      </c>
      <c r="P495" s="22" t="n">
        <v>12</v>
      </c>
      <c r="Q495" s="22" t="n">
        <v>188040</v>
      </c>
      <c r="R495" s="42">
        <f>+L495+N495-P495</f>
        <v/>
      </c>
      <c r="S495" s="42">
        <f>+M495+O495-Q495</f>
        <v/>
      </c>
    </row>
    <row r="496" ht="30" customHeight="1">
      <c r="A496" s="16" t="n">
        <v>45705</v>
      </c>
      <c r="B496" s="17" t="inlineStr">
        <is>
          <t>MH2502-11</t>
        </is>
      </c>
      <c r="C496" s="16" t="n">
        <v>45705</v>
      </c>
      <c r="D496" s="18" t="inlineStr">
        <is>
          <t>00000409</t>
        </is>
      </c>
      <c r="E496" s="16" t="n">
        <v>45705</v>
      </c>
      <c r="F496" s="16" t="inlineStr">
        <is>
          <t>XK2502-13</t>
        </is>
      </c>
      <c r="G496" s="16" t="n">
        <v>45705</v>
      </c>
      <c r="H496" s="17" t="inlineStr">
        <is>
          <t>CÔNG TY CỔ PHẦN CÔNG NGHIỆP VÀ THƯƠNG MẠI CƯỜNG THỊNH</t>
        </is>
      </c>
      <c r="I496" s="18" t="inlineStr">
        <is>
          <t>Ty giằng 2 đầu ren 4.6 Ф11.3-11.5mm ZP M12</t>
        </is>
      </c>
      <c r="J496" s="18" t="inlineStr">
        <is>
          <t>Mét</t>
        </is>
      </c>
      <c r="K496" s="19" t="n">
        <v>22500</v>
      </c>
      <c r="L496" s="21" t="n"/>
      <c r="M496" s="22" t="n"/>
      <c r="N496" s="22" t="n">
        <v>8.43</v>
      </c>
      <c r="O496" s="22" t="n">
        <v>189675</v>
      </c>
      <c r="P496" s="22" t="n">
        <v>8.43</v>
      </c>
      <c r="Q496" s="22" t="n">
        <v>189675</v>
      </c>
      <c r="R496" s="42">
        <f>+L496+N496-P496</f>
        <v/>
      </c>
      <c r="S496" s="42">
        <f>+M496+O496-Q496</f>
        <v/>
      </c>
    </row>
    <row r="497" ht="30" customHeight="1">
      <c r="A497" s="16" t="n">
        <v>45705</v>
      </c>
      <c r="B497" s="17" t="inlineStr">
        <is>
          <t>MH2502-11</t>
        </is>
      </c>
      <c r="C497" s="16" t="n">
        <v>45705</v>
      </c>
      <c r="D497" s="18" t="inlineStr">
        <is>
          <t>00000409</t>
        </is>
      </c>
      <c r="E497" s="16" t="n">
        <v>45705</v>
      </c>
      <c r="F497" s="16" t="inlineStr">
        <is>
          <t>XK2502-13</t>
        </is>
      </c>
      <c r="G497" s="16" t="n">
        <v>45705</v>
      </c>
      <c r="H497" s="17" t="inlineStr">
        <is>
          <t>CÔNG TY CỔ PHẦN CÔNG NGHIỆP VÀ THƯƠNG MẠI CƯỜNG THỊNH</t>
        </is>
      </c>
      <c r="I497" s="18" t="inlineStr">
        <is>
          <t>Ty giằng 2 đầu ren 4.6 Ф11.3-11.5mm ZP M12</t>
        </is>
      </c>
      <c r="J497" s="18" t="inlineStr">
        <is>
          <t>Mét</t>
        </is>
      </c>
      <c r="K497" s="19" t="n">
        <v>24500</v>
      </c>
      <c r="L497" s="21" t="n"/>
      <c r="M497" s="22" t="n"/>
      <c r="N497" s="22" t="n">
        <v>2.96</v>
      </c>
      <c r="O497" s="22" t="n">
        <v>72520</v>
      </c>
      <c r="P497" s="22" t="n">
        <v>2.96</v>
      </c>
      <c r="Q497" s="22" t="n">
        <v>72520</v>
      </c>
      <c r="R497" s="42">
        <f>+L497+N497-P497</f>
        <v/>
      </c>
      <c r="S497" s="42">
        <f>+M497+O497-Q497</f>
        <v/>
      </c>
    </row>
    <row r="498" ht="30" customHeight="1">
      <c r="A498" s="16" t="n">
        <v>45705</v>
      </c>
      <c r="B498" s="17" t="inlineStr">
        <is>
          <t>MH2502-11</t>
        </is>
      </c>
      <c r="C498" s="16" t="n">
        <v>45705</v>
      </c>
      <c r="D498" s="18" t="inlineStr">
        <is>
          <t>00000409</t>
        </is>
      </c>
      <c r="E498" s="16" t="n">
        <v>45705</v>
      </c>
      <c r="F498" s="16" t="inlineStr">
        <is>
          <t>XK2502-13</t>
        </is>
      </c>
      <c r="G498" s="16" t="n">
        <v>45705</v>
      </c>
      <c r="H498" s="17" t="inlineStr">
        <is>
          <t>CÔNG TY CỔ PHẦN CÔNG NGHIỆP VÀ THƯƠNG MẠI CƯỜNG THỊNH</t>
        </is>
      </c>
      <c r="I498" s="18" t="inlineStr">
        <is>
          <t>Đai ốc thường 4 ZP M12 (9mm)</t>
        </is>
      </c>
      <c r="J498" s="18" t="inlineStr">
        <is>
          <t>Cái</t>
        </is>
      </c>
      <c r="K498" s="19" t="n">
        <v>360</v>
      </c>
      <c r="L498" s="21" t="n"/>
      <c r="M498" s="22" t="n"/>
      <c r="N498" s="22" t="n">
        <v>40</v>
      </c>
      <c r="O498" s="22" t="n">
        <v>14400</v>
      </c>
      <c r="P498" s="22" t="n">
        <v>40</v>
      </c>
      <c r="Q498" s="22" t="n">
        <v>14400</v>
      </c>
      <c r="R498" s="42">
        <f>+L498+N498-P498</f>
        <v/>
      </c>
      <c r="S498" s="42">
        <f>+M498+O498-Q498</f>
        <v/>
      </c>
    </row>
    <row r="499" ht="30" customHeight="1">
      <c r="A499" s="16" t="n">
        <v>45705</v>
      </c>
      <c r="B499" s="17" t="inlineStr">
        <is>
          <t>MH2502-11</t>
        </is>
      </c>
      <c r="C499" s="16" t="n">
        <v>45705</v>
      </c>
      <c r="D499" s="18" t="inlineStr">
        <is>
          <t>00000409</t>
        </is>
      </c>
      <c r="E499" s="16" t="n">
        <v>45705</v>
      </c>
      <c r="F499" s="16" t="inlineStr">
        <is>
          <t>XK2502-13</t>
        </is>
      </c>
      <c r="G499" s="16" t="n">
        <v>45705</v>
      </c>
      <c r="H499" s="17" t="inlineStr">
        <is>
          <t>CÔNG TY CỔ PHẦN CÔNG NGHIỆP VÀ THƯƠNG MẠI CƯỜNG THỊNH</t>
        </is>
      </c>
      <c r="I499" s="18" t="inlineStr">
        <is>
          <t>Long đền thường ZP M12B26D1.5</t>
        </is>
      </c>
      <c r="J499" s="18" t="inlineStr">
        <is>
          <t>Cái</t>
        </is>
      </c>
      <c r="K499" s="19" t="n">
        <v>190</v>
      </c>
      <c r="L499" s="21" t="n"/>
      <c r="M499" s="22" t="n"/>
      <c r="N499" s="22" t="n">
        <v>40</v>
      </c>
      <c r="O499" s="22" t="n">
        <v>7600</v>
      </c>
      <c r="P499" s="22" t="n">
        <v>40</v>
      </c>
      <c r="Q499" s="22" t="n">
        <v>7600</v>
      </c>
      <c r="R499" s="42">
        <f>+L499+N499-P499</f>
        <v/>
      </c>
      <c r="S499" s="42">
        <f>+M499+O499-Q499</f>
        <v/>
      </c>
    </row>
    <row r="500" ht="30" customHeight="1">
      <c r="A500" s="16" t="n">
        <v>45705</v>
      </c>
      <c r="B500" s="17" t="inlineStr">
        <is>
          <t>MH2502-12</t>
        </is>
      </c>
      <c r="C500" s="16" t="n">
        <v>45705</v>
      </c>
      <c r="D500" s="18" t="inlineStr">
        <is>
          <t>00000410</t>
        </is>
      </c>
      <c r="E500" s="16" t="n">
        <v>45705</v>
      </c>
      <c r="F500" s="16" t="inlineStr">
        <is>
          <t>XK2502-14</t>
        </is>
      </c>
      <c r="G500" s="16" t="n">
        <v>45705</v>
      </c>
      <c r="H500" s="17" t="inlineStr">
        <is>
          <t>CÔNG TY CỔ PHẦN CÔNG NGHIỆP VÀ THƯƠNG MẠI CƯỜNG THỊNH</t>
        </is>
      </c>
      <c r="I500" s="18" t="inlineStr">
        <is>
          <t>Vít B2 Dacromet 12-14x20</t>
        </is>
      </c>
      <c r="J500" s="18" t="inlineStr">
        <is>
          <t>Cái</t>
        </is>
      </c>
      <c r="K500" s="19" t="n">
        <v>600</v>
      </c>
      <c r="L500" s="21" t="n"/>
      <c r="M500" s="22" t="n"/>
      <c r="N500" s="22" t="n">
        <v>400</v>
      </c>
      <c r="O500" s="22" t="n">
        <v>240000</v>
      </c>
      <c r="P500" s="22" t="n">
        <v>400</v>
      </c>
      <c r="Q500" s="22" t="n">
        <v>240000</v>
      </c>
      <c r="R500" s="42">
        <f>+L500+N500-P500</f>
        <v/>
      </c>
      <c r="S500" s="42">
        <f>+M500+O500-Q500</f>
        <v/>
      </c>
    </row>
    <row r="501" ht="30" customHeight="1">
      <c r="A501" s="16" t="n">
        <v>45705</v>
      </c>
      <c r="B501" s="17" t="inlineStr">
        <is>
          <t>MH2502-12</t>
        </is>
      </c>
      <c r="C501" s="16" t="n">
        <v>45705</v>
      </c>
      <c r="D501" s="18" t="inlineStr">
        <is>
          <t>00000410</t>
        </is>
      </c>
      <c r="E501" s="16" t="n">
        <v>45705</v>
      </c>
      <c r="F501" s="16" t="inlineStr">
        <is>
          <t>XK2502-14</t>
        </is>
      </c>
      <c r="G501" s="16" t="n">
        <v>45705</v>
      </c>
      <c r="H501" s="17" t="inlineStr">
        <is>
          <t>CÔNG TY CỔ PHẦN CÔNG NGHIỆP VÀ THƯƠNG MẠI CƯỜNG THỊNH</t>
        </is>
      </c>
      <c r="I501" s="18" t="inlineStr">
        <is>
          <t>Bulong nở 5.6 ZP M12x100</t>
        </is>
      </c>
      <c r="J501" s="18" t="inlineStr">
        <is>
          <t>Cái</t>
        </is>
      </c>
      <c r="K501" s="19" t="n">
        <v>8380</v>
      </c>
      <c r="L501" s="21" t="n"/>
      <c r="M501" s="22" t="n"/>
      <c r="N501" s="22" t="n">
        <v>20</v>
      </c>
      <c r="O501" s="22" t="n">
        <v>167600</v>
      </c>
      <c r="P501" s="22" t="n">
        <v>20</v>
      </c>
      <c r="Q501" s="22" t="n">
        <v>167600</v>
      </c>
      <c r="R501" s="42">
        <f>+L501+N501-P501</f>
        <v/>
      </c>
      <c r="S501" s="42">
        <f>+M501+O501-Q501</f>
        <v/>
      </c>
    </row>
    <row r="502" ht="30" customHeight="1">
      <c r="A502" s="16" t="n">
        <v>45705</v>
      </c>
      <c r="B502" s="17" t="inlineStr">
        <is>
          <t>MH2502-12</t>
        </is>
      </c>
      <c r="C502" s="16" t="n">
        <v>45705</v>
      </c>
      <c r="D502" s="18" t="inlineStr">
        <is>
          <t>00000410</t>
        </is>
      </c>
      <c r="E502" s="16" t="n">
        <v>45705</v>
      </c>
      <c r="F502" s="16" t="inlineStr">
        <is>
          <t>XK2502-14</t>
        </is>
      </c>
      <c r="G502" s="16" t="n">
        <v>45705</v>
      </c>
      <c r="H502" s="17" t="inlineStr">
        <is>
          <t>CÔNG TY CỔ PHẦN CÔNG NGHIỆP VÀ THƯƠNG MẠI CƯỜNG THỊNH</t>
        </is>
      </c>
      <c r="I502" s="18" t="inlineStr">
        <is>
          <t>Bulong nở 5.6 ZP M16x180</t>
        </is>
      </c>
      <c r="J502" s="18" t="inlineStr">
        <is>
          <t>Cái</t>
        </is>
      </c>
      <c r="K502" s="19" t="n">
        <v>30000</v>
      </c>
      <c r="L502" s="21" t="n"/>
      <c r="M502" s="22" t="n"/>
      <c r="N502" s="22" t="n">
        <v>10</v>
      </c>
      <c r="O502" s="22" t="n">
        <v>300000</v>
      </c>
      <c r="P502" s="22" t="n">
        <v>10</v>
      </c>
      <c r="Q502" s="22" t="n">
        <v>300000</v>
      </c>
      <c r="R502" s="42">
        <f>+L502+N502-P502</f>
        <v/>
      </c>
      <c r="S502" s="42">
        <f>+M502+O502-Q502</f>
        <v/>
      </c>
    </row>
    <row r="503" ht="30" customHeight="1">
      <c r="A503" s="16" t="n">
        <v>45705</v>
      </c>
      <c r="B503" s="17" t="inlineStr">
        <is>
          <t>MH2502-12</t>
        </is>
      </c>
      <c r="C503" s="16" t="n">
        <v>45705</v>
      </c>
      <c r="D503" s="18" t="inlineStr">
        <is>
          <t>00000410</t>
        </is>
      </c>
      <c r="E503" s="16" t="n">
        <v>45705</v>
      </c>
      <c r="F503" s="16" t="inlineStr">
        <is>
          <t>XK2502-14</t>
        </is>
      </c>
      <c r="G503" s="16" t="n">
        <v>45705</v>
      </c>
      <c r="H503" s="17" t="inlineStr">
        <is>
          <t>CÔNG TY CỔ PHẦN CÔNG NGHIỆP VÀ THƯƠNG MẠI CƯỜNG THỊNH</t>
        </is>
      </c>
      <c r="I503" s="18" t="inlineStr">
        <is>
          <t>Bulong Din 933 8.8 ZP M16x40</t>
        </is>
      </c>
      <c r="J503" s="18" t="inlineStr">
        <is>
          <t>Cái</t>
        </is>
      </c>
      <c r="K503" s="19" t="n">
        <v>3030</v>
      </c>
      <c r="L503" s="21" t="n"/>
      <c r="M503" s="22" t="n"/>
      <c r="N503" s="22" t="n">
        <v>309</v>
      </c>
      <c r="O503" s="22" t="n">
        <v>936270</v>
      </c>
      <c r="P503" s="22" t="n">
        <v>309</v>
      </c>
      <c r="Q503" s="22" t="n">
        <v>936270</v>
      </c>
      <c r="R503" s="42">
        <f>+L503+N503-P503</f>
        <v/>
      </c>
      <c r="S503" s="42">
        <f>+M503+O503-Q503</f>
        <v/>
      </c>
    </row>
    <row r="504" ht="30" customHeight="1">
      <c r="A504" s="16" t="n">
        <v>45705</v>
      </c>
      <c r="B504" s="17" t="inlineStr">
        <is>
          <t>MH2502-12</t>
        </is>
      </c>
      <c r="C504" s="16" t="n">
        <v>45705</v>
      </c>
      <c r="D504" s="18" t="inlineStr">
        <is>
          <t>00000410</t>
        </is>
      </c>
      <c r="E504" s="16" t="n">
        <v>45705</v>
      </c>
      <c r="F504" s="16" t="inlineStr">
        <is>
          <t>XK2502-14</t>
        </is>
      </c>
      <c r="G504" s="16" t="n">
        <v>45705</v>
      </c>
      <c r="H504" s="17" t="inlineStr">
        <is>
          <t>CÔNG TY CỔ PHẦN CÔNG NGHIỆP VÀ THƯƠNG MẠI CƯỜNG THỊNH</t>
        </is>
      </c>
      <c r="I504" s="18" t="inlineStr">
        <is>
          <t>Đai ốc Din 934 8 ZP M16</t>
        </is>
      </c>
      <c r="J504" s="18" t="inlineStr">
        <is>
          <t>Cái</t>
        </is>
      </c>
      <c r="K504" s="19" t="n">
        <v>1090</v>
      </c>
      <c r="L504" s="21" t="n"/>
      <c r="M504" s="22" t="n"/>
      <c r="N504" s="22" t="n">
        <v>309</v>
      </c>
      <c r="O504" s="22" t="n">
        <v>336810</v>
      </c>
      <c r="P504" s="22" t="n">
        <v>309</v>
      </c>
      <c r="Q504" s="22" t="n">
        <v>336810</v>
      </c>
      <c r="R504" s="42">
        <f>+L504+N504-P504</f>
        <v/>
      </c>
      <c r="S504" s="42">
        <f>+M504+O504-Q504</f>
        <v/>
      </c>
    </row>
    <row r="505" ht="30" customHeight="1">
      <c r="A505" s="16" t="n">
        <v>45705</v>
      </c>
      <c r="B505" s="17" t="inlineStr">
        <is>
          <t>MH2502-12</t>
        </is>
      </c>
      <c r="C505" s="16" t="n">
        <v>45705</v>
      </c>
      <c r="D505" s="18" t="inlineStr">
        <is>
          <t>00000410</t>
        </is>
      </c>
      <c r="E505" s="16" t="n">
        <v>45705</v>
      </c>
      <c r="F505" s="16" t="inlineStr">
        <is>
          <t>XK2502-14</t>
        </is>
      </c>
      <c r="G505" s="16" t="n">
        <v>45705</v>
      </c>
      <c r="H505" s="17" t="inlineStr">
        <is>
          <t>CÔNG TY CỔ PHẦN CÔNG NGHIỆP VÀ THƯƠNG MẠI CƯỜNG THỊNH</t>
        </is>
      </c>
      <c r="I505" s="18" t="inlineStr">
        <is>
          <t>Long đền thường ZP M16B30D2</t>
        </is>
      </c>
      <c r="J505" s="18" t="inlineStr">
        <is>
          <t>Cái</t>
        </is>
      </c>
      <c r="K505" s="19" t="n">
        <v>350</v>
      </c>
      <c r="L505" s="21" t="n"/>
      <c r="M505" s="22" t="n"/>
      <c r="N505" s="22" t="n">
        <v>309</v>
      </c>
      <c r="O505" s="22" t="n">
        <v>108150</v>
      </c>
      <c r="P505" s="22" t="n">
        <v>309</v>
      </c>
      <c r="Q505" s="22" t="n">
        <v>108150</v>
      </c>
      <c r="R505" s="42">
        <f>+L505+N505-P505</f>
        <v/>
      </c>
      <c r="S505" s="42">
        <f>+M505+O505-Q505</f>
        <v/>
      </c>
    </row>
    <row r="506" ht="30" customHeight="1">
      <c r="A506" s="16" t="n">
        <v>45705</v>
      </c>
      <c r="B506" s="17" t="inlineStr">
        <is>
          <t>MH2502-12</t>
        </is>
      </c>
      <c r="C506" s="16" t="n">
        <v>45705</v>
      </c>
      <c r="D506" s="18" t="inlineStr">
        <is>
          <t>00000410</t>
        </is>
      </c>
      <c r="E506" s="16" t="n">
        <v>45705</v>
      </c>
      <c r="F506" s="16" t="inlineStr">
        <is>
          <t>XK2502-14</t>
        </is>
      </c>
      <c r="G506" s="16" t="n">
        <v>45705</v>
      </c>
      <c r="H506" s="17" t="inlineStr">
        <is>
          <t>CÔNG TY CỔ PHẦN CÔNG NGHIỆP VÀ THƯƠNG MẠI CƯỜNG THỊNH</t>
        </is>
      </c>
      <c r="I506" s="18" t="inlineStr">
        <is>
          <t>Bulong Din 933 8.8 ZP M16x50</t>
        </is>
      </c>
      <c r="J506" s="18" t="inlineStr">
        <is>
          <t>Cái</t>
        </is>
      </c>
      <c r="K506" s="19" t="n">
        <v>3470</v>
      </c>
      <c r="L506" s="21" t="n"/>
      <c r="M506" s="22" t="n"/>
      <c r="N506" s="22" t="n">
        <v>101</v>
      </c>
      <c r="O506" s="22" t="n">
        <v>350470</v>
      </c>
      <c r="P506" s="22" t="n">
        <v>101</v>
      </c>
      <c r="Q506" s="22" t="n">
        <v>350470</v>
      </c>
      <c r="R506" s="42">
        <f>+L506+N506-P506</f>
        <v/>
      </c>
      <c r="S506" s="42">
        <f>+M506+O506-Q506</f>
        <v/>
      </c>
    </row>
    <row r="507" ht="30" customHeight="1">
      <c r="A507" s="16" t="n">
        <v>45705</v>
      </c>
      <c r="B507" s="17" t="inlineStr">
        <is>
          <t>MH2502-12</t>
        </is>
      </c>
      <c r="C507" s="16" t="n">
        <v>45705</v>
      </c>
      <c r="D507" s="18" t="inlineStr">
        <is>
          <t>00000410</t>
        </is>
      </c>
      <c r="E507" s="16" t="n">
        <v>45705</v>
      </c>
      <c r="F507" s="16" t="inlineStr">
        <is>
          <t>XK2502-14</t>
        </is>
      </c>
      <c r="G507" s="16" t="n">
        <v>45705</v>
      </c>
      <c r="H507" s="17" t="inlineStr">
        <is>
          <t>CÔNG TY CỔ PHẦN CÔNG NGHIỆP VÀ THƯƠNG MẠI CƯỜNG THỊNH</t>
        </is>
      </c>
      <c r="I507" s="18" t="inlineStr">
        <is>
          <t>Đai ốc Din 934 8 ZP M16</t>
        </is>
      </c>
      <c r="J507" s="18" t="inlineStr">
        <is>
          <t>Cái</t>
        </is>
      </c>
      <c r="K507" s="19" t="n">
        <v>1090</v>
      </c>
      <c r="L507" s="21" t="n"/>
      <c r="M507" s="22" t="n"/>
      <c r="N507" s="22" t="n">
        <v>101</v>
      </c>
      <c r="O507" s="22" t="n">
        <v>110090</v>
      </c>
      <c r="P507" s="22" t="n">
        <v>101</v>
      </c>
      <c r="Q507" s="22" t="n">
        <v>110090</v>
      </c>
      <c r="R507" s="42">
        <f>+L507+N507-P507</f>
        <v/>
      </c>
      <c r="S507" s="42">
        <f>+M507+O507-Q507</f>
        <v/>
      </c>
    </row>
    <row r="508" ht="30" customHeight="1">
      <c r="A508" s="16" t="n">
        <v>45705</v>
      </c>
      <c r="B508" s="17" t="inlineStr">
        <is>
          <t>MH2502-12</t>
        </is>
      </c>
      <c r="C508" s="16" t="n">
        <v>45705</v>
      </c>
      <c r="D508" s="18" t="inlineStr">
        <is>
          <t>00000410</t>
        </is>
      </c>
      <c r="E508" s="16" t="n">
        <v>45705</v>
      </c>
      <c r="F508" s="16" t="inlineStr">
        <is>
          <t>XK2502-14</t>
        </is>
      </c>
      <c r="G508" s="16" t="n">
        <v>45705</v>
      </c>
      <c r="H508" s="17" t="inlineStr">
        <is>
          <t>CÔNG TY CỔ PHẦN CÔNG NGHIỆP VÀ THƯƠNG MẠI CƯỜNG THỊNH</t>
        </is>
      </c>
      <c r="I508" s="18" t="inlineStr">
        <is>
          <t>Long đền thường ZP M16B30D2</t>
        </is>
      </c>
      <c r="J508" s="18" t="inlineStr">
        <is>
          <t>Cái</t>
        </is>
      </c>
      <c r="K508" s="19" t="n">
        <v>350</v>
      </c>
      <c r="L508" s="21" t="n"/>
      <c r="M508" s="22" t="n"/>
      <c r="N508" s="22" t="n">
        <v>101</v>
      </c>
      <c r="O508" s="22" t="n">
        <v>35350</v>
      </c>
      <c r="P508" s="22" t="n">
        <v>101</v>
      </c>
      <c r="Q508" s="22" t="n">
        <v>35350</v>
      </c>
      <c r="R508" s="42">
        <f>+L508+N508-P508</f>
        <v/>
      </c>
      <c r="S508" s="42">
        <f>+M508+O508-Q508</f>
        <v/>
      </c>
    </row>
    <row r="509" ht="30" customHeight="1">
      <c r="A509" s="16" t="n">
        <v>45705</v>
      </c>
      <c r="B509" s="17" t="inlineStr">
        <is>
          <t>MH2502-12</t>
        </is>
      </c>
      <c r="C509" s="16" t="n">
        <v>45705</v>
      </c>
      <c r="D509" s="18" t="inlineStr">
        <is>
          <t>00000410</t>
        </is>
      </c>
      <c r="E509" s="16" t="n">
        <v>45705</v>
      </c>
      <c r="F509" s="16" t="inlineStr">
        <is>
          <t>XK2502-14</t>
        </is>
      </c>
      <c r="G509" s="16" t="n">
        <v>45705</v>
      </c>
      <c r="H509" s="17" t="inlineStr">
        <is>
          <t>CÔNG TY CỔ PHẦN CÔNG NGHIỆP VÀ THƯƠNG MẠI CƯỜNG THỊNH</t>
        </is>
      </c>
      <c r="I509" s="18" t="inlineStr">
        <is>
          <t>Bulong Din 933 8.8 ZP M20x50</t>
        </is>
      </c>
      <c r="J509" s="18" t="inlineStr">
        <is>
          <t>Cái</t>
        </is>
      </c>
      <c r="K509" s="19" t="n">
        <v>5760</v>
      </c>
      <c r="L509" s="21" t="n"/>
      <c r="M509" s="22" t="n"/>
      <c r="N509" s="22" t="n">
        <v>41</v>
      </c>
      <c r="O509" s="22" t="n">
        <v>236160</v>
      </c>
      <c r="P509" s="22" t="n">
        <v>41</v>
      </c>
      <c r="Q509" s="22" t="n">
        <v>236160</v>
      </c>
      <c r="R509" s="42">
        <f>+L509+N509-P509</f>
        <v/>
      </c>
      <c r="S509" s="42">
        <f>+M509+O509-Q509</f>
        <v/>
      </c>
    </row>
    <row r="510" ht="30" customHeight="1">
      <c r="A510" s="16" t="n">
        <v>45705</v>
      </c>
      <c r="B510" s="17" t="inlineStr">
        <is>
          <t>MH2502-12</t>
        </is>
      </c>
      <c r="C510" s="16" t="n">
        <v>45705</v>
      </c>
      <c r="D510" s="18" t="inlineStr">
        <is>
          <t>00000410</t>
        </is>
      </c>
      <c r="E510" s="16" t="n">
        <v>45705</v>
      </c>
      <c r="F510" s="16" t="inlineStr">
        <is>
          <t>XK2502-14</t>
        </is>
      </c>
      <c r="G510" s="16" t="n">
        <v>45705</v>
      </c>
      <c r="H510" s="17" t="inlineStr">
        <is>
          <t>CÔNG TY CỔ PHẦN CÔNG NGHIỆP VÀ THƯƠNG MẠI CƯỜNG THỊNH</t>
        </is>
      </c>
      <c r="I510" s="18" t="inlineStr">
        <is>
          <t>Đai ốc Din 934 8 ZP M20</t>
        </is>
      </c>
      <c r="J510" s="18" t="inlineStr">
        <is>
          <t>Cái</t>
        </is>
      </c>
      <c r="K510" s="19" t="n">
        <v>2030</v>
      </c>
      <c r="L510" s="21" t="n"/>
      <c r="M510" s="22" t="n"/>
      <c r="N510" s="22" t="n">
        <v>41</v>
      </c>
      <c r="O510" s="22" t="n">
        <v>83230</v>
      </c>
      <c r="P510" s="22" t="n">
        <v>41</v>
      </c>
      <c r="Q510" s="22" t="n">
        <v>83230</v>
      </c>
      <c r="R510" s="42">
        <f>+L510+N510-P510</f>
        <v/>
      </c>
      <c r="S510" s="42">
        <f>+M510+O510-Q510</f>
        <v/>
      </c>
    </row>
    <row r="511" ht="30" customHeight="1">
      <c r="A511" s="16" t="n">
        <v>45705</v>
      </c>
      <c r="B511" s="17" t="inlineStr">
        <is>
          <t>MH2502-12</t>
        </is>
      </c>
      <c r="C511" s="16" t="n">
        <v>45705</v>
      </c>
      <c r="D511" s="18" t="inlineStr">
        <is>
          <t>00000410</t>
        </is>
      </c>
      <c r="E511" s="16" t="n">
        <v>45705</v>
      </c>
      <c r="F511" s="16" t="inlineStr">
        <is>
          <t>XK2502-14</t>
        </is>
      </c>
      <c r="G511" s="16" t="n">
        <v>45705</v>
      </c>
      <c r="H511" s="17" t="inlineStr">
        <is>
          <t>CÔNG TY CỔ PHẦN CÔNG NGHIỆP VÀ THƯƠNG MẠI CƯỜNG THỊNH</t>
        </is>
      </c>
      <c r="I511" s="18" t="inlineStr">
        <is>
          <t>Long đền thường ZP M20B35D2</t>
        </is>
      </c>
      <c r="J511" s="18" t="inlineStr">
        <is>
          <t>Cái</t>
        </is>
      </c>
      <c r="K511" s="19" t="n">
        <v>350</v>
      </c>
      <c r="L511" s="21" t="n"/>
      <c r="M511" s="22" t="n"/>
      <c r="N511" s="22" t="n">
        <v>41</v>
      </c>
      <c r="O511" s="22" t="n">
        <v>14350</v>
      </c>
      <c r="P511" s="22" t="n">
        <v>41</v>
      </c>
      <c r="Q511" s="22" t="n">
        <v>14350</v>
      </c>
      <c r="R511" s="42">
        <f>+L511+N511-P511</f>
        <v/>
      </c>
      <c r="S511" s="42">
        <f>+M511+O511-Q511</f>
        <v/>
      </c>
    </row>
    <row r="512" ht="30" customHeight="1">
      <c r="A512" s="16" t="n">
        <v>45705</v>
      </c>
      <c r="B512" s="17" t="inlineStr">
        <is>
          <t>MH2502-12</t>
        </is>
      </c>
      <c r="C512" s="16" t="n">
        <v>45705</v>
      </c>
      <c r="D512" s="18" t="inlineStr">
        <is>
          <t>00000410</t>
        </is>
      </c>
      <c r="E512" s="16" t="n">
        <v>45705</v>
      </c>
      <c r="F512" s="16" t="inlineStr">
        <is>
          <t>XK2502-14</t>
        </is>
      </c>
      <c r="G512" s="16" t="n">
        <v>45705</v>
      </c>
      <c r="H512" s="17" t="inlineStr">
        <is>
          <t>CÔNG TY CỔ PHẦN CÔNG NGHIỆP VÀ THƯƠNG MẠI CƯỜNG THỊNH</t>
        </is>
      </c>
      <c r="I512" s="18" t="inlineStr">
        <is>
          <t>Bulong Din 933 8.8 ZP M20x60</t>
        </is>
      </c>
      <c r="J512" s="18" t="inlineStr">
        <is>
          <t>Cái</t>
        </is>
      </c>
      <c r="K512" s="19" t="n">
        <v>6440</v>
      </c>
      <c r="L512" s="21" t="n"/>
      <c r="M512" s="22" t="n"/>
      <c r="N512" s="22" t="n">
        <v>869</v>
      </c>
      <c r="O512" s="22" t="n">
        <v>5596360</v>
      </c>
      <c r="P512" s="22" t="n">
        <v>869</v>
      </c>
      <c r="Q512" s="22" t="n">
        <v>5596360</v>
      </c>
      <c r="R512" s="42">
        <f>+L512+N512-P512</f>
        <v/>
      </c>
      <c r="S512" s="42">
        <f>+M512+O512-Q512</f>
        <v/>
      </c>
    </row>
    <row r="513" ht="30" customHeight="1">
      <c r="A513" s="16" t="n">
        <v>45705</v>
      </c>
      <c r="B513" s="17" t="inlineStr">
        <is>
          <t>MH2502-12</t>
        </is>
      </c>
      <c r="C513" s="16" t="n">
        <v>45705</v>
      </c>
      <c r="D513" s="18" t="inlineStr">
        <is>
          <t>00000410</t>
        </is>
      </c>
      <c r="E513" s="16" t="n">
        <v>45705</v>
      </c>
      <c r="F513" s="16" t="inlineStr">
        <is>
          <t>XK2502-14</t>
        </is>
      </c>
      <c r="G513" s="16" t="n">
        <v>45705</v>
      </c>
      <c r="H513" s="17" t="inlineStr">
        <is>
          <t>CÔNG TY CỔ PHẦN CÔNG NGHIỆP VÀ THƯƠNG MẠI CƯỜNG THỊNH</t>
        </is>
      </c>
      <c r="I513" s="18" t="inlineStr">
        <is>
          <t>Đai ốc Din 934 8 ZP M20</t>
        </is>
      </c>
      <c r="J513" s="18" t="inlineStr">
        <is>
          <t>Cái</t>
        </is>
      </c>
      <c r="K513" s="19" t="n">
        <v>2030</v>
      </c>
      <c r="L513" s="21" t="n"/>
      <c r="M513" s="22" t="n"/>
      <c r="N513" s="22" t="n">
        <v>869</v>
      </c>
      <c r="O513" s="22" t="n">
        <v>1764070</v>
      </c>
      <c r="P513" s="22" t="n">
        <v>869</v>
      </c>
      <c r="Q513" s="22" t="n">
        <v>1764070</v>
      </c>
      <c r="R513" s="42">
        <f>+L513+N513-P513</f>
        <v/>
      </c>
      <c r="S513" s="42">
        <f>+M513+O513-Q513</f>
        <v/>
      </c>
    </row>
    <row r="514" ht="30" customHeight="1">
      <c r="A514" s="16" t="n">
        <v>45705</v>
      </c>
      <c r="B514" s="17" t="inlineStr">
        <is>
          <t>MH2502-12</t>
        </is>
      </c>
      <c r="C514" s="16" t="n">
        <v>45705</v>
      </c>
      <c r="D514" s="18" t="inlineStr">
        <is>
          <t>00000410</t>
        </is>
      </c>
      <c r="E514" s="16" t="n">
        <v>45705</v>
      </c>
      <c r="F514" s="16" t="inlineStr">
        <is>
          <t>XK2502-14</t>
        </is>
      </c>
      <c r="G514" s="16" t="n">
        <v>45705</v>
      </c>
      <c r="H514" s="17" t="inlineStr">
        <is>
          <t>CÔNG TY CỔ PHẦN CÔNG NGHIỆP VÀ THƯƠNG MẠI CƯỜNG THỊNH</t>
        </is>
      </c>
      <c r="I514" s="18" t="inlineStr">
        <is>
          <t>Long đền thường ZP M20B35D2</t>
        </is>
      </c>
      <c r="J514" s="18" t="inlineStr">
        <is>
          <t>Cái</t>
        </is>
      </c>
      <c r="K514" s="19" t="n">
        <v>350</v>
      </c>
      <c r="L514" s="21" t="n"/>
      <c r="M514" s="22" t="n"/>
      <c r="N514" s="22" t="n">
        <v>869</v>
      </c>
      <c r="O514" s="22" t="n">
        <v>304150</v>
      </c>
      <c r="P514" s="22" t="n">
        <v>869</v>
      </c>
      <c r="Q514" s="22" t="n">
        <v>304150</v>
      </c>
      <c r="R514" s="42">
        <f>+L514+N514-P514</f>
        <v/>
      </c>
      <c r="S514" s="42">
        <f>+M514+O514-Q514</f>
        <v/>
      </c>
    </row>
    <row r="515" ht="30" customHeight="1">
      <c r="A515" s="16" t="n">
        <v>45705</v>
      </c>
      <c r="B515" s="17" t="inlineStr">
        <is>
          <t>MH2502-12</t>
        </is>
      </c>
      <c r="C515" s="16" t="n">
        <v>45705</v>
      </c>
      <c r="D515" s="18" t="inlineStr">
        <is>
          <t>00000410</t>
        </is>
      </c>
      <c r="E515" s="16" t="n">
        <v>45705</v>
      </c>
      <c r="F515" s="16" t="inlineStr">
        <is>
          <t>XK2502-14</t>
        </is>
      </c>
      <c r="G515" s="16" t="n">
        <v>45705</v>
      </c>
      <c r="H515" s="17" t="inlineStr">
        <is>
          <t>CÔNG TY CỔ PHẦN CÔNG NGHIỆP VÀ THƯƠNG MẠI CƯỜNG THỊNH</t>
        </is>
      </c>
      <c r="I515" s="18" t="inlineStr">
        <is>
          <t>Bulong thường 4.6 ZP M12x30</t>
        </is>
      </c>
      <c r="J515" s="18" t="inlineStr">
        <is>
          <t>Cái</t>
        </is>
      </c>
      <c r="K515" s="19" t="n">
        <v>950</v>
      </c>
      <c r="L515" s="21" t="n"/>
      <c r="M515" s="22" t="n"/>
      <c r="N515" s="22" t="n">
        <v>464</v>
      </c>
      <c r="O515" s="22" t="n">
        <v>440800</v>
      </c>
      <c r="P515" s="22" t="n">
        <v>464</v>
      </c>
      <c r="Q515" s="22" t="n">
        <v>440800</v>
      </c>
      <c r="R515" s="42">
        <f>+L515+N515-P515</f>
        <v/>
      </c>
      <c r="S515" s="42">
        <f>+M515+O515-Q515</f>
        <v/>
      </c>
    </row>
    <row r="516" ht="30" customHeight="1">
      <c r="A516" s="16" t="n">
        <v>45705</v>
      </c>
      <c r="B516" s="17" t="inlineStr">
        <is>
          <t>MH2502-12</t>
        </is>
      </c>
      <c r="C516" s="16" t="n">
        <v>45705</v>
      </c>
      <c r="D516" s="18" t="inlineStr">
        <is>
          <t>00000410</t>
        </is>
      </c>
      <c r="E516" s="16" t="n">
        <v>45705</v>
      </c>
      <c r="F516" s="16" t="inlineStr">
        <is>
          <t>XK2502-14</t>
        </is>
      </c>
      <c r="G516" s="16" t="n">
        <v>45705</v>
      </c>
      <c r="H516" s="17" t="inlineStr">
        <is>
          <t>CÔNG TY CỔ PHẦN CÔNG NGHIỆP VÀ THƯƠNG MẠI CƯỜNG THỊNH</t>
        </is>
      </c>
      <c r="I516" s="18" t="inlineStr">
        <is>
          <t>Đai ốc thường 4 ZP M12 (9mm)</t>
        </is>
      </c>
      <c r="J516" s="18" t="inlineStr">
        <is>
          <t>Cái</t>
        </is>
      </c>
      <c r="K516" s="19" t="n">
        <v>360</v>
      </c>
      <c r="L516" s="21" t="n"/>
      <c r="M516" s="22" t="n"/>
      <c r="N516" s="22" t="n">
        <v>464</v>
      </c>
      <c r="O516" s="22" t="n">
        <v>167040</v>
      </c>
      <c r="P516" s="22" t="n">
        <v>464</v>
      </c>
      <c r="Q516" s="22" t="n">
        <v>167040</v>
      </c>
      <c r="R516" s="42">
        <f>+L516+N516-P516</f>
        <v/>
      </c>
      <c r="S516" s="42">
        <f>+M516+O516-Q516</f>
        <v/>
      </c>
    </row>
    <row r="517" ht="30" customHeight="1">
      <c r="A517" s="16" t="n">
        <v>45705</v>
      </c>
      <c r="B517" s="17" t="inlineStr">
        <is>
          <t>MH2502-12</t>
        </is>
      </c>
      <c r="C517" s="16" t="n">
        <v>45705</v>
      </c>
      <c r="D517" s="18" t="inlineStr">
        <is>
          <t>00000410</t>
        </is>
      </c>
      <c r="E517" s="16" t="n">
        <v>45705</v>
      </c>
      <c r="F517" s="16" t="inlineStr">
        <is>
          <t>XK2502-14</t>
        </is>
      </c>
      <c r="G517" s="16" t="n">
        <v>45705</v>
      </c>
      <c r="H517" s="17" t="inlineStr">
        <is>
          <t>CÔNG TY CỔ PHẦN CÔNG NGHIỆP VÀ THƯƠNG MẠI CƯỜNG THỊNH</t>
        </is>
      </c>
      <c r="I517" s="18" t="inlineStr">
        <is>
          <t>Long đền thường ZP M12B23D1</t>
        </is>
      </c>
      <c r="J517" s="18" t="inlineStr">
        <is>
          <t>Cái</t>
        </is>
      </c>
      <c r="K517" s="19" t="n">
        <v>100</v>
      </c>
      <c r="L517" s="21" t="n"/>
      <c r="M517" s="22" t="n"/>
      <c r="N517" s="22" t="n">
        <v>928</v>
      </c>
      <c r="O517" s="22" t="n">
        <v>92800</v>
      </c>
      <c r="P517" s="22" t="n">
        <v>928</v>
      </c>
      <c r="Q517" s="22" t="n">
        <v>92800</v>
      </c>
      <c r="R517" s="42">
        <f>+L517+N517-P517</f>
        <v/>
      </c>
      <c r="S517" s="42">
        <f>+M517+O517-Q517</f>
        <v/>
      </c>
    </row>
    <row r="518" ht="30" customHeight="1">
      <c r="A518" s="16" t="n">
        <v>45705</v>
      </c>
      <c r="B518" s="17" t="inlineStr">
        <is>
          <t>MH2502-12</t>
        </is>
      </c>
      <c r="C518" s="16" t="n">
        <v>45705</v>
      </c>
      <c r="D518" s="18" t="inlineStr">
        <is>
          <t>00000410</t>
        </is>
      </c>
      <c r="E518" s="16" t="n">
        <v>45705</v>
      </c>
      <c r="F518" s="16" t="inlineStr">
        <is>
          <t>XK2502-14</t>
        </is>
      </c>
      <c r="G518" s="16" t="n">
        <v>45705</v>
      </c>
      <c r="H518" s="17" t="inlineStr">
        <is>
          <t>CÔNG TY CỔ PHẦN CÔNG NGHIỆP VÀ THƯƠNG MẠI CƯỜNG THỊNH</t>
        </is>
      </c>
      <c r="I518" s="18" t="inlineStr">
        <is>
          <t>Bulong thường 4.6 ZP M12x40</t>
        </is>
      </c>
      <c r="J518" s="18" t="inlineStr">
        <is>
          <t>Cái</t>
        </is>
      </c>
      <c r="K518" s="19" t="n">
        <v>1100</v>
      </c>
      <c r="L518" s="21" t="n"/>
      <c r="M518" s="22" t="n"/>
      <c r="N518" s="22" t="n">
        <v>20</v>
      </c>
      <c r="O518" s="22" t="n">
        <v>22000</v>
      </c>
      <c r="P518" s="22" t="n">
        <v>20</v>
      </c>
      <c r="Q518" s="22" t="n">
        <v>22000</v>
      </c>
      <c r="R518" s="42">
        <f>+L518+N518-P518</f>
        <v/>
      </c>
      <c r="S518" s="42">
        <f>+M518+O518-Q518</f>
        <v/>
      </c>
    </row>
    <row r="519" ht="30" customHeight="1">
      <c r="A519" s="16" t="n">
        <v>45705</v>
      </c>
      <c r="B519" s="17" t="inlineStr">
        <is>
          <t>MH2502-12</t>
        </is>
      </c>
      <c r="C519" s="16" t="n">
        <v>45705</v>
      </c>
      <c r="D519" s="18" t="inlineStr">
        <is>
          <t>00000410</t>
        </is>
      </c>
      <c r="E519" s="16" t="n">
        <v>45705</v>
      </c>
      <c r="F519" s="16" t="inlineStr">
        <is>
          <t>XK2502-14</t>
        </is>
      </c>
      <c r="G519" s="16" t="n">
        <v>45705</v>
      </c>
      <c r="H519" s="17" t="inlineStr">
        <is>
          <t>CÔNG TY CỔ PHẦN CÔNG NGHIỆP VÀ THƯƠNG MẠI CƯỜNG THỊNH</t>
        </is>
      </c>
      <c r="I519" s="18" t="inlineStr">
        <is>
          <t>Đai ốc thường 4 ZP M12 (9mm)</t>
        </is>
      </c>
      <c r="J519" s="18" t="inlineStr">
        <is>
          <t>Cái</t>
        </is>
      </c>
      <c r="K519" s="19" t="n">
        <v>360</v>
      </c>
      <c r="L519" s="21" t="n"/>
      <c r="M519" s="22" t="n"/>
      <c r="N519" s="22" t="n">
        <v>20</v>
      </c>
      <c r="O519" s="22" t="n">
        <v>7200</v>
      </c>
      <c r="P519" s="22" t="n">
        <v>20</v>
      </c>
      <c r="Q519" s="22" t="n">
        <v>7200</v>
      </c>
      <c r="R519" s="42">
        <f>+L519+N519-P519</f>
        <v/>
      </c>
      <c r="S519" s="42">
        <f>+M519+O519-Q519</f>
        <v/>
      </c>
    </row>
    <row r="520" ht="30" customHeight="1">
      <c r="A520" s="16" t="n">
        <v>45705</v>
      </c>
      <c r="B520" s="17" t="inlineStr">
        <is>
          <t>MH2502-12</t>
        </is>
      </c>
      <c r="C520" s="16" t="n">
        <v>45705</v>
      </c>
      <c r="D520" s="18" t="inlineStr">
        <is>
          <t>00000410</t>
        </is>
      </c>
      <c r="E520" s="16" t="n">
        <v>45705</v>
      </c>
      <c r="F520" s="16" t="inlineStr">
        <is>
          <t>XK2502-14</t>
        </is>
      </c>
      <c r="G520" s="16" t="n">
        <v>45705</v>
      </c>
      <c r="H520" s="17" t="inlineStr">
        <is>
          <t>CÔNG TY CỔ PHẦN CÔNG NGHIỆP VÀ THƯƠNG MẠI CƯỜNG THỊNH</t>
        </is>
      </c>
      <c r="I520" s="18" t="inlineStr">
        <is>
          <t>Long đền thường ZP M12B23D1</t>
        </is>
      </c>
      <c r="J520" s="18" t="inlineStr">
        <is>
          <t>Cái</t>
        </is>
      </c>
      <c r="K520" s="19" t="n">
        <v>100</v>
      </c>
      <c r="L520" s="21" t="n"/>
      <c r="M520" s="22" t="n"/>
      <c r="N520" s="22" t="n">
        <v>40</v>
      </c>
      <c r="O520" s="22" t="n">
        <v>4000</v>
      </c>
      <c r="P520" s="22" t="n">
        <v>40</v>
      </c>
      <c r="Q520" s="22" t="n">
        <v>4000</v>
      </c>
      <c r="R520" s="42">
        <f>+L520+N520-P520</f>
        <v/>
      </c>
      <c r="S520" s="42">
        <f>+M520+O520-Q520</f>
        <v/>
      </c>
    </row>
    <row r="521" ht="30" customHeight="1">
      <c r="A521" s="16" t="n">
        <v>45705</v>
      </c>
      <c r="B521" s="17" t="inlineStr">
        <is>
          <t>MH2502-13</t>
        </is>
      </c>
      <c r="C521" s="16" t="n">
        <v>45705</v>
      </c>
      <c r="D521" s="18" t="inlineStr">
        <is>
          <t>00000411</t>
        </is>
      </c>
      <c r="E521" s="16" t="n">
        <v>45705</v>
      </c>
      <c r="F521" s="16" t="inlineStr">
        <is>
          <t>XK2502-15</t>
        </is>
      </c>
      <c r="G521" s="16" t="n">
        <v>45705</v>
      </c>
      <c r="H521" s="17" t="inlineStr">
        <is>
          <t>CÔNG TY CỔ PHẦN CÔNG NGHIỆP VÀ THƯƠNG MẠI CƯỜNG THỊNH</t>
        </is>
      </c>
      <c r="I521" s="18" t="inlineStr">
        <is>
          <t>Ty giằng 2 đầu ren 4.6 ZP M16</t>
        </is>
      </c>
      <c r="J521" s="18" t="inlineStr">
        <is>
          <t>Mét</t>
        </is>
      </c>
      <c r="K521" s="19" t="n">
        <v>48000</v>
      </c>
      <c r="L521" s="21" t="n"/>
      <c r="M521" s="22" t="n"/>
      <c r="N521" s="22" t="n">
        <v>109.19</v>
      </c>
      <c r="O521" s="22" t="n">
        <v>5241120</v>
      </c>
      <c r="P521" s="22" t="n">
        <v>109.19</v>
      </c>
      <c r="Q521" s="22" t="n">
        <v>5241120</v>
      </c>
      <c r="R521" s="42">
        <f>+L521+N521-P521</f>
        <v/>
      </c>
      <c r="S521" s="42">
        <f>+M521+O521-Q521</f>
        <v/>
      </c>
    </row>
    <row r="522" ht="30" customHeight="1">
      <c r="A522" s="16" t="n">
        <v>45705</v>
      </c>
      <c r="B522" s="17" t="inlineStr">
        <is>
          <t>MH2502-13</t>
        </is>
      </c>
      <c r="C522" s="16" t="n">
        <v>45705</v>
      </c>
      <c r="D522" s="18" t="inlineStr">
        <is>
          <t>00000411</t>
        </is>
      </c>
      <c r="E522" s="16" t="n">
        <v>45705</v>
      </c>
      <c r="F522" s="16" t="inlineStr">
        <is>
          <t>XK2502-15</t>
        </is>
      </c>
      <c r="G522" s="16" t="n">
        <v>45705</v>
      </c>
      <c r="H522" s="17" t="inlineStr">
        <is>
          <t>CÔNG TY CỔ PHẦN CÔNG NGHIỆP VÀ THƯƠNG MẠI CƯỜNG THỊNH</t>
        </is>
      </c>
      <c r="I522" s="18" t="inlineStr">
        <is>
          <t>Đai ốc Din 934 5 ZP M16</t>
        </is>
      </c>
      <c r="J522" s="18" t="inlineStr">
        <is>
          <t>Cái</t>
        </is>
      </c>
      <c r="K522" s="19" t="n">
        <v>1110</v>
      </c>
      <c r="L522" s="21" t="n"/>
      <c r="M522" s="22" t="n"/>
      <c r="N522" s="22" t="n">
        <v>64</v>
      </c>
      <c r="O522" s="22" t="n">
        <v>71040</v>
      </c>
      <c r="P522" s="22" t="n">
        <v>64</v>
      </c>
      <c r="Q522" s="22" t="n">
        <v>71040</v>
      </c>
      <c r="R522" s="42">
        <f>+L522+N522-P522</f>
        <v/>
      </c>
      <c r="S522" s="42">
        <f>+M522+O522-Q522</f>
        <v/>
      </c>
    </row>
    <row r="523" ht="30" customHeight="1">
      <c r="A523" s="16" t="n">
        <v>45705</v>
      </c>
      <c r="B523" s="17" t="inlineStr">
        <is>
          <t>MH2502-13</t>
        </is>
      </c>
      <c r="C523" s="16" t="n">
        <v>45705</v>
      </c>
      <c r="D523" s="18" t="inlineStr">
        <is>
          <t>00000411</t>
        </is>
      </c>
      <c r="E523" s="16" t="n">
        <v>45705</v>
      </c>
      <c r="F523" s="16" t="inlineStr">
        <is>
          <t>XK2502-15</t>
        </is>
      </c>
      <c r="G523" s="16" t="n">
        <v>45705</v>
      </c>
      <c r="H523" s="17" t="inlineStr">
        <is>
          <t>CÔNG TY CỔ PHẦN CÔNG NGHIỆP VÀ THƯƠNG MẠI CƯỜNG THỊNH</t>
        </is>
      </c>
      <c r="I523" s="18" t="inlineStr">
        <is>
          <t>Long đền thường ZP M16B42D2</t>
        </is>
      </c>
      <c r="J523" s="18" t="inlineStr">
        <is>
          <t>Cái</t>
        </is>
      </c>
      <c r="K523" s="19" t="n">
        <v>800</v>
      </c>
      <c r="L523" s="21" t="n"/>
      <c r="M523" s="22" t="n"/>
      <c r="N523" s="22" t="n">
        <v>64</v>
      </c>
      <c r="O523" s="22" t="n">
        <v>51200</v>
      </c>
      <c r="P523" s="22" t="n">
        <v>64</v>
      </c>
      <c r="Q523" s="22" t="n">
        <v>51200</v>
      </c>
      <c r="R523" s="42">
        <f>+L523+N523-P523</f>
        <v/>
      </c>
      <c r="S523" s="42">
        <f>+M523+O523-Q523</f>
        <v/>
      </c>
    </row>
    <row r="524" ht="30" customHeight="1">
      <c r="A524" s="16" t="n">
        <v>45705</v>
      </c>
      <c r="B524" s="17" t="inlineStr">
        <is>
          <t>MH2502-13</t>
        </is>
      </c>
      <c r="C524" s="16" t="n">
        <v>45705</v>
      </c>
      <c r="D524" s="18" t="inlineStr">
        <is>
          <t>00000411</t>
        </is>
      </c>
      <c r="E524" s="16" t="n">
        <v>45705</v>
      </c>
      <c r="F524" s="16" t="inlineStr">
        <is>
          <t>XK2502-15</t>
        </is>
      </c>
      <c r="G524" s="16" t="n">
        <v>45705</v>
      </c>
      <c r="H524" s="17" t="inlineStr">
        <is>
          <t>CÔNG TY CỔ PHẦN CÔNG NGHIỆP VÀ THƯƠNG MẠI CƯỜNG THỊNH</t>
        </is>
      </c>
      <c r="I524" s="18" t="inlineStr">
        <is>
          <t>Long đền móng ngựa ZP M16</t>
        </is>
      </c>
      <c r="J524" s="18" t="inlineStr">
        <is>
          <t>Cái</t>
        </is>
      </c>
      <c r="K524" s="19" t="n">
        <v>15670</v>
      </c>
      <c r="L524" s="21" t="n"/>
      <c r="M524" s="22" t="n"/>
      <c r="N524" s="22" t="n">
        <v>64</v>
      </c>
      <c r="O524" s="22" t="n">
        <v>1002880</v>
      </c>
      <c r="P524" s="22" t="n">
        <v>64</v>
      </c>
      <c r="Q524" s="22" t="n">
        <v>1002880</v>
      </c>
      <c r="R524" s="42">
        <f>+L524+N524-P524</f>
        <v/>
      </c>
      <c r="S524" s="42">
        <f>+M524+O524-Q524</f>
        <v/>
      </c>
    </row>
    <row r="525" ht="15" customHeight="1">
      <c r="A525" s="16" t="n">
        <v>45706</v>
      </c>
      <c r="B525" s="17" t="inlineStr">
        <is>
          <t>MH2502-14</t>
        </is>
      </c>
      <c r="C525" s="16" t="n">
        <v>45706</v>
      </c>
      <c r="D525" s="18" t="inlineStr">
        <is>
          <t>00001380</t>
        </is>
      </c>
      <c r="E525" s="16" t="n">
        <v>45706</v>
      </c>
      <c r="F525" s="16" t="inlineStr">
        <is>
          <t>XK2502-15</t>
        </is>
      </c>
      <c r="G525" s="16" t="n">
        <v>45706</v>
      </c>
      <c r="H525" s="17" t="inlineStr">
        <is>
          <t>CÔNG TY TNHH SƠN JOTUN VIỆT NAM</t>
        </is>
      </c>
      <c r="I525" s="18" t="inlineStr">
        <is>
          <t>SƠN FUTURA CLASSIC RAL9010 18.22L</t>
        </is>
      </c>
      <c r="J525" s="18" t="inlineStr">
        <is>
          <t>Lít</t>
        </is>
      </c>
      <c r="K525" s="19" t="n">
        <v>155000</v>
      </c>
      <c r="L525" s="21" t="n"/>
      <c r="M525" s="22" t="n"/>
      <c r="N525" s="22" t="n">
        <v>109.32</v>
      </c>
      <c r="O525" s="22" t="n">
        <v>16944600</v>
      </c>
      <c r="P525" s="22" t="n">
        <v>109.32</v>
      </c>
      <c r="Q525" s="22" t="n">
        <v>16944600</v>
      </c>
      <c r="R525" s="42">
        <f>+L525+N525-P525</f>
        <v/>
      </c>
      <c r="S525" s="42">
        <f>+M525+O525-Q525</f>
        <v/>
      </c>
    </row>
    <row r="526" ht="15" customHeight="1">
      <c r="A526" s="16" t="n">
        <v>45708</v>
      </c>
      <c r="B526" s="17" t="inlineStr">
        <is>
          <t>MH2502-17</t>
        </is>
      </c>
      <c r="C526" s="16" t="n">
        <v>45708</v>
      </c>
      <c r="D526" s="18" t="inlineStr">
        <is>
          <t>00000426</t>
        </is>
      </c>
      <c r="E526" s="16" t="n">
        <v>45708</v>
      </c>
      <c r="F526" s="16" t="inlineStr">
        <is>
          <t>XK2502-16</t>
        </is>
      </c>
      <c r="G526" s="16" t="n">
        <v>45708</v>
      </c>
      <c r="H526" s="17" t="inlineStr">
        <is>
          <t>CÔNG TY TNHH TÂN MỸ HẠNH</t>
        </is>
      </c>
      <c r="I526" s="18" t="inlineStr">
        <is>
          <t>Thép dày mạ kẽm</t>
        </is>
      </c>
      <c r="J526" s="18" t="inlineStr">
        <is>
          <t>kg</t>
        </is>
      </c>
      <c r="K526" s="19" t="n">
        <v>22696</v>
      </c>
      <c r="L526" s="21" t="n"/>
      <c r="M526" s="22" t="n"/>
      <c r="N526" s="22" t="n">
        <v>5094.22</v>
      </c>
      <c r="O526" s="22" t="n">
        <v>115618417</v>
      </c>
      <c r="P526" s="22" t="n">
        <v>5094.22</v>
      </c>
      <c r="Q526" s="22" t="n">
        <v>115618417</v>
      </c>
      <c r="R526" s="42">
        <f>+L526+N526-P526</f>
        <v/>
      </c>
      <c r="S526" s="42">
        <f>+M526+O526-Q526</f>
        <v/>
      </c>
    </row>
    <row r="527" ht="15" customHeight="1">
      <c r="A527" s="16" t="n">
        <v>45708</v>
      </c>
      <c r="B527" s="17" t="inlineStr">
        <is>
          <t>MH2502-17</t>
        </is>
      </c>
      <c r="C527" s="16" t="n">
        <v>45708</v>
      </c>
      <c r="D527" s="18" t="inlineStr">
        <is>
          <t>00000426</t>
        </is>
      </c>
      <c r="E527" s="16" t="n">
        <v>45708</v>
      </c>
      <c r="F527" s="16" t="inlineStr">
        <is>
          <t>XK2502-16</t>
        </is>
      </c>
      <c r="G527" s="16" t="n">
        <v>45708</v>
      </c>
      <c r="H527" s="17" t="inlineStr">
        <is>
          <t>CÔNG TY TNHH TÂN MỸ HẠNH</t>
        </is>
      </c>
      <c r="I527" s="18" t="inlineStr">
        <is>
          <t>Xà gồ kẽm C</t>
        </is>
      </c>
      <c r="J527" s="18" t="inlineStr">
        <is>
          <t>kg</t>
        </is>
      </c>
      <c r="K527" s="19" t="n">
        <v>18971</v>
      </c>
      <c r="L527" s="21" t="n"/>
      <c r="M527" s="22" t="n"/>
      <c r="N527" s="22" t="n">
        <v>428.4782</v>
      </c>
      <c r="O527" s="22" t="n">
        <v>8128660</v>
      </c>
      <c r="P527" s="22" t="n">
        <v>428.4782</v>
      </c>
      <c r="Q527" s="22" t="n">
        <v>8128660</v>
      </c>
      <c r="R527" s="42">
        <f>+L527+N527-P527</f>
        <v/>
      </c>
      <c r="S527" s="42">
        <f>+M527+O527-Q527</f>
        <v/>
      </c>
    </row>
    <row r="528" ht="15" customHeight="1">
      <c r="A528" s="16" t="n">
        <v>45708</v>
      </c>
      <c r="B528" s="17" t="inlineStr">
        <is>
          <t>MH2502-17</t>
        </is>
      </c>
      <c r="C528" s="16" t="n">
        <v>45708</v>
      </c>
      <c r="D528" s="18" t="inlineStr">
        <is>
          <t>00000426</t>
        </is>
      </c>
      <c r="E528" s="16" t="n">
        <v>45708</v>
      </c>
      <c r="F528" s="16" t="inlineStr">
        <is>
          <t>XK2502-16</t>
        </is>
      </c>
      <c r="G528" s="16" t="n">
        <v>45708</v>
      </c>
      <c r="H528" s="17" t="inlineStr">
        <is>
          <t>CÔNG TY TNHH TÂN MỸ HẠNH</t>
        </is>
      </c>
      <c r="I528" s="18" t="inlineStr">
        <is>
          <t>Xà gồ kẽm Z</t>
        </is>
      </c>
      <c r="J528" s="18" t="inlineStr">
        <is>
          <t>kg</t>
        </is>
      </c>
      <c r="K528" s="19" t="n">
        <v>18976</v>
      </c>
      <c r="L528" s="21" t="n"/>
      <c r="M528" s="22" t="n"/>
      <c r="N528" s="22" t="n">
        <v>33463.7</v>
      </c>
      <c r="O528" s="22" t="n">
        <v>635007171</v>
      </c>
      <c r="P528" s="22" t="n">
        <v>33463.7</v>
      </c>
      <c r="Q528" s="22" t="n">
        <v>635007171</v>
      </c>
      <c r="R528" s="42">
        <f>+L528+N528-P528</f>
        <v/>
      </c>
      <c r="S528" s="42">
        <f>+M528+O528-Q528</f>
        <v/>
      </c>
    </row>
    <row r="529" ht="15" customHeight="1">
      <c r="A529" s="16" t="n">
        <v>45708</v>
      </c>
      <c r="B529" s="17" t="inlineStr">
        <is>
          <t>MH2502-18</t>
        </is>
      </c>
      <c r="C529" s="16" t="n">
        <v>45708</v>
      </c>
      <c r="D529" s="18" t="inlineStr">
        <is>
          <t>00000427</t>
        </is>
      </c>
      <c r="E529" s="16" t="n">
        <v>45708</v>
      </c>
      <c r="F529" s="16" t="inlineStr">
        <is>
          <t>XK2502-17</t>
        </is>
      </c>
      <c r="G529" s="16" t="n">
        <v>45708</v>
      </c>
      <c r="H529" s="17" t="inlineStr">
        <is>
          <t>CÔNG TY TNHH TÂN MỸ HẠNH</t>
        </is>
      </c>
      <c r="I529" s="18" t="inlineStr">
        <is>
          <t>Thép dày mạ kẽm</t>
        </is>
      </c>
      <c r="J529" s="18" t="inlineStr">
        <is>
          <t>kg</t>
        </is>
      </c>
      <c r="K529" s="19" t="n">
        <v>22696</v>
      </c>
      <c r="L529" s="21" t="n"/>
      <c r="M529" s="22" t="n"/>
      <c r="N529" s="22" t="n">
        <v>81.727</v>
      </c>
      <c r="O529" s="22" t="n">
        <v>1854876</v>
      </c>
      <c r="P529" s="22" t="n">
        <v>81.727</v>
      </c>
      <c r="Q529" s="22" t="n">
        <v>1854876</v>
      </c>
      <c r="R529" s="42">
        <f>+L529+N529-P529</f>
        <v/>
      </c>
      <c r="S529" s="42">
        <f>+M529+O529-Q529</f>
        <v/>
      </c>
    </row>
    <row r="530" ht="15" customHeight="1">
      <c r="A530" s="16" t="n">
        <v>45708</v>
      </c>
      <c r="B530" s="17" t="inlineStr">
        <is>
          <t>MH2502-18</t>
        </is>
      </c>
      <c r="C530" s="16" t="n">
        <v>45708</v>
      </c>
      <c r="D530" s="18" t="inlineStr">
        <is>
          <t>00000427</t>
        </is>
      </c>
      <c r="E530" s="16" t="n">
        <v>45708</v>
      </c>
      <c r="F530" s="16" t="inlineStr">
        <is>
          <t>XK2502-17</t>
        </is>
      </c>
      <c r="G530" s="16" t="n">
        <v>45708</v>
      </c>
      <c r="H530" s="17" t="inlineStr">
        <is>
          <t>CÔNG TY TNHH TÂN MỸ HẠNH</t>
        </is>
      </c>
      <c r="I530" s="18" t="inlineStr">
        <is>
          <t>Xà gồ kẽm Z</t>
        </is>
      </c>
      <c r="J530" s="18" t="inlineStr">
        <is>
          <t>kg</t>
        </is>
      </c>
      <c r="K530" s="19" t="n">
        <v>18976</v>
      </c>
      <c r="L530" s="21" t="n"/>
      <c r="M530" s="22" t="n"/>
      <c r="N530" s="22" t="n">
        <v>609.71</v>
      </c>
      <c r="O530" s="22" t="n">
        <v>11569857</v>
      </c>
      <c r="P530" s="22" t="n">
        <v>609.71</v>
      </c>
      <c r="Q530" s="22" t="n">
        <v>11569857</v>
      </c>
      <c r="R530" s="42">
        <f>+L530+N530-P530</f>
        <v/>
      </c>
      <c r="S530" s="42">
        <f>+M530+O530-Q530</f>
        <v/>
      </c>
    </row>
    <row r="531" ht="15" customHeight="1">
      <c r="A531" s="16" t="n">
        <v>45708</v>
      </c>
      <c r="B531" s="17" t="inlineStr">
        <is>
          <t>MH2502-18</t>
        </is>
      </c>
      <c r="C531" s="16" t="n">
        <v>45708</v>
      </c>
      <c r="D531" s="18" t="inlineStr">
        <is>
          <t>00000428</t>
        </is>
      </c>
      <c r="E531" s="16" t="n">
        <v>45708</v>
      </c>
      <c r="F531" s="16" t="inlineStr">
        <is>
          <t>XK2502-18</t>
        </is>
      </c>
      <c r="G531" s="16" t="n">
        <v>45708</v>
      </c>
      <c r="H531" s="17" t="inlineStr">
        <is>
          <t>CÔNG TY TNHH TÂN MỸ HẠNH</t>
        </is>
      </c>
      <c r="I531" s="18" t="inlineStr">
        <is>
          <t>Thép dày mạ kẽm</t>
        </is>
      </c>
      <c r="J531" s="18" t="inlineStr">
        <is>
          <t>kg</t>
        </is>
      </c>
      <c r="K531" s="19" t="n">
        <v>22696</v>
      </c>
      <c r="L531" s="21" t="n"/>
      <c r="M531" s="22" t="n"/>
      <c r="N531" s="22" t="n">
        <v>176.7148</v>
      </c>
      <c r="O531" s="22" t="n">
        <v>4010719</v>
      </c>
      <c r="P531" s="22" t="n">
        <v>176.7148</v>
      </c>
      <c r="Q531" s="22" t="n">
        <v>4010719</v>
      </c>
      <c r="R531" s="42">
        <f>+L531+N531-P531</f>
        <v/>
      </c>
      <c r="S531" s="42">
        <f>+M531+O531-Q531</f>
        <v/>
      </c>
    </row>
    <row r="532" ht="15" customHeight="1">
      <c r="A532" s="16" t="n">
        <v>45708</v>
      </c>
      <c r="B532" s="17" t="inlineStr">
        <is>
          <t>MH2502-18</t>
        </is>
      </c>
      <c r="C532" s="16" t="n">
        <v>45708</v>
      </c>
      <c r="D532" s="18" t="inlineStr">
        <is>
          <t>00000428</t>
        </is>
      </c>
      <c r="E532" s="16" t="n">
        <v>45708</v>
      </c>
      <c r="F532" s="16" t="inlineStr">
        <is>
          <t>XK2502-18</t>
        </is>
      </c>
      <c r="G532" s="16" t="n">
        <v>45708</v>
      </c>
      <c r="H532" s="17" t="inlineStr">
        <is>
          <t>CÔNG TY TNHH TÂN MỸ HẠNH</t>
        </is>
      </c>
      <c r="I532" s="18" t="inlineStr">
        <is>
          <t>Xà gồ kẽm Z</t>
        </is>
      </c>
      <c r="J532" s="18" t="inlineStr">
        <is>
          <t>kg</t>
        </is>
      </c>
      <c r="K532" s="19" t="n">
        <v>18976</v>
      </c>
      <c r="L532" s="21" t="n"/>
      <c r="M532" s="22" t="n"/>
      <c r="N532" s="22" t="n">
        <v>1281.512</v>
      </c>
      <c r="O532" s="22" t="n">
        <v>24317972</v>
      </c>
      <c r="P532" s="22" t="n">
        <v>1281.512</v>
      </c>
      <c r="Q532" s="22" t="n">
        <v>24317972</v>
      </c>
      <c r="R532" s="42">
        <f>+L532+N532-P532</f>
        <v/>
      </c>
      <c r="S532" s="42">
        <f>+M532+O532-Q532</f>
        <v/>
      </c>
    </row>
    <row r="533" ht="15" customHeight="1">
      <c r="A533" s="16" t="n">
        <v>45708</v>
      </c>
      <c r="B533" s="17" t="inlineStr">
        <is>
          <t>MH2502-18</t>
        </is>
      </c>
      <c r="C533" s="16" t="n">
        <v>45708</v>
      </c>
      <c r="D533" s="18" t="inlineStr">
        <is>
          <t>00000429</t>
        </is>
      </c>
      <c r="E533" s="16" t="n">
        <v>45708</v>
      </c>
      <c r="F533" s="16" t="inlineStr">
        <is>
          <t>XK2502-19</t>
        </is>
      </c>
      <c r="G533" s="16" t="n">
        <v>45708</v>
      </c>
      <c r="H533" s="17" t="inlineStr">
        <is>
          <t>CÔNG TY TNHH TÂN MỸ HẠNH</t>
        </is>
      </c>
      <c r="I533" s="18" t="inlineStr">
        <is>
          <t>Thép dày mạ kẽm</t>
        </is>
      </c>
      <c r="J533" s="18" t="inlineStr">
        <is>
          <t>kg</t>
        </is>
      </c>
      <c r="K533" s="19" t="n">
        <v>22696</v>
      </c>
      <c r="L533" s="21" t="n"/>
      <c r="M533" s="22" t="n"/>
      <c r="N533" s="22" t="n">
        <v>116.784</v>
      </c>
      <c r="O533" s="22" t="n">
        <v>2650530</v>
      </c>
      <c r="P533" s="22" t="n">
        <v>116.784</v>
      </c>
      <c r="Q533" s="22" t="n">
        <v>2650530</v>
      </c>
      <c r="R533" s="42">
        <f>+L533+N533-P533</f>
        <v/>
      </c>
      <c r="S533" s="42">
        <f>+M533+O533-Q533</f>
        <v/>
      </c>
    </row>
    <row r="534" ht="15" customHeight="1">
      <c r="A534" s="16" t="n">
        <v>45708</v>
      </c>
      <c r="B534" s="17" t="inlineStr">
        <is>
          <t>MH2502-18</t>
        </is>
      </c>
      <c r="C534" s="16" t="n">
        <v>45708</v>
      </c>
      <c r="D534" s="18" t="inlineStr">
        <is>
          <t>00000429</t>
        </is>
      </c>
      <c r="E534" s="16" t="n">
        <v>45708</v>
      </c>
      <c r="F534" s="16" t="inlineStr">
        <is>
          <t>XK2502-19</t>
        </is>
      </c>
      <c r="G534" s="16" t="n">
        <v>45708</v>
      </c>
      <c r="H534" s="17" t="inlineStr">
        <is>
          <t>CÔNG TY TNHH TÂN MỸ HẠNH</t>
        </is>
      </c>
      <c r="I534" s="18" t="inlineStr">
        <is>
          <t>Xà gồ kẽm Z</t>
        </is>
      </c>
      <c r="J534" s="18" t="inlineStr">
        <is>
          <t>kg</t>
        </is>
      </c>
      <c r="K534" s="19" t="n">
        <v>18976</v>
      </c>
      <c r="L534" s="21" t="n"/>
      <c r="M534" s="22" t="n"/>
      <c r="N534" s="22" t="n">
        <v>836.351</v>
      </c>
      <c r="O534" s="22" t="n">
        <v>15870597</v>
      </c>
      <c r="P534" s="22" t="n">
        <v>836.351</v>
      </c>
      <c r="Q534" s="22" t="n">
        <v>15870597</v>
      </c>
      <c r="R534" s="42">
        <f>+L534+N534-P534</f>
        <v/>
      </c>
      <c r="S534" s="42">
        <f>+M534+O534-Q534</f>
        <v/>
      </c>
    </row>
    <row r="535" ht="30" customHeight="1">
      <c r="A535" s="16" t="n">
        <v>45709</v>
      </c>
      <c r="B535" s="17" t="inlineStr">
        <is>
          <t>MH2502-19</t>
        </is>
      </c>
      <c r="C535" s="16" t="n">
        <v>45709</v>
      </c>
      <c r="D535" s="18" t="inlineStr">
        <is>
          <t>00000486</t>
        </is>
      </c>
      <c r="E535" s="16" t="n">
        <v>45709</v>
      </c>
      <c r="F535" s="16" t="inlineStr">
        <is>
          <t>XK2502-20</t>
        </is>
      </c>
      <c r="G535" s="16" t="n">
        <v>45709</v>
      </c>
      <c r="H535" s="17" t="inlineStr">
        <is>
          <t>CÔNG TY CỔ PHẦN CÔNG NGHIỆP VÀ THƯƠNG MẠI CƯỜNG THỊNH</t>
        </is>
      </c>
      <c r="I535" s="18" t="inlineStr">
        <is>
          <t>Bulong nở 5.6 ZP M16x100</t>
        </is>
      </c>
      <c r="J535" s="18" t="inlineStr">
        <is>
          <t>Bộ</t>
        </is>
      </c>
      <c r="K535" s="19" t="n">
        <v>14830</v>
      </c>
      <c r="L535" s="21" t="n"/>
      <c r="M535" s="22" t="n"/>
      <c r="N535" s="22" t="n">
        <v>101</v>
      </c>
      <c r="O535" s="22" t="n">
        <v>1497830</v>
      </c>
      <c r="P535" s="22" t="n">
        <v>101</v>
      </c>
      <c r="Q535" s="22" t="n">
        <v>1497830</v>
      </c>
      <c r="R535" s="42">
        <f>+L535+N535-P535</f>
        <v/>
      </c>
      <c r="S535" s="42">
        <f>+M535+O535-Q535</f>
        <v/>
      </c>
    </row>
    <row r="536" ht="30" customHeight="1">
      <c r="A536" s="16" t="n">
        <v>45709</v>
      </c>
      <c r="B536" s="17" t="inlineStr">
        <is>
          <t>MH2502-19</t>
        </is>
      </c>
      <c r="C536" s="16" t="n">
        <v>45709</v>
      </c>
      <c r="D536" s="18" t="inlineStr">
        <is>
          <t>00000486</t>
        </is>
      </c>
      <c r="E536" s="16" t="n">
        <v>45709</v>
      </c>
      <c r="F536" s="16" t="inlineStr">
        <is>
          <t>XK2502-20</t>
        </is>
      </c>
      <c r="G536" s="16" t="n">
        <v>45709</v>
      </c>
      <c r="H536" s="17" t="inlineStr">
        <is>
          <t>CÔNG TY CỔ PHẦN CÔNG NGHIỆP VÀ THƯƠNG MẠI CƯỜNG THỊNH</t>
        </is>
      </c>
      <c r="I536" s="18" t="inlineStr">
        <is>
          <t>Bulong nở 5.6 ZP M16x200</t>
        </is>
      </c>
      <c r="J536" s="18" t="inlineStr">
        <is>
          <t>Bộ</t>
        </is>
      </c>
      <c r="K536" s="19" t="n">
        <v>26860</v>
      </c>
      <c r="L536" s="21" t="n"/>
      <c r="M536" s="22" t="n"/>
      <c r="N536" s="22" t="n">
        <v>27</v>
      </c>
      <c r="O536" s="22" t="n">
        <v>725220</v>
      </c>
      <c r="P536" s="22" t="n">
        <v>27</v>
      </c>
      <c r="Q536" s="22" t="n">
        <v>725220</v>
      </c>
      <c r="R536" s="42">
        <f>+L536+N536-P536</f>
        <v/>
      </c>
      <c r="S536" s="42">
        <f>+M536+O536-Q536</f>
        <v/>
      </c>
    </row>
    <row r="537" ht="30" customHeight="1">
      <c r="A537" s="16" t="n">
        <v>45709</v>
      </c>
      <c r="B537" s="17" t="inlineStr">
        <is>
          <t>MH2502-19</t>
        </is>
      </c>
      <c r="C537" s="16" t="n">
        <v>45709</v>
      </c>
      <c r="D537" s="18" t="inlineStr">
        <is>
          <t>00000486</t>
        </is>
      </c>
      <c r="E537" s="16" t="n">
        <v>45709</v>
      </c>
      <c r="F537" s="16" t="inlineStr">
        <is>
          <t>XK2502-20</t>
        </is>
      </c>
      <c r="G537" s="16" t="n">
        <v>45709</v>
      </c>
      <c r="H537" s="17" t="inlineStr">
        <is>
          <t>CÔNG TY CỔ PHẦN CÔNG NGHIỆP VÀ THƯƠNG MẠI CƯỜNG THỊNH</t>
        </is>
      </c>
      <c r="I537" s="18" t="inlineStr">
        <is>
          <t>Vít B2 Dacromet 10-24x22 WAF (bake)</t>
        </is>
      </c>
      <c r="J537" s="18" t="inlineStr">
        <is>
          <t>Cái</t>
        </is>
      </c>
      <c r="K537" s="19" t="n">
        <v>770</v>
      </c>
      <c r="L537" s="21" t="n"/>
      <c r="M537" s="22" t="n"/>
      <c r="N537" s="22" t="n">
        <v>600</v>
      </c>
      <c r="O537" s="22" t="n">
        <v>264000</v>
      </c>
      <c r="P537" s="22" t="n">
        <v>600</v>
      </c>
      <c r="Q537" s="22" t="n">
        <v>264000</v>
      </c>
      <c r="R537" s="42">
        <f>+L537+N537-P537</f>
        <v/>
      </c>
      <c r="S537" s="42">
        <f>+M537+O537-Q537</f>
        <v/>
      </c>
    </row>
    <row r="538" ht="30" customHeight="1">
      <c r="A538" s="16" t="n">
        <v>45709</v>
      </c>
      <c r="B538" s="17" t="inlineStr">
        <is>
          <t>MH2502-19</t>
        </is>
      </c>
      <c r="C538" s="16" t="n">
        <v>45709</v>
      </c>
      <c r="D538" s="18" t="inlineStr">
        <is>
          <t>00000486</t>
        </is>
      </c>
      <c r="E538" s="16" t="n">
        <v>45709</v>
      </c>
      <c r="F538" s="16" t="inlineStr">
        <is>
          <t>XK2502-20</t>
        </is>
      </c>
      <c r="G538" s="16" t="n">
        <v>45709</v>
      </c>
      <c r="H538" s="17" t="inlineStr">
        <is>
          <t>CÔNG TY CỔ PHẦN CÔNG NGHIỆP VÀ THƯƠNG MẠI CƯỜNG THỊNH</t>
        </is>
      </c>
      <c r="I538" s="18" t="inlineStr">
        <is>
          <t>Vít B2 Dacromet 12-14x20</t>
        </is>
      </c>
      <c r="J538" s="18" t="inlineStr">
        <is>
          <t>Cái</t>
        </is>
      </c>
      <c r="K538" s="19" t="n">
        <v>770</v>
      </c>
      <c r="L538" s="21" t="n"/>
      <c r="M538" s="22" t="n"/>
      <c r="N538" s="22" t="n">
        <v>1600</v>
      </c>
      <c r="O538" s="22" t="n">
        <v>960000</v>
      </c>
      <c r="P538" s="22" t="n">
        <v>1600</v>
      </c>
      <c r="Q538" s="22" t="n">
        <v>960000</v>
      </c>
      <c r="R538" s="42">
        <f>+L538+N538-P538</f>
        <v/>
      </c>
      <c r="S538" s="42">
        <f>+M538+O538-Q538</f>
        <v/>
      </c>
    </row>
    <row r="539" ht="30" customHeight="1">
      <c r="A539" s="16" t="n">
        <v>45709</v>
      </c>
      <c r="B539" s="17" t="inlineStr">
        <is>
          <t>MH2502-19</t>
        </is>
      </c>
      <c r="C539" s="16" t="n">
        <v>45709</v>
      </c>
      <c r="D539" s="18" t="inlineStr">
        <is>
          <t>00000486</t>
        </is>
      </c>
      <c r="E539" s="16" t="n">
        <v>45709</v>
      </c>
      <c r="F539" s="16" t="inlineStr">
        <is>
          <t>XK2502-20</t>
        </is>
      </c>
      <c r="G539" s="16" t="n">
        <v>45709</v>
      </c>
      <c r="H539" s="17" t="inlineStr">
        <is>
          <t>CÔNG TY CỔ PHẦN CÔNG NGHIỆP VÀ THƯƠNG MẠI CƯỜNG THỊNH</t>
        </is>
      </c>
      <c r="I539" s="18" t="inlineStr">
        <is>
          <t>Đinh hàn 4.8 M16x100</t>
        </is>
      </c>
      <c r="J539" s="18" t="inlineStr">
        <is>
          <t>Bộ</t>
        </is>
      </c>
      <c r="K539" s="19" t="n">
        <v>770</v>
      </c>
      <c r="L539" s="21" t="n"/>
      <c r="M539" s="22" t="n"/>
      <c r="N539" s="22" t="n">
        <v>2369</v>
      </c>
      <c r="O539" s="22" t="n">
        <v>13740200</v>
      </c>
      <c r="P539" s="22" t="n">
        <v>2369</v>
      </c>
      <c r="Q539" s="22" t="n">
        <v>13740200</v>
      </c>
      <c r="R539" s="42">
        <f>+L539+N539-P539</f>
        <v/>
      </c>
      <c r="S539" s="42">
        <f>+M539+O539-Q539</f>
        <v/>
      </c>
    </row>
    <row r="540" ht="30" customHeight="1">
      <c r="A540" s="16" t="n">
        <v>45709</v>
      </c>
      <c r="B540" s="17" t="inlineStr">
        <is>
          <t>MH2502-19</t>
        </is>
      </c>
      <c r="C540" s="16" t="n">
        <v>45709</v>
      </c>
      <c r="D540" s="18" t="inlineStr">
        <is>
          <t>00000486</t>
        </is>
      </c>
      <c r="E540" s="16" t="n">
        <v>45709</v>
      </c>
      <c r="F540" s="16" t="inlineStr">
        <is>
          <t>XK2502-20</t>
        </is>
      </c>
      <c r="G540" s="16" t="n">
        <v>45709</v>
      </c>
      <c r="H540" s="17" t="inlineStr">
        <is>
          <t>CÔNG TY CỔ PHẦN CÔNG NGHIỆP VÀ THƯƠNG MẠI CƯỜNG THỊNH</t>
        </is>
      </c>
      <c r="I540" s="18" t="inlineStr">
        <is>
          <t>Vít B2 Dacromet 12-24x38 HWFS (lục giác)</t>
        </is>
      </c>
      <c r="J540" s="18" t="inlineStr">
        <is>
          <t>Cái</t>
        </is>
      </c>
      <c r="K540" s="19" t="n">
        <v>770</v>
      </c>
      <c r="L540" s="21" t="n"/>
      <c r="M540" s="22" t="n"/>
      <c r="N540" s="22" t="n">
        <v>2400</v>
      </c>
      <c r="O540" s="22" t="n">
        <v>4608000</v>
      </c>
      <c r="P540" s="22" t="n">
        <v>2400</v>
      </c>
      <c r="Q540" s="22" t="n">
        <v>4608000</v>
      </c>
      <c r="R540" s="42">
        <f>+L540+N540-P540</f>
        <v/>
      </c>
      <c r="S540" s="42">
        <f>+M540+O540-Q540</f>
        <v/>
      </c>
    </row>
    <row r="541" ht="30" customHeight="1">
      <c r="A541" s="16" t="n">
        <v>45709</v>
      </c>
      <c r="B541" s="17" t="inlineStr">
        <is>
          <t>MH2502-19</t>
        </is>
      </c>
      <c r="C541" s="16" t="n">
        <v>45709</v>
      </c>
      <c r="D541" s="18" t="inlineStr">
        <is>
          <t>00000486</t>
        </is>
      </c>
      <c r="E541" s="16" t="n">
        <v>45709</v>
      </c>
      <c r="F541" s="16" t="inlineStr">
        <is>
          <t>XK2502-20</t>
        </is>
      </c>
      <c r="G541" s="16" t="n">
        <v>45709</v>
      </c>
      <c r="H541" s="17" t="inlineStr">
        <is>
          <t>CÔNG TY CỔ PHẦN CÔNG NGHIỆP VÀ THƯƠNG MẠI CƯỜNG THỊNH</t>
        </is>
      </c>
      <c r="I541" s="18" t="inlineStr">
        <is>
          <t>Vít B2 Dacromet 15-15x20</t>
        </is>
      </c>
      <c r="J541" s="18" t="inlineStr">
        <is>
          <t>Cái</t>
        </is>
      </c>
      <c r="K541" s="19" t="n">
        <v>770</v>
      </c>
      <c r="L541" s="21" t="n"/>
      <c r="M541" s="22" t="n"/>
      <c r="N541" s="22" t="n">
        <v>400</v>
      </c>
      <c r="O541" s="22" t="n">
        <v>304000</v>
      </c>
      <c r="P541" s="22" t="n">
        <v>400</v>
      </c>
      <c r="Q541" s="22" t="n">
        <v>304000</v>
      </c>
      <c r="R541" s="42">
        <f>+L541+N541-P541</f>
        <v/>
      </c>
      <c r="S541" s="42">
        <f>+M541+O541-Q541</f>
        <v/>
      </c>
    </row>
    <row r="542" ht="30" customHeight="1">
      <c r="A542" s="16" t="n">
        <v>45709</v>
      </c>
      <c r="B542" s="17" t="inlineStr">
        <is>
          <t>MH2502-19</t>
        </is>
      </c>
      <c r="C542" s="16" t="n">
        <v>45709</v>
      </c>
      <c r="D542" s="18" t="inlineStr">
        <is>
          <t>00000486</t>
        </is>
      </c>
      <c r="E542" s="16" t="n">
        <v>45709</v>
      </c>
      <c r="F542" s="16" t="inlineStr">
        <is>
          <t>XK2502-20</t>
        </is>
      </c>
      <c r="G542" s="16" t="n">
        <v>45709</v>
      </c>
      <c r="H542" s="17" t="inlineStr">
        <is>
          <t>CÔNG TY CỔ PHẦN CÔNG NGHIỆP VÀ THƯƠNG MẠI CƯỜNG THỊNH</t>
        </is>
      </c>
      <c r="I542" s="18" t="inlineStr">
        <is>
          <t>Bulong Din 933 8.8 ZP M16x50</t>
        </is>
      </c>
      <c r="J542" s="18" t="inlineStr">
        <is>
          <t>Cái</t>
        </is>
      </c>
      <c r="K542" s="19" t="n">
        <v>770</v>
      </c>
      <c r="L542" s="21" t="n"/>
      <c r="M542" s="22" t="n"/>
      <c r="N542" s="22" t="n">
        <v>769</v>
      </c>
      <c r="O542" s="22" t="n">
        <v>2668430</v>
      </c>
      <c r="P542" s="22" t="n">
        <v>769</v>
      </c>
      <c r="Q542" s="22" t="n">
        <v>2668430</v>
      </c>
      <c r="R542" s="42">
        <f>+L542+N542-P542</f>
        <v/>
      </c>
      <c r="S542" s="42">
        <f>+M542+O542-Q542</f>
        <v/>
      </c>
    </row>
    <row r="543" ht="30" customHeight="1">
      <c r="A543" s="16" t="n">
        <v>45709</v>
      </c>
      <c r="B543" s="17" t="inlineStr">
        <is>
          <t>MH2502-19</t>
        </is>
      </c>
      <c r="C543" s="16" t="n">
        <v>45709</v>
      </c>
      <c r="D543" s="18" t="inlineStr">
        <is>
          <t>00000486</t>
        </is>
      </c>
      <c r="E543" s="16" t="n">
        <v>45709</v>
      </c>
      <c r="F543" s="16" t="inlineStr">
        <is>
          <t>XK2502-20</t>
        </is>
      </c>
      <c r="G543" s="16" t="n">
        <v>45709</v>
      </c>
      <c r="H543" s="17" t="inlineStr">
        <is>
          <t>CÔNG TY CỔ PHẦN CÔNG NGHIỆP VÀ THƯƠNG MẠI CƯỜNG THỊNH</t>
        </is>
      </c>
      <c r="I543" s="18" t="inlineStr">
        <is>
          <t>Đai ốc Din 934 8 ZP M16</t>
        </is>
      </c>
      <c r="J543" s="18" t="inlineStr">
        <is>
          <t>Cái</t>
        </is>
      </c>
      <c r="K543" s="19" t="n">
        <v>770</v>
      </c>
      <c r="L543" s="21" t="n"/>
      <c r="M543" s="22" t="n"/>
      <c r="N543" s="22" t="n">
        <v>769</v>
      </c>
      <c r="O543" s="22" t="n">
        <v>838210</v>
      </c>
      <c r="P543" s="22" t="n">
        <v>769</v>
      </c>
      <c r="Q543" s="22" t="n">
        <v>838210</v>
      </c>
      <c r="R543" s="42">
        <f>+L543+N543-P543</f>
        <v/>
      </c>
      <c r="S543" s="42">
        <f>+M543+O543-Q543</f>
        <v/>
      </c>
    </row>
    <row r="544" ht="30" customHeight="1">
      <c r="A544" s="16" t="n">
        <v>45709</v>
      </c>
      <c r="B544" s="17" t="inlineStr">
        <is>
          <t>MH2502-19</t>
        </is>
      </c>
      <c r="C544" s="16" t="n">
        <v>45709</v>
      </c>
      <c r="D544" s="18" t="inlineStr">
        <is>
          <t>00000486</t>
        </is>
      </c>
      <c r="E544" s="16" t="n">
        <v>45709</v>
      </c>
      <c r="F544" s="16" t="inlineStr">
        <is>
          <t>XK2502-20</t>
        </is>
      </c>
      <c r="G544" s="16" t="n">
        <v>45709</v>
      </c>
      <c r="H544" s="17" t="inlineStr">
        <is>
          <t>CÔNG TY CỔ PHẦN CÔNG NGHIỆP VÀ THƯƠNG MẠI CƯỜNG THỊNH</t>
        </is>
      </c>
      <c r="I544" s="18" t="inlineStr">
        <is>
          <t>Long đền thường ZP M16B30D2</t>
        </is>
      </c>
      <c r="J544" s="18" t="inlineStr">
        <is>
          <t>Cái</t>
        </is>
      </c>
      <c r="K544" s="19" t="n">
        <v>770</v>
      </c>
      <c r="L544" s="21" t="n"/>
      <c r="M544" s="22" t="n"/>
      <c r="N544" s="22" t="n">
        <v>769</v>
      </c>
      <c r="O544" s="22" t="n">
        <v>269150</v>
      </c>
      <c r="P544" s="22" t="n">
        <v>769</v>
      </c>
      <c r="Q544" s="22" t="n">
        <v>269150</v>
      </c>
      <c r="R544" s="42">
        <f>+L544+N544-P544</f>
        <v/>
      </c>
      <c r="S544" s="42">
        <f>+M544+O544-Q544</f>
        <v/>
      </c>
    </row>
    <row r="545" ht="30" customHeight="1">
      <c r="A545" s="16" t="n">
        <v>45709</v>
      </c>
      <c r="B545" s="17" t="inlineStr">
        <is>
          <t>MH2502-19</t>
        </is>
      </c>
      <c r="C545" s="16" t="n">
        <v>45709</v>
      </c>
      <c r="D545" s="18" t="inlineStr">
        <is>
          <t>00000486</t>
        </is>
      </c>
      <c r="E545" s="16" t="n">
        <v>45709</v>
      </c>
      <c r="F545" s="16" t="inlineStr">
        <is>
          <t>XK2502-20</t>
        </is>
      </c>
      <c r="G545" s="16" t="n">
        <v>45709</v>
      </c>
      <c r="H545" s="17" t="inlineStr">
        <is>
          <t>CÔNG TY CỔ PHẦN CÔNG NGHIỆP VÀ THƯƠNG MẠI CƯỜNG THỊNH</t>
        </is>
      </c>
      <c r="I545" s="18" t="inlineStr">
        <is>
          <t>Bulong Din 933 8.8 ZP M20x60</t>
        </is>
      </c>
      <c r="J545" s="18" t="inlineStr">
        <is>
          <t>Cái</t>
        </is>
      </c>
      <c r="K545" s="19" t="n">
        <v>770</v>
      </c>
      <c r="L545" s="21" t="n"/>
      <c r="M545" s="22" t="n"/>
      <c r="N545" s="22" t="n">
        <v>3779</v>
      </c>
      <c r="O545" s="22" t="n">
        <v>24336760</v>
      </c>
      <c r="P545" s="22" t="n">
        <v>3779</v>
      </c>
      <c r="Q545" s="22" t="n">
        <v>24336760</v>
      </c>
      <c r="R545" s="42">
        <f>+L545+N545-P545</f>
        <v/>
      </c>
      <c r="S545" s="42">
        <f>+M545+O545-Q545</f>
        <v/>
      </c>
    </row>
    <row r="546" ht="30" customHeight="1">
      <c r="A546" s="16" t="n">
        <v>45709</v>
      </c>
      <c r="B546" s="17" t="inlineStr">
        <is>
          <t>MH2502-19</t>
        </is>
      </c>
      <c r="C546" s="16" t="n">
        <v>45709</v>
      </c>
      <c r="D546" s="18" t="inlineStr">
        <is>
          <t>00000486</t>
        </is>
      </c>
      <c r="E546" s="16" t="n">
        <v>45709</v>
      </c>
      <c r="F546" s="16" t="inlineStr">
        <is>
          <t>XK2502-20</t>
        </is>
      </c>
      <c r="G546" s="16" t="n">
        <v>45709</v>
      </c>
      <c r="H546" s="17" t="inlineStr">
        <is>
          <t>CÔNG TY CỔ PHẦN CÔNG NGHIỆP VÀ THƯƠNG MẠI CƯỜNG THỊNH</t>
        </is>
      </c>
      <c r="I546" s="18" t="inlineStr">
        <is>
          <t>Đai ốc Din 934 8 ZP M20</t>
        </is>
      </c>
      <c r="J546" s="18" t="inlineStr">
        <is>
          <t>Cái</t>
        </is>
      </c>
      <c r="K546" s="19" t="n">
        <v>770</v>
      </c>
      <c r="L546" s="21" t="n"/>
      <c r="M546" s="22" t="n"/>
      <c r="N546" s="22" t="n">
        <v>3779</v>
      </c>
      <c r="O546" s="22" t="n">
        <v>7671370</v>
      </c>
      <c r="P546" s="22" t="n">
        <v>3779</v>
      </c>
      <c r="Q546" s="22" t="n">
        <v>7671370</v>
      </c>
      <c r="R546" s="42">
        <f>+L546+N546-P546</f>
        <v/>
      </c>
      <c r="S546" s="42">
        <f>+M546+O546-Q546</f>
        <v/>
      </c>
    </row>
    <row r="547" ht="30" customHeight="1">
      <c r="A547" s="16" t="n">
        <v>45709</v>
      </c>
      <c r="B547" s="17" t="inlineStr">
        <is>
          <t>MH2502-19</t>
        </is>
      </c>
      <c r="C547" s="16" t="n">
        <v>45709</v>
      </c>
      <c r="D547" s="18" t="inlineStr">
        <is>
          <t>00000486</t>
        </is>
      </c>
      <c r="E547" s="16" t="n">
        <v>45709</v>
      </c>
      <c r="F547" s="16" t="inlineStr">
        <is>
          <t>XK2502-20</t>
        </is>
      </c>
      <c r="G547" s="16" t="n">
        <v>45709</v>
      </c>
      <c r="H547" s="17" t="inlineStr">
        <is>
          <t>CÔNG TY CỔ PHẦN CÔNG NGHIỆP VÀ THƯƠNG MẠI CƯỜNG THỊNH</t>
        </is>
      </c>
      <c r="I547" s="18" t="inlineStr">
        <is>
          <t>Long đền thường ZP M20B35D2</t>
        </is>
      </c>
      <c r="J547" s="18" t="inlineStr">
        <is>
          <t>Cái</t>
        </is>
      </c>
      <c r="K547" s="19" t="n">
        <v>770</v>
      </c>
      <c r="L547" s="21" t="n"/>
      <c r="M547" s="22" t="n"/>
      <c r="N547" s="22" t="n">
        <v>3779</v>
      </c>
      <c r="O547" s="22" t="n">
        <v>1322650</v>
      </c>
      <c r="P547" s="22" t="n">
        <v>3779</v>
      </c>
      <c r="Q547" s="22" t="n">
        <v>1322650</v>
      </c>
      <c r="R547" s="42">
        <f>+L547+N547-P547</f>
        <v/>
      </c>
      <c r="S547" s="42">
        <f>+M547+O547-Q547</f>
        <v/>
      </c>
    </row>
    <row r="548" ht="30" customHeight="1">
      <c r="A548" s="16" t="n">
        <v>45709</v>
      </c>
      <c r="B548" s="17" t="inlineStr">
        <is>
          <t>MH2502-19</t>
        </is>
      </c>
      <c r="C548" s="16" t="n">
        <v>45709</v>
      </c>
      <c r="D548" s="18" t="inlineStr">
        <is>
          <t>00000486</t>
        </is>
      </c>
      <c r="E548" s="16" t="n">
        <v>45709</v>
      </c>
      <c r="F548" s="16" t="inlineStr">
        <is>
          <t>XK2502-20</t>
        </is>
      </c>
      <c r="G548" s="16" t="n">
        <v>45709</v>
      </c>
      <c r="H548" s="17" t="inlineStr">
        <is>
          <t>CÔNG TY CỔ PHẦN CÔNG NGHIỆP VÀ THƯƠNG MẠI CƯỜNG THỊNH</t>
        </is>
      </c>
      <c r="I548" s="18" t="inlineStr">
        <is>
          <t>Bulong Din 933 8.8 ZP M20x80</t>
        </is>
      </c>
      <c r="J548" s="18" t="inlineStr">
        <is>
          <t>Cái</t>
        </is>
      </c>
      <c r="K548" s="19" t="n">
        <v>770</v>
      </c>
      <c r="L548" s="21" t="n"/>
      <c r="M548" s="22" t="n"/>
      <c r="N548" s="22" t="n">
        <v>15</v>
      </c>
      <c r="O548" s="22" t="n">
        <v>115950</v>
      </c>
      <c r="P548" s="22" t="n">
        <v>15</v>
      </c>
      <c r="Q548" s="22" t="n">
        <v>115950</v>
      </c>
      <c r="R548" s="42">
        <f>+L548+N548-P548</f>
        <v/>
      </c>
      <c r="S548" s="42">
        <f>+M548+O548-Q548</f>
        <v/>
      </c>
    </row>
    <row r="549" ht="30" customHeight="1">
      <c r="A549" s="16" t="n">
        <v>45709</v>
      </c>
      <c r="B549" s="17" t="inlineStr">
        <is>
          <t>MH2502-19</t>
        </is>
      </c>
      <c r="C549" s="16" t="n">
        <v>45709</v>
      </c>
      <c r="D549" s="18" t="inlineStr">
        <is>
          <t>00000486</t>
        </is>
      </c>
      <c r="E549" s="16" t="n">
        <v>45709</v>
      </c>
      <c r="F549" s="16" t="inlineStr">
        <is>
          <t>XK2502-20</t>
        </is>
      </c>
      <c r="G549" s="16" t="n">
        <v>45709</v>
      </c>
      <c r="H549" s="17" t="inlineStr">
        <is>
          <t>CÔNG TY CỔ PHẦN CÔNG NGHIỆP VÀ THƯƠNG MẠI CƯỜNG THỊNH</t>
        </is>
      </c>
      <c r="I549" s="18" t="inlineStr">
        <is>
          <t>Đai ốc Din 934 8 ZP M20</t>
        </is>
      </c>
      <c r="J549" s="18" t="inlineStr">
        <is>
          <t>Cái</t>
        </is>
      </c>
      <c r="K549" s="19" t="n">
        <v>770</v>
      </c>
      <c r="L549" s="21" t="n"/>
      <c r="M549" s="22" t="n"/>
      <c r="N549" s="22" t="n">
        <v>15</v>
      </c>
      <c r="O549" s="22" t="n">
        <v>30450</v>
      </c>
      <c r="P549" s="22" t="n">
        <v>15</v>
      </c>
      <c r="Q549" s="22" t="n">
        <v>30450</v>
      </c>
      <c r="R549" s="42">
        <f>+L549+N549-P549</f>
        <v/>
      </c>
      <c r="S549" s="42">
        <f>+M549+O549-Q549</f>
        <v/>
      </c>
    </row>
    <row r="550" ht="30" customHeight="1">
      <c r="A550" s="16" t="n">
        <v>45709</v>
      </c>
      <c r="B550" s="17" t="inlineStr">
        <is>
          <t>MH2502-19</t>
        </is>
      </c>
      <c r="C550" s="16" t="n">
        <v>45709</v>
      </c>
      <c r="D550" s="18" t="inlineStr">
        <is>
          <t>00000486</t>
        </is>
      </c>
      <c r="E550" s="16" t="n">
        <v>45709</v>
      </c>
      <c r="F550" s="16" t="inlineStr">
        <is>
          <t>XK2502-20</t>
        </is>
      </c>
      <c r="G550" s="16" t="n">
        <v>45709</v>
      </c>
      <c r="H550" s="17" t="inlineStr">
        <is>
          <t>CÔNG TY CỔ PHẦN CÔNG NGHIỆP VÀ THƯƠNG MẠI CƯỜNG THỊNH</t>
        </is>
      </c>
      <c r="I550" s="18" t="inlineStr">
        <is>
          <t>Long đền thường ZP M20B35D2</t>
        </is>
      </c>
      <c r="J550" s="18" t="inlineStr">
        <is>
          <t>Cái</t>
        </is>
      </c>
      <c r="K550" s="19" t="n">
        <v>770</v>
      </c>
      <c r="L550" s="21" t="n"/>
      <c r="M550" s="22" t="n"/>
      <c r="N550" s="22" t="n">
        <v>15</v>
      </c>
      <c r="O550" s="22" t="n">
        <v>5250</v>
      </c>
      <c r="P550" s="22" t="n">
        <v>15</v>
      </c>
      <c r="Q550" s="22" t="n">
        <v>5250</v>
      </c>
      <c r="R550" s="42">
        <f>+L550+N550-P550</f>
        <v/>
      </c>
      <c r="S550" s="42">
        <f>+M550+O550-Q550</f>
        <v/>
      </c>
    </row>
    <row r="551" ht="30" customHeight="1">
      <c r="A551" s="16" t="n">
        <v>45709</v>
      </c>
      <c r="B551" s="17" t="inlineStr">
        <is>
          <t>MH2502-19</t>
        </is>
      </c>
      <c r="C551" s="16" t="n">
        <v>45709</v>
      </c>
      <c r="D551" s="18" t="inlineStr">
        <is>
          <t>00000486</t>
        </is>
      </c>
      <c r="E551" s="16" t="n">
        <v>45709</v>
      </c>
      <c r="F551" s="16" t="inlineStr">
        <is>
          <t>XK2502-20</t>
        </is>
      </c>
      <c r="G551" s="16" t="n">
        <v>45709</v>
      </c>
      <c r="H551" s="17" t="inlineStr">
        <is>
          <t>CÔNG TY CỔ PHẦN CÔNG NGHIỆP VÀ THƯƠNG MẠI CƯỜNG THỊNH</t>
        </is>
      </c>
      <c r="I551" s="18" t="inlineStr">
        <is>
          <t>Bulong Din 933 8.8 ZP M24x70</t>
        </is>
      </c>
      <c r="J551" s="18" t="inlineStr">
        <is>
          <t>Cái</t>
        </is>
      </c>
      <c r="K551" s="19" t="n">
        <v>770</v>
      </c>
      <c r="L551" s="21" t="n"/>
      <c r="M551" s="22" t="n"/>
      <c r="N551" s="22" t="n">
        <v>2669</v>
      </c>
      <c r="O551" s="22" t="n">
        <v>29385690</v>
      </c>
      <c r="P551" s="22" t="n">
        <v>2669</v>
      </c>
      <c r="Q551" s="22" t="n">
        <v>29385690</v>
      </c>
      <c r="R551" s="42">
        <f>+L551+N551-P551</f>
        <v/>
      </c>
      <c r="S551" s="42">
        <f>+M551+O551-Q551</f>
        <v/>
      </c>
    </row>
    <row r="552" ht="30" customHeight="1">
      <c r="A552" s="16" t="n">
        <v>45709</v>
      </c>
      <c r="B552" s="17" t="inlineStr">
        <is>
          <t>MH2502-19</t>
        </is>
      </c>
      <c r="C552" s="16" t="n">
        <v>45709</v>
      </c>
      <c r="D552" s="18" t="inlineStr">
        <is>
          <t>00000486</t>
        </is>
      </c>
      <c r="E552" s="16" t="n">
        <v>45709</v>
      </c>
      <c r="F552" s="16" t="inlineStr">
        <is>
          <t>XK2502-20</t>
        </is>
      </c>
      <c r="G552" s="16" t="n">
        <v>45709</v>
      </c>
      <c r="H552" s="17" t="inlineStr">
        <is>
          <t>CÔNG TY CỔ PHẦN CÔNG NGHIỆP VÀ THƯƠNG MẠI CƯỜNG THỊNH</t>
        </is>
      </c>
      <c r="I552" s="18" t="inlineStr">
        <is>
          <t>Đai ốc Din 934 8 ZP M24</t>
        </is>
      </c>
      <c r="J552" s="18" t="inlineStr">
        <is>
          <t>Cái</t>
        </is>
      </c>
      <c r="K552" s="19" t="n">
        <v>770</v>
      </c>
      <c r="L552" s="21" t="n"/>
      <c r="M552" s="22" t="n"/>
      <c r="N552" s="22" t="n">
        <v>2669</v>
      </c>
      <c r="O552" s="22" t="n">
        <v>9341500</v>
      </c>
      <c r="P552" s="22" t="n">
        <v>2669</v>
      </c>
      <c r="Q552" s="22" t="n">
        <v>9341500</v>
      </c>
      <c r="R552" s="42">
        <f>+L552+N552-P552</f>
        <v/>
      </c>
      <c r="S552" s="42">
        <f>+M552+O552-Q552</f>
        <v/>
      </c>
    </row>
    <row r="553" ht="30" customHeight="1">
      <c r="A553" s="16" t="n">
        <v>45709</v>
      </c>
      <c r="B553" s="17" t="inlineStr">
        <is>
          <t>MH2502-19</t>
        </is>
      </c>
      <c r="C553" s="16" t="n">
        <v>45709</v>
      </c>
      <c r="D553" s="18" t="inlineStr">
        <is>
          <t>00000486</t>
        </is>
      </c>
      <c r="E553" s="16" t="n">
        <v>45709</v>
      </c>
      <c r="F553" s="16" t="inlineStr">
        <is>
          <t>XK2502-20</t>
        </is>
      </c>
      <c r="G553" s="16" t="n">
        <v>45709</v>
      </c>
      <c r="H553" s="17" t="inlineStr">
        <is>
          <t>CÔNG TY CỔ PHẦN CÔNG NGHIỆP VÀ THƯƠNG MẠI CƯỜNG THỊNH</t>
        </is>
      </c>
      <c r="I553" s="18" t="inlineStr">
        <is>
          <t>Long đền thường ZP M24B42D2</t>
        </is>
      </c>
      <c r="J553" s="18" t="inlineStr">
        <is>
          <t>Cái</t>
        </is>
      </c>
      <c r="K553" s="19" t="n">
        <v>770</v>
      </c>
      <c r="L553" s="21" t="n"/>
      <c r="M553" s="22" t="n"/>
      <c r="N553" s="22" t="n">
        <v>2669</v>
      </c>
      <c r="O553" s="22" t="n">
        <v>1894990</v>
      </c>
      <c r="P553" s="22" t="n">
        <v>2669</v>
      </c>
      <c r="Q553" s="22" t="n">
        <v>1894990</v>
      </c>
      <c r="R553" s="42">
        <f>+L553+N553-P553</f>
        <v/>
      </c>
      <c r="S553" s="42">
        <f>+M553+O553-Q553</f>
        <v/>
      </c>
    </row>
    <row r="554" ht="30" customHeight="1">
      <c r="A554" s="16" t="n">
        <v>45709</v>
      </c>
      <c r="B554" s="17" t="inlineStr">
        <is>
          <t>MH2502-19</t>
        </is>
      </c>
      <c r="C554" s="16" t="n">
        <v>45709</v>
      </c>
      <c r="D554" s="18" t="inlineStr">
        <is>
          <t>00000486</t>
        </is>
      </c>
      <c r="E554" s="16" t="n">
        <v>45709</v>
      </c>
      <c r="F554" s="16" t="inlineStr">
        <is>
          <t>XK2502-20</t>
        </is>
      </c>
      <c r="G554" s="16" t="n">
        <v>45709</v>
      </c>
      <c r="H554" s="17" t="inlineStr">
        <is>
          <t>CÔNG TY CỔ PHẦN CÔNG NGHIỆP VÀ THƯƠNG MẠI CƯỜNG THỊNH</t>
        </is>
      </c>
      <c r="I554" s="18" t="inlineStr">
        <is>
          <t>Bulong Din 933 8.8 ZP M24x90</t>
        </is>
      </c>
      <c r="J554" s="18" t="inlineStr">
        <is>
          <t>Cái</t>
        </is>
      </c>
      <c r="K554" s="19" t="n">
        <v>770</v>
      </c>
      <c r="L554" s="21" t="n"/>
      <c r="M554" s="22" t="n"/>
      <c r="N554" s="22" t="n">
        <v>231</v>
      </c>
      <c r="O554" s="22" t="n">
        <v>2991450</v>
      </c>
      <c r="P554" s="22" t="n">
        <v>231</v>
      </c>
      <c r="Q554" s="22" t="n">
        <v>2991450</v>
      </c>
      <c r="R554" s="42">
        <f>+L554+N554-P554</f>
        <v/>
      </c>
      <c r="S554" s="42">
        <f>+M554+O554-Q554</f>
        <v/>
      </c>
    </row>
    <row r="555" ht="30" customHeight="1">
      <c r="A555" s="16" t="n">
        <v>45709</v>
      </c>
      <c r="B555" s="17" t="inlineStr">
        <is>
          <t>MH2502-19</t>
        </is>
      </c>
      <c r="C555" s="16" t="n">
        <v>45709</v>
      </c>
      <c r="D555" s="18" t="inlineStr">
        <is>
          <t>00000486</t>
        </is>
      </c>
      <c r="E555" s="16" t="n">
        <v>45709</v>
      </c>
      <c r="F555" s="16" t="inlineStr">
        <is>
          <t>XK2502-20</t>
        </is>
      </c>
      <c r="G555" s="16" t="n">
        <v>45709</v>
      </c>
      <c r="H555" s="17" t="inlineStr">
        <is>
          <t>CÔNG TY CỔ PHẦN CÔNG NGHIỆP VÀ THƯƠNG MẠI CƯỜNG THỊNH</t>
        </is>
      </c>
      <c r="I555" s="18" t="inlineStr">
        <is>
          <t>Đai ốc Din 934 8 ZP M24</t>
        </is>
      </c>
      <c r="J555" s="18" t="inlineStr">
        <is>
          <t>Cái</t>
        </is>
      </c>
      <c r="K555" s="19" t="n">
        <v>770</v>
      </c>
      <c r="L555" s="21" t="n"/>
      <c r="M555" s="22" t="n"/>
      <c r="N555" s="22" t="n">
        <v>231</v>
      </c>
      <c r="O555" s="22" t="n">
        <v>808500</v>
      </c>
      <c r="P555" s="22" t="n">
        <v>231</v>
      </c>
      <c r="Q555" s="22" t="n">
        <v>808500</v>
      </c>
      <c r="R555" s="42">
        <f>+L555+N555-P555</f>
        <v/>
      </c>
      <c r="S555" s="42">
        <f>+M555+O555-Q555</f>
        <v/>
      </c>
    </row>
    <row r="556" ht="30" customHeight="1">
      <c r="A556" s="16" t="n">
        <v>45709</v>
      </c>
      <c r="B556" s="17" t="inlineStr">
        <is>
          <t>MH2502-19</t>
        </is>
      </c>
      <c r="C556" s="16" t="n">
        <v>45709</v>
      </c>
      <c r="D556" s="18" t="inlineStr">
        <is>
          <t>00000486</t>
        </is>
      </c>
      <c r="E556" s="16" t="n">
        <v>45709</v>
      </c>
      <c r="F556" s="16" t="inlineStr">
        <is>
          <t>XK2502-20</t>
        </is>
      </c>
      <c r="G556" s="16" t="n">
        <v>45709</v>
      </c>
      <c r="H556" s="17" t="inlineStr">
        <is>
          <t>CÔNG TY CỔ PHẦN CÔNG NGHIỆP VÀ THƯƠNG MẠI CƯỜNG THỊNH</t>
        </is>
      </c>
      <c r="I556" s="18" t="inlineStr">
        <is>
          <t>Long đền thường ZP M24B42D2</t>
        </is>
      </c>
      <c r="J556" s="18" t="inlineStr">
        <is>
          <t>Cái</t>
        </is>
      </c>
      <c r="K556" s="19" t="n">
        <v>770</v>
      </c>
      <c r="L556" s="21" t="n"/>
      <c r="M556" s="22" t="n"/>
      <c r="N556" s="22" t="n">
        <v>231</v>
      </c>
      <c r="O556" s="22" t="n">
        <v>164010</v>
      </c>
      <c r="P556" s="22" t="n">
        <v>231</v>
      </c>
      <c r="Q556" s="22" t="n">
        <v>164010</v>
      </c>
      <c r="R556" s="42">
        <f>+L556+N556-P556</f>
        <v/>
      </c>
      <c r="S556" s="42">
        <f>+M556+O556-Q556</f>
        <v/>
      </c>
    </row>
    <row r="557" ht="30" customHeight="1">
      <c r="A557" s="16" t="n">
        <v>45709</v>
      </c>
      <c r="B557" s="17" t="inlineStr">
        <is>
          <t>MH2502-19</t>
        </is>
      </c>
      <c r="C557" s="16" t="n">
        <v>45709</v>
      </c>
      <c r="D557" s="18" t="inlineStr">
        <is>
          <t>00000486</t>
        </is>
      </c>
      <c r="E557" s="16" t="n">
        <v>45709</v>
      </c>
      <c r="F557" s="16" t="inlineStr">
        <is>
          <t>XK2502-20</t>
        </is>
      </c>
      <c r="G557" s="16" t="n">
        <v>45709</v>
      </c>
      <c r="H557" s="17" t="inlineStr">
        <is>
          <t>CÔNG TY CỔ PHẦN CÔNG NGHIỆP VÀ THƯƠNG MẠI CƯỜNG THỊNH</t>
        </is>
      </c>
      <c r="I557" s="18" t="inlineStr">
        <is>
          <t>Bulong thường 4.6 ZP M12x30</t>
        </is>
      </c>
      <c r="J557" s="18" t="inlineStr">
        <is>
          <t>Cái</t>
        </is>
      </c>
      <c r="K557" s="19" t="n">
        <v>770</v>
      </c>
      <c r="L557" s="21" t="n"/>
      <c r="M557" s="22" t="n"/>
      <c r="N557" s="22" t="n">
        <v>5468</v>
      </c>
      <c r="O557" s="22" t="n">
        <v>5194600</v>
      </c>
      <c r="P557" s="22" t="n">
        <v>5468</v>
      </c>
      <c r="Q557" s="22" t="n">
        <v>5194600</v>
      </c>
      <c r="R557" s="42">
        <f>+L557+N557-P557</f>
        <v/>
      </c>
      <c r="S557" s="42">
        <f>+M557+O557-Q557</f>
        <v/>
      </c>
    </row>
    <row r="558" ht="30" customHeight="1">
      <c r="A558" s="16" t="n">
        <v>45709</v>
      </c>
      <c r="B558" s="17" t="inlineStr">
        <is>
          <t>MH2502-19</t>
        </is>
      </c>
      <c r="C558" s="16" t="n">
        <v>45709</v>
      </c>
      <c r="D558" s="18" t="inlineStr">
        <is>
          <t>00000486</t>
        </is>
      </c>
      <c r="E558" s="16" t="n">
        <v>45709</v>
      </c>
      <c r="F558" s="16" t="inlineStr">
        <is>
          <t>XK2502-20</t>
        </is>
      </c>
      <c r="G558" s="16" t="n">
        <v>45709</v>
      </c>
      <c r="H558" s="17" t="inlineStr">
        <is>
          <t>CÔNG TY CỔ PHẦN CÔNG NGHIỆP VÀ THƯƠNG MẠI CƯỜNG THỊNH</t>
        </is>
      </c>
      <c r="I558" s="18" t="inlineStr">
        <is>
          <t>Đai ốc thường 4 ZP M12 (9mm)</t>
        </is>
      </c>
      <c r="J558" s="18" t="inlineStr">
        <is>
          <t>Cái</t>
        </is>
      </c>
      <c r="K558" s="19" t="n">
        <v>770</v>
      </c>
      <c r="L558" s="21" t="n"/>
      <c r="M558" s="22" t="n"/>
      <c r="N558" s="22" t="n">
        <v>5468</v>
      </c>
      <c r="O558" s="22" t="n">
        <v>1968480</v>
      </c>
      <c r="P558" s="22" t="n">
        <v>5468</v>
      </c>
      <c r="Q558" s="22" t="n">
        <v>1968480</v>
      </c>
      <c r="R558" s="42">
        <f>+L558+N558-P558</f>
        <v/>
      </c>
      <c r="S558" s="42">
        <f>+M558+O558-Q558</f>
        <v/>
      </c>
    </row>
    <row r="559" ht="30" customHeight="1">
      <c r="A559" s="16" t="n">
        <v>45709</v>
      </c>
      <c r="B559" s="17" t="inlineStr">
        <is>
          <t>MH2502-19</t>
        </is>
      </c>
      <c r="C559" s="16" t="n">
        <v>45709</v>
      </c>
      <c r="D559" s="18" t="inlineStr">
        <is>
          <t>00000486</t>
        </is>
      </c>
      <c r="E559" s="16" t="n">
        <v>45709</v>
      </c>
      <c r="F559" s="16" t="inlineStr">
        <is>
          <t>XK2502-20</t>
        </is>
      </c>
      <c r="G559" s="16" t="n">
        <v>45709</v>
      </c>
      <c r="H559" s="17" t="inlineStr">
        <is>
          <t>CÔNG TY CỔ PHẦN CÔNG NGHIỆP VÀ THƯƠNG MẠI CƯỜNG THỊNH</t>
        </is>
      </c>
      <c r="I559" s="18" t="inlineStr">
        <is>
          <t>Long đền thường ZP M12B23D1</t>
        </is>
      </c>
      <c r="J559" s="18" t="inlineStr">
        <is>
          <t>Cái</t>
        </is>
      </c>
      <c r="K559" s="19" t="n">
        <v>770</v>
      </c>
      <c r="L559" s="21" t="n"/>
      <c r="M559" s="22" t="n"/>
      <c r="N559" s="22" t="n">
        <v>10936</v>
      </c>
      <c r="O559" s="22" t="n">
        <v>1093600</v>
      </c>
      <c r="P559" s="22" t="n">
        <v>10936</v>
      </c>
      <c r="Q559" s="22" t="n">
        <v>1093600</v>
      </c>
      <c r="R559" s="42">
        <f>+L559+N559-P559</f>
        <v/>
      </c>
      <c r="S559" s="42">
        <f>+M559+O559-Q559</f>
        <v/>
      </c>
    </row>
    <row r="560" ht="30" customHeight="1">
      <c r="A560" s="16" t="n">
        <v>45709</v>
      </c>
      <c r="B560" s="17" t="inlineStr">
        <is>
          <t>MH2502-19</t>
        </is>
      </c>
      <c r="C560" s="16" t="n">
        <v>45709</v>
      </c>
      <c r="D560" s="18" t="inlineStr">
        <is>
          <t>00000486</t>
        </is>
      </c>
      <c r="E560" s="16" t="n">
        <v>45709</v>
      </c>
      <c r="F560" s="16" t="inlineStr">
        <is>
          <t>XK2502-20</t>
        </is>
      </c>
      <c r="G560" s="16" t="n">
        <v>45709</v>
      </c>
      <c r="H560" s="17" t="inlineStr">
        <is>
          <t>CÔNG TY CỔ PHẦN CÔNG NGHIỆP VÀ THƯƠNG MẠI CƯỜNG THỊNH</t>
        </is>
      </c>
      <c r="I560" s="18" t="inlineStr">
        <is>
          <t>Bulong thường 4.6 ZP M12x50</t>
        </is>
      </c>
      <c r="J560" s="18" t="inlineStr">
        <is>
          <t>Cái</t>
        </is>
      </c>
      <c r="K560" s="19" t="n">
        <v>770</v>
      </c>
      <c r="L560" s="21" t="n"/>
      <c r="M560" s="22" t="n"/>
      <c r="N560" s="22" t="n">
        <v>1904</v>
      </c>
      <c r="O560" s="22" t="n">
        <v>2475200</v>
      </c>
      <c r="P560" s="22" t="n">
        <v>1904</v>
      </c>
      <c r="Q560" s="22" t="n">
        <v>2475200</v>
      </c>
      <c r="R560" s="42">
        <f>+L560+N560-P560</f>
        <v/>
      </c>
      <c r="S560" s="42">
        <f>+M560+O560-Q560</f>
        <v/>
      </c>
    </row>
    <row r="561" ht="30" customHeight="1">
      <c r="A561" s="16" t="n">
        <v>45709</v>
      </c>
      <c r="B561" s="17" t="inlineStr">
        <is>
          <t>MH2502-19</t>
        </is>
      </c>
      <c r="C561" s="16" t="n">
        <v>45709</v>
      </c>
      <c r="D561" s="18" t="inlineStr">
        <is>
          <t>00000486</t>
        </is>
      </c>
      <c r="E561" s="16" t="n">
        <v>45709</v>
      </c>
      <c r="F561" s="16" t="inlineStr">
        <is>
          <t>XK2502-20</t>
        </is>
      </c>
      <c r="G561" s="16" t="n">
        <v>45709</v>
      </c>
      <c r="H561" s="17" t="inlineStr">
        <is>
          <t>CÔNG TY CỔ PHẦN CÔNG NGHIỆP VÀ THƯƠNG MẠI CƯỜNG THỊNH</t>
        </is>
      </c>
      <c r="I561" s="18" t="inlineStr">
        <is>
          <t>Đai ốc thường 4 ZP M12 (9mm)</t>
        </is>
      </c>
      <c r="J561" s="18" t="inlineStr">
        <is>
          <t>Cái</t>
        </is>
      </c>
      <c r="K561" s="19" t="n">
        <v>770</v>
      </c>
      <c r="L561" s="21" t="n"/>
      <c r="M561" s="22" t="n"/>
      <c r="N561" s="22" t="n">
        <v>1904</v>
      </c>
      <c r="O561" s="22" t="n">
        <v>685440</v>
      </c>
      <c r="P561" s="22" t="n">
        <v>1904</v>
      </c>
      <c r="Q561" s="22" t="n">
        <v>685440</v>
      </c>
      <c r="R561" s="42">
        <f>+L561+N561-P561</f>
        <v/>
      </c>
      <c r="S561" s="42">
        <f>+M561+O561-Q561</f>
        <v/>
      </c>
    </row>
    <row r="562" ht="30" customHeight="1">
      <c r="A562" s="16" t="n">
        <v>45709</v>
      </c>
      <c r="B562" s="17" t="inlineStr">
        <is>
          <t>MH2502-19</t>
        </is>
      </c>
      <c r="C562" s="16" t="n">
        <v>45709</v>
      </c>
      <c r="D562" s="18" t="inlineStr">
        <is>
          <t>00000486</t>
        </is>
      </c>
      <c r="E562" s="16" t="n">
        <v>45709</v>
      </c>
      <c r="F562" s="16" t="inlineStr">
        <is>
          <t>XK2502-20</t>
        </is>
      </c>
      <c r="G562" s="16" t="n">
        <v>45709</v>
      </c>
      <c r="H562" s="17" t="inlineStr">
        <is>
          <t>CÔNG TY CỔ PHẦN CÔNG NGHIỆP VÀ THƯƠNG MẠI CƯỜNG THỊNH</t>
        </is>
      </c>
      <c r="I562" s="18" t="inlineStr">
        <is>
          <t>Long đền thường ZP M12B23D1</t>
        </is>
      </c>
      <c r="J562" s="18" t="inlineStr">
        <is>
          <t>Cái</t>
        </is>
      </c>
      <c r="K562" s="19" t="n">
        <v>770</v>
      </c>
      <c r="L562" s="21" t="n"/>
      <c r="M562" s="22" t="n"/>
      <c r="N562" s="22" t="n">
        <v>3808</v>
      </c>
      <c r="O562" s="22" t="n">
        <v>380800</v>
      </c>
      <c r="P562" s="22" t="n">
        <v>3808</v>
      </c>
      <c r="Q562" s="22" t="n">
        <v>380800</v>
      </c>
      <c r="R562" s="42">
        <f>+L562+N562-P562</f>
        <v/>
      </c>
      <c r="S562" s="42">
        <f>+M562+O562-Q562</f>
        <v/>
      </c>
    </row>
    <row r="563" ht="30" customHeight="1">
      <c r="A563" s="16" t="n">
        <v>45709</v>
      </c>
      <c r="B563" s="17" t="inlineStr">
        <is>
          <t>MH2502-19</t>
        </is>
      </c>
      <c r="C563" s="16" t="n">
        <v>45709</v>
      </c>
      <c r="D563" s="18" t="inlineStr">
        <is>
          <t>00000487</t>
        </is>
      </c>
      <c r="E563" s="16" t="n">
        <v>45709</v>
      </c>
      <c r="F563" s="16" t="inlineStr">
        <is>
          <t>XK2502-21</t>
        </is>
      </c>
      <c r="G563" s="16" t="n">
        <v>45709</v>
      </c>
      <c r="H563" s="17" t="inlineStr">
        <is>
          <t>CÔNG TY CỔ PHẦN CÔNG NGHIỆP VÀ THƯƠNG MẠI CƯỜNG THỊNH</t>
        </is>
      </c>
      <c r="I563" s="18" t="inlineStr">
        <is>
          <t>Ty giằng 2 đầu ren 4.6 ZP M20</t>
        </is>
      </c>
      <c r="J563" s="18" t="inlineStr">
        <is>
          <t>Mét</t>
        </is>
      </c>
      <c r="K563" s="19" t="n">
        <v>74000</v>
      </c>
      <c r="L563" s="21" t="n"/>
      <c r="M563" s="22" t="n"/>
      <c r="N563" s="22" t="n">
        <v>260.57</v>
      </c>
      <c r="O563" s="22" t="n">
        <v>19282180</v>
      </c>
      <c r="P563" s="22" t="n">
        <v>260.57</v>
      </c>
      <c r="Q563" s="22" t="n">
        <v>19282180</v>
      </c>
      <c r="R563" s="42">
        <f>+L563+N563-P563</f>
        <v/>
      </c>
      <c r="S563" s="42">
        <f>+M563+O563-Q563</f>
        <v/>
      </c>
    </row>
    <row r="564" ht="30" customHeight="1">
      <c r="A564" s="16" t="n">
        <v>45709</v>
      </c>
      <c r="B564" s="17" t="inlineStr">
        <is>
          <t>MH2502-19</t>
        </is>
      </c>
      <c r="C564" s="16" t="n">
        <v>45709</v>
      </c>
      <c r="D564" s="18" t="inlineStr">
        <is>
          <t>00000487</t>
        </is>
      </c>
      <c r="E564" s="16" t="n">
        <v>45709</v>
      </c>
      <c r="F564" s="16" t="inlineStr">
        <is>
          <t>XK2502-21</t>
        </is>
      </c>
      <c r="G564" s="16" t="n">
        <v>45709</v>
      </c>
      <c r="H564" s="17" t="inlineStr">
        <is>
          <t>CÔNG TY CỔ PHẦN CÔNG NGHIỆP VÀ THƯƠNG MẠI CƯỜNG THỊNH</t>
        </is>
      </c>
      <c r="I564" s="18" t="inlineStr">
        <is>
          <t>Đai ốc Din 934 5 ZP M20</t>
        </is>
      </c>
      <c r="J564" s="18" t="inlineStr">
        <is>
          <t>Cái</t>
        </is>
      </c>
      <c r="K564" s="19" t="n">
        <v>770</v>
      </c>
      <c r="L564" s="21" t="n"/>
      <c r="M564" s="22" t="n"/>
      <c r="N564" s="22" t="n">
        <v>68</v>
      </c>
      <c r="O564" s="22" t="n">
        <v>129880</v>
      </c>
      <c r="P564" s="22" t="n">
        <v>68</v>
      </c>
      <c r="Q564" s="22" t="n">
        <v>129880</v>
      </c>
      <c r="R564" s="42">
        <f>+L564+N564-P564</f>
        <v/>
      </c>
      <c r="S564" s="42">
        <f>+M564+O564-Q564</f>
        <v/>
      </c>
    </row>
    <row r="565" ht="30" customHeight="1">
      <c r="A565" s="16" t="n">
        <v>45709</v>
      </c>
      <c r="B565" s="17" t="inlineStr">
        <is>
          <t>MH2502-19</t>
        </is>
      </c>
      <c r="C565" s="16" t="n">
        <v>45709</v>
      </c>
      <c r="D565" s="18" t="inlineStr">
        <is>
          <t>00000487</t>
        </is>
      </c>
      <c r="E565" s="16" t="n">
        <v>45709</v>
      </c>
      <c r="F565" s="16" t="inlineStr">
        <is>
          <t>XK2502-21</t>
        </is>
      </c>
      <c r="G565" s="16" t="n">
        <v>45709</v>
      </c>
      <c r="H565" s="17" t="inlineStr">
        <is>
          <t>CÔNG TY CỔ PHẦN CÔNG NGHIỆP VÀ THƯƠNG MẠI CƯỜNG THỊNH</t>
        </is>
      </c>
      <c r="I565" s="18" t="inlineStr">
        <is>
          <t>Long đền thường ZP M20B42D2</t>
        </is>
      </c>
      <c r="J565" s="18" t="inlineStr">
        <is>
          <t>Cái</t>
        </is>
      </c>
      <c r="K565" s="19" t="n">
        <v>770</v>
      </c>
      <c r="L565" s="21" t="n"/>
      <c r="M565" s="22" t="n"/>
      <c r="N565" s="22" t="n">
        <v>68</v>
      </c>
      <c r="O565" s="22" t="n">
        <v>47600</v>
      </c>
      <c r="P565" s="22" t="n">
        <v>68</v>
      </c>
      <c r="Q565" s="22" t="n">
        <v>47600</v>
      </c>
      <c r="R565" s="42">
        <f>+L565+N565-P565</f>
        <v/>
      </c>
      <c r="S565" s="42">
        <f>+M565+O565-Q565</f>
        <v/>
      </c>
    </row>
    <row r="566" ht="30" customHeight="1">
      <c r="A566" s="16" t="n">
        <v>45709</v>
      </c>
      <c r="B566" s="17" t="inlineStr">
        <is>
          <t>MH2502-19</t>
        </is>
      </c>
      <c r="C566" s="16" t="n">
        <v>45709</v>
      </c>
      <c r="D566" s="18" t="inlineStr">
        <is>
          <t>00000487</t>
        </is>
      </c>
      <c r="E566" s="16" t="n">
        <v>45709</v>
      </c>
      <c r="F566" s="16" t="inlineStr">
        <is>
          <t>XK2502-21</t>
        </is>
      </c>
      <c r="G566" s="16" t="n">
        <v>45709</v>
      </c>
      <c r="H566" s="17" t="inlineStr">
        <is>
          <t>CÔNG TY CỔ PHẦN CÔNG NGHIỆP VÀ THƯƠNG MẠI CƯỜNG THỊNH</t>
        </is>
      </c>
      <c r="I566" s="18" t="inlineStr">
        <is>
          <t>Long đền móng ngựa ZP M20</t>
        </is>
      </c>
      <c r="J566" s="18" t="inlineStr">
        <is>
          <t>Cái</t>
        </is>
      </c>
      <c r="K566" s="19" t="n">
        <v>770</v>
      </c>
      <c r="L566" s="21" t="n"/>
      <c r="M566" s="22" t="n"/>
      <c r="N566" s="22" t="n">
        <v>68</v>
      </c>
      <c r="O566" s="22" t="n">
        <v>1149200</v>
      </c>
      <c r="P566" s="22" t="n">
        <v>68</v>
      </c>
      <c r="Q566" s="22" t="n">
        <v>1149200</v>
      </c>
      <c r="R566" s="42">
        <f>+L566+N566-P566</f>
        <v/>
      </c>
      <c r="S566" s="42">
        <f>+M566+O566-Q566</f>
        <v/>
      </c>
    </row>
    <row r="567" ht="30" customHeight="1">
      <c r="A567" s="16" t="n">
        <v>45709</v>
      </c>
      <c r="B567" s="17" t="inlineStr">
        <is>
          <t>MH2502-19</t>
        </is>
      </c>
      <c r="C567" s="16" t="n">
        <v>45709</v>
      </c>
      <c r="D567" s="18" t="inlineStr">
        <is>
          <t>00000487</t>
        </is>
      </c>
      <c r="E567" s="16" t="n">
        <v>45709</v>
      </c>
      <c r="F567" s="16" t="inlineStr">
        <is>
          <t>XK2502-21</t>
        </is>
      </c>
      <c r="G567" s="16" t="n">
        <v>45709</v>
      </c>
      <c r="H567" s="17" t="inlineStr">
        <is>
          <t>CÔNG TY CỔ PHẦN CÔNG NGHIỆP VÀ THƯƠNG MẠI CƯỜNG THỊNH</t>
        </is>
      </c>
      <c r="I567" s="18" t="inlineStr">
        <is>
          <t>Nối Ty ZP M20x100(28mm)</t>
        </is>
      </c>
      <c r="J567" s="18" t="inlineStr">
        <is>
          <t>Cái</t>
        </is>
      </c>
      <c r="K567" s="19" t="n">
        <v>770</v>
      </c>
      <c r="L567" s="21" t="n"/>
      <c r="M567" s="22" t="n"/>
      <c r="N567" s="22" t="n">
        <v>34</v>
      </c>
      <c r="O567" s="22" t="n">
        <v>1028500</v>
      </c>
      <c r="P567" s="22" t="n">
        <v>34</v>
      </c>
      <c r="Q567" s="22" t="n">
        <v>1028500</v>
      </c>
      <c r="R567" s="42">
        <f>+L567+N567-P567</f>
        <v/>
      </c>
      <c r="S567" s="42">
        <f>+M567+O567-Q567</f>
        <v/>
      </c>
    </row>
    <row r="568" ht="30" customHeight="1">
      <c r="A568" s="16" t="n">
        <v>45709</v>
      </c>
      <c r="B568" s="17" t="inlineStr">
        <is>
          <t>MH2502-19</t>
        </is>
      </c>
      <c r="C568" s="16" t="n">
        <v>45709</v>
      </c>
      <c r="D568" s="18" t="inlineStr">
        <is>
          <t>00000487</t>
        </is>
      </c>
      <c r="E568" s="16" t="n">
        <v>45709</v>
      </c>
      <c r="F568" s="16" t="inlineStr">
        <is>
          <t>XK2502-21</t>
        </is>
      </c>
      <c r="G568" s="16" t="n">
        <v>45709</v>
      </c>
      <c r="H568" s="17" t="inlineStr">
        <is>
          <t>CÔNG TY CỔ PHẦN CÔNG NGHIỆP VÀ THƯƠNG MẠI CƯỜNG THỊNH</t>
        </is>
      </c>
      <c r="I568" s="18" t="inlineStr">
        <is>
          <t>Ty giằng 2 đầu ren 4.6 ZP M16</t>
        </is>
      </c>
      <c r="J568" s="18" t="inlineStr">
        <is>
          <t>Mét</t>
        </is>
      </c>
      <c r="K568" s="19" t="n">
        <v>48000</v>
      </c>
      <c r="L568" s="21" t="n"/>
      <c r="M568" s="22" t="n"/>
      <c r="N568" s="22" t="n">
        <v>65.19</v>
      </c>
      <c r="O568" s="22" t="n">
        <v>3129120</v>
      </c>
      <c r="P568" s="22" t="n">
        <v>65.19</v>
      </c>
      <c r="Q568" s="22" t="n">
        <v>3129120</v>
      </c>
      <c r="R568" s="42">
        <f>+L568+N568-P568</f>
        <v/>
      </c>
      <c r="S568" s="42">
        <f>+M568+O568-Q568</f>
        <v/>
      </c>
    </row>
    <row r="569" ht="30" customHeight="1">
      <c r="A569" s="16" t="n">
        <v>45709</v>
      </c>
      <c r="B569" s="17" t="inlineStr">
        <is>
          <t>MH2502-19</t>
        </is>
      </c>
      <c r="C569" s="16" t="n">
        <v>45709</v>
      </c>
      <c r="D569" s="18" t="inlineStr">
        <is>
          <t>00000487</t>
        </is>
      </c>
      <c r="E569" s="16" t="n">
        <v>45709</v>
      </c>
      <c r="F569" s="16" t="inlineStr">
        <is>
          <t>XK2502-21</t>
        </is>
      </c>
      <c r="G569" s="16" t="n">
        <v>45709</v>
      </c>
      <c r="H569" s="17" t="inlineStr">
        <is>
          <t>CÔNG TY CỔ PHẦN CÔNG NGHIỆP VÀ THƯƠNG MẠI CƯỜNG THỊNH</t>
        </is>
      </c>
      <c r="I569" s="18" t="inlineStr">
        <is>
          <t>Đai ốc Din 934 5 ZP M16</t>
        </is>
      </c>
      <c r="J569" s="18" t="inlineStr">
        <is>
          <t>Cái</t>
        </is>
      </c>
      <c r="K569" s="19" t="n">
        <v>1110</v>
      </c>
      <c r="L569" s="21" t="n"/>
      <c r="M569" s="22" t="n"/>
      <c r="N569" s="22" t="n">
        <v>16</v>
      </c>
      <c r="O569" s="22" t="n">
        <v>17760</v>
      </c>
      <c r="P569" s="22" t="n">
        <v>16</v>
      </c>
      <c r="Q569" s="22" t="n">
        <v>17760</v>
      </c>
      <c r="R569" s="42">
        <f>+L569+N569-P569</f>
        <v/>
      </c>
      <c r="S569" s="42">
        <f>+M569+O569-Q569</f>
        <v/>
      </c>
    </row>
    <row r="570" ht="30" customHeight="1">
      <c r="A570" s="16" t="n">
        <v>45709</v>
      </c>
      <c r="B570" s="17" t="inlineStr">
        <is>
          <t>MH2502-19</t>
        </is>
      </c>
      <c r="C570" s="16" t="n">
        <v>45709</v>
      </c>
      <c r="D570" s="18" t="inlineStr">
        <is>
          <t>00000487</t>
        </is>
      </c>
      <c r="E570" s="16" t="n">
        <v>45709</v>
      </c>
      <c r="F570" s="16" t="inlineStr">
        <is>
          <t>XK2502-21</t>
        </is>
      </c>
      <c r="G570" s="16" t="n">
        <v>45709</v>
      </c>
      <c r="H570" s="17" t="inlineStr">
        <is>
          <t>CÔNG TY CỔ PHẦN CÔNG NGHIỆP VÀ THƯƠNG MẠI CƯỜNG THỊNH</t>
        </is>
      </c>
      <c r="I570" s="18" t="inlineStr">
        <is>
          <t>Long đền thường ZP M16B42D2</t>
        </is>
      </c>
      <c r="J570" s="18" t="inlineStr">
        <is>
          <t>Cái</t>
        </is>
      </c>
      <c r="K570" s="19" t="n">
        <v>770</v>
      </c>
      <c r="L570" s="21" t="n"/>
      <c r="M570" s="22" t="n"/>
      <c r="N570" s="22" t="n">
        <v>16</v>
      </c>
      <c r="O570" s="22" t="n">
        <v>12800</v>
      </c>
      <c r="P570" s="22" t="n">
        <v>16</v>
      </c>
      <c r="Q570" s="22" t="n">
        <v>12800</v>
      </c>
      <c r="R570" s="42">
        <f>+L570+N570-P570</f>
        <v/>
      </c>
      <c r="S570" s="42">
        <f>+M570+O570-Q570</f>
        <v/>
      </c>
    </row>
    <row r="571" ht="30" customHeight="1">
      <c r="A571" s="16" t="n">
        <v>45709</v>
      </c>
      <c r="B571" s="17" t="inlineStr">
        <is>
          <t>MH2502-19</t>
        </is>
      </c>
      <c r="C571" s="16" t="n">
        <v>45709</v>
      </c>
      <c r="D571" s="18" t="inlineStr">
        <is>
          <t>00000487</t>
        </is>
      </c>
      <c r="E571" s="16" t="n">
        <v>45709</v>
      </c>
      <c r="F571" s="16" t="inlineStr">
        <is>
          <t>XK2502-21</t>
        </is>
      </c>
      <c r="G571" s="16" t="n">
        <v>45709</v>
      </c>
      <c r="H571" s="17" t="inlineStr">
        <is>
          <t>CÔNG TY CỔ PHẦN CÔNG NGHIỆP VÀ THƯƠNG MẠI CƯỜNG THỊNH</t>
        </is>
      </c>
      <c r="I571" s="18" t="inlineStr">
        <is>
          <t>Long đền móng ngựa ZP M16</t>
        </is>
      </c>
      <c r="J571" s="18" t="inlineStr">
        <is>
          <t>Cái</t>
        </is>
      </c>
      <c r="K571" s="19" t="n">
        <v>770</v>
      </c>
      <c r="L571" s="21" t="n"/>
      <c r="M571" s="22" t="n"/>
      <c r="N571" s="22" t="n">
        <v>16</v>
      </c>
      <c r="O571" s="22" t="n">
        <v>250720</v>
      </c>
      <c r="P571" s="22" t="n">
        <v>16</v>
      </c>
      <c r="Q571" s="22" t="n">
        <v>250720</v>
      </c>
      <c r="R571" s="42">
        <f>+L571+N571-P571</f>
        <v/>
      </c>
      <c r="S571" s="42">
        <f>+M571+O571-Q571</f>
        <v/>
      </c>
    </row>
    <row r="572" ht="30" customHeight="1">
      <c r="A572" s="16" t="n">
        <v>45709</v>
      </c>
      <c r="B572" s="17" t="inlineStr">
        <is>
          <t>MH2502-19</t>
        </is>
      </c>
      <c r="C572" s="16" t="n">
        <v>45709</v>
      </c>
      <c r="D572" s="18" t="inlineStr">
        <is>
          <t>00000487</t>
        </is>
      </c>
      <c r="E572" s="16" t="n">
        <v>45709</v>
      </c>
      <c r="F572" s="16" t="inlineStr">
        <is>
          <t>XK2502-21</t>
        </is>
      </c>
      <c r="G572" s="16" t="n">
        <v>45709</v>
      </c>
      <c r="H572" s="17" t="inlineStr">
        <is>
          <t>CÔNG TY CỔ PHẦN CÔNG NGHIỆP VÀ THƯƠNG MẠI CƯỜNG THỊNH</t>
        </is>
      </c>
      <c r="I572" s="18" t="inlineStr">
        <is>
          <t>Nối Ty ZP M16x100 (23mm)</t>
        </is>
      </c>
      <c r="J572" s="18" t="inlineStr">
        <is>
          <t>Cái</t>
        </is>
      </c>
      <c r="K572" s="19" t="n">
        <v>770</v>
      </c>
      <c r="L572" s="21" t="n"/>
      <c r="M572" s="22" t="n"/>
      <c r="N572" s="22" t="n">
        <v>8</v>
      </c>
      <c r="O572" s="22" t="n">
        <v>193280</v>
      </c>
      <c r="P572" s="22" t="n">
        <v>8</v>
      </c>
      <c r="Q572" s="22" t="n">
        <v>193280</v>
      </c>
      <c r="R572" s="42">
        <f>+L572+N572-P572</f>
        <v/>
      </c>
      <c r="S572" s="42">
        <f>+M572+O572-Q572</f>
        <v/>
      </c>
    </row>
    <row r="573" ht="30" customHeight="1">
      <c r="A573" s="16" t="n">
        <v>45709</v>
      </c>
      <c r="B573" s="17" t="inlineStr">
        <is>
          <t>MH2502-19</t>
        </is>
      </c>
      <c r="C573" s="16" t="n">
        <v>45709</v>
      </c>
      <c r="D573" s="18" t="inlineStr">
        <is>
          <t>00000487</t>
        </is>
      </c>
      <c r="E573" s="16" t="n">
        <v>45709</v>
      </c>
      <c r="F573" s="16" t="inlineStr">
        <is>
          <t>XK2502-21</t>
        </is>
      </c>
      <c r="G573" s="16" t="n">
        <v>45709</v>
      </c>
      <c r="H573" s="17" t="inlineStr">
        <is>
          <t>CÔNG TY CỔ PHẦN CÔNG NGHIỆP VÀ THƯƠNG MẠI CƯỜNG THỊNH</t>
        </is>
      </c>
      <c r="I573" s="18" t="inlineStr">
        <is>
          <t>Ty giằng 2 đầu ren 4.6 Ф11.3-11.5mm ZP M12</t>
        </is>
      </c>
      <c r="J573" s="18" t="inlineStr">
        <is>
          <t>Mét</t>
        </is>
      </c>
      <c r="K573" s="19" t="n">
        <v>20500</v>
      </c>
      <c r="L573" s="21" t="n"/>
      <c r="M573" s="22" t="n"/>
      <c r="N573" s="22" t="n">
        <v>1543.2</v>
      </c>
      <c r="O573" s="22" t="n">
        <v>31635600</v>
      </c>
      <c r="P573" s="22" t="n">
        <v>1543.2</v>
      </c>
      <c r="Q573" s="22" t="n">
        <v>31635600</v>
      </c>
      <c r="R573" s="42">
        <f>+L573+N573-P573</f>
        <v/>
      </c>
      <c r="S573" s="42">
        <f>+M573+O573-Q573</f>
        <v/>
      </c>
    </row>
    <row r="574" ht="30" customHeight="1">
      <c r="A574" s="16" t="n">
        <v>45709</v>
      </c>
      <c r="B574" s="17" t="inlineStr">
        <is>
          <t>MH2502-19</t>
        </is>
      </c>
      <c r="C574" s="16" t="n">
        <v>45709</v>
      </c>
      <c r="D574" s="18" t="inlineStr">
        <is>
          <t>00000487</t>
        </is>
      </c>
      <c r="E574" s="16" t="n">
        <v>45709</v>
      </c>
      <c r="F574" s="16" t="inlineStr">
        <is>
          <t>XK2502-21</t>
        </is>
      </c>
      <c r="G574" s="16" t="n">
        <v>45709</v>
      </c>
      <c r="H574" s="17" t="inlineStr">
        <is>
          <t>CÔNG TY CỔ PHẦN CÔNG NGHIỆP VÀ THƯƠNG MẠI CƯỜNG THỊNH</t>
        </is>
      </c>
      <c r="I574" s="18" t="inlineStr">
        <is>
          <t>Ty giằng 2 đầu ren 4.6 Ф11.3-11.5mm ZP M12</t>
        </is>
      </c>
      <c r="J574" s="18" t="inlineStr">
        <is>
          <t>Mét</t>
        </is>
      </c>
      <c r="K574" s="19" t="n">
        <v>22500</v>
      </c>
      <c r="L574" s="21" t="n"/>
      <c r="M574" s="22" t="n"/>
      <c r="N574" s="22" t="n">
        <v>209.69</v>
      </c>
      <c r="O574" s="22" t="n">
        <v>4718025</v>
      </c>
      <c r="P574" s="22" t="n">
        <v>209.69</v>
      </c>
      <c r="Q574" s="22" t="n">
        <v>4718025</v>
      </c>
      <c r="R574" s="42">
        <f>+L574+N574-P574</f>
        <v/>
      </c>
      <c r="S574" s="42">
        <f>+M574+O574-Q574</f>
        <v/>
      </c>
    </row>
    <row r="575" ht="30" customHeight="1">
      <c r="A575" s="16" t="n">
        <v>45709</v>
      </c>
      <c r="B575" s="17" t="inlineStr">
        <is>
          <t>MH2502-19</t>
        </is>
      </c>
      <c r="C575" s="16" t="n">
        <v>45709</v>
      </c>
      <c r="D575" s="18" t="inlineStr">
        <is>
          <t>00000487</t>
        </is>
      </c>
      <c r="E575" s="16" t="n">
        <v>45709</v>
      </c>
      <c r="F575" s="16" t="inlineStr">
        <is>
          <t>XK2502-21</t>
        </is>
      </c>
      <c r="G575" s="16" t="n">
        <v>45709</v>
      </c>
      <c r="H575" s="17" t="inlineStr">
        <is>
          <t>CÔNG TY CỔ PHẦN CÔNG NGHIỆP VÀ THƯƠNG MẠI CƯỜNG THỊNH</t>
        </is>
      </c>
      <c r="I575" s="18" t="inlineStr">
        <is>
          <t>Đai ốc thường 4 ZP M12 (9mm)</t>
        </is>
      </c>
      <c r="J575" s="18" t="inlineStr">
        <is>
          <t>Cái</t>
        </is>
      </c>
      <c r="K575" s="19" t="n">
        <v>360</v>
      </c>
      <c r="L575" s="21" t="n"/>
      <c r="M575" s="22" t="n"/>
      <c r="N575" s="22" t="n">
        <v>5780</v>
      </c>
      <c r="O575" s="22" t="n">
        <v>2080800</v>
      </c>
      <c r="P575" s="22" t="n">
        <v>5780</v>
      </c>
      <c r="Q575" s="22" t="n">
        <v>2080800</v>
      </c>
      <c r="R575" s="42">
        <f>+L575+N575-P575</f>
        <v/>
      </c>
      <c r="S575" s="42">
        <f>+M575+O575-Q575</f>
        <v/>
      </c>
    </row>
    <row r="576" ht="30" customHeight="1">
      <c r="A576" s="16" t="n">
        <v>45709</v>
      </c>
      <c r="B576" s="17" t="inlineStr">
        <is>
          <t>MH2502-19</t>
        </is>
      </c>
      <c r="C576" s="16" t="n">
        <v>45709</v>
      </c>
      <c r="D576" s="18" t="inlineStr">
        <is>
          <t>00000487</t>
        </is>
      </c>
      <c r="E576" s="16" t="n">
        <v>45709</v>
      </c>
      <c r="F576" s="16" t="inlineStr">
        <is>
          <t>XK2502-21</t>
        </is>
      </c>
      <c r="G576" s="16" t="n">
        <v>45709</v>
      </c>
      <c r="H576" s="17" t="inlineStr">
        <is>
          <t>CÔNG TY CỔ PHẦN CÔNG NGHIỆP VÀ THƯƠNG MẠI CƯỜNG THỊNH</t>
        </is>
      </c>
      <c r="I576" s="18" t="inlineStr">
        <is>
          <t>Long đền thường ZP M12B26D1.5</t>
        </is>
      </c>
      <c r="J576" s="18" t="inlineStr">
        <is>
          <t>Cái</t>
        </is>
      </c>
      <c r="K576" s="19" t="n">
        <v>190</v>
      </c>
      <c r="L576" s="21" t="n"/>
      <c r="M576" s="22" t="n"/>
      <c r="N576" s="22" t="n">
        <v>5780</v>
      </c>
      <c r="O576" s="22" t="n">
        <v>1098200</v>
      </c>
      <c r="P576" s="22" t="n">
        <v>5780</v>
      </c>
      <c r="Q576" s="22" t="n">
        <v>1098200</v>
      </c>
      <c r="R576" s="42">
        <f>+L576+N576-P576</f>
        <v/>
      </c>
      <c r="S576" s="42">
        <f>+M576+O576-Q576</f>
        <v/>
      </c>
    </row>
    <row r="577" ht="30" customHeight="1">
      <c r="A577" s="16" t="n">
        <v>45709</v>
      </c>
      <c r="B577" s="17" t="inlineStr">
        <is>
          <t>MH2502-20</t>
        </is>
      </c>
      <c r="C577" s="16" t="n">
        <v>45709</v>
      </c>
      <c r="D577" s="18" t="inlineStr">
        <is>
          <t>00000488</t>
        </is>
      </c>
      <c r="E577" s="16" t="n">
        <v>45709</v>
      </c>
      <c r="F577" s="16" t="inlineStr">
        <is>
          <t>XK2502-22</t>
        </is>
      </c>
      <c r="G577" s="16" t="n">
        <v>45709</v>
      </c>
      <c r="H577" s="17" t="inlineStr">
        <is>
          <t>CÔNG TY CỔ PHẦN CÔNG NGHIỆP VÀ THƯƠNG MẠI CƯỜNG THỊNH</t>
        </is>
      </c>
      <c r="I577" s="18" t="inlineStr">
        <is>
          <t>Ty giằng 2 đầu ren 4.6 ZP M20</t>
        </is>
      </c>
      <c r="J577" s="18" t="inlineStr">
        <is>
          <t>Mét</t>
        </is>
      </c>
      <c r="K577" s="19" t="n">
        <v>74000</v>
      </c>
      <c r="L577" s="21" t="n"/>
      <c r="M577" s="22" t="n"/>
      <c r="N577" s="22" t="n">
        <v>687.05</v>
      </c>
      <c r="O577" s="22" t="n">
        <v>50841700</v>
      </c>
      <c r="P577" s="22" t="n">
        <v>687.05</v>
      </c>
      <c r="Q577" s="22" t="n">
        <v>50841700</v>
      </c>
      <c r="R577" s="42">
        <f>+L577+N577-P577</f>
        <v/>
      </c>
      <c r="S577" s="42">
        <f>+M577+O577-Q577</f>
        <v/>
      </c>
    </row>
    <row r="578" ht="30" customHeight="1">
      <c r="A578" s="16" t="n">
        <v>45709</v>
      </c>
      <c r="B578" s="17" t="inlineStr">
        <is>
          <t>MH2502-20</t>
        </is>
      </c>
      <c r="C578" s="16" t="n">
        <v>45709</v>
      </c>
      <c r="D578" s="18" t="inlineStr">
        <is>
          <t>00000488</t>
        </is>
      </c>
      <c r="E578" s="16" t="n">
        <v>45709</v>
      </c>
      <c r="F578" s="16" t="inlineStr">
        <is>
          <t>XK2502-22</t>
        </is>
      </c>
      <c r="G578" s="16" t="n">
        <v>45709</v>
      </c>
      <c r="H578" s="17" t="inlineStr">
        <is>
          <t>CÔNG TY CỔ PHẦN CÔNG NGHIỆP VÀ THƯƠNG MẠI CƯỜNG THỊNH</t>
        </is>
      </c>
      <c r="I578" s="18" t="inlineStr">
        <is>
          <t>Đai ốc Din 934 5 ZP M20</t>
        </is>
      </c>
      <c r="J578" s="18" t="inlineStr">
        <is>
          <t>Cái</t>
        </is>
      </c>
      <c r="K578" s="19" t="n">
        <v>1910</v>
      </c>
      <c r="L578" s="21" t="n"/>
      <c r="M578" s="22" t="n"/>
      <c r="N578" s="22" t="n">
        <v>144</v>
      </c>
      <c r="O578" s="22" t="n">
        <v>275040</v>
      </c>
      <c r="P578" s="22" t="n">
        <v>144</v>
      </c>
      <c r="Q578" s="22" t="n">
        <v>275040</v>
      </c>
      <c r="R578" s="42">
        <f>+L578+N578-P578</f>
        <v/>
      </c>
      <c r="S578" s="42">
        <f>+M578+O578-Q578</f>
        <v/>
      </c>
    </row>
    <row r="579" ht="30" customHeight="1">
      <c r="A579" s="16" t="n">
        <v>45709</v>
      </c>
      <c r="B579" s="17" t="inlineStr">
        <is>
          <t>MH2502-20</t>
        </is>
      </c>
      <c r="C579" s="16" t="n">
        <v>45709</v>
      </c>
      <c r="D579" s="18" t="inlineStr">
        <is>
          <t>00000488</t>
        </is>
      </c>
      <c r="E579" s="16" t="n">
        <v>45709</v>
      </c>
      <c r="F579" s="16" t="inlineStr">
        <is>
          <t>XK2502-22</t>
        </is>
      </c>
      <c r="G579" s="16" t="n">
        <v>45709</v>
      </c>
      <c r="H579" s="17" t="inlineStr">
        <is>
          <t>CÔNG TY CỔ PHẦN CÔNG NGHIỆP VÀ THƯƠNG MẠI CƯỜNG THỊNH</t>
        </is>
      </c>
      <c r="I579" s="18" t="inlineStr">
        <is>
          <t>Long đền thường ZP M20B42D2</t>
        </is>
      </c>
      <c r="J579" s="18" t="inlineStr">
        <is>
          <t>Cái</t>
        </is>
      </c>
      <c r="K579" s="19" t="n">
        <v>700</v>
      </c>
      <c r="L579" s="21" t="n"/>
      <c r="M579" s="22" t="n"/>
      <c r="N579" s="22" t="n">
        <v>144</v>
      </c>
      <c r="O579" s="22" t="n">
        <v>100800</v>
      </c>
      <c r="P579" s="22" t="n">
        <v>144</v>
      </c>
      <c r="Q579" s="22" t="n">
        <v>100800</v>
      </c>
      <c r="R579" s="42">
        <f>+L579+N579-P579</f>
        <v/>
      </c>
      <c r="S579" s="42">
        <f>+M579+O579-Q579</f>
        <v/>
      </c>
    </row>
    <row r="580" ht="30" customHeight="1">
      <c r="A580" s="16" t="n">
        <v>45709</v>
      </c>
      <c r="B580" s="17" t="inlineStr">
        <is>
          <t>MH2502-20</t>
        </is>
      </c>
      <c r="C580" s="16" t="n">
        <v>45709</v>
      </c>
      <c r="D580" s="18" t="inlineStr">
        <is>
          <t>00000488</t>
        </is>
      </c>
      <c r="E580" s="16" t="n">
        <v>45709</v>
      </c>
      <c r="F580" s="16" t="inlineStr">
        <is>
          <t>XK2502-22</t>
        </is>
      </c>
      <c r="G580" s="16" t="n">
        <v>45709</v>
      </c>
      <c r="H580" s="17" t="inlineStr">
        <is>
          <t>CÔNG TY CỔ PHẦN CÔNG NGHIỆP VÀ THƯƠNG MẠI CƯỜNG THỊNH</t>
        </is>
      </c>
      <c r="I580" s="18" t="inlineStr">
        <is>
          <t>Long đền móng ngựa ZP M20</t>
        </is>
      </c>
      <c r="J580" s="18" t="inlineStr">
        <is>
          <t>Cái</t>
        </is>
      </c>
      <c r="K580" s="19" t="n">
        <v>16900</v>
      </c>
      <c r="L580" s="21" t="n"/>
      <c r="M580" s="22" t="n"/>
      <c r="N580" s="22" t="n">
        <v>144</v>
      </c>
      <c r="O580" s="22" t="n">
        <v>2433600</v>
      </c>
      <c r="P580" s="22" t="n">
        <v>144</v>
      </c>
      <c r="Q580" s="22" t="n">
        <v>2433600</v>
      </c>
      <c r="R580" s="42">
        <f>+L580+N580-P580</f>
        <v/>
      </c>
      <c r="S580" s="42">
        <f>+M580+O580-Q580</f>
        <v/>
      </c>
    </row>
    <row r="581" ht="30" customHeight="1">
      <c r="A581" s="16" t="n">
        <v>45709</v>
      </c>
      <c r="B581" s="17" t="inlineStr">
        <is>
          <t>MH2502-20</t>
        </is>
      </c>
      <c r="C581" s="16" t="n">
        <v>45709</v>
      </c>
      <c r="D581" s="18" t="inlineStr">
        <is>
          <t>00000488</t>
        </is>
      </c>
      <c r="E581" s="16" t="n">
        <v>45709</v>
      </c>
      <c r="F581" s="16" t="inlineStr">
        <is>
          <t>XK2502-22</t>
        </is>
      </c>
      <c r="G581" s="16" t="n">
        <v>45709</v>
      </c>
      <c r="H581" s="17" t="inlineStr">
        <is>
          <t>CÔNG TY CỔ PHẦN CÔNG NGHIỆP VÀ THƯƠNG MẠI CƯỜNG THỊNH</t>
        </is>
      </c>
      <c r="I581" s="18" t="inlineStr">
        <is>
          <t>Nối Ty ZP M20x100(28mm)</t>
        </is>
      </c>
      <c r="J581" s="18" t="inlineStr">
        <is>
          <t>Cái</t>
        </is>
      </c>
      <c r="K581" s="19" t="n">
        <v>30250</v>
      </c>
      <c r="L581" s="21" t="n"/>
      <c r="M581" s="22" t="n"/>
      <c r="N581" s="22" t="n">
        <v>72</v>
      </c>
      <c r="O581" s="22" t="n">
        <v>2178000</v>
      </c>
      <c r="P581" s="22" t="n">
        <v>72</v>
      </c>
      <c r="Q581" s="22" t="n">
        <v>2178000</v>
      </c>
      <c r="R581" s="42">
        <f>+L581+N581-P581</f>
        <v/>
      </c>
      <c r="S581" s="42">
        <f>+M581+O581-Q581</f>
        <v/>
      </c>
    </row>
    <row r="582" ht="30" customHeight="1">
      <c r="A582" s="16" t="n">
        <v>45709</v>
      </c>
      <c r="B582" s="17" t="inlineStr">
        <is>
          <t>MH2502-20</t>
        </is>
      </c>
      <c r="C582" s="16" t="n">
        <v>45709</v>
      </c>
      <c r="D582" s="18" t="inlineStr">
        <is>
          <t>00000488</t>
        </is>
      </c>
      <c r="E582" s="16" t="n">
        <v>45709</v>
      </c>
      <c r="F582" s="16" t="inlineStr">
        <is>
          <t>XK2502-22</t>
        </is>
      </c>
      <c r="G582" s="16" t="n">
        <v>45709</v>
      </c>
      <c r="H582" s="17" t="inlineStr">
        <is>
          <t>CÔNG TY CỔ PHẦN CÔNG NGHIỆP VÀ THƯƠNG MẠI CƯỜNG THỊNH</t>
        </is>
      </c>
      <c r="I582" s="18" t="inlineStr">
        <is>
          <t>Ty giằng 2 đầu ren 4.6 ZP M25</t>
        </is>
      </c>
      <c r="J582" s="18" t="inlineStr">
        <is>
          <t>Mét</t>
        </is>
      </c>
      <c r="K582" s="19" t="n">
        <v>106000</v>
      </c>
      <c r="L582" s="21" t="n"/>
      <c r="M582" s="22" t="n"/>
      <c r="N582" s="22" t="n">
        <v>77.59</v>
      </c>
      <c r="O582" s="22" t="n">
        <v>8224540</v>
      </c>
      <c r="P582" s="22" t="n">
        <v>77.59</v>
      </c>
      <c r="Q582" s="22" t="n">
        <v>8224540</v>
      </c>
      <c r="R582" s="42">
        <f>+L582+N582-P582</f>
        <v/>
      </c>
      <c r="S582" s="42">
        <f>+M582+O582-Q582</f>
        <v/>
      </c>
    </row>
    <row r="583" ht="30" customHeight="1">
      <c r="A583" s="16" t="n">
        <v>45709</v>
      </c>
      <c r="B583" s="17" t="inlineStr">
        <is>
          <t>MH2502-20</t>
        </is>
      </c>
      <c r="C583" s="16" t="n">
        <v>45709</v>
      </c>
      <c r="D583" s="18" t="inlineStr">
        <is>
          <t>00000488</t>
        </is>
      </c>
      <c r="E583" s="16" t="n">
        <v>45709</v>
      </c>
      <c r="F583" s="16" t="inlineStr">
        <is>
          <t>XK2502-22</t>
        </is>
      </c>
      <c r="G583" s="16" t="n">
        <v>45709</v>
      </c>
      <c r="H583" s="17" t="inlineStr">
        <is>
          <t>CÔNG TY CỔ PHẦN CÔNG NGHIỆP VÀ THƯƠNG MẠI CƯỜNG THỊNH</t>
        </is>
      </c>
      <c r="I583" s="18" t="inlineStr">
        <is>
          <t>Đai ốc Din 934 5 ZP M24</t>
        </is>
      </c>
      <c r="J583" s="18" t="inlineStr">
        <is>
          <t>Cái</t>
        </is>
      </c>
      <c r="K583" s="19" t="n">
        <v>3410</v>
      </c>
      <c r="L583" s="21" t="n"/>
      <c r="M583" s="22" t="n"/>
      <c r="N583" s="22" t="n">
        <v>20</v>
      </c>
      <c r="O583" s="22" t="n">
        <v>68200</v>
      </c>
      <c r="P583" s="22" t="n">
        <v>20</v>
      </c>
      <c r="Q583" s="22" t="n">
        <v>68200</v>
      </c>
      <c r="R583" s="42">
        <f>+L583+N583-P583</f>
        <v/>
      </c>
      <c r="S583" s="42">
        <f>+M583+O583-Q583</f>
        <v/>
      </c>
    </row>
    <row r="584" ht="30" customHeight="1">
      <c r="A584" s="16" t="n">
        <v>45709</v>
      </c>
      <c r="B584" s="17" t="inlineStr">
        <is>
          <t>MH2502-20</t>
        </is>
      </c>
      <c r="C584" s="16" t="n">
        <v>45709</v>
      </c>
      <c r="D584" s="18" t="inlineStr">
        <is>
          <t>00000488</t>
        </is>
      </c>
      <c r="E584" s="16" t="n">
        <v>45709</v>
      </c>
      <c r="F584" s="16" t="inlineStr">
        <is>
          <t>XK2502-22</t>
        </is>
      </c>
      <c r="G584" s="16" t="n">
        <v>45709</v>
      </c>
      <c r="H584" s="17" t="inlineStr">
        <is>
          <t>CÔNG TY CỔ PHẦN CÔNG NGHIỆP VÀ THƯƠNG MẠI CƯỜNG THỊNH</t>
        </is>
      </c>
      <c r="I584" s="18" t="inlineStr">
        <is>
          <t>Long đền thường ZP M24B45D2</t>
        </is>
      </c>
      <c r="J584" s="18" t="inlineStr">
        <is>
          <t>Cái</t>
        </is>
      </c>
      <c r="K584" s="19" t="n">
        <v>820</v>
      </c>
      <c r="L584" s="21" t="n"/>
      <c r="M584" s="22" t="n"/>
      <c r="N584" s="22" t="n">
        <v>20</v>
      </c>
      <c r="O584" s="22" t="n">
        <v>16400</v>
      </c>
      <c r="P584" s="22" t="n">
        <v>20</v>
      </c>
      <c r="Q584" s="22" t="n">
        <v>16400</v>
      </c>
      <c r="R584" s="42">
        <f>+L584+N584-P584</f>
        <v/>
      </c>
      <c r="S584" s="42">
        <f>+M584+O584-Q584</f>
        <v/>
      </c>
    </row>
    <row r="585" ht="30" customHeight="1">
      <c r="A585" s="16" t="n">
        <v>45709</v>
      </c>
      <c r="B585" s="17" t="inlineStr">
        <is>
          <t>MH2502-20</t>
        </is>
      </c>
      <c r="C585" s="16" t="n">
        <v>45709</v>
      </c>
      <c r="D585" s="18" t="inlineStr">
        <is>
          <t>00000488</t>
        </is>
      </c>
      <c r="E585" s="16" t="n">
        <v>45709</v>
      </c>
      <c r="F585" s="16" t="inlineStr">
        <is>
          <t>XK2502-22</t>
        </is>
      </c>
      <c r="G585" s="16" t="n">
        <v>45709</v>
      </c>
      <c r="H585" s="17" t="inlineStr">
        <is>
          <t>CÔNG TY CỔ PHẦN CÔNG NGHIỆP VÀ THƯƠNG MẠI CƯỜNG THỊNH</t>
        </is>
      </c>
      <c r="I585" s="18" t="inlineStr">
        <is>
          <t>Nối Ty ZP M24x100 (34mm)</t>
        </is>
      </c>
      <c r="J585" s="18" t="inlineStr">
        <is>
          <t>Cái</t>
        </is>
      </c>
      <c r="K585" s="19" t="n">
        <v>35220</v>
      </c>
      <c r="L585" s="21" t="n"/>
      <c r="M585" s="22" t="n"/>
      <c r="N585" s="22" t="n">
        <v>10</v>
      </c>
      <c r="O585" s="22" t="n">
        <v>352200</v>
      </c>
      <c r="P585" s="22" t="n">
        <v>10</v>
      </c>
      <c r="Q585" s="22" t="n">
        <v>352200</v>
      </c>
      <c r="R585" s="42">
        <f>+L585+N585-P585</f>
        <v/>
      </c>
      <c r="S585" s="42">
        <f>+M585+O585-Q585</f>
        <v/>
      </c>
    </row>
    <row r="586" ht="30" customHeight="1">
      <c r="A586" s="16" t="n">
        <v>45709</v>
      </c>
      <c r="B586" s="17" t="inlineStr">
        <is>
          <t>MH2502-20</t>
        </is>
      </c>
      <c r="C586" s="16" t="n">
        <v>45709</v>
      </c>
      <c r="D586" s="18" t="inlineStr">
        <is>
          <t>00000488</t>
        </is>
      </c>
      <c r="E586" s="16" t="n">
        <v>45709</v>
      </c>
      <c r="F586" s="16" t="inlineStr">
        <is>
          <t>XK2502-22</t>
        </is>
      </c>
      <c r="G586" s="16" t="n">
        <v>45709</v>
      </c>
      <c r="H586" s="17" t="inlineStr">
        <is>
          <t>CÔNG TY CỔ PHẦN CÔNG NGHIỆP VÀ THƯƠNG MẠI CƯỜNG THỊNH</t>
        </is>
      </c>
      <c r="I586" s="18" t="inlineStr">
        <is>
          <t>Long đền móng ngựa ZP M24</t>
        </is>
      </c>
      <c r="J586" s="18" t="inlineStr">
        <is>
          <t>Cái</t>
        </is>
      </c>
      <c r="K586" s="19" t="n">
        <v>23500</v>
      </c>
      <c r="L586" s="21" t="n"/>
      <c r="M586" s="22" t="n"/>
      <c r="N586" s="22" t="n">
        <v>20</v>
      </c>
      <c r="O586" s="22" t="n">
        <v>470000</v>
      </c>
      <c r="P586" s="22" t="n">
        <v>20</v>
      </c>
      <c r="Q586" s="22" t="n">
        <v>470000</v>
      </c>
      <c r="R586" s="42">
        <f>+L586+N586-P586</f>
        <v/>
      </c>
      <c r="S586" s="42">
        <f>+M586+O586-Q586</f>
        <v/>
      </c>
    </row>
    <row r="587" ht="30" customHeight="1">
      <c r="A587" s="16" t="n">
        <v>45709</v>
      </c>
      <c r="B587" s="17" t="inlineStr">
        <is>
          <t>MH2502-20</t>
        </is>
      </c>
      <c r="C587" s="16" t="n">
        <v>45709</v>
      </c>
      <c r="D587" s="18" t="inlineStr">
        <is>
          <t>00000488</t>
        </is>
      </c>
      <c r="E587" s="16" t="n">
        <v>45709</v>
      </c>
      <c r="F587" s="16" t="inlineStr">
        <is>
          <t>XK2502-22</t>
        </is>
      </c>
      <c r="G587" s="16" t="n">
        <v>45709</v>
      </c>
      <c r="H587" s="17" t="inlineStr">
        <is>
          <t>CÔNG TY CỔ PHẦN CÔNG NGHIỆP VÀ THƯƠNG MẠI CƯỜNG THỊNH</t>
        </is>
      </c>
      <c r="I587" s="18" t="inlineStr">
        <is>
          <t>Ty giằng 2 đầu ren 4.6 ZP M16</t>
        </is>
      </c>
      <c r="J587" s="18" t="inlineStr">
        <is>
          <t>Mét</t>
        </is>
      </c>
      <c r="K587" s="19" t="n">
        <v>48000</v>
      </c>
      <c r="L587" s="21" t="n"/>
      <c r="M587" s="22" t="n"/>
      <c r="N587" s="22" t="n">
        <v>405.9</v>
      </c>
      <c r="O587" s="22" t="n">
        <v>19483200</v>
      </c>
      <c r="P587" s="22" t="n">
        <v>405.9</v>
      </c>
      <c r="Q587" s="22" t="n">
        <v>19483200</v>
      </c>
      <c r="R587" s="42">
        <f>+L587+N587-P587</f>
        <v/>
      </c>
      <c r="S587" s="42">
        <f>+M587+O587-Q587</f>
        <v/>
      </c>
    </row>
    <row r="588" ht="30" customHeight="1">
      <c r="A588" s="16" t="n">
        <v>45709</v>
      </c>
      <c r="B588" s="17" t="inlineStr">
        <is>
          <t>MH2502-20</t>
        </is>
      </c>
      <c r="C588" s="16" t="n">
        <v>45709</v>
      </c>
      <c r="D588" s="18" t="inlineStr">
        <is>
          <t>00000488</t>
        </is>
      </c>
      <c r="E588" s="16" t="n">
        <v>45709</v>
      </c>
      <c r="F588" s="16" t="inlineStr">
        <is>
          <t>XK2502-22</t>
        </is>
      </c>
      <c r="G588" s="16" t="n">
        <v>45709</v>
      </c>
      <c r="H588" s="17" t="inlineStr">
        <is>
          <t>CÔNG TY CỔ PHẦN CÔNG NGHIỆP VÀ THƯƠNG MẠI CƯỜNG THỊNH</t>
        </is>
      </c>
      <c r="I588" s="18" t="inlineStr">
        <is>
          <t>Đai ốc Din 934 5 ZP M16</t>
        </is>
      </c>
      <c r="J588" s="18" t="inlineStr">
        <is>
          <t>Cái</t>
        </is>
      </c>
      <c r="K588" s="19" t="n">
        <v>1110</v>
      </c>
      <c r="L588" s="21" t="n"/>
      <c r="M588" s="22" t="n"/>
      <c r="N588" s="22" t="n">
        <v>104</v>
      </c>
      <c r="O588" s="22" t="n">
        <v>115440</v>
      </c>
      <c r="P588" s="22" t="n">
        <v>104</v>
      </c>
      <c r="Q588" s="22" t="n">
        <v>115440</v>
      </c>
      <c r="R588" s="42">
        <f>+L588+N588-P588</f>
        <v/>
      </c>
      <c r="S588" s="42">
        <f>+M588+O588-Q588</f>
        <v/>
      </c>
    </row>
    <row r="589" ht="30" customHeight="1">
      <c r="A589" s="16" t="n">
        <v>45709</v>
      </c>
      <c r="B589" s="17" t="inlineStr">
        <is>
          <t>MH2502-20</t>
        </is>
      </c>
      <c r="C589" s="16" t="n">
        <v>45709</v>
      </c>
      <c r="D589" s="18" t="inlineStr">
        <is>
          <t>00000488</t>
        </is>
      </c>
      <c r="E589" s="16" t="n">
        <v>45709</v>
      </c>
      <c r="F589" s="16" t="inlineStr">
        <is>
          <t>XK2502-22</t>
        </is>
      </c>
      <c r="G589" s="16" t="n">
        <v>45709</v>
      </c>
      <c r="H589" s="17" t="inlineStr">
        <is>
          <t>CÔNG TY CỔ PHẦN CÔNG NGHIỆP VÀ THƯƠNG MẠI CƯỜNG THỊNH</t>
        </is>
      </c>
      <c r="I589" s="18" t="inlineStr">
        <is>
          <t>Long đền thường ZP M16B42D2</t>
        </is>
      </c>
      <c r="J589" s="18" t="inlineStr">
        <is>
          <t>Cái</t>
        </is>
      </c>
      <c r="K589" s="19" t="n">
        <v>800</v>
      </c>
      <c r="L589" s="21" t="n"/>
      <c r="M589" s="22" t="n"/>
      <c r="N589" s="22" t="n">
        <v>104</v>
      </c>
      <c r="O589" s="22" t="n">
        <v>83200</v>
      </c>
      <c r="P589" s="22" t="n">
        <v>104</v>
      </c>
      <c r="Q589" s="22" t="n">
        <v>83200</v>
      </c>
      <c r="R589" s="42">
        <f>+L589+N589-P589</f>
        <v/>
      </c>
      <c r="S589" s="42">
        <f>+M589+O589-Q589</f>
        <v/>
      </c>
    </row>
    <row r="590" ht="30" customHeight="1">
      <c r="A590" s="16" t="n">
        <v>45709</v>
      </c>
      <c r="B590" s="17" t="inlineStr">
        <is>
          <t>MH2502-20</t>
        </is>
      </c>
      <c r="C590" s="16" t="n">
        <v>45709</v>
      </c>
      <c r="D590" s="18" t="inlineStr">
        <is>
          <t>00000488</t>
        </is>
      </c>
      <c r="E590" s="16" t="n">
        <v>45709</v>
      </c>
      <c r="F590" s="16" t="inlineStr">
        <is>
          <t>XK2502-22</t>
        </is>
      </c>
      <c r="G590" s="16" t="n">
        <v>45709</v>
      </c>
      <c r="H590" s="17" t="inlineStr">
        <is>
          <t>CÔNG TY CỔ PHẦN CÔNG NGHIỆP VÀ THƯƠNG MẠI CƯỜNG THỊNH</t>
        </is>
      </c>
      <c r="I590" s="18" t="inlineStr">
        <is>
          <t>Long đền móng ngựa ZP M16</t>
        </is>
      </c>
      <c r="J590" s="18" t="inlineStr">
        <is>
          <t>Cái</t>
        </is>
      </c>
      <c r="K590" s="19" t="n">
        <v>15670</v>
      </c>
      <c r="L590" s="21" t="n"/>
      <c r="M590" s="22" t="n"/>
      <c r="N590" s="22" t="n">
        <v>104</v>
      </c>
      <c r="O590" s="22" t="n">
        <v>1629680</v>
      </c>
      <c r="P590" s="22" t="n">
        <v>104</v>
      </c>
      <c r="Q590" s="22" t="n">
        <v>1629680</v>
      </c>
      <c r="R590" s="42">
        <f>+L590+N590-P590</f>
        <v/>
      </c>
      <c r="S590" s="42">
        <f>+M590+O590-Q590</f>
        <v/>
      </c>
    </row>
    <row r="591" ht="30" customHeight="1">
      <c r="A591" s="16" t="n">
        <v>45709</v>
      </c>
      <c r="B591" s="17" t="inlineStr">
        <is>
          <t>MH2502-20</t>
        </is>
      </c>
      <c r="C591" s="16" t="n">
        <v>45709</v>
      </c>
      <c r="D591" s="18" t="inlineStr">
        <is>
          <t>00000488</t>
        </is>
      </c>
      <c r="E591" s="16" t="n">
        <v>45709</v>
      </c>
      <c r="F591" s="16" t="inlineStr">
        <is>
          <t>XK2502-22</t>
        </is>
      </c>
      <c r="G591" s="16" t="n">
        <v>45709</v>
      </c>
      <c r="H591" s="17" t="inlineStr">
        <is>
          <t>CÔNG TY CỔ PHẦN CÔNG NGHIỆP VÀ THƯƠNG MẠI CƯỜNG THỊNH</t>
        </is>
      </c>
      <c r="I591" s="18" t="inlineStr">
        <is>
          <t>Nối Ty ZP M16x100 (23mm)</t>
        </is>
      </c>
      <c r="J591" s="18" t="inlineStr">
        <is>
          <t>Cái</t>
        </is>
      </c>
      <c r="K591" s="19" t="n">
        <v>24160</v>
      </c>
      <c r="L591" s="21" t="n"/>
      <c r="M591" s="22" t="n"/>
      <c r="N591" s="22" t="n">
        <v>52</v>
      </c>
      <c r="O591" s="22" t="n">
        <v>1256320</v>
      </c>
      <c r="P591" s="22" t="n">
        <v>52</v>
      </c>
      <c r="Q591" s="22" t="n">
        <v>1256320</v>
      </c>
      <c r="R591" s="42">
        <f>+L591+N591-P591</f>
        <v/>
      </c>
      <c r="S591" s="42">
        <f>+M591+O591-Q591</f>
        <v/>
      </c>
    </row>
    <row r="592" ht="30" customHeight="1">
      <c r="A592" s="16" t="n">
        <v>45709</v>
      </c>
      <c r="B592" s="17" t="inlineStr">
        <is>
          <t>MH2502-21</t>
        </is>
      </c>
      <c r="C592" s="16" t="n">
        <v>45709</v>
      </c>
      <c r="D592" s="18" t="inlineStr">
        <is>
          <t>00000489</t>
        </is>
      </c>
      <c r="E592" s="16" t="n">
        <v>45709</v>
      </c>
      <c r="F592" s="16" t="inlineStr">
        <is>
          <t>XK2502-23</t>
        </is>
      </c>
      <c r="G592" s="16" t="n">
        <v>45709</v>
      </c>
      <c r="H592" s="17" t="inlineStr">
        <is>
          <t>CÔNG TY CỔ PHẦN CÔNG NGHIỆP VÀ THƯƠNG MẠI CƯỜNG THỊNH</t>
        </is>
      </c>
      <c r="I592" s="18" t="inlineStr">
        <is>
          <t>Bulong thường 4.6 ZP M12x30</t>
        </is>
      </c>
      <c r="J592" s="18" t="inlineStr">
        <is>
          <t>Cái</t>
        </is>
      </c>
      <c r="K592" s="19" t="n">
        <v>950</v>
      </c>
      <c r="L592" s="21" t="n"/>
      <c r="M592" s="22" t="n"/>
      <c r="N592" s="22" t="n">
        <v>1200</v>
      </c>
      <c r="O592" s="22" t="n">
        <v>1140000</v>
      </c>
      <c r="P592" s="22" t="n">
        <v>1200</v>
      </c>
      <c r="Q592" s="22" t="n">
        <v>1140000</v>
      </c>
      <c r="R592" s="42">
        <f>+L592+N592-P592</f>
        <v/>
      </c>
      <c r="S592" s="42">
        <f>+M592+O592-Q592</f>
        <v/>
      </c>
    </row>
    <row r="593" ht="30" customHeight="1">
      <c r="A593" s="16" t="n">
        <v>45709</v>
      </c>
      <c r="B593" s="17" t="inlineStr">
        <is>
          <t>MH2502-21</t>
        </is>
      </c>
      <c r="C593" s="16" t="n">
        <v>45709</v>
      </c>
      <c r="D593" s="18" t="inlineStr">
        <is>
          <t>00000489</t>
        </is>
      </c>
      <c r="E593" s="16" t="n">
        <v>45709</v>
      </c>
      <c r="F593" s="16" t="inlineStr">
        <is>
          <t>XK2502-23</t>
        </is>
      </c>
      <c r="G593" s="16" t="n">
        <v>45709</v>
      </c>
      <c r="H593" s="17" t="inlineStr">
        <is>
          <t>CÔNG TY CỔ PHẦN CÔNG NGHIỆP VÀ THƯƠNG MẠI CƯỜNG THỊNH</t>
        </is>
      </c>
      <c r="I593" s="18" t="inlineStr">
        <is>
          <t>Đai ốc thường 4 ZP M12 (9mm)</t>
        </is>
      </c>
      <c r="J593" s="18" t="inlineStr">
        <is>
          <t>Cái</t>
        </is>
      </c>
      <c r="K593" s="19" t="n">
        <v>360</v>
      </c>
      <c r="L593" s="21" t="n"/>
      <c r="M593" s="22" t="n"/>
      <c r="N593" s="22" t="n">
        <v>1200</v>
      </c>
      <c r="O593" s="22" t="n">
        <v>432000</v>
      </c>
      <c r="P593" s="22" t="n">
        <v>1200</v>
      </c>
      <c r="Q593" s="22" t="n">
        <v>432000</v>
      </c>
      <c r="R593" s="42">
        <f>+L593+N593-P593</f>
        <v/>
      </c>
      <c r="S593" s="42">
        <f>+M593+O593-Q593</f>
        <v/>
      </c>
    </row>
    <row r="594" ht="30" customHeight="1">
      <c r="A594" s="16" t="n">
        <v>45709</v>
      </c>
      <c r="B594" s="17" t="inlineStr">
        <is>
          <t>MH2502-21</t>
        </is>
      </c>
      <c r="C594" s="16" t="n">
        <v>45709</v>
      </c>
      <c r="D594" s="18" t="inlineStr">
        <is>
          <t>00000489</t>
        </is>
      </c>
      <c r="E594" s="16" t="n">
        <v>45709</v>
      </c>
      <c r="F594" s="16" t="inlineStr">
        <is>
          <t>XK2502-23</t>
        </is>
      </c>
      <c r="G594" s="16" t="n">
        <v>45709</v>
      </c>
      <c r="H594" s="17" t="inlineStr">
        <is>
          <t>CÔNG TY CỔ PHẦN CÔNG NGHIỆP VÀ THƯƠNG MẠI CƯỜNG THỊNH</t>
        </is>
      </c>
      <c r="I594" s="18" t="inlineStr">
        <is>
          <t>Long đền thường ZP M12B23D1</t>
        </is>
      </c>
      <c r="J594" s="18" t="inlineStr">
        <is>
          <t>Cái</t>
        </is>
      </c>
      <c r="K594" s="19" t="n">
        <v>100</v>
      </c>
      <c r="L594" s="21" t="n"/>
      <c r="M594" s="22" t="n"/>
      <c r="N594" s="22" t="n">
        <v>2400</v>
      </c>
      <c r="O594" s="22" t="n">
        <v>240000</v>
      </c>
      <c r="P594" s="22" t="n">
        <v>2400</v>
      </c>
      <c r="Q594" s="22" t="n">
        <v>240000</v>
      </c>
      <c r="R594" s="42">
        <f>+L594+N594-P594</f>
        <v/>
      </c>
      <c r="S594" s="42">
        <f>+M594+O594-Q594</f>
        <v/>
      </c>
    </row>
    <row r="595" ht="30" customHeight="1">
      <c r="A595" s="16" t="n">
        <v>45710</v>
      </c>
      <c r="B595" s="17" t="inlineStr">
        <is>
          <t>MH2502-22</t>
        </is>
      </c>
      <c r="C595" s="16" t="n">
        <v>45710</v>
      </c>
      <c r="D595" s="18" t="inlineStr">
        <is>
          <t>00000498</t>
        </is>
      </c>
      <c r="E595" s="16" t="n">
        <v>45710</v>
      </c>
      <c r="F595" s="16" t="inlineStr">
        <is>
          <t>XK2502-23</t>
        </is>
      </c>
      <c r="G595" s="16" t="n">
        <v>45710</v>
      </c>
      <c r="H595" s="17" t="inlineStr">
        <is>
          <t>CÔNG TY CỔ PHẦN CÔNG NGHIỆP VÀ THƯƠNG MẠI CƯỜNG THỊNH</t>
        </is>
      </c>
      <c r="I595" s="18" t="inlineStr">
        <is>
          <t>Tắc kê ZP (Cr+6) M8x100</t>
        </is>
      </c>
      <c r="J595" s="18" t="inlineStr">
        <is>
          <t>Cái</t>
        </is>
      </c>
      <c r="K595" s="19" t="n">
        <v>1800</v>
      </c>
      <c r="L595" s="21" t="n"/>
      <c r="M595" s="22" t="n"/>
      <c r="N595" s="22" t="n">
        <v>395</v>
      </c>
      <c r="O595" s="22" t="n">
        <v>711000</v>
      </c>
      <c r="P595" s="22" t="n">
        <v>395</v>
      </c>
      <c r="Q595" s="22" t="n">
        <v>711000</v>
      </c>
      <c r="R595" s="42">
        <f>+L595+N595-P595</f>
        <v/>
      </c>
      <c r="S595" s="42">
        <f>+M595+O595-Q595</f>
        <v/>
      </c>
    </row>
    <row r="596" ht="30" customHeight="1">
      <c r="A596" s="16" t="n">
        <v>45710</v>
      </c>
      <c r="B596" s="17" t="inlineStr">
        <is>
          <t>MH2502-22</t>
        </is>
      </c>
      <c r="C596" s="16" t="n">
        <v>45710</v>
      </c>
      <c r="D596" s="18" t="inlineStr">
        <is>
          <t>00000498</t>
        </is>
      </c>
      <c r="E596" s="16" t="n">
        <v>45710</v>
      </c>
      <c r="F596" s="16" t="inlineStr">
        <is>
          <t>XK2502-23</t>
        </is>
      </c>
      <c r="G596" s="16" t="n">
        <v>45710</v>
      </c>
      <c r="H596" s="17" t="inlineStr">
        <is>
          <t>CÔNG TY CỔ PHẦN CÔNG NGHIỆP VÀ THƯƠNG MẠI CƯỜNG THỊNH</t>
        </is>
      </c>
      <c r="I596" s="18" t="inlineStr">
        <is>
          <t>Bulong Din 933 8.8 ZP M8x30</t>
        </is>
      </c>
      <c r="J596" s="18" t="inlineStr">
        <is>
          <t>Cái</t>
        </is>
      </c>
      <c r="K596" s="19" t="n">
        <v>1340</v>
      </c>
      <c r="L596" s="21" t="n"/>
      <c r="M596" s="22" t="n"/>
      <c r="N596" s="22" t="n">
        <v>672</v>
      </c>
      <c r="O596" s="22" t="n">
        <v>900480</v>
      </c>
      <c r="P596" s="22" t="n">
        <v>672</v>
      </c>
      <c r="Q596" s="22" t="n">
        <v>900480</v>
      </c>
      <c r="R596" s="42">
        <f>+L596+N596-P596</f>
        <v/>
      </c>
      <c r="S596" s="42">
        <f>+M596+O596-Q596</f>
        <v/>
      </c>
    </row>
    <row r="597" ht="30" customHeight="1">
      <c r="A597" s="16" t="n">
        <v>45710</v>
      </c>
      <c r="B597" s="17" t="inlineStr">
        <is>
          <t>MH2502-22</t>
        </is>
      </c>
      <c r="C597" s="16" t="n">
        <v>45710</v>
      </c>
      <c r="D597" s="18" t="inlineStr">
        <is>
          <t>00000498</t>
        </is>
      </c>
      <c r="E597" s="16" t="n">
        <v>45710</v>
      </c>
      <c r="F597" s="16" t="inlineStr">
        <is>
          <t>XK2502-23</t>
        </is>
      </c>
      <c r="G597" s="16" t="n">
        <v>45710</v>
      </c>
      <c r="H597" s="17" t="inlineStr">
        <is>
          <t>CÔNG TY CỔ PHẦN CÔNG NGHIỆP VÀ THƯƠNG MẠI CƯỜNG THỊNH</t>
        </is>
      </c>
      <c r="I597" s="18" t="inlineStr">
        <is>
          <t>Đai ốc ISO 4032 8 ZP M8</t>
        </is>
      </c>
      <c r="J597" s="18" t="inlineStr">
        <is>
          <t>Cái</t>
        </is>
      </c>
      <c r="K597" s="19" t="n">
        <v>230</v>
      </c>
      <c r="L597" s="21" t="n"/>
      <c r="M597" s="22" t="n"/>
      <c r="N597" s="22" t="n">
        <v>672</v>
      </c>
      <c r="O597" s="22" t="n">
        <v>154560</v>
      </c>
      <c r="P597" s="22" t="n">
        <v>672</v>
      </c>
      <c r="Q597" s="22" t="n">
        <v>154560</v>
      </c>
      <c r="R597" s="42">
        <f>+L597+N597-P597</f>
        <v/>
      </c>
      <c r="S597" s="42">
        <f>+M597+O597-Q597</f>
        <v/>
      </c>
    </row>
    <row r="598" ht="30" customHeight="1">
      <c r="A598" s="16" t="n">
        <v>45710</v>
      </c>
      <c r="B598" s="17" t="inlineStr">
        <is>
          <t>MH2502-22</t>
        </is>
      </c>
      <c r="C598" s="16" t="n">
        <v>45710</v>
      </c>
      <c r="D598" s="18" t="inlineStr">
        <is>
          <t>00000498</t>
        </is>
      </c>
      <c r="E598" s="16" t="n">
        <v>45710</v>
      </c>
      <c r="F598" s="16" t="inlineStr">
        <is>
          <t>XK2502-23</t>
        </is>
      </c>
      <c r="G598" s="16" t="n">
        <v>45710</v>
      </c>
      <c r="H598" s="17" t="inlineStr">
        <is>
          <t>CÔNG TY CỔ PHẦN CÔNG NGHIỆP VÀ THƯƠNG MẠI CƯỜNG THỊNH</t>
        </is>
      </c>
      <c r="I598" s="18" t="inlineStr">
        <is>
          <t>Long đền thường ZP M8B19D1</t>
        </is>
      </c>
      <c r="J598" s="18" t="inlineStr">
        <is>
          <t>Cái</t>
        </is>
      </c>
      <c r="K598" s="19" t="n">
        <v>70</v>
      </c>
      <c r="L598" s="21" t="n"/>
      <c r="M598" s="22" t="n"/>
      <c r="N598" s="22" t="n">
        <v>672</v>
      </c>
      <c r="O598" s="22" t="n">
        <v>47040</v>
      </c>
      <c r="P598" s="22" t="n">
        <v>672</v>
      </c>
      <c r="Q598" s="22" t="n">
        <v>47040</v>
      </c>
      <c r="R598" s="42">
        <f>+L598+N598-P598</f>
        <v/>
      </c>
      <c r="S598" s="42">
        <f>+M598+O598-Q598</f>
        <v/>
      </c>
    </row>
    <row r="599" ht="30" customHeight="1">
      <c r="A599" s="16" t="n">
        <v>45710</v>
      </c>
      <c r="B599" s="17" t="inlineStr">
        <is>
          <t>MH2502-22</t>
        </is>
      </c>
      <c r="C599" s="16" t="n">
        <v>45710</v>
      </c>
      <c r="D599" s="18" t="inlineStr">
        <is>
          <t>00000498</t>
        </is>
      </c>
      <c r="E599" s="16" t="n">
        <v>45710</v>
      </c>
      <c r="F599" s="16" t="inlineStr">
        <is>
          <t>XK2502-23</t>
        </is>
      </c>
      <c r="G599" s="16" t="n">
        <v>45710</v>
      </c>
      <c r="H599" s="17" t="inlineStr">
        <is>
          <t>CÔNG TY CỔ PHẦN CÔNG NGHIỆP VÀ THƯƠNG MẠI CƯỜNG THỊNH</t>
        </is>
      </c>
      <c r="I599" s="18" t="inlineStr">
        <is>
          <t>Bulong thường ZP M6x40</t>
        </is>
      </c>
      <c r="J599" s="18" t="inlineStr">
        <is>
          <t>Cái</t>
        </is>
      </c>
      <c r="K599" s="19" t="n">
        <v>490</v>
      </c>
      <c r="L599" s="21" t="n"/>
      <c r="M599" s="22" t="n"/>
      <c r="N599" s="22" t="n">
        <v>1271</v>
      </c>
      <c r="O599" s="22" t="n">
        <v>622790</v>
      </c>
      <c r="P599" s="22" t="n">
        <v>1271</v>
      </c>
      <c r="Q599" s="22" t="n">
        <v>622790</v>
      </c>
      <c r="R599" s="42">
        <f>+L599+N599-P599</f>
        <v/>
      </c>
      <c r="S599" s="42">
        <f>+M599+O599-Q599</f>
        <v/>
      </c>
    </row>
    <row r="600" ht="30" customHeight="1">
      <c r="A600" s="16" t="n">
        <v>45710</v>
      </c>
      <c r="B600" s="17" t="inlineStr">
        <is>
          <t>MH2502-22</t>
        </is>
      </c>
      <c r="C600" s="16" t="n">
        <v>45710</v>
      </c>
      <c r="D600" s="18" t="inlineStr">
        <is>
          <t>00000498</t>
        </is>
      </c>
      <c r="E600" s="16" t="n">
        <v>45710</v>
      </c>
      <c r="F600" s="16" t="inlineStr">
        <is>
          <t>XK2502-23</t>
        </is>
      </c>
      <c r="G600" s="16" t="n">
        <v>45710</v>
      </c>
      <c r="H600" s="17" t="inlineStr">
        <is>
          <t>CÔNG TY CỔ PHẦN CÔNG NGHIỆP VÀ THƯƠNG MẠI CƯỜNG THỊNH</t>
        </is>
      </c>
      <c r="I600" s="18" t="inlineStr">
        <is>
          <t>Đai ốc thường ZP M6</t>
        </is>
      </c>
      <c r="J600" s="18" t="inlineStr">
        <is>
          <t>Cái</t>
        </is>
      </c>
      <c r="K600" s="19" t="n">
        <v>100</v>
      </c>
      <c r="L600" s="21" t="n"/>
      <c r="M600" s="22" t="n"/>
      <c r="N600" s="22" t="n">
        <v>1271</v>
      </c>
      <c r="O600" s="22" t="n">
        <v>127100</v>
      </c>
      <c r="P600" s="22" t="n">
        <v>1271</v>
      </c>
      <c r="Q600" s="22" t="n">
        <v>127100</v>
      </c>
      <c r="R600" s="42">
        <f>+L600+N600-P600</f>
        <v/>
      </c>
      <c r="S600" s="42">
        <f>+M600+O600-Q600</f>
        <v/>
      </c>
    </row>
    <row r="601" ht="30" customHeight="1">
      <c r="A601" s="16" t="n">
        <v>45710</v>
      </c>
      <c r="B601" s="17" t="inlineStr">
        <is>
          <t>MH2502-22</t>
        </is>
      </c>
      <c r="C601" s="16" t="n">
        <v>45710</v>
      </c>
      <c r="D601" s="18" t="inlineStr">
        <is>
          <t>00000498</t>
        </is>
      </c>
      <c r="E601" s="16" t="n">
        <v>45710</v>
      </c>
      <c r="F601" s="16" t="inlineStr">
        <is>
          <t>XK2502-23</t>
        </is>
      </c>
      <c r="G601" s="16" t="n">
        <v>45710</v>
      </c>
      <c r="H601" s="17" t="inlineStr">
        <is>
          <t>CÔNG TY CỔ PHẦN CÔNG NGHIỆP VÀ THƯƠNG MẠI CƯỜNG THỊNH</t>
        </is>
      </c>
      <c r="I601" s="18" t="inlineStr">
        <is>
          <t>Long đền thường ZP M6B17D2</t>
        </is>
      </c>
      <c r="J601" s="18" t="inlineStr">
        <is>
          <t>Cái</t>
        </is>
      </c>
      <c r="K601" s="19" t="n">
        <v>180</v>
      </c>
      <c r="L601" s="21" t="n"/>
      <c r="M601" s="22" t="n"/>
      <c r="N601" s="22" t="n">
        <v>1271</v>
      </c>
      <c r="O601" s="22" t="n">
        <v>228780</v>
      </c>
      <c r="P601" s="22" t="n">
        <v>1271</v>
      </c>
      <c r="Q601" s="22" t="n">
        <v>228780</v>
      </c>
      <c r="R601" s="42">
        <f>+L601+N601-P601</f>
        <v/>
      </c>
      <c r="S601" s="42">
        <f>+M601+O601-Q601</f>
        <v/>
      </c>
    </row>
    <row r="602" ht="30" customHeight="1">
      <c r="A602" s="16" t="n">
        <v>45712</v>
      </c>
      <c r="B602" s="17" t="inlineStr">
        <is>
          <t>MH2502-23</t>
        </is>
      </c>
      <c r="C602" s="16" t="n">
        <v>45712</v>
      </c>
      <c r="D602" s="18" t="inlineStr">
        <is>
          <t>00000184</t>
        </is>
      </c>
      <c r="E602" s="16" t="n">
        <v>45712</v>
      </c>
      <c r="F602" s="16" t="inlineStr">
        <is>
          <t>XK2502-24</t>
        </is>
      </c>
      <c r="G602" s="16" t="n">
        <v>45712</v>
      </c>
      <c r="H602" s="17" t="inlineStr">
        <is>
          <t>CÔNG TY TNHH SẢN XUẤT THƯƠNG MẠI TRƯỜNG PHÚC</t>
        </is>
      </c>
      <c r="I602" s="18" t="inlineStr">
        <is>
          <t>Thép dày mạ kẽm Z350 phủ CR:2.40mmx1120</t>
        </is>
      </c>
      <c r="J602" s="18" t="inlineStr">
        <is>
          <t>Bộ</t>
        </is>
      </c>
      <c r="K602" s="19" t="n">
        <v>15301.21</v>
      </c>
      <c r="L602" s="21" t="n"/>
      <c r="M602" s="22" t="n"/>
      <c r="N602" s="22" t="n">
        <v>2880</v>
      </c>
      <c r="O602" s="22" t="n">
        <v>44067491</v>
      </c>
      <c r="P602" s="22" t="n">
        <v>2880</v>
      </c>
      <c r="Q602" s="22" t="n">
        <v>44067491</v>
      </c>
      <c r="R602" s="42">
        <f>+L602+N602-P602</f>
        <v/>
      </c>
      <c r="S602" s="42">
        <f>+M602+O602-Q602</f>
        <v/>
      </c>
    </row>
    <row r="603" ht="30" customHeight="1">
      <c r="A603" s="16" t="n">
        <v>45712</v>
      </c>
      <c r="B603" s="17" t="inlineStr">
        <is>
          <t>MH2502-24</t>
        </is>
      </c>
      <c r="C603" s="16" t="n">
        <v>45712</v>
      </c>
      <c r="D603" s="18" t="inlineStr">
        <is>
          <t>288</t>
        </is>
      </c>
      <c r="E603" s="16" t="n">
        <v>45712</v>
      </c>
      <c r="F603" s="16" t="inlineStr">
        <is>
          <t>XK2502-25</t>
        </is>
      </c>
      <c r="G603" s="16" t="n">
        <v>45712</v>
      </c>
      <c r="H603" s="17" t="inlineStr">
        <is>
          <t>CÔNG TY TNHH KỸ THUẬT VÀ THƯƠNG MẠI B.F.C</t>
        </is>
      </c>
      <c r="I603" s="18" t="inlineStr">
        <is>
          <t>Vít B2stek 12-14x20 HWFS</t>
        </is>
      </c>
      <c r="J603" s="18" t="inlineStr">
        <is>
          <t>Bộ</t>
        </is>
      </c>
      <c r="K603" s="19" t="n">
        <v>550</v>
      </c>
      <c r="L603" s="21" t="n"/>
      <c r="M603" s="22" t="n"/>
      <c r="N603" s="22" t="n">
        <v>26069</v>
      </c>
      <c r="O603" s="22" t="n">
        <v>14337950</v>
      </c>
      <c r="P603" s="22" t="n">
        <v>26069</v>
      </c>
      <c r="Q603" s="22" t="n">
        <v>14337950</v>
      </c>
      <c r="R603" s="42">
        <f>+L603+N603-P603</f>
        <v/>
      </c>
      <c r="S603" s="42">
        <f>+M603+O603-Q603</f>
        <v/>
      </c>
    </row>
    <row r="604" ht="30" customHeight="1">
      <c r="A604" s="16" t="n">
        <v>45712</v>
      </c>
      <c r="B604" s="17" t="inlineStr">
        <is>
          <t>MH2502-24</t>
        </is>
      </c>
      <c r="C604" s="16" t="n">
        <v>45712</v>
      </c>
      <c r="D604" s="18" t="inlineStr">
        <is>
          <t>288</t>
        </is>
      </c>
      <c r="E604" s="16" t="n">
        <v>45712</v>
      </c>
      <c r="F604" s="16" t="inlineStr">
        <is>
          <t>XK2502-25</t>
        </is>
      </c>
      <c r="G604" s="16" t="n">
        <v>45712</v>
      </c>
      <c r="H604" s="17" t="inlineStr">
        <is>
          <t>CÔNG TY TNHH KỸ THUẬT VÀ THƯƠNG MẠI B.F.C</t>
        </is>
      </c>
      <c r="I604" s="18" t="inlineStr">
        <is>
          <t>Vít B2stek 12-14x30 HWFS</t>
        </is>
      </c>
      <c r="J604" s="18" t="inlineStr">
        <is>
          <t>Bộ</t>
        </is>
      </c>
      <c r="K604" s="19" t="n">
        <v>695</v>
      </c>
      <c r="L604" s="21" t="n"/>
      <c r="M604" s="22" t="n"/>
      <c r="N604" s="22" t="n">
        <v>5355</v>
      </c>
      <c r="O604" s="22" t="n">
        <v>3721725</v>
      </c>
      <c r="P604" s="22" t="n">
        <v>5355</v>
      </c>
      <c r="Q604" s="22" t="n">
        <v>3721725</v>
      </c>
      <c r="R604" s="42">
        <f>+L604+N604-P604</f>
        <v/>
      </c>
      <c r="S604" s="42">
        <f>+M604+O604-Q604</f>
        <v/>
      </c>
    </row>
    <row r="605" ht="30" customHeight="1">
      <c r="A605" s="16" t="n">
        <v>45712</v>
      </c>
      <c r="B605" s="17" t="inlineStr">
        <is>
          <t>MH2502-24</t>
        </is>
      </c>
      <c r="C605" s="16" t="n">
        <v>45712</v>
      </c>
      <c r="D605" s="18" t="inlineStr">
        <is>
          <t>288</t>
        </is>
      </c>
      <c r="E605" s="16" t="n">
        <v>45712</v>
      </c>
      <c r="F605" s="16" t="inlineStr">
        <is>
          <t>XK2502-25</t>
        </is>
      </c>
      <c r="G605" s="16" t="n">
        <v>45712</v>
      </c>
      <c r="H605" s="17" t="inlineStr">
        <is>
          <t>CÔNG TY TNHH KỸ THUẬT VÀ THƯƠNG MẠI B.F.C</t>
        </is>
      </c>
      <c r="I605" s="18" t="inlineStr">
        <is>
          <t>Vít B2stek 12-14x55 HWB</t>
        </is>
      </c>
      <c r="J605" s="18" t="inlineStr">
        <is>
          <t>Bộ</t>
        </is>
      </c>
      <c r="K605" s="19" t="n">
        <v>1376</v>
      </c>
      <c r="L605" s="21" t="n"/>
      <c r="M605" s="22" t="n"/>
      <c r="N605" s="22" t="n">
        <v>12023</v>
      </c>
      <c r="O605" s="22" t="n">
        <v>16543648</v>
      </c>
      <c r="P605" s="22" t="n">
        <v>12023</v>
      </c>
      <c r="Q605" s="22" t="n">
        <v>16543648</v>
      </c>
      <c r="R605" s="42">
        <f>+L605+N605-P605</f>
        <v/>
      </c>
      <c r="S605" s="42">
        <f>+M605+O605-Q605</f>
        <v/>
      </c>
    </row>
    <row r="606" ht="30" customHeight="1">
      <c r="A606" s="16" t="n">
        <v>45712</v>
      </c>
      <c r="B606" s="17" t="inlineStr">
        <is>
          <t>MH2502-24</t>
        </is>
      </c>
      <c r="C606" s="16" t="n">
        <v>45712</v>
      </c>
      <c r="D606" s="18" t="inlineStr">
        <is>
          <t>288</t>
        </is>
      </c>
      <c r="E606" s="16" t="n">
        <v>45712</v>
      </c>
      <c r="F606" s="16" t="inlineStr">
        <is>
          <t>XK2502-25</t>
        </is>
      </c>
      <c r="G606" s="16" t="n">
        <v>45712</v>
      </c>
      <c r="H606" s="17" t="inlineStr">
        <is>
          <t>CÔNG TY TNHH KỸ THUẬT VÀ THƯƠNG MẠI B.F.C</t>
        </is>
      </c>
      <c r="I606" s="18" t="inlineStr">
        <is>
          <t>Vít B3stek 12-24x32 HWFS</t>
        </is>
      </c>
      <c r="J606" s="18" t="inlineStr">
        <is>
          <t>Bộ</t>
        </is>
      </c>
      <c r="K606" s="19" t="n">
        <v>1350</v>
      </c>
      <c r="L606" s="21" t="n"/>
      <c r="M606" s="22" t="n"/>
      <c r="N606" s="22" t="n">
        <v>504</v>
      </c>
      <c r="O606" s="22" t="n">
        <v>680400</v>
      </c>
      <c r="P606" s="22" t="n">
        <v>504</v>
      </c>
      <c r="Q606" s="22" t="n">
        <v>680400</v>
      </c>
      <c r="R606" s="42">
        <f>+L606+N606-P606</f>
        <v/>
      </c>
      <c r="S606" s="42">
        <f>+M606+O606-Q606</f>
        <v/>
      </c>
    </row>
    <row r="607" ht="30" customHeight="1">
      <c r="A607" s="16" t="n">
        <v>45712</v>
      </c>
      <c r="B607" s="17" t="inlineStr">
        <is>
          <t>MH2502-24</t>
        </is>
      </c>
      <c r="C607" s="16" t="n">
        <v>45712</v>
      </c>
      <c r="D607" s="18" t="inlineStr">
        <is>
          <t>288</t>
        </is>
      </c>
      <c r="E607" s="16" t="n">
        <v>45712</v>
      </c>
      <c r="F607" s="16" t="inlineStr">
        <is>
          <t>XK2502-25</t>
        </is>
      </c>
      <c r="G607" s="16" t="n">
        <v>45712</v>
      </c>
      <c r="H607" s="17" t="inlineStr">
        <is>
          <t>CÔNG TY TNHH KỸ THUẬT VÀ THƯƠNG MẠI B.F.C</t>
        </is>
      </c>
      <c r="I607" s="18" t="inlineStr">
        <is>
          <t>Vít B2stek 10-24x22 WAF</t>
        </is>
      </c>
      <c r="J607" s="18" t="inlineStr">
        <is>
          <t>Bộ</t>
        </is>
      </c>
      <c r="K607" s="19" t="n">
        <v>295</v>
      </c>
      <c r="L607" s="21" t="n"/>
      <c r="M607" s="22" t="n"/>
      <c r="N607" s="22" t="n">
        <v>82425</v>
      </c>
      <c r="O607" s="22" t="n">
        <v>24315375</v>
      </c>
      <c r="P607" s="22" t="n">
        <v>82425</v>
      </c>
      <c r="Q607" s="22" t="n">
        <v>24315375</v>
      </c>
      <c r="R607" s="42">
        <f>+L607+N607-P607</f>
        <v/>
      </c>
      <c r="S607" s="42">
        <f>+M607+O607-Q607</f>
        <v/>
      </c>
    </row>
    <row r="608" ht="30" customHeight="1">
      <c r="A608" s="16" t="n">
        <v>45712</v>
      </c>
      <c r="B608" s="17" t="inlineStr">
        <is>
          <t>MH2502-24</t>
        </is>
      </c>
      <c r="C608" s="16" t="n">
        <v>45712</v>
      </c>
      <c r="D608" s="18" t="inlineStr">
        <is>
          <t>288</t>
        </is>
      </c>
      <c r="E608" s="16" t="n">
        <v>45712</v>
      </c>
      <c r="F608" s="16" t="inlineStr">
        <is>
          <t>XK2502-25</t>
        </is>
      </c>
      <c r="G608" s="16" t="n">
        <v>45712</v>
      </c>
      <c r="H608" s="17" t="inlineStr">
        <is>
          <t>CÔNG TY TNHH KỸ THUẬT VÀ THƯƠNG MẠI B.F.C</t>
        </is>
      </c>
      <c r="I608" s="18" t="inlineStr">
        <is>
          <t>Vít B2smtek 15-15x20 HWFS</t>
        </is>
      </c>
      <c r="J608" s="18" t="inlineStr">
        <is>
          <t>Bộ</t>
        </is>
      </c>
      <c r="K608" s="19" t="n">
        <v>670</v>
      </c>
      <c r="L608" s="21" t="n"/>
      <c r="M608" s="22" t="n"/>
      <c r="N608" s="22" t="n">
        <v>10619</v>
      </c>
      <c r="O608" s="22" t="n">
        <v>7114730</v>
      </c>
      <c r="P608" s="22" t="n">
        <v>10619</v>
      </c>
      <c r="Q608" s="22" t="n">
        <v>7114730</v>
      </c>
      <c r="R608" s="42">
        <f>+L608+N608-P608</f>
        <v/>
      </c>
      <c r="S608" s="42">
        <f>+M608+O608-Q608</f>
        <v/>
      </c>
    </row>
    <row r="609" ht="30" customHeight="1">
      <c r="A609" s="16" t="n">
        <v>45712</v>
      </c>
      <c r="B609" s="17" t="inlineStr">
        <is>
          <t>MH2502-24</t>
        </is>
      </c>
      <c r="C609" s="16" t="n">
        <v>45712</v>
      </c>
      <c r="D609" s="18" t="inlineStr">
        <is>
          <t>288</t>
        </is>
      </c>
      <c r="E609" s="16" t="n">
        <v>45712</v>
      </c>
      <c r="F609" s="16" t="inlineStr">
        <is>
          <t>XK2502-25</t>
        </is>
      </c>
      <c r="G609" s="16" t="n">
        <v>45712</v>
      </c>
      <c r="H609" s="17" t="inlineStr">
        <is>
          <t>CÔNG TY TNHH KỸ THUẬT VÀ THƯƠNG MẠI B.F.C</t>
        </is>
      </c>
      <c r="I609" s="18" t="inlineStr">
        <is>
          <t>Rive 4x 10</t>
        </is>
      </c>
      <c r="J609" s="18" t="inlineStr">
        <is>
          <t>Bộ</t>
        </is>
      </c>
      <c r="K609" s="19" t="n">
        <v>140</v>
      </c>
      <c r="L609" s="21" t="n"/>
      <c r="M609" s="22" t="n"/>
      <c r="N609" s="22" t="n">
        <v>12600</v>
      </c>
      <c r="O609" s="22" t="n">
        <v>1764000</v>
      </c>
      <c r="P609" s="22" t="n">
        <v>12600</v>
      </c>
      <c r="Q609" s="22" t="n">
        <v>1764000</v>
      </c>
      <c r="R609" s="42">
        <f>+L609+N609-P609</f>
        <v/>
      </c>
      <c r="S609" s="42">
        <f>+M609+O609-Q609</f>
        <v/>
      </c>
    </row>
    <row r="610" ht="30" customHeight="1">
      <c r="A610" s="16" t="n">
        <v>45712</v>
      </c>
      <c r="B610" s="17" t="inlineStr">
        <is>
          <t>MH2502-24</t>
        </is>
      </c>
      <c r="C610" s="16" t="n">
        <v>45712</v>
      </c>
      <c r="D610" s="18" t="inlineStr">
        <is>
          <t>288</t>
        </is>
      </c>
      <c r="E610" s="16" t="n">
        <v>45712</v>
      </c>
      <c r="F610" s="16" t="inlineStr">
        <is>
          <t>XK2502-25</t>
        </is>
      </c>
      <c r="G610" s="16" t="n">
        <v>45712</v>
      </c>
      <c r="H610" s="17" t="inlineStr">
        <is>
          <t>CÔNG TY TNHH KỸ THUẬT VÀ THƯƠNG MẠI B.F.C</t>
        </is>
      </c>
      <c r="I610" s="18" t="inlineStr">
        <is>
          <t>Keo cuộn Selant Tape IBF 6797</t>
        </is>
      </c>
      <c r="J610" s="18" t="inlineStr">
        <is>
          <t>Bộ</t>
        </is>
      </c>
      <c r="K610" s="19" t="n">
        <v>83000</v>
      </c>
      <c r="L610" s="21" t="n"/>
      <c r="M610" s="22" t="n"/>
      <c r="N610" s="22" t="n">
        <v>126</v>
      </c>
      <c r="O610" s="22" t="n">
        <v>10458000</v>
      </c>
      <c r="P610" s="22" t="n">
        <v>126</v>
      </c>
      <c r="Q610" s="22" t="n">
        <v>10458000</v>
      </c>
      <c r="R610" s="42">
        <f>+L610+N610-P610</f>
        <v/>
      </c>
      <c r="S610" s="42">
        <f>+M610+O610-Q610</f>
        <v/>
      </c>
    </row>
    <row r="611" ht="30" customHeight="1">
      <c r="A611" s="16" t="n">
        <v>45712</v>
      </c>
      <c r="B611" s="17" t="inlineStr">
        <is>
          <t>MH2502-24</t>
        </is>
      </c>
      <c r="C611" s="16" t="n">
        <v>45712</v>
      </c>
      <c r="D611" s="18" t="inlineStr">
        <is>
          <t>288</t>
        </is>
      </c>
      <c r="E611" s="16" t="n">
        <v>45712</v>
      </c>
      <c r="F611" s="16" t="inlineStr">
        <is>
          <t>XK2502-25</t>
        </is>
      </c>
      <c r="G611" s="16" t="n">
        <v>45712</v>
      </c>
      <c r="H611" s="17" t="inlineStr">
        <is>
          <t>CÔNG TY TNHH KỸ THUẬT VÀ THƯƠNG MẠI B.F.C</t>
        </is>
      </c>
      <c r="I611" s="18" t="inlineStr">
        <is>
          <t>Keo Silicon Sealant NNH T</t>
        </is>
      </c>
      <c r="J611" s="18" t="inlineStr">
        <is>
          <t>Bộ</t>
        </is>
      </c>
      <c r="K611" s="19" t="n">
        <v>63000</v>
      </c>
      <c r="L611" s="21" t="n"/>
      <c r="M611" s="22" t="n"/>
      <c r="N611" s="22" t="n">
        <v>613</v>
      </c>
      <c r="O611" s="22" t="n">
        <v>38619000</v>
      </c>
      <c r="P611" s="22" t="n">
        <v>613</v>
      </c>
      <c r="Q611" s="22" t="n">
        <v>38619000</v>
      </c>
      <c r="R611" s="42">
        <f>+L611+N611-P611</f>
        <v/>
      </c>
      <c r="S611" s="42">
        <f>+M611+O611-Q611</f>
        <v/>
      </c>
    </row>
    <row r="612" ht="30" customHeight="1">
      <c r="A612" s="16" t="n">
        <v>45712</v>
      </c>
      <c r="B612" s="17" t="inlineStr">
        <is>
          <t>MH2502-24</t>
        </is>
      </c>
      <c r="C612" s="16" t="n">
        <v>45712</v>
      </c>
      <c r="D612" s="18" t="inlineStr">
        <is>
          <t>288</t>
        </is>
      </c>
      <c r="E612" s="16" t="n">
        <v>45712</v>
      </c>
      <c r="F612" s="16" t="inlineStr">
        <is>
          <t>XK2502-25</t>
        </is>
      </c>
      <c r="G612" s="16" t="n">
        <v>45712</v>
      </c>
      <c r="H612" s="17" t="inlineStr">
        <is>
          <t>CÔNG TY TNHH KỸ THUẬT VÀ THƯƠNG MẠI B.F.C</t>
        </is>
      </c>
      <c r="I612" s="18" t="inlineStr">
        <is>
          <t>Vít B2stek17 12-11x50 HGS</t>
        </is>
      </c>
      <c r="J612" s="18" t="inlineStr">
        <is>
          <t>Bộ</t>
        </is>
      </c>
      <c r="K612" s="19" t="n">
        <v>950</v>
      </c>
      <c r="L612" s="21" t="n"/>
      <c r="M612" s="22" t="n"/>
      <c r="N612" s="22" t="n">
        <v>4605</v>
      </c>
      <c r="O612" s="22" t="n">
        <v>4374750</v>
      </c>
      <c r="P612" s="22" t="n">
        <v>4605</v>
      </c>
      <c r="Q612" s="22" t="n">
        <v>4374750</v>
      </c>
      <c r="R612" s="42">
        <f>+L612+N612-P612</f>
        <v/>
      </c>
      <c r="S612" s="42">
        <f>+M612+O612-Q612</f>
        <v/>
      </c>
    </row>
    <row r="613" ht="30" customHeight="1">
      <c r="A613" s="16" t="n">
        <v>45712</v>
      </c>
      <c r="B613" s="17" t="inlineStr">
        <is>
          <t>MH2502-24</t>
        </is>
      </c>
      <c r="C613" s="16" t="n">
        <v>45712</v>
      </c>
      <c r="D613" s="18" t="inlineStr">
        <is>
          <t>288</t>
        </is>
      </c>
      <c r="E613" s="16" t="n">
        <v>45712</v>
      </c>
      <c r="F613" s="16" t="inlineStr">
        <is>
          <t>XK2502-25</t>
        </is>
      </c>
      <c r="G613" s="16" t="n">
        <v>45712</v>
      </c>
      <c r="H613" s="17" t="inlineStr">
        <is>
          <t>CÔNG TY TNHH KỸ THUẬT VÀ THƯƠNG MẠI B.F.C</t>
        </is>
      </c>
      <c r="I613" s="18" t="inlineStr">
        <is>
          <t>Tắc kê 10x50</t>
        </is>
      </c>
      <c r="J613" s="18" t="inlineStr">
        <is>
          <t>Bộ</t>
        </is>
      </c>
      <c r="K613" s="19" t="n">
        <v>498</v>
      </c>
      <c r="L613" s="21" t="n"/>
      <c r="M613" s="22" t="n"/>
      <c r="N613" s="22" t="n">
        <v>4620</v>
      </c>
      <c r="O613" s="22" t="n">
        <v>2300760</v>
      </c>
      <c r="P613" s="22" t="n">
        <v>4620</v>
      </c>
      <c r="Q613" s="22" t="n">
        <v>2300760</v>
      </c>
      <c r="R613" s="42">
        <f>+L613+N613-P613</f>
        <v/>
      </c>
      <c r="S613" s="42">
        <f>+M613+O613-Q613</f>
        <v/>
      </c>
    </row>
    <row r="614" ht="30" customHeight="1">
      <c r="A614" s="16" t="n">
        <v>45712</v>
      </c>
      <c r="B614" s="17" t="inlineStr">
        <is>
          <t>MH2502-24</t>
        </is>
      </c>
      <c r="C614" s="16" t="n">
        <v>45712</v>
      </c>
      <c r="D614" s="18" t="inlineStr">
        <is>
          <t>289</t>
        </is>
      </c>
      <c r="E614" s="16" t="n">
        <v>45712</v>
      </c>
      <c r="F614" s="16" t="inlineStr">
        <is>
          <t>XK2502-26</t>
        </is>
      </c>
      <c r="G614" s="16" t="n">
        <v>45712</v>
      </c>
      <c r="H614" s="17" t="inlineStr">
        <is>
          <t>CÔNG TY TNHH KỸ THUẬT VÀ THƯƠNG MẠI B.F.C</t>
        </is>
      </c>
      <c r="I614" s="18" t="inlineStr">
        <is>
          <t>Rive 4x 10</t>
        </is>
      </c>
      <c r="J614" s="18" t="inlineStr">
        <is>
          <t>Bộ</t>
        </is>
      </c>
      <c r="K614" s="19" t="n">
        <v>140</v>
      </c>
      <c r="L614" s="21" t="n"/>
      <c r="M614" s="22" t="n"/>
      <c r="N614" s="22" t="n">
        <v>3000</v>
      </c>
      <c r="O614" s="22" t="n">
        <v>420000</v>
      </c>
      <c r="P614" s="22" t="n">
        <v>3000</v>
      </c>
      <c r="Q614" s="22" t="n">
        <v>420000</v>
      </c>
      <c r="R614" s="42">
        <f>+L614+N614-P614</f>
        <v/>
      </c>
      <c r="S614" s="42">
        <f>+M614+O614-Q614</f>
        <v/>
      </c>
    </row>
    <row r="615" ht="15" customHeight="1">
      <c r="A615" s="16" t="n">
        <v>45712</v>
      </c>
      <c r="B615" s="17" t="inlineStr">
        <is>
          <t>MH2502-25</t>
        </is>
      </c>
      <c r="C615" s="16" t="n">
        <v>45712</v>
      </c>
      <c r="D615" s="18" t="inlineStr">
        <is>
          <t>00000477</t>
        </is>
      </c>
      <c r="E615" s="16" t="n">
        <v>45712</v>
      </c>
      <c r="F615" s="16" t="inlineStr">
        <is>
          <t>XK2502-27</t>
        </is>
      </c>
      <c r="G615" s="16" t="n">
        <v>45712</v>
      </c>
      <c r="H615" s="17" t="inlineStr">
        <is>
          <t>CÔNG TY TNHH TÂN MỸ HẠNH</t>
        </is>
      </c>
      <c r="I615" s="18" t="inlineStr">
        <is>
          <t>Thép dày mạ kẽm</t>
        </is>
      </c>
      <c r="J615" s="18" t="inlineStr">
        <is>
          <t>kg</t>
        </is>
      </c>
      <c r="K615" s="19" t="n">
        <v>22696</v>
      </c>
      <c r="L615" s="21" t="n"/>
      <c r="M615" s="22" t="n"/>
      <c r="N615" s="22" t="n">
        <v>5093.2111</v>
      </c>
      <c r="O615" s="22" t="n">
        <v>115595519</v>
      </c>
      <c r="P615" s="22" t="n">
        <v>5093.2111</v>
      </c>
      <c r="Q615" s="22" t="n">
        <v>115595519</v>
      </c>
      <c r="R615" s="42">
        <f>+L615+N615-P615</f>
        <v/>
      </c>
      <c r="S615" s="42">
        <f>+M615+O615-Q615</f>
        <v/>
      </c>
    </row>
    <row r="616" ht="15" customHeight="1">
      <c r="A616" s="16" t="n">
        <v>45712</v>
      </c>
      <c r="B616" s="17" t="inlineStr">
        <is>
          <t>MH2502-25</t>
        </is>
      </c>
      <c r="C616" s="16" t="n">
        <v>45712</v>
      </c>
      <c r="D616" s="18" t="inlineStr">
        <is>
          <t>00000477</t>
        </is>
      </c>
      <c r="E616" s="16" t="n">
        <v>45712</v>
      </c>
      <c r="F616" s="16" t="inlineStr">
        <is>
          <t>XK2502-27</t>
        </is>
      </c>
      <c r="G616" s="16" t="n">
        <v>45712</v>
      </c>
      <c r="H616" s="17" t="inlineStr">
        <is>
          <t>CÔNG TY TNHH TÂN MỸ HẠNH</t>
        </is>
      </c>
      <c r="I616" s="18" t="inlineStr">
        <is>
          <t>Xà gồ kẽm C</t>
        </is>
      </c>
      <c r="J616" s="18" t="inlineStr">
        <is>
          <t>kg</t>
        </is>
      </c>
      <c r="K616" s="19" t="n">
        <v>18971</v>
      </c>
      <c r="L616" s="21" t="n"/>
      <c r="M616" s="22" t="n"/>
      <c r="N616" s="22" t="n">
        <v>428.42</v>
      </c>
      <c r="O616" s="22" t="n">
        <v>8127556</v>
      </c>
      <c r="P616" s="22" t="n">
        <v>428.42</v>
      </c>
      <c r="Q616" s="22" t="n">
        <v>8127556</v>
      </c>
      <c r="R616" s="42">
        <f>+L616+N616-P616</f>
        <v/>
      </c>
      <c r="S616" s="42">
        <f>+M616+O616-Q616</f>
        <v/>
      </c>
    </row>
    <row r="617" ht="15" customHeight="1">
      <c r="A617" s="16" t="n">
        <v>45712</v>
      </c>
      <c r="B617" s="17" t="inlineStr">
        <is>
          <t>MH2502-25</t>
        </is>
      </c>
      <c r="C617" s="16" t="n">
        <v>45712</v>
      </c>
      <c r="D617" s="18" t="inlineStr">
        <is>
          <t>00000477</t>
        </is>
      </c>
      <c r="E617" s="16" t="n">
        <v>45712</v>
      </c>
      <c r="F617" s="16" t="inlineStr">
        <is>
          <t>XK2502-27</t>
        </is>
      </c>
      <c r="G617" s="16" t="n">
        <v>45712</v>
      </c>
      <c r="H617" s="17" t="inlineStr">
        <is>
          <t>CÔNG TY TNHH TÂN MỸ HẠNH</t>
        </is>
      </c>
      <c r="I617" s="18" t="inlineStr">
        <is>
          <t>Xà gồ kẽm Z</t>
        </is>
      </c>
      <c r="J617" s="18" t="inlineStr">
        <is>
          <t>kg</t>
        </is>
      </c>
      <c r="K617" s="19" t="n">
        <v>18976</v>
      </c>
      <c r="L617" s="21" t="n"/>
      <c r="M617" s="22" t="n"/>
      <c r="N617" s="22" t="n">
        <v>33500.23</v>
      </c>
      <c r="O617" s="22" t="n">
        <v>635700364</v>
      </c>
      <c r="P617" s="22" t="n">
        <v>33500.23</v>
      </c>
      <c r="Q617" s="22" t="n">
        <v>635700364</v>
      </c>
      <c r="R617" s="42">
        <f>+L617+N617-P617</f>
        <v/>
      </c>
      <c r="S617" s="42">
        <f>+M617+O617-Q617</f>
        <v/>
      </c>
    </row>
    <row r="618" ht="30" customHeight="1">
      <c r="A618" s="16" t="n">
        <v>45713</v>
      </c>
      <c r="B618" s="17" t="inlineStr">
        <is>
          <t>MH2502-26</t>
        </is>
      </c>
      <c r="C618" s="16" t="n">
        <v>45713</v>
      </c>
      <c r="D618" s="18" t="inlineStr">
        <is>
          <t>60</t>
        </is>
      </c>
      <c r="E618" s="16" t="n">
        <v>45713</v>
      </c>
      <c r="F618" s="16" t="inlineStr">
        <is>
          <t>XK2502-28</t>
        </is>
      </c>
      <c r="G618" s="16" t="n">
        <v>45713</v>
      </c>
      <c r="H618" s="17" t="inlineStr">
        <is>
          <t>CÔNG TY TNHH THƯƠNG MẠI DỊCH VỤ LONG TRUNG PHÁT</t>
        </is>
      </c>
      <c r="I618" s="18" t="inlineStr">
        <is>
          <t>Lưới inox</t>
        </is>
      </c>
      <c r="J618" s="18" t="inlineStr">
        <is>
          <t>cuộn</t>
        </is>
      </c>
      <c r="K618" s="19" t="n">
        <v>3300000</v>
      </c>
      <c r="L618" s="21" t="n"/>
      <c r="M618" s="22" t="n"/>
      <c r="N618" s="22" t="n">
        <v>14</v>
      </c>
      <c r="O618" s="22" t="n">
        <v>46200000</v>
      </c>
      <c r="P618" s="22" t="n">
        <v>14</v>
      </c>
      <c r="Q618" s="22" t="n">
        <v>46200000</v>
      </c>
      <c r="R618" s="42">
        <f>+L618+N618-P618</f>
        <v/>
      </c>
      <c r="S618" s="42">
        <f>+M618+O618-Q618</f>
        <v/>
      </c>
    </row>
    <row r="619" ht="15" customHeight="1">
      <c r="A619" s="16" t="n">
        <v>45713</v>
      </c>
      <c r="B619" s="17" t="inlineStr">
        <is>
          <t>MH2502-27</t>
        </is>
      </c>
      <c r="C619" s="16" t="n">
        <v>45713</v>
      </c>
      <c r="D619" s="18" t="inlineStr">
        <is>
          <t>00001686</t>
        </is>
      </c>
      <c r="E619" s="16" t="n">
        <v>45713</v>
      </c>
      <c r="F619" s="16" t="inlineStr">
        <is>
          <t>XK2502-29</t>
        </is>
      </c>
      <c r="G619" s="16" t="n">
        <v>45713</v>
      </c>
      <c r="H619" s="17" t="inlineStr">
        <is>
          <t>CÔNG TY TNHH SƠN JOTUN VIỆT NAM</t>
        </is>
      </c>
      <c r="I619" s="18" t="inlineStr">
        <is>
          <t>SƠN JOTAMASTIC 70 RED 18L</t>
        </is>
      </c>
      <c r="J619" s="18" t="inlineStr">
        <is>
          <t>Lít</t>
        </is>
      </c>
      <c r="K619" s="19" t="n">
        <v>90000</v>
      </c>
      <c r="L619" s="21" t="n"/>
      <c r="M619" s="22" t="n"/>
      <c r="N619" s="22" t="n">
        <v>594</v>
      </c>
      <c r="O619" s="22" t="n">
        <v>53460000</v>
      </c>
      <c r="P619" s="22" t="n">
        <v>594</v>
      </c>
      <c r="Q619" s="22" t="n">
        <v>53460000</v>
      </c>
      <c r="R619" s="42">
        <f>+L619+N619-P619</f>
        <v/>
      </c>
      <c r="S619" s="42">
        <f>+M619+O619-Q619</f>
        <v/>
      </c>
    </row>
    <row r="620" ht="15" customHeight="1">
      <c r="A620" s="16" t="n">
        <v>45713</v>
      </c>
      <c r="B620" s="17" t="inlineStr">
        <is>
          <t>MH2502-27</t>
        </is>
      </c>
      <c r="C620" s="16" t="n">
        <v>45713</v>
      </c>
      <c r="D620" s="18" t="inlineStr">
        <is>
          <t>00001686</t>
        </is>
      </c>
      <c r="E620" s="16" t="n">
        <v>45713</v>
      </c>
      <c r="F620" s="16" t="inlineStr">
        <is>
          <t>XK2502-29</t>
        </is>
      </c>
      <c r="G620" s="16" t="n">
        <v>45713</v>
      </c>
      <c r="H620" s="17" t="inlineStr">
        <is>
          <t>CÔNG TY TNHH SƠN JOTUN VIỆT NAM</t>
        </is>
      </c>
      <c r="I620" s="18" t="inlineStr">
        <is>
          <t>DUNG MÔI JOTUN THINNER NO. 17 20L</t>
        </is>
      </c>
      <c r="J620" s="18" t="inlineStr">
        <is>
          <t>Lít</t>
        </is>
      </c>
      <c r="K620" s="19" t="n">
        <v>60000</v>
      </c>
      <c r="L620" s="21" t="n"/>
      <c r="M620" s="22" t="n"/>
      <c r="N620" s="22" t="n">
        <v>200</v>
      </c>
      <c r="O620" s="22" t="n">
        <v>12000000</v>
      </c>
      <c r="P620" s="22" t="n">
        <v>200</v>
      </c>
      <c r="Q620" s="22" t="n">
        <v>12000000</v>
      </c>
      <c r="R620" s="42">
        <f>+L620+N620-P620</f>
        <v/>
      </c>
      <c r="S620" s="42">
        <f>+M620+O620-Q620</f>
        <v/>
      </c>
    </row>
    <row r="621" ht="30" customHeight="1">
      <c r="A621" s="16" t="n">
        <v>45714</v>
      </c>
      <c r="B621" s="17" t="inlineStr">
        <is>
          <t>MH2502-30</t>
        </is>
      </c>
      <c r="C621" s="16" t="n">
        <v>45714</v>
      </c>
      <c r="D621" s="18" t="inlineStr">
        <is>
          <t>00000204</t>
        </is>
      </c>
      <c r="E621" s="16" t="n">
        <v>45714</v>
      </c>
      <c r="F621" s="16" t="inlineStr">
        <is>
          <t>XK2502-30</t>
        </is>
      </c>
      <c r="G621" s="16" t="n">
        <v>45714</v>
      </c>
      <c r="H621" s="17" t="inlineStr">
        <is>
          <t>CÔNG TY TNHH DỊCH VỤ - THƯƠNG MẠI THÉP THIÊN LONG</t>
        </is>
      </c>
      <c r="I621" s="18" t="inlineStr">
        <is>
          <t>Thép tấm 8ly</t>
        </is>
      </c>
      <c r="J621" s="18" t="inlineStr">
        <is>
          <t>kg</t>
        </is>
      </c>
      <c r="K621" s="19" t="n">
        <v>14090.9</v>
      </c>
      <c r="L621" s="21" t="n"/>
      <c r="M621" s="22" t="n"/>
      <c r="N621" s="22" t="n">
        <v>63302</v>
      </c>
      <c r="O621" s="22" t="n">
        <v>891982152</v>
      </c>
      <c r="P621" s="22" t="n">
        <v>63302</v>
      </c>
      <c r="Q621" s="22" t="n">
        <v>891982152</v>
      </c>
      <c r="R621" s="42">
        <f>+L621+N621-P621</f>
        <v/>
      </c>
      <c r="S621" s="42">
        <f>+M621+O621-Q621</f>
        <v/>
      </c>
    </row>
    <row r="622" ht="30" customHeight="1">
      <c r="A622" s="16" t="n">
        <v>45714</v>
      </c>
      <c r="B622" s="17" t="inlineStr">
        <is>
          <t>MH2502-30</t>
        </is>
      </c>
      <c r="C622" s="16" t="n">
        <v>45714</v>
      </c>
      <c r="D622" s="18" t="inlineStr">
        <is>
          <t>00000204</t>
        </is>
      </c>
      <c r="E622" s="16" t="n">
        <v>45714</v>
      </c>
      <c r="F622" s="16" t="inlineStr">
        <is>
          <t>XK2502-30</t>
        </is>
      </c>
      <c r="G622" s="16" t="n">
        <v>45714</v>
      </c>
      <c r="H622" s="17" t="inlineStr">
        <is>
          <t>CÔNG TY TNHH DỊCH VỤ - THƯƠNG MẠI THÉP THIÊN LONG</t>
        </is>
      </c>
      <c r="I622" s="18" t="inlineStr">
        <is>
          <t>Thép tấm 20ly</t>
        </is>
      </c>
      <c r="J622" s="18" t="inlineStr">
        <is>
          <t>kg</t>
        </is>
      </c>
      <c r="K622" s="19" t="n">
        <v>14909.09</v>
      </c>
      <c r="L622" s="21" t="n"/>
      <c r="M622" s="22" t="n"/>
      <c r="N622" s="22" t="n">
        <v>9891</v>
      </c>
      <c r="O622" s="22" t="n">
        <v>147465809</v>
      </c>
      <c r="P622" s="22" t="n">
        <v>9891</v>
      </c>
      <c r="Q622" s="22" t="n">
        <v>147465809</v>
      </c>
      <c r="R622" s="42">
        <f>+L622+N622-P622</f>
        <v/>
      </c>
      <c r="S622" s="42">
        <f>+M622+O622-Q622</f>
        <v/>
      </c>
    </row>
    <row r="623" ht="30" customHeight="1">
      <c r="A623" s="16" t="n">
        <v>45714</v>
      </c>
      <c r="B623" s="17" t="inlineStr">
        <is>
          <t>MH2502-30</t>
        </is>
      </c>
      <c r="C623" s="16" t="n">
        <v>45714</v>
      </c>
      <c r="D623" s="18" t="inlineStr">
        <is>
          <t>00000204</t>
        </is>
      </c>
      <c r="E623" s="16" t="n">
        <v>45714</v>
      </c>
      <c r="F623" s="16" t="inlineStr">
        <is>
          <t>XK2502-30</t>
        </is>
      </c>
      <c r="G623" s="16" t="n">
        <v>45714</v>
      </c>
      <c r="H623" s="17" t="inlineStr">
        <is>
          <t>CÔNG TY TNHH DỊCH VỤ - THƯƠNG MẠI THÉP THIÊN LONG</t>
        </is>
      </c>
      <c r="I623" s="18" t="inlineStr">
        <is>
          <t>Thép tấm 5ly</t>
        </is>
      </c>
      <c r="J623" s="18" t="inlineStr">
        <is>
          <t>kg</t>
        </is>
      </c>
      <c r="K623" s="19" t="n">
        <v>14090.9</v>
      </c>
      <c r="L623" s="21" t="n"/>
      <c r="M623" s="22" t="n"/>
      <c r="N623" s="22" t="n">
        <v>9420</v>
      </c>
      <c r="O623" s="22" t="n">
        <v>132736278</v>
      </c>
      <c r="P623" s="22" t="n">
        <v>9420</v>
      </c>
      <c r="Q623" s="22" t="n">
        <v>132736278</v>
      </c>
      <c r="R623" s="42">
        <f>+L623+N623-P623</f>
        <v/>
      </c>
      <c r="S623" s="42">
        <f>+M623+O623-Q623</f>
        <v/>
      </c>
    </row>
    <row r="624" ht="30" customHeight="1">
      <c r="A624" s="16" t="n">
        <v>45714</v>
      </c>
      <c r="B624" s="17" t="inlineStr">
        <is>
          <t>MH2502-30</t>
        </is>
      </c>
      <c r="C624" s="16" t="n">
        <v>45714</v>
      </c>
      <c r="D624" s="18" t="inlineStr">
        <is>
          <t>00000204</t>
        </is>
      </c>
      <c r="E624" s="16" t="n">
        <v>45714</v>
      </c>
      <c r="F624" s="16" t="inlineStr">
        <is>
          <t>XK2502-30</t>
        </is>
      </c>
      <c r="G624" s="16" t="n">
        <v>45714</v>
      </c>
      <c r="H624" s="17" t="inlineStr">
        <is>
          <t>CÔNG TY TNHH DỊCH VỤ - THƯƠNG MẠI THÉP THIÊN LONG</t>
        </is>
      </c>
      <c r="I624" s="18" t="inlineStr">
        <is>
          <t>Thép tấm 6ly</t>
        </is>
      </c>
      <c r="J624" s="18" t="inlineStr">
        <is>
          <t>kg</t>
        </is>
      </c>
      <c r="K624" s="19" t="n">
        <v>14090.9</v>
      </c>
      <c r="L624" s="21" t="n"/>
      <c r="M624" s="22" t="n"/>
      <c r="N624" s="22" t="n">
        <v>16956</v>
      </c>
      <c r="O624" s="22" t="n">
        <v>238925300</v>
      </c>
      <c r="P624" s="22" t="n">
        <v>16956</v>
      </c>
      <c r="Q624" s="22" t="n">
        <v>238925300</v>
      </c>
      <c r="R624" s="42">
        <f>+L624+N624-P624</f>
        <v/>
      </c>
      <c r="S624" s="42">
        <f>+M624+O624-Q624</f>
        <v/>
      </c>
    </row>
    <row r="625" ht="30" customHeight="1">
      <c r="A625" s="16" t="n">
        <v>45714</v>
      </c>
      <c r="B625" s="17" t="inlineStr">
        <is>
          <t>MH2502-30A</t>
        </is>
      </c>
      <c r="C625" s="16" t="n">
        <v>45714</v>
      </c>
      <c r="D625" s="18" t="inlineStr">
        <is>
          <t>00000205</t>
        </is>
      </c>
      <c r="E625" s="16" t="n">
        <v>45714</v>
      </c>
      <c r="F625" s="16" t="inlineStr">
        <is>
          <t>XK2502-31</t>
        </is>
      </c>
      <c r="G625" s="16" t="n">
        <v>45714</v>
      </c>
      <c r="H625" s="17" t="inlineStr">
        <is>
          <t>CÔNG TY TNHH DỊCH VỤ - THƯƠNG MẠI THÉP THIÊN LONG</t>
        </is>
      </c>
      <c r="I625" s="18" t="inlineStr">
        <is>
          <t>Thép hình U120</t>
        </is>
      </c>
      <c r="J625" s="18" t="inlineStr">
        <is>
          <t>kg</t>
        </is>
      </c>
      <c r="K625" s="19" t="n">
        <v>15727.27</v>
      </c>
      <c r="L625" s="21" t="n"/>
      <c r="M625" s="22" t="n"/>
      <c r="N625" s="22" t="n">
        <v>56</v>
      </c>
      <c r="O625" s="22" t="n">
        <v>880727</v>
      </c>
      <c r="P625" s="22" t="n">
        <v>56</v>
      </c>
      <c r="Q625" s="22" t="n">
        <v>880727</v>
      </c>
      <c r="R625" s="42">
        <f>+L625+N625-P625</f>
        <v/>
      </c>
      <c r="S625" s="42">
        <f>+M625+O625-Q625</f>
        <v/>
      </c>
    </row>
    <row r="626" ht="30" customHeight="1">
      <c r="A626" s="16" t="n">
        <v>45714</v>
      </c>
      <c r="B626" s="17" t="inlineStr">
        <is>
          <t>MH2502-30A</t>
        </is>
      </c>
      <c r="C626" s="16" t="n">
        <v>45714</v>
      </c>
      <c r="D626" s="18" t="inlineStr">
        <is>
          <t>00000205</t>
        </is>
      </c>
      <c r="E626" s="16" t="n">
        <v>45714</v>
      </c>
      <c r="F626" s="16" t="inlineStr">
        <is>
          <t>XK2502-31</t>
        </is>
      </c>
      <c r="G626" s="16" t="n">
        <v>45714</v>
      </c>
      <c r="H626" s="17" t="inlineStr">
        <is>
          <t>CÔNG TY TNHH DỊCH VỤ - THƯƠNG MẠI THÉP THIÊN LONG</t>
        </is>
      </c>
      <c r="I626" s="18" t="inlineStr">
        <is>
          <t>Thép góc V50</t>
        </is>
      </c>
      <c r="J626" s="18" t="inlineStr">
        <is>
          <t>kg</t>
        </is>
      </c>
      <c r="K626" s="19" t="n">
        <v>15181.81</v>
      </c>
      <c r="L626" s="21" t="n"/>
      <c r="M626" s="22" t="n"/>
      <c r="N626" s="22" t="n">
        <v>92</v>
      </c>
      <c r="O626" s="22" t="n">
        <v>1396727</v>
      </c>
      <c r="P626" s="22" t="n">
        <v>92</v>
      </c>
      <c r="Q626" s="22" t="n">
        <v>1396727</v>
      </c>
      <c r="R626" s="42">
        <f>+L626+N626-P626</f>
        <v/>
      </c>
      <c r="S626" s="42">
        <f>+M626+O626-Q626</f>
        <v/>
      </c>
    </row>
    <row r="627" ht="30" customHeight="1">
      <c r="A627" s="16" t="n">
        <v>45714</v>
      </c>
      <c r="B627" s="17" t="inlineStr">
        <is>
          <t>MH2502-30A</t>
        </is>
      </c>
      <c r="C627" s="16" t="n">
        <v>45714</v>
      </c>
      <c r="D627" s="18" t="inlineStr">
        <is>
          <t>00000205</t>
        </is>
      </c>
      <c r="E627" s="16" t="n">
        <v>45714</v>
      </c>
      <c r="F627" s="16" t="inlineStr">
        <is>
          <t>XK2502-31</t>
        </is>
      </c>
      <c r="G627" s="16" t="n">
        <v>45714</v>
      </c>
      <c r="H627" s="17" t="inlineStr">
        <is>
          <t>CÔNG TY TNHH DỊCH VỤ - THƯƠNG MẠI THÉP THIÊN LONG</t>
        </is>
      </c>
      <c r="I627" s="18" t="inlineStr">
        <is>
          <t>Thép góc V63</t>
        </is>
      </c>
      <c r="J627" s="18" t="inlineStr">
        <is>
          <t>kg</t>
        </is>
      </c>
      <c r="K627" s="19" t="n">
        <v>15181.81</v>
      </c>
      <c r="L627" s="21" t="n"/>
      <c r="M627" s="22" t="n"/>
      <c r="N627" s="22" t="n">
        <v>16800</v>
      </c>
      <c r="O627" s="22" t="n">
        <v>255054408</v>
      </c>
      <c r="P627" s="22" t="n">
        <v>16800</v>
      </c>
      <c r="Q627" s="22" t="n">
        <v>255054408</v>
      </c>
      <c r="R627" s="42">
        <f>+L627+N627-P627</f>
        <v/>
      </c>
      <c r="S627" s="42">
        <f>+M627+O627-Q627</f>
        <v/>
      </c>
    </row>
    <row r="628" ht="30" customHeight="1">
      <c r="A628" s="16" t="n">
        <v>45714</v>
      </c>
      <c r="B628" s="17" t="inlineStr">
        <is>
          <t>MH2502-30A</t>
        </is>
      </c>
      <c r="C628" s="16" t="n">
        <v>45714</v>
      </c>
      <c r="D628" s="18" t="inlineStr">
        <is>
          <t>00000205</t>
        </is>
      </c>
      <c r="E628" s="16" t="n">
        <v>45714</v>
      </c>
      <c r="F628" s="16" t="inlineStr">
        <is>
          <t>XK2502-31</t>
        </is>
      </c>
      <c r="G628" s="16" t="n">
        <v>45714</v>
      </c>
      <c r="H628" s="17" t="inlineStr">
        <is>
          <t>CÔNG TY TNHH DỊCH VỤ - THƯƠNG MẠI THÉP THIÊN LONG</t>
        </is>
      </c>
      <c r="I628" s="18" t="inlineStr">
        <is>
          <t>Thép góc V75</t>
        </is>
      </c>
      <c r="J628" s="18" t="inlineStr">
        <is>
          <t>kg</t>
        </is>
      </c>
      <c r="K628" s="19" t="n">
        <v>15272.72</v>
      </c>
      <c r="L628" s="21" t="n"/>
      <c r="M628" s="22" t="n"/>
      <c r="N628" s="22" t="n">
        <v>22755</v>
      </c>
      <c r="O628" s="22" t="n">
        <v>347530744</v>
      </c>
      <c r="P628" s="22" t="n">
        <v>22755</v>
      </c>
      <c r="Q628" s="22" t="n">
        <v>347530744</v>
      </c>
      <c r="R628" s="42">
        <f>+L628+N628-P628</f>
        <v/>
      </c>
      <c r="S628" s="42">
        <f>+M628+O628-Q628</f>
        <v/>
      </c>
    </row>
    <row r="629" ht="30" customHeight="1">
      <c r="A629" s="16" t="n">
        <v>45714</v>
      </c>
      <c r="B629" s="17" t="inlineStr">
        <is>
          <t>MH2502-30A</t>
        </is>
      </c>
      <c r="C629" s="16" t="n">
        <v>45714</v>
      </c>
      <c r="D629" s="18" t="inlineStr">
        <is>
          <t>00000205</t>
        </is>
      </c>
      <c r="E629" s="16" t="n">
        <v>45714</v>
      </c>
      <c r="F629" s="16" t="inlineStr">
        <is>
          <t>XK2502-31</t>
        </is>
      </c>
      <c r="G629" s="16" t="n">
        <v>45714</v>
      </c>
      <c r="H629" s="17" t="inlineStr">
        <is>
          <t>CÔNG TY TNHH DỊCH VỤ - THƯƠNG MẠI THÉP THIÊN LONG</t>
        </is>
      </c>
      <c r="I629" s="18" t="inlineStr">
        <is>
          <t>Thép hình I150</t>
        </is>
      </c>
      <c r="J629" s="18" t="inlineStr">
        <is>
          <t>kg</t>
        </is>
      </c>
      <c r="K629" s="19" t="n">
        <v>16727.27</v>
      </c>
      <c r="L629" s="21" t="n"/>
      <c r="M629" s="22" t="n"/>
      <c r="N629" s="22" t="n">
        <v>2016</v>
      </c>
      <c r="O629" s="22" t="n">
        <v>33722176</v>
      </c>
      <c r="P629" s="22" t="n">
        <v>2016</v>
      </c>
      <c r="Q629" s="22" t="n">
        <v>33722176</v>
      </c>
      <c r="R629" s="42">
        <f>+L629+N629-P629</f>
        <v/>
      </c>
      <c r="S629" s="42">
        <f>+M629+O629-Q629</f>
        <v/>
      </c>
    </row>
    <row r="630" ht="15" customHeight="1">
      <c r="A630" s="16" t="n">
        <v>45715</v>
      </c>
      <c r="B630" s="17" t="inlineStr">
        <is>
          <t>MH2502-31</t>
        </is>
      </c>
      <c r="C630" s="16" t="n">
        <v>45715</v>
      </c>
      <c r="D630" s="18" t="inlineStr">
        <is>
          <t>00000233</t>
        </is>
      </c>
      <c r="E630" s="16" t="n">
        <v>45715</v>
      </c>
      <c r="F630" s="16" t="inlineStr">
        <is>
          <t>XK2502-32</t>
        </is>
      </c>
      <c r="G630" s="16" t="n">
        <v>45715</v>
      </c>
      <c r="H630" s="17" t="inlineStr">
        <is>
          <t>CÔNG TY TNHH BUTRACO VIỆT NAM</t>
        </is>
      </c>
      <c r="I630" s="18" t="inlineStr">
        <is>
          <t>Cóc kẹp thép mạ kẽm dày 3.0mm</t>
        </is>
      </c>
      <c r="J630" s="18" t="inlineStr">
        <is>
          <t>Bộ</t>
        </is>
      </c>
      <c r="K630" s="19" t="n">
        <v>7500</v>
      </c>
      <c r="L630" s="21" t="n"/>
      <c r="M630" s="22" t="n"/>
      <c r="N630" s="22" t="n">
        <v>1204</v>
      </c>
      <c r="O630" s="22" t="n">
        <v>9030000</v>
      </c>
      <c r="P630" s="22" t="n">
        <v>1204</v>
      </c>
      <c r="Q630" s="22" t="n">
        <v>9030000</v>
      </c>
      <c r="R630" s="42">
        <f>+L630+N630-P630</f>
        <v/>
      </c>
      <c r="S630" s="42">
        <f>+M630+O630-Q630</f>
        <v/>
      </c>
    </row>
    <row r="631" ht="15" customHeight="1">
      <c r="A631" s="16" t="n">
        <v>45715</v>
      </c>
      <c r="B631" s="17" t="inlineStr">
        <is>
          <t>MH2502-31</t>
        </is>
      </c>
      <c r="C631" s="16" t="n">
        <v>45715</v>
      </c>
      <c r="D631" s="18" t="inlineStr">
        <is>
          <t>00000233</t>
        </is>
      </c>
      <c r="E631" s="16" t="n">
        <v>45715</v>
      </c>
      <c r="F631" s="16" t="inlineStr">
        <is>
          <t>XK2502-32</t>
        </is>
      </c>
      <c r="G631" s="16" t="n">
        <v>45715</v>
      </c>
      <c r="H631" s="17" t="inlineStr">
        <is>
          <t>CÔNG TY TNHH BUTRACO VIỆT NAM</t>
        </is>
      </c>
      <c r="I631" s="18" t="inlineStr">
        <is>
          <t>Đai kẹp Seamlock H62</t>
        </is>
      </c>
      <c r="J631" s="18" t="inlineStr">
        <is>
          <t>Bộ</t>
        </is>
      </c>
      <c r="K631" s="19" t="n">
        <v>4379</v>
      </c>
      <c r="L631" s="21" t="n"/>
      <c r="M631" s="22" t="n"/>
      <c r="N631" s="22" t="n">
        <v>29250</v>
      </c>
      <c r="O631" s="22" t="n">
        <v>128085750</v>
      </c>
      <c r="P631" s="22" t="n">
        <v>29250</v>
      </c>
      <c r="Q631" s="22" t="n">
        <v>128085750</v>
      </c>
      <c r="R631" s="42">
        <f>+L631+N631-P631</f>
        <v/>
      </c>
      <c r="S631" s="42">
        <f>+M631+O631-Q631</f>
        <v/>
      </c>
    </row>
    <row r="632" ht="15" customHeight="1">
      <c r="A632" s="16" t="n">
        <v>45715</v>
      </c>
      <c r="B632" s="17" t="inlineStr">
        <is>
          <t>MH2502-32</t>
        </is>
      </c>
      <c r="C632" s="16" t="n">
        <v>45715</v>
      </c>
      <c r="D632" s="18" t="inlineStr">
        <is>
          <t>00001824</t>
        </is>
      </c>
      <c r="E632" s="16" t="n">
        <v>45715</v>
      </c>
      <c r="F632" s="16" t="inlineStr">
        <is>
          <t>XK2502-33</t>
        </is>
      </c>
      <c r="G632" s="16" t="n">
        <v>45715</v>
      </c>
      <c r="H632" s="17" t="inlineStr">
        <is>
          <t>CÔNG TY TNHH SƠN JOTUN VIỆT NAM</t>
        </is>
      </c>
      <c r="I632" s="18" t="inlineStr">
        <is>
          <t>SƠN JOTAMASTIC 70 GREY 18L</t>
        </is>
      </c>
      <c r="J632" s="18" t="inlineStr">
        <is>
          <t>Lít</t>
        </is>
      </c>
      <c r="K632" s="19" t="n">
        <v>90000</v>
      </c>
      <c r="L632" s="21" t="n"/>
      <c r="M632" s="22" t="n"/>
      <c r="N632" s="22" t="n">
        <v>180</v>
      </c>
      <c r="O632" s="22" t="n">
        <v>16200000</v>
      </c>
      <c r="P632" s="22" t="n">
        <v>180</v>
      </c>
      <c r="Q632" s="22" t="n">
        <v>16200000</v>
      </c>
      <c r="R632" s="42">
        <f>+L632+N632-P632</f>
        <v/>
      </c>
      <c r="S632" s="42">
        <f>+M632+O632-Q632</f>
        <v/>
      </c>
    </row>
    <row r="633" ht="15" customHeight="1">
      <c r="A633" s="16" t="n">
        <v>45715</v>
      </c>
      <c r="B633" s="17" t="inlineStr">
        <is>
          <t>MH2502-32</t>
        </is>
      </c>
      <c r="C633" s="16" t="n">
        <v>45715</v>
      </c>
      <c r="D633" s="18" t="inlineStr">
        <is>
          <t>00001824</t>
        </is>
      </c>
      <c r="E633" s="16" t="n">
        <v>45715</v>
      </c>
      <c r="F633" s="16" t="inlineStr">
        <is>
          <t>XK2502-33</t>
        </is>
      </c>
      <c r="G633" s="16" t="n">
        <v>45715</v>
      </c>
      <c r="H633" s="17" t="inlineStr">
        <is>
          <t>CÔNG TY TNHH SƠN JOTUN VIỆT NAM</t>
        </is>
      </c>
      <c r="I633" s="18" t="inlineStr">
        <is>
          <t>SƠN FUTURA CLASSIC RAL 9005 19.06L</t>
        </is>
      </c>
      <c r="J633" s="18" t="inlineStr">
        <is>
          <t>Lít</t>
        </is>
      </c>
      <c r="K633" s="19" t="n">
        <v>155000</v>
      </c>
      <c r="L633" s="21" t="n"/>
      <c r="M633" s="22" t="n"/>
      <c r="N633" s="22" t="n">
        <v>190.6</v>
      </c>
      <c r="O633" s="22" t="n">
        <v>29543000</v>
      </c>
      <c r="P633" s="22" t="n">
        <v>190.6</v>
      </c>
      <c r="Q633" s="22" t="n">
        <v>29543000</v>
      </c>
      <c r="R633" s="42">
        <f>+L633+N633-P633</f>
        <v/>
      </c>
      <c r="S633" s="42">
        <f>+M633+O633-Q633</f>
        <v/>
      </c>
    </row>
    <row r="634" ht="15" customHeight="1">
      <c r="A634" s="16" t="n">
        <v>45715</v>
      </c>
      <c r="B634" s="17" t="inlineStr">
        <is>
          <t>MH2502-32</t>
        </is>
      </c>
      <c r="C634" s="16" t="n">
        <v>45715</v>
      </c>
      <c r="D634" s="18" t="inlineStr">
        <is>
          <t>00001824</t>
        </is>
      </c>
      <c r="E634" s="16" t="n">
        <v>45715</v>
      </c>
      <c r="F634" s="16" t="inlineStr">
        <is>
          <t>XK2502-33</t>
        </is>
      </c>
      <c r="G634" s="16" t="n">
        <v>45715</v>
      </c>
      <c r="H634" s="17" t="inlineStr">
        <is>
          <t>CÔNG TY TNHH SƠN JOTUN VIỆT NAM</t>
        </is>
      </c>
      <c r="I634" s="18" t="inlineStr">
        <is>
          <t>SƠN FUTURA CLASSIC RAL9005 4.77L</t>
        </is>
      </c>
      <c r="J634" s="18" t="inlineStr">
        <is>
          <t>Lít</t>
        </is>
      </c>
      <c r="K634" s="19" t="n">
        <v>155000</v>
      </c>
      <c r="L634" s="21" t="n"/>
      <c r="M634" s="22" t="n"/>
      <c r="N634" s="22" t="n">
        <v>9.539999999999999</v>
      </c>
      <c r="O634" s="22" t="n">
        <v>1478700</v>
      </c>
      <c r="P634" s="22" t="n">
        <v>9.539999999999999</v>
      </c>
      <c r="Q634" s="22" t="n">
        <v>1478700</v>
      </c>
      <c r="R634" s="42">
        <f>+L634+N634-P634</f>
        <v/>
      </c>
      <c r="S634" s="42">
        <f>+M634+O634-Q634</f>
        <v/>
      </c>
    </row>
    <row r="635" ht="15" customHeight="1">
      <c r="A635" s="16" t="n">
        <v>45715</v>
      </c>
      <c r="B635" s="17" t="inlineStr">
        <is>
          <t>MH2502-32</t>
        </is>
      </c>
      <c r="C635" s="16" t="n">
        <v>45715</v>
      </c>
      <c r="D635" s="18" t="inlineStr">
        <is>
          <t>00001824</t>
        </is>
      </c>
      <c r="E635" s="16" t="n">
        <v>45715</v>
      </c>
      <c r="F635" s="16" t="inlineStr">
        <is>
          <t>XK2502-33</t>
        </is>
      </c>
      <c r="G635" s="16" t="n">
        <v>45715</v>
      </c>
      <c r="H635" s="17" t="inlineStr">
        <is>
          <t>CÔNG TY TNHH SƠN JOTUN VIỆT NAM</t>
        </is>
      </c>
      <c r="I635" s="18" t="inlineStr">
        <is>
          <t>DUNG MÔI JOTUN THINNER NO. 17 20L</t>
        </is>
      </c>
      <c r="J635" s="18" t="inlineStr">
        <is>
          <t>Lít</t>
        </is>
      </c>
      <c r="K635" s="19" t="n">
        <v>60000</v>
      </c>
      <c r="L635" s="21" t="n"/>
      <c r="M635" s="22" t="n"/>
      <c r="N635" s="22" t="n">
        <v>20</v>
      </c>
      <c r="O635" s="22" t="n">
        <v>1200000</v>
      </c>
      <c r="P635" s="22" t="n">
        <v>20</v>
      </c>
      <c r="Q635" s="22" t="n">
        <v>1200000</v>
      </c>
      <c r="R635" s="42">
        <f>+L635+N635-P635</f>
        <v/>
      </c>
      <c r="S635" s="42">
        <f>+M635+O635-Q635</f>
        <v/>
      </c>
    </row>
    <row r="636" ht="15" customHeight="1">
      <c r="A636" s="16" t="n">
        <v>45715</v>
      </c>
      <c r="B636" s="17" t="inlineStr">
        <is>
          <t>MH2502-32</t>
        </is>
      </c>
      <c r="C636" s="16" t="n">
        <v>45715</v>
      </c>
      <c r="D636" s="18" t="inlineStr">
        <is>
          <t>00001824</t>
        </is>
      </c>
      <c r="E636" s="16" t="n">
        <v>45715</v>
      </c>
      <c r="F636" s="16" t="inlineStr">
        <is>
          <t>XK2502-33</t>
        </is>
      </c>
      <c r="G636" s="16" t="n">
        <v>45715</v>
      </c>
      <c r="H636" s="17" t="inlineStr">
        <is>
          <t>CÔNG TY TNHH SƠN JOTUN VIỆT NAM</t>
        </is>
      </c>
      <c r="I636" s="18" t="inlineStr">
        <is>
          <t>DUNG MÔI JOTUN THINNER NO. 17 5L</t>
        </is>
      </c>
      <c r="J636" s="18" t="inlineStr">
        <is>
          <t>Lít</t>
        </is>
      </c>
      <c r="K636" s="19" t="n">
        <v>60000</v>
      </c>
      <c r="L636" s="21" t="n"/>
      <c r="M636" s="22" t="n"/>
      <c r="N636" s="22" t="n">
        <v>10</v>
      </c>
      <c r="O636" s="22" t="n">
        <v>600000</v>
      </c>
      <c r="P636" s="22" t="n">
        <v>10</v>
      </c>
      <c r="Q636" s="22" t="n">
        <v>600000</v>
      </c>
      <c r="R636" s="42">
        <f>+L636+N636-P636</f>
        <v/>
      </c>
      <c r="S636" s="42">
        <f>+M636+O636-Q636</f>
        <v/>
      </c>
    </row>
    <row r="637" ht="15" customHeight="1">
      <c r="A637" s="16" t="n">
        <v>45715</v>
      </c>
      <c r="B637" s="17" t="inlineStr">
        <is>
          <t>MH2502-32</t>
        </is>
      </c>
      <c r="C637" s="16" t="n">
        <v>45715</v>
      </c>
      <c r="D637" s="18" t="inlineStr">
        <is>
          <t>00001824</t>
        </is>
      </c>
      <c r="E637" s="16" t="n">
        <v>45715</v>
      </c>
      <c r="F637" s="16" t="inlineStr">
        <is>
          <t>XK2502-33</t>
        </is>
      </c>
      <c r="G637" s="16" t="n">
        <v>45715</v>
      </c>
      <c r="H637" s="17" t="inlineStr">
        <is>
          <t>CÔNG TY TNHH SƠN JOTUN VIỆT NAM</t>
        </is>
      </c>
      <c r="I637" s="18" t="inlineStr">
        <is>
          <t>DUNG MÔI JOTUN THINNER NO. 10 20L</t>
        </is>
      </c>
      <c r="J637" s="18" t="inlineStr">
        <is>
          <t>Lít</t>
        </is>
      </c>
      <c r="K637" s="19" t="n">
        <v>60000</v>
      </c>
      <c r="L637" s="21" t="n"/>
      <c r="M637" s="22" t="n"/>
      <c r="N637" s="22" t="n">
        <v>20</v>
      </c>
      <c r="O637" s="22" t="n">
        <v>1200000</v>
      </c>
      <c r="P637" s="22" t="n">
        <v>20</v>
      </c>
      <c r="Q637" s="22" t="n">
        <v>1200000</v>
      </c>
      <c r="R637" s="42">
        <f>+L637+N637-P637</f>
        <v/>
      </c>
      <c r="S637" s="42">
        <f>+M637+O637-Q637</f>
        <v/>
      </c>
    </row>
    <row r="638" ht="15" customHeight="1">
      <c r="A638" s="16" t="n">
        <v>45715</v>
      </c>
      <c r="B638" s="17" t="inlineStr">
        <is>
          <t>MH2502-32</t>
        </is>
      </c>
      <c r="C638" s="16" t="n">
        <v>45715</v>
      </c>
      <c r="D638" s="18" t="inlineStr">
        <is>
          <t>00001824</t>
        </is>
      </c>
      <c r="E638" s="16" t="n">
        <v>45715</v>
      </c>
      <c r="F638" s="16" t="inlineStr">
        <is>
          <t>XK2502-33</t>
        </is>
      </c>
      <c r="G638" s="16" t="n">
        <v>45715</v>
      </c>
      <c r="H638" s="17" t="inlineStr">
        <is>
          <t>CÔNG TY TNHH SƠN JOTUN VIỆT NAM</t>
        </is>
      </c>
      <c r="I638" s="18" t="inlineStr">
        <is>
          <t>DUNG MÔI JOTUN THINNER NO. 10 5L</t>
        </is>
      </c>
      <c r="J638" s="18" t="inlineStr">
        <is>
          <t>Lít</t>
        </is>
      </c>
      <c r="K638" s="19" t="n">
        <v>60000</v>
      </c>
      <c r="L638" s="21" t="n"/>
      <c r="M638" s="22" t="n"/>
      <c r="N638" s="22" t="n">
        <v>10</v>
      </c>
      <c r="O638" s="22" t="n">
        <v>600000</v>
      </c>
      <c r="P638" s="22" t="n">
        <v>10</v>
      </c>
      <c r="Q638" s="22" t="n">
        <v>600000</v>
      </c>
      <c r="R638" s="42">
        <f>+L638+N638-P638</f>
        <v/>
      </c>
      <c r="S638" s="42">
        <f>+M638+O638-Q638</f>
        <v/>
      </c>
    </row>
    <row r="639" ht="15" customHeight="1">
      <c r="A639" s="16" t="n">
        <v>45715</v>
      </c>
      <c r="B639" s="17" t="inlineStr">
        <is>
          <t>MH2502-33</t>
        </is>
      </c>
      <c r="C639" s="16" t="n">
        <v>45715</v>
      </c>
      <c r="D639" s="18" t="inlineStr">
        <is>
          <t>00001839</t>
        </is>
      </c>
      <c r="E639" s="16" t="n">
        <v>45715</v>
      </c>
      <c r="F639" s="16" t="inlineStr">
        <is>
          <t>XK2502-34</t>
        </is>
      </c>
      <c r="G639" s="16" t="n">
        <v>45715</v>
      </c>
      <c r="H639" s="17" t="inlineStr">
        <is>
          <t>CÔNG TY TNHH SƠN JOTUN VIỆT NAM</t>
        </is>
      </c>
      <c r="I639" s="18" t="inlineStr">
        <is>
          <t>SƠN JOTAMASTIC 70 GREY 18L</t>
        </is>
      </c>
      <c r="J639" s="18" t="inlineStr">
        <is>
          <t>Lít</t>
        </is>
      </c>
      <c r="K639" s="19" t="n">
        <v>90000</v>
      </c>
      <c r="L639" s="21" t="n"/>
      <c r="M639" s="22" t="n"/>
      <c r="N639" s="22" t="n">
        <v>36</v>
      </c>
      <c r="O639" s="22" t="n">
        <v>3240000</v>
      </c>
      <c r="P639" s="22" t="n">
        <v>36</v>
      </c>
      <c r="Q639" s="22" t="n">
        <v>3240000</v>
      </c>
      <c r="R639" s="42">
        <f>+L639+N639-P639</f>
        <v/>
      </c>
      <c r="S639" s="42">
        <f>+M639+O639-Q639</f>
        <v/>
      </c>
    </row>
    <row r="640" ht="15" customHeight="1">
      <c r="A640" s="16" t="n">
        <v>45716</v>
      </c>
      <c r="B640" s="17" t="inlineStr">
        <is>
          <t>MH2502-34</t>
        </is>
      </c>
      <c r="C640" s="16" t="n">
        <v>45716</v>
      </c>
      <c r="D640" s="18" t="inlineStr">
        <is>
          <t>00001904</t>
        </is>
      </c>
      <c r="E640" s="16" t="n">
        <v>45716</v>
      </c>
      <c r="F640" s="16" t="inlineStr">
        <is>
          <t>XK2502-35</t>
        </is>
      </c>
      <c r="G640" s="16" t="n">
        <v>45716</v>
      </c>
      <c r="H640" s="17" t="inlineStr">
        <is>
          <t>CÔNG TY TNHH SƠN JOTUN VIỆT NAM</t>
        </is>
      </c>
      <c r="I640" s="18" t="inlineStr">
        <is>
          <t>SƠN JOTAMASTIC 70 RED 18L</t>
        </is>
      </c>
      <c r="J640" s="18" t="inlineStr">
        <is>
          <t>Lít</t>
        </is>
      </c>
      <c r="K640" s="19" t="n">
        <v>90000</v>
      </c>
      <c r="L640" s="21" t="n"/>
      <c r="M640" s="22" t="n"/>
      <c r="N640" s="22" t="n">
        <v>720</v>
      </c>
      <c r="O640" s="22" t="n">
        <v>64800000</v>
      </c>
      <c r="P640" s="22" t="n">
        <v>720</v>
      </c>
      <c r="Q640" s="22" t="n">
        <v>64800000</v>
      </c>
      <c r="R640" s="42">
        <f>+L640+N640-P640</f>
        <v/>
      </c>
      <c r="S640" s="42">
        <f>+M640+O640-Q640</f>
        <v/>
      </c>
    </row>
    <row r="641" ht="30" customHeight="1">
      <c r="A641" s="16" t="n">
        <v>45716</v>
      </c>
      <c r="B641" s="17" t="inlineStr">
        <is>
          <t>MH2502-35</t>
        </is>
      </c>
      <c r="C641" s="16" t="n">
        <v>45716</v>
      </c>
      <c r="D641" s="18" t="inlineStr">
        <is>
          <t>39</t>
        </is>
      </c>
      <c r="E641" s="16" t="n">
        <v>45716</v>
      </c>
      <c r="F641" s="16" t="inlineStr">
        <is>
          <t>XK2502-36</t>
        </is>
      </c>
      <c r="G641" s="16" t="n">
        <v>45716</v>
      </c>
      <c r="H641" s="17" t="inlineStr">
        <is>
          <t>CÔNG TY TNHH THƯƠNG MẠI DỊCH VỤ SẢN XUẤT NHỰA NAM VIỆT</t>
        </is>
      </c>
      <c r="I641" s="18" t="inlineStr">
        <is>
          <t>Tấm Tole PC đặc Opal 2 sóng Seamlock 470 1.5 ly   9,60m x 15T</t>
        </is>
      </c>
      <c r="J641" s="18" t="inlineStr">
        <is>
          <t>Bộ</t>
        </is>
      </c>
      <c r="K641" s="19" t="n">
        <v>236000</v>
      </c>
      <c r="L641" s="21" t="n"/>
      <c r="M641" s="22" t="n"/>
      <c r="N641" s="22" t="n">
        <v>144</v>
      </c>
      <c r="O641" s="22" t="n">
        <v>33984000</v>
      </c>
      <c r="P641" s="22" t="n">
        <v>144</v>
      </c>
      <c r="Q641" s="22" t="n">
        <v>33984000</v>
      </c>
      <c r="R641" s="42">
        <f>+L641+N641-P641</f>
        <v/>
      </c>
      <c r="S641" s="42">
        <f>+M641+O641-Q641</f>
        <v/>
      </c>
    </row>
    <row r="642" ht="30" customHeight="1">
      <c r="A642" s="16" t="n">
        <v>45716</v>
      </c>
      <c r="B642" s="17" t="inlineStr">
        <is>
          <t>MH2502-35</t>
        </is>
      </c>
      <c r="C642" s="16" t="n">
        <v>45716</v>
      </c>
      <c r="D642" s="18" t="inlineStr">
        <is>
          <t>39</t>
        </is>
      </c>
      <c r="E642" s="16" t="n">
        <v>45716</v>
      </c>
      <c r="F642" s="16" t="inlineStr">
        <is>
          <t>XK2502-36</t>
        </is>
      </c>
      <c r="G642" s="16" t="n">
        <v>45716</v>
      </c>
      <c r="H642" s="17" t="inlineStr">
        <is>
          <t>CÔNG TY TNHH THƯƠNG MẠI DỊCH VỤ SẢN XUẤT NHỰA NAM VIỆT</t>
        </is>
      </c>
      <c r="I642" s="18" t="inlineStr">
        <is>
          <t>Tấm Tole PC đặc Opal 2 sóng Seamlock 470 1.5 ly   8,80m x 40T</t>
        </is>
      </c>
      <c r="J642" s="18" t="inlineStr">
        <is>
          <t>Bộ</t>
        </is>
      </c>
      <c r="K642" s="19" t="n">
        <v>236000</v>
      </c>
      <c r="L642" s="21" t="n"/>
      <c r="M642" s="22" t="n"/>
      <c r="N642" s="22" t="n">
        <v>352</v>
      </c>
      <c r="O642" s="22" t="n">
        <v>83072000</v>
      </c>
      <c r="P642" s="22" t="n">
        <v>352</v>
      </c>
      <c r="Q642" s="22" t="n">
        <v>83072000</v>
      </c>
      <c r="R642" s="42">
        <f>+L642+N642-P642</f>
        <v/>
      </c>
      <c r="S642" s="42">
        <f>+M642+O642-Q642</f>
        <v/>
      </c>
    </row>
    <row r="643" ht="30" customHeight="1">
      <c r="A643" s="16" t="n">
        <v>45716</v>
      </c>
      <c r="B643" s="17" t="inlineStr">
        <is>
          <t>MH2502-35</t>
        </is>
      </c>
      <c r="C643" s="16" t="n">
        <v>45716</v>
      </c>
      <c r="D643" s="18" t="inlineStr">
        <is>
          <t>39</t>
        </is>
      </c>
      <c r="E643" s="16" t="n">
        <v>45716</v>
      </c>
      <c r="F643" s="16" t="inlineStr">
        <is>
          <t>XK2502-36</t>
        </is>
      </c>
      <c r="G643" s="16" t="n">
        <v>45716</v>
      </c>
      <c r="H643" s="17" t="inlineStr">
        <is>
          <t>CÔNG TY TNHH THƯƠNG MẠI DỊCH VỤ SẢN XUẤT NHỰA NAM VIỆT</t>
        </is>
      </c>
      <c r="I643" s="18" t="inlineStr">
        <is>
          <t>Tấm Tole PC đặc Opal 2 sóng Seamlock 470 1.5 ly   8,77m x 32T</t>
        </is>
      </c>
      <c r="J643" s="18" t="inlineStr">
        <is>
          <t>Bộ</t>
        </is>
      </c>
      <c r="K643" s="19" t="n">
        <v>236000</v>
      </c>
      <c r="L643" s="21" t="n"/>
      <c r="M643" s="22" t="n"/>
      <c r="N643" s="22" t="n">
        <v>280.64</v>
      </c>
      <c r="O643" s="22" t="n">
        <v>66231040</v>
      </c>
      <c r="P643" s="22" t="n">
        <v>280.64</v>
      </c>
      <c r="Q643" s="22" t="n">
        <v>66231040</v>
      </c>
      <c r="R643" s="42">
        <f>+L643+N643-P643</f>
        <v/>
      </c>
      <c r="S643" s="42">
        <f>+M643+O643-Q643</f>
        <v/>
      </c>
    </row>
    <row r="644" ht="30" customHeight="1">
      <c r="A644" s="16" t="n">
        <v>45716</v>
      </c>
      <c r="B644" s="17" t="inlineStr">
        <is>
          <t>MH2502-35</t>
        </is>
      </c>
      <c r="C644" s="16" t="n">
        <v>45716</v>
      </c>
      <c r="D644" s="18" t="inlineStr">
        <is>
          <t>39</t>
        </is>
      </c>
      <c r="E644" s="16" t="n">
        <v>45716</v>
      </c>
      <c r="F644" s="16" t="inlineStr">
        <is>
          <t>XK2502-36</t>
        </is>
      </c>
      <c r="G644" s="16" t="n">
        <v>45716</v>
      </c>
      <c r="H644" s="17" t="inlineStr">
        <is>
          <t>CÔNG TY TNHH THƯƠNG MẠI DỊCH VỤ SẢN XUẤT NHỰA NAM VIỆT</t>
        </is>
      </c>
      <c r="I644" s="18" t="inlineStr">
        <is>
          <t>Tấm Tole PC đặc Opal 2 sóng Seamlock 470 1.5 ly   9,32m x 8T</t>
        </is>
      </c>
      <c r="J644" s="18" t="inlineStr">
        <is>
          <t>Bộ</t>
        </is>
      </c>
      <c r="K644" s="19" t="n">
        <v>236000</v>
      </c>
      <c r="L644" s="21" t="n"/>
      <c r="M644" s="22" t="n"/>
      <c r="N644" s="22" t="n">
        <v>74.56</v>
      </c>
      <c r="O644" s="22" t="n">
        <v>17596160</v>
      </c>
      <c r="P644" s="22" t="n">
        <v>74.56</v>
      </c>
      <c r="Q644" s="22" t="n">
        <v>17596160</v>
      </c>
      <c r="R644" s="42">
        <f>+L644+N644-P644</f>
        <v/>
      </c>
      <c r="S644" s="42">
        <f>+M644+O644-Q644</f>
        <v/>
      </c>
    </row>
    <row r="645" ht="30" customHeight="1">
      <c r="A645" s="16" t="n">
        <v>45716</v>
      </c>
      <c r="B645" s="17" t="inlineStr">
        <is>
          <t>MH2502-35</t>
        </is>
      </c>
      <c r="C645" s="16" t="n">
        <v>45716</v>
      </c>
      <c r="D645" s="18" t="inlineStr">
        <is>
          <t>39</t>
        </is>
      </c>
      <c r="E645" s="16" t="n">
        <v>45716</v>
      </c>
      <c r="F645" s="16" t="inlineStr">
        <is>
          <t>XK2502-36</t>
        </is>
      </c>
      <c r="G645" s="16" t="n">
        <v>45716</v>
      </c>
      <c r="H645" s="17" t="inlineStr">
        <is>
          <t>CÔNG TY TNHH THƯƠNG MẠI DỊCH VỤ SẢN XUẤT NHỰA NAM VIỆT</t>
        </is>
      </c>
      <c r="I645" s="18" t="inlineStr">
        <is>
          <t>Tấm Tole PC đặc Opal 2 sóng Seamlock 470 1.5 ly   9,86m x 20T</t>
        </is>
      </c>
      <c r="J645" s="18" t="inlineStr">
        <is>
          <t>Bộ</t>
        </is>
      </c>
      <c r="K645" s="19" t="n">
        <v>236000</v>
      </c>
      <c r="L645" s="21" t="n"/>
      <c r="M645" s="22" t="n"/>
      <c r="N645" s="22" t="n">
        <v>197.2</v>
      </c>
      <c r="O645" s="22" t="n">
        <v>46539200</v>
      </c>
      <c r="P645" s="22" t="n">
        <v>197.2</v>
      </c>
      <c r="Q645" s="22" t="n">
        <v>46539200</v>
      </c>
      <c r="R645" s="42">
        <f>+L645+N645-P645</f>
        <v/>
      </c>
      <c r="S645" s="42">
        <f>+M645+O645-Q645</f>
        <v/>
      </c>
    </row>
    <row r="646" ht="30" customHeight="1">
      <c r="A646" s="16" t="n">
        <v>45716</v>
      </c>
      <c r="B646" s="17" t="inlineStr">
        <is>
          <t>MH2502-35</t>
        </is>
      </c>
      <c r="C646" s="16" t="n">
        <v>45716</v>
      </c>
      <c r="D646" s="18" t="inlineStr">
        <is>
          <t>39</t>
        </is>
      </c>
      <c r="E646" s="16" t="n">
        <v>45716</v>
      </c>
      <c r="F646" s="16" t="inlineStr">
        <is>
          <t>XK2502-36</t>
        </is>
      </c>
      <c r="G646" s="16" t="n">
        <v>45716</v>
      </c>
      <c r="H646" s="17" t="inlineStr">
        <is>
          <t>CÔNG TY TNHH THƯƠNG MẠI DỊCH VỤ SẢN XUẤT NHỰA NAM VIỆT</t>
        </is>
      </c>
      <c r="I646" s="18" t="inlineStr">
        <is>
          <t>Tấm Tole PC đặc Opal 2 sóng Seamlock 470 1.5 ly   7,59m x 4T</t>
        </is>
      </c>
      <c r="J646" s="18" t="inlineStr">
        <is>
          <t>Bộ</t>
        </is>
      </c>
      <c r="K646" s="19" t="n">
        <v>236000</v>
      </c>
      <c r="L646" s="21" t="n"/>
      <c r="M646" s="22" t="n"/>
      <c r="N646" s="22" t="n">
        <v>30.36</v>
      </c>
      <c r="O646" s="22" t="n">
        <v>7164960</v>
      </c>
      <c r="P646" s="22" t="n">
        <v>30.36</v>
      </c>
      <c r="Q646" s="22" t="n">
        <v>7164960</v>
      </c>
      <c r="R646" s="42">
        <f>+L646+N646-P646</f>
        <v/>
      </c>
      <c r="S646" s="42">
        <f>+M646+O646-Q646</f>
        <v/>
      </c>
    </row>
    <row r="647" ht="30" customHeight="1">
      <c r="A647" s="16" t="n">
        <v>45716</v>
      </c>
      <c r="B647" s="17" t="inlineStr">
        <is>
          <t>MH2502-35</t>
        </is>
      </c>
      <c r="C647" s="16" t="n">
        <v>45716</v>
      </c>
      <c r="D647" s="18" t="inlineStr">
        <is>
          <t>39</t>
        </is>
      </c>
      <c r="E647" s="16" t="n">
        <v>45716</v>
      </c>
      <c r="F647" s="16" t="inlineStr">
        <is>
          <t>XK2502-36</t>
        </is>
      </c>
      <c r="G647" s="16" t="n">
        <v>45716</v>
      </c>
      <c r="H647" s="17" t="inlineStr">
        <is>
          <t>CÔNG TY TNHH THƯƠNG MẠI DỊCH VỤ SẢN XUẤT NHỰA NAM VIỆT</t>
        </is>
      </c>
      <c r="I647" s="18" t="inlineStr">
        <is>
          <t>Tấm Tole PC đặc Opal 2 sóng Seamlock 470 1.5 ly   6,29m x 4T</t>
        </is>
      </c>
      <c r="J647" s="18" t="inlineStr">
        <is>
          <t>Bộ</t>
        </is>
      </c>
      <c r="K647" s="19" t="n">
        <v>236000</v>
      </c>
      <c r="L647" s="21" t="n"/>
      <c r="M647" s="22" t="n"/>
      <c r="N647" s="22" t="n">
        <v>25.16</v>
      </c>
      <c r="O647" s="22" t="n">
        <v>5937760</v>
      </c>
      <c r="P647" s="22" t="n">
        <v>25.16</v>
      </c>
      <c r="Q647" s="22" t="n">
        <v>5937760</v>
      </c>
      <c r="R647" s="42">
        <f>+L647+N647-P647</f>
        <v/>
      </c>
      <c r="S647" s="42">
        <f>+M647+O647-Q647</f>
        <v/>
      </c>
    </row>
    <row r="648" ht="30" customHeight="1">
      <c r="A648" s="16" t="n">
        <v>45716</v>
      </c>
      <c r="B648" s="17" t="inlineStr">
        <is>
          <t>MH2502-35</t>
        </is>
      </c>
      <c r="C648" s="16" t="n">
        <v>45716</v>
      </c>
      <c r="D648" s="18" t="inlineStr">
        <is>
          <t>39</t>
        </is>
      </c>
      <c r="E648" s="16" t="n">
        <v>45716</v>
      </c>
      <c r="F648" s="16" t="inlineStr">
        <is>
          <t>XK2502-36</t>
        </is>
      </c>
      <c r="G648" s="16" t="n">
        <v>45716</v>
      </c>
      <c r="H648" s="17" t="inlineStr">
        <is>
          <t>CÔNG TY TNHH THƯƠNG MẠI DỊCH VỤ SẢN XUẤT NHỰA NAM VIỆT</t>
        </is>
      </c>
      <c r="I648" s="18" t="inlineStr">
        <is>
          <t>Tấm Tole PC đặc Opal 2 sóng Seamlock 470 1.5 ly   6,49m x 4T</t>
        </is>
      </c>
      <c r="J648" s="18" t="inlineStr">
        <is>
          <t>Bộ</t>
        </is>
      </c>
      <c r="K648" s="19" t="n">
        <v>236000</v>
      </c>
      <c r="L648" s="21" t="n"/>
      <c r="M648" s="22" t="n"/>
      <c r="N648" s="22" t="n">
        <v>25.96</v>
      </c>
      <c r="O648" s="22" t="n">
        <v>6126560</v>
      </c>
      <c r="P648" s="22" t="n">
        <v>25.96</v>
      </c>
      <c r="Q648" s="22" t="n">
        <v>6126560</v>
      </c>
      <c r="R648" s="42">
        <f>+L648+N648-P648</f>
        <v/>
      </c>
      <c r="S648" s="42">
        <f>+M648+O648-Q648</f>
        <v/>
      </c>
    </row>
    <row r="649" ht="30" customHeight="1">
      <c r="A649" s="16" t="n">
        <v>45716</v>
      </c>
      <c r="B649" s="17" t="inlineStr">
        <is>
          <t>MH2502-35</t>
        </is>
      </c>
      <c r="C649" s="16" t="n">
        <v>45716</v>
      </c>
      <c r="D649" s="18" t="inlineStr">
        <is>
          <t>39</t>
        </is>
      </c>
      <c r="E649" s="16" t="n">
        <v>45716</v>
      </c>
      <c r="F649" s="16" t="inlineStr">
        <is>
          <t>XK2502-36</t>
        </is>
      </c>
      <c r="G649" s="16" t="n">
        <v>45716</v>
      </c>
      <c r="H649" s="17" t="inlineStr">
        <is>
          <t>CÔNG TY TNHH THƯƠNG MẠI DỊCH VỤ SẢN XUẤT NHỰA NAM VIỆT</t>
        </is>
      </c>
      <c r="I649" s="18" t="inlineStr">
        <is>
          <t>Tấm Tole PC đặc Opal 2 sóng Seamlock 470 1.5 ly   9,63m x 12T</t>
        </is>
      </c>
      <c r="J649" s="18" t="inlineStr">
        <is>
          <t>Bộ</t>
        </is>
      </c>
      <c r="K649" s="19" t="n">
        <v>236000</v>
      </c>
      <c r="L649" s="21" t="n"/>
      <c r="M649" s="22" t="n"/>
      <c r="N649" s="22" t="n">
        <v>115.56</v>
      </c>
      <c r="O649" s="22" t="n">
        <v>27272160</v>
      </c>
      <c r="P649" s="22" t="n">
        <v>115.56</v>
      </c>
      <c r="Q649" s="22" t="n">
        <v>27272160</v>
      </c>
      <c r="R649" s="42">
        <f>+L649+N649-P649</f>
        <v/>
      </c>
      <c r="S649" s="42">
        <f>+M649+O649-Q649</f>
        <v/>
      </c>
    </row>
    <row r="650" ht="30" customHeight="1">
      <c r="A650" s="16" t="n">
        <v>45716</v>
      </c>
      <c r="B650" s="17" t="inlineStr">
        <is>
          <t>MH2502-35</t>
        </is>
      </c>
      <c r="C650" s="16" t="n">
        <v>45716</v>
      </c>
      <c r="D650" s="18" t="inlineStr">
        <is>
          <t>39</t>
        </is>
      </c>
      <c r="E650" s="16" t="n">
        <v>45716</v>
      </c>
      <c r="F650" s="16" t="inlineStr">
        <is>
          <t>XK2502-36</t>
        </is>
      </c>
      <c r="G650" s="16" t="n">
        <v>45716</v>
      </c>
      <c r="H650" s="17" t="inlineStr">
        <is>
          <t>CÔNG TY TNHH THƯƠNG MẠI DỊCH VỤ SẢN XUẤT NHỰA NAM VIỆT</t>
        </is>
      </c>
      <c r="I650" s="18" t="inlineStr">
        <is>
          <t>Tấm Tole PC đặc Opal 2 sóng Seamlock 470 1.5 ly   7,24m x 4T</t>
        </is>
      </c>
      <c r="J650" s="18" t="inlineStr">
        <is>
          <t>Bộ</t>
        </is>
      </c>
      <c r="K650" s="19" t="n">
        <v>236000</v>
      </c>
      <c r="L650" s="21" t="n"/>
      <c r="M650" s="22" t="n"/>
      <c r="N650" s="22" t="n">
        <v>28.96</v>
      </c>
      <c r="O650" s="22" t="n">
        <v>6834560</v>
      </c>
      <c r="P650" s="22" t="n">
        <v>28.96</v>
      </c>
      <c r="Q650" s="22" t="n">
        <v>6834560</v>
      </c>
      <c r="R650" s="42">
        <f>+L650+N650-P650</f>
        <v/>
      </c>
      <c r="S650" s="42">
        <f>+M650+O650-Q650</f>
        <v/>
      </c>
    </row>
    <row r="651" ht="30" customHeight="1">
      <c r="A651" s="16" t="n">
        <v>45719</v>
      </c>
      <c r="B651" s="17" t="inlineStr">
        <is>
          <t>MH2503-01</t>
        </is>
      </c>
      <c r="C651" s="16" t="n">
        <v>45719</v>
      </c>
      <c r="D651" s="17" t="inlineStr">
        <is>
          <t>103</t>
        </is>
      </c>
      <c r="E651" s="16" t="n">
        <v>45719</v>
      </c>
      <c r="F651" s="16" t="inlineStr">
        <is>
          <t>XK2503-01</t>
        </is>
      </c>
      <c r="G651" s="16" t="n">
        <v>45719</v>
      </c>
      <c r="H651" s="17" t="inlineStr">
        <is>
          <t>CÔNG TY TNHH SẢN XUẤT THƯƠNG MẠI PHÁT TRIỂN TIẾN THÀNH</t>
        </is>
      </c>
      <c r="I651" s="17" t="inlineStr">
        <is>
          <t>Lơi uPVC 140 Mỏng</t>
        </is>
      </c>
      <c r="J651" s="17" t="inlineStr">
        <is>
          <t>Bộ</t>
        </is>
      </c>
      <c r="K651" s="19" t="n">
        <v>51590</v>
      </c>
      <c r="L651" s="20" t="n"/>
      <c r="M651" s="20" t="n"/>
      <c r="N651" s="43" t="n">
        <v>132</v>
      </c>
      <c r="O651" s="20" t="n">
        <v>6809880</v>
      </c>
      <c r="P651" s="43" t="n">
        <v>132</v>
      </c>
      <c r="Q651" s="20" t="n">
        <v>6809880</v>
      </c>
      <c r="R651" s="42">
        <f>+L651+N651-P651</f>
        <v/>
      </c>
      <c r="S651" s="42">
        <f>+M651+O651-Q651</f>
        <v/>
      </c>
    </row>
    <row r="652" ht="30" customHeight="1">
      <c r="A652" s="16" t="n">
        <v>45719</v>
      </c>
      <c r="B652" s="17" t="inlineStr">
        <is>
          <t>MH2503-01</t>
        </is>
      </c>
      <c r="C652" s="16" t="n">
        <v>45719</v>
      </c>
      <c r="D652" s="17" t="inlineStr">
        <is>
          <t>103</t>
        </is>
      </c>
      <c r="E652" s="16" t="n">
        <v>45719</v>
      </c>
      <c r="F652" s="16" t="inlineStr">
        <is>
          <t>XK2503-01</t>
        </is>
      </c>
      <c r="G652" s="16" t="n">
        <v>45719</v>
      </c>
      <c r="H652" s="17" t="inlineStr">
        <is>
          <t>CÔNG TY TNHH SẢN XUẤT THƯƠNG MẠI PHÁT TRIỂN TIẾN THÀNH</t>
        </is>
      </c>
      <c r="I652" s="17" t="inlineStr">
        <is>
          <t>Co uPVC 140 mỏng</t>
        </is>
      </c>
      <c r="J652" s="17" t="inlineStr">
        <is>
          <t>Bộ</t>
        </is>
      </c>
      <c r="K652" s="19" t="n">
        <v>60501</v>
      </c>
      <c r="L652" s="20" t="n"/>
      <c r="M652" s="20" t="n"/>
      <c r="N652" s="43" t="n">
        <v>16</v>
      </c>
      <c r="O652" s="20" t="n">
        <v>968016</v>
      </c>
      <c r="P652" s="43" t="n">
        <v>16</v>
      </c>
      <c r="Q652" s="20" t="n">
        <v>968016</v>
      </c>
      <c r="R652" s="42">
        <f>+L652+N652-P652</f>
        <v/>
      </c>
      <c r="S652" s="42">
        <f>+M652+O652-Q652</f>
        <v/>
      </c>
    </row>
    <row r="653" ht="30" customHeight="1">
      <c r="A653" s="16" t="n">
        <v>45719</v>
      </c>
      <c r="B653" s="17" t="inlineStr">
        <is>
          <t>MH2503-01</t>
        </is>
      </c>
      <c r="C653" s="16" t="n">
        <v>45719</v>
      </c>
      <c r="D653" s="17" t="inlineStr">
        <is>
          <t>103</t>
        </is>
      </c>
      <c r="E653" s="16" t="n">
        <v>45719</v>
      </c>
      <c r="F653" s="16" t="inlineStr">
        <is>
          <t>XK2503-01</t>
        </is>
      </c>
      <c r="G653" s="16" t="n">
        <v>45719</v>
      </c>
      <c r="H653" s="17" t="inlineStr">
        <is>
          <t>CÔNG TY TNHH SẢN XUẤT THƯƠNG MẠI PHÁT TRIỂN TIẾN THÀNH</t>
        </is>
      </c>
      <c r="I653" s="17" t="inlineStr">
        <is>
          <t>Ống uPVC 140 x 4,1mm</t>
        </is>
      </c>
      <c r="J653" s="17" t="inlineStr">
        <is>
          <t>Bộ</t>
        </is>
      </c>
      <c r="K653" s="19" t="n">
        <v>114800</v>
      </c>
      <c r="L653" s="20" t="n"/>
      <c r="M653" s="20" t="n"/>
      <c r="N653" s="43" t="n">
        <v>1052</v>
      </c>
      <c r="O653" s="20" t="n">
        <v>120769600</v>
      </c>
      <c r="P653" s="43" t="n">
        <v>1052</v>
      </c>
      <c r="Q653" s="20" t="n">
        <v>120769600</v>
      </c>
      <c r="R653" s="42">
        <f>+L653+N653-P653</f>
        <v/>
      </c>
      <c r="S653" s="42">
        <f>+M653+O653-Q653</f>
        <v/>
      </c>
    </row>
    <row r="654" ht="30" customHeight="1">
      <c r="A654" s="16" t="n">
        <v>45719</v>
      </c>
      <c r="B654" s="17" t="inlineStr">
        <is>
          <t>MH2503-01</t>
        </is>
      </c>
      <c r="C654" s="16" t="n">
        <v>45719</v>
      </c>
      <c r="D654" s="17" t="inlineStr">
        <is>
          <t>103</t>
        </is>
      </c>
      <c r="E654" s="16" t="n">
        <v>45719</v>
      </c>
      <c r="F654" s="16" t="inlineStr">
        <is>
          <t>XK2503-01</t>
        </is>
      </c>
      <c r="G654" s="16" t="n">
        <v>45719</v>
      </c>
      <c r="H654" s="17" t="inlineStr">
        <is>
          <t>CÔNG TY TNHH SẢN XUẤT THƯƠNG MẠI PHÁT TRIỂN TIẾN THÀNH</t>
        </is>
      </c>
      <c r="I654" s="17" t="inlineStr">
        <is>
          <t>Keo dán 500gr</t>
        </is>
      </c>
      <c r="J654" s="17" t="inlineStr">
        <is>
          <t>Bộ</t>
        </is>
      </c>
      <c r="K654" s="19" t="n">
        <v>53410</v>
      </c>
      <c r="L654" s="20" t="n"/>
      <c r="M654" s="20" t="n"/>
      <c r="N654" s="43" t="n">
        <v>16</v>
      </c>
      <c r="O654" s="20" t="n">
        <v>854560</v>
      </c>
      <c r="P654" s="43" t="n">
        <v>16</v>
      </c>
      <c r="Q654" s="20" t="n">
        <v>854560</v>
      </c>
      <c r="R654" s="42">
        <f>+L654+N654-P654</f>
        <v/>
      </c>
      <c r="S654" s="42">
        <f>+M654+O654-Q654</f>
        <v/>
      </c>
    </row>
    <row r="655" ht="30" customHeight="1">
      <c r="A655" s="16" t="n">
        <v>45719</v>
      </c>
      <c r="B655" s="17" t="inlineStr">
        <is>
          <t>MH2503-01</t>
        </is>
      </c>
      <c r="C655" s="16" t="n">
        <v>45719</v>
      </c>
      <c r="D655" s="17" t="inlineStr">
        <is>
          <t>103</t>
        </is>
      </c>
      <c r="E655" s="16" t="n">
        <v>45719</v>
      </c>
      <c r="F655" s="16" t="inlineStr">
        <is>
          <t>XK2503-01</t>
        </is>
      </c>
      <c r="G655" s="16" t="n">
        <v>45719</v>
      </c>
      <c r="H655" s="17" t="inlineStr">
        <is>
          <t>CÔNG TY TNHH SẢN XUẤT THƯƠNG MẠI PHÁT TRIỂN TIẾN THÀNH</t>
        </is>
      </c>
      <c r="I655" s="17" t="inlineStr">
        <is>
          <t>Cầu chắn rác inox 304 D122</t>
        </is>
      </c>
      <c r="J655" s="17" t="inlineStr">
        <is>
          <t>Bộ</t>
        </is>
      </c>
      <c r="K655" s="19" t="n">
        <v>105000</v>
      </c>
      <c r="L655" s="20" t="n"/>
      <c r="M655" s="20" t="n"/>
      <c r="N655" s="43" t="n">
        <v>82</v>
      </c>
      <c r="O655" s="20" t="n">
        <v>8610000</v>
      </c>
      <c r="P655" s="43" t="n">
        <v>82</v>
      </c>
      <c r="Q655" s="20" t="n">
        <v>8610000</v>
      </c>
      <c r="R655" s="42">
        <f>+L655+N655-P655</f>
        <v/>
      </c>
      <c r="S655" s="42">
        <f>+M655+O655-Q655</f>
        <v/>
      </c>
    </row>
    <row r="656" ht="15" customHeight="1">
      <c r="A656" s="16" t="n">
        <v>45719</v>
      </c>
      <c r="B656" s="17" t="inlineStr">
        <is>
          <t>MH2503-02</t>
        </is>
      </c>
      <c r="C656" s="16" t="n">
        <v>45719</v>
      </c>
      <c r="D656" s="17" t="inlineStr">
        <is>
          <t>0000031</t>
        </is>
      </c>
      <c r="E656" s="16" t="n">
        <v>45719</v>
      </c>
      <c r="F656" s="16" t="inlineStr">
        <is>
          <t>XK2503-02</t>
        </is>
      </c>
      <c r="G656" s="16" t="n">
        <v>45719</v>
      </c>
      <c r="H656" s="17" t="inlineStr">
        <is>
          <t>CÔNG TY TNHH TÀI LỘC WINDOW</t>
        </is>
      </c>
      <c r="I656" s="17" t="inlineStr">
        <is>
          <t>Cửa thép An toàn Galaxy</t>
        </is>
      </c>
      <c r="J656" s="17" t="inlineStr">
        <is>
          <t>Bộ</t>
        </is>
      </c>
      <c r="K656" s="19" t="n">
        <v>9460900</v>
      </c>
      <c r="L656" s="20" t="n"/>
      <c r="M656" s="20" t="n"/>
      <c r="N656" s="43" t="n">
        <v>12</v>
      </c>
      <c r="O656" s="20" t="n">
        <v>113530800</v>
      </c>
      <c r="P656" s="43" t="n">
        <v>12</v>
      </c>
      <c r="Q656" s="20" t="n">
        <v>113530800</v>
      </c>
      <c r="R656" s="42">
        <f>+L656+N656-P656</f>
        <v/>
      </c>
      <c r="S656" s="42">
        <f>+M656+O656-Q656</f>
        <v/>
      </c>
    </row>
    <row r="657" ht="15" customHeight="1">
      <c r="A657" s="16" t="n">
        <v>45719</v>
      </c>
      <c r="B657" s="17" t="inlineStr">
        <is>
          <t>MH2503-02</t>
        </is>
      </c>
      <c r="C657" s="16" t="n">
        <v>45719</v>
      </c>
      <c r="D657" s="17" t="inlineStr">
        <is>
          <t>0000031</t>
        </is>
      </c>
      <c r="E657" s="16" t="n">
        <v>45719</v>
      </c>
      <c r="F657" s="16" t="inlineStr">
        <is>
          <t>XK2503-02</t>
        </is>
      </c>
      <c r="G657" s="16" t="n">
        <v>45719</v>
      </c>
      <c r="H657" s="17" t="inlineStr">
        <is>
          <t>CÔNG TY TNHH TÀI LỘC WINDOW</t>
        </is>
      </c>
      <c r="I657" s="17" t="inlineStr">
        <is>
          <t>Cửa chớp thép An toàn Galaxy</t>
        </is>
      </c>
      <c r="J657" s="17" t="inlineStr">
        <is>
          <t>Bộ</t>
        </is>
      </c>
      <c r="K657" s="19" t="n">
        <v>7172784</v>
      </c>
      <c r="L657" s="20" t="n"/>
      <c r="M657" s="20" t="n"/>
      <c r="N657" s="43" t="n">
        <v>1</v>
      </c>
      <c r="O657" s="20" t="n">
        <v>7172784</v>
      </c>
      <c r="P657" s="43" t="n">
        <v>1</v>
      </c>
      <c r="Q657" s="20" t="n">
        <v>7172784</v>
      </c>
      <c r="R657" s="42">
        <f>+L657+N657-P657</f>
        <v/>
      </c>
      <c r="S657" s="42">
        <f>+M657+O657-Q657</f>
        <v/>
      </c>
    </row>
    <row r="658" ht="15" customHeight="1">
      <c r="A658" s="16" t="n">
        <v>45719</v>
      </c>
      <c r="B658" s="17" t="inlineStr">
        <is>
          <t>MH2503-02</t>
        </is>
      </c>
      <c r="C658" s="16" t="n">
        <v>45719</v>
      </c>
      <c r="D658" s="17" t="inlineStr">
        <is>
          <t>0000031</t>
        </is>
      </c>
      <c r="E658" s="16" t="n">
        <v>45719</v>
      </c>
      <c r="F658" s="16" t="inlineStr">
        <is>
          <t>XK2503-02</t>
        </is>
      </c>
      <c r="G658" s="16" t="n">
        <v>45719</v>
      </c>
      <c r="H658" s="17" t="inlineStr">
        <is>
          <t>CÔNG TY TNHH TÀI LỘC WINDOW</t>
        </is>
      </c>
      <c r="I658" s="17" t="inlineStr">
        <is>
          <t>Cửa thép chống cháy Galaxy EI120</t>
        </is>
      </c>
      <c r="J658" s="17" t="inlineStr">
        <is>
          <t>Bộ</t>
        </is>
      </c>
      <c r="K658" s="19" t="n">
        <v>13403713.43</v>
      </c>
      <c r="L658" s="20" t="n"/>
      <c r="M658" s="20" t="n"/>
      <c r="N658" s="43" t="n">
        <v>67</v>
      </c>
      <c r="O658" s="20" t="n">
        <v>898048800</v>
      </c>
      <c r="P658" s="43" t="n">
        <v>67</v>
      </c>
      <c r="Q658" s="20" t="n">
        <v>898048800</v>
      </c>
      <c r="R658" s="42">
        <f>+L658+N658-P658</f>
        <v/>
      </c>
      <c r="S658" s="42">
        <f>+M658+O658-Q658</f>
        <v/>
      </c>
    </row>
    <row r="659" ht="15" customHeight="1">
      <c r="A659" s="16" t="n">
        <v>45719</v>
      </c>
      <c r="B659" s="17" t="inlineStr">
        <is>
          <t>MH2503-02</t>
        </is>
      </c>
      <c r="C659" s="16" t="n">
        <v>45719</v>
      </c>
      <c r="D659" s="17" t="inlineStr">
        <is>
          <t>0000031</t>
        </is>
      </c>
      <c r="E659" s="16" t="n">
        <v>45719</v>
      </c>
      <c r="F659" s="16" t="inlineStr">
        <is>
          <t>XK2503-02</t>
        </is>
      </c>
      <c r="G659" s="16" t="n">
        <v>45719</v>
      </c>
      <c r="H659" s="17" t="inlineStr">
        <is>
          <t>CÔNG TY TNHH TÀI LỘC WINDOW</t>
        </is>
      </c>
      <c r="I659" s="17" t="inlineStr">
        <is>
          <t>Chi phí ra giấy kiểm định PCCC</t>
        </is>
      </c>
      <c r="J659" s="17" t="inlineStr">
        <is>
          <t>Bộ</t>
        </is>
      </c>
      <c r="K659" s="19" t="n">
        <v>14400000</v>
      </c>
      <c r="L659" s="20" t="n"/>
      <c r="M659" s="20" t="n"/>
      <c r="N659" s="43" t="n">
        <v>3</v>
      </c>
      <c r="O659" s="20" t="n">
        <v>43200000</v>
      </c>
      <c r="P659" s="43" t="n">
        <v>3</v>
      </c>
      <c r="Q659" s="20" t="n">
        <v>43200000</v>
      </c>
      <c r="R659" s="42">
        <f>+L659+N659-P659</f>
        <v/>
      </c>
      <c r="S659" s="42">
        <f>+M659+O659-Q659</f>
        <v/>
      </c>
    </row>
    <row r="660" ht="15" customHeight="1">
      <c r="A660" s="16" t="n">
        <v>45719</v>
      </c>
      <c r="B660" s="17" t="inlineStr">
        <is>
          <t>MH2503-02</t>
        </is>
      </c>
      <c r="C660" s="16" t="n">
        <v>45719</v>
      </c>
      <c r="D660" s="17" t="inlineStr">
        <is>
          <t>0000031</t>
        </is>
      </c>
      <c r="E660" s="16" t="n">
        <v>45719</v>
      </c>
      <c r="F660" s="16" t="inlineStr">
        <is>
          <t>XK2503-02</t>
        </is>
      </c>
      <c r="G660" s="16" t="n">
        <v>45719</v>
      </c>
      <c r="H660" s="17" t="inlineStr">
        <is>
          <t>CÔNG TY TNHH TÀI LỘC WINDOW</t>
        </is>
      </c>
      <c r="I660" s="17" t="inlineStr">
        <is>
          <t>Khoá tay gạt Inox SUS</t>
        </is>
      </c>
      <c r="J660" s="17" t="inlineStr">
        <is>
          <t>Bộ</t>
        </is>
      </c>
      <c r="K660" s="19" t="n">
        <v>624000</v>
      </c>
      <c r="L660" s="20" t="n"/>
      <c r="M660" s="20" t="n"/>
      <c r="N660" s="43" t="n">
        <v>2</v>
      </c>
      <c r="O660" s="20" t="n">
        <v>1248000</v>
      </c>
      <c r="P660" s="43" t="n">
        <v>2</v>
      </c>
      <c r="Q660" s="20" t="n">
        <v>1248000</v>
      </c>
      <c r="R660" s="42">
        <f>+L660+N660-P660</f>
        <v/>
      </c>
      <c r="S660" s="42">
        <f>+M660+O660-Q660</f>
        <v/>
      </c>
    </row>
    <row r="661" ht="15" customHeight="1">
      <c r="A661" s="16" t="n">
        <v>45719</v>
      </c>
      <c r="B661" s="17" t="inlineStr">
        <is>
          <t>MH2503-02</t>
        </is>
      </c>
      <c r="C661" s="16" t="n">
        <v>45719</v>
      </c>
      <c r="D661" s="17" t="inlineStr">
        <is>
          <t>0000031</t>
        </is>
      </c>
      <c r="E661" s="16" t="n">
        <v>45719</v>
      </c>
      <c r="F661" s="16" t="inlineStr">
        <is>
          <t>XK2503-02</t>
        </is>
      </c>
      <c r="G661" s="16" t="n">
        <v>45719</v>
      </c>
      <c r="H661" s="17" t="inlineStr">
        <is>
          <t>CÔNG TY TNHH TÀI LỘC WINDOW</t>
        </is>
      </c>
      <c r="I661" s="17" t="inlineStr">
        <is>
          <t>Khoá chốt chết CT2013SS</t>
        </is>
      </c>
      <c r="J661" s="17" t="inlineStr">
        <is>
          <t>Bộ</t>
        </is>
      </c>
      <c r="K661" s="19" t="n">
        <v>528000</v>
      </c>
      <c r="L661" s="20" t="n"/>
      <c r="M661" s="20" t="n"/>
      <c r="N661" s="43" t="n">
        <v>2</v>
      </c>
      <c r="O661" s="20" t="n">
        <v>1056000</v>
      </c>
      <c r="P661" s="43" t="n">
        <v>2</v>
      </c>
      <c r="Q661" s="20" t="n">
        <v>1056000</v>
      </c>
      <c r="R661" s="42">
        <f>+L661+N661-P661</f>
        <v/>
      </c>
      <c r="S661" s="42">
        <f>+M661+O661-Q661</f>
        <v/>
      </c>
    </row>
    <row r="662" ht="15" customHeight="1">
      <c r="A662" s="16" t="n">
        <v>45719</v>
      </c>
      <c r="B662" s="17" t="inlineStr">
        <is>
          <t>MH2503-02</t>
        </is>
      </c>
      <c r="C662" s="16" t="n">
        <v>45719</v>
      </c>
      <c r="D662" s="17" t="inlineStr">
        <is>
          <t>0000031</t>
        </is>
      </c>
      <c r="E662" s="16" t="n">
        <v>45719</v>
      </c>
      <c r="F662" s="16" t="inlineStr">
        <is>
          <t>XK2503-02</t>
        </is>
      </c>
      <c r="G662" s="16" t="n">
        <v>45719</v>
      </c>
      <c r="H662" s="17" t="inlineStr">
        <is>
          <t>CÔNG TY TNHH TÀI LỘC WINDOW</t>
        </is>
      </c>
      <c r="I662" s="17" t="inlineStr">
        <is>
          <t>Khoá tay gạt Inox 304 GLX L8033SS</t>
        </is>
      </c>
      <c r="J662" s="17" t="inlineStr">
        <is>
          <t>Bộ</t>
        </is>
      </c>
      <c r="K662" s="19" t="n">
        <v>1200000</v>
      </c>
      <c r="L662" s="20" t="n"/>
      <c r="M662" s="20" t="n"/>
      <c r="N662" s="43" t="n">
        <v>2</v>
      </c>
      <c r="O662" s="20" t="n">
        <v>2400000</v>
      </c>
      <c r="P662" s="43" t="n">
        <v>2</v>
      </c>
      <c r="Q662" s="20" t="n">
        <v>2400000</v>
      </c>
      <c r="R662" s="42">
        <f>+L662+N662-P662</f>
        <v/>
      </c>
      <c r="S662" s="42">
        <f>+M662+O662-Q662</f>
        <v/>
      </c>
    </row>
    <row r="663" ht="15" customHeight="1">
      <c r="A663" s="16" t="n">
        <v>45719</v>
      </c>
      <c r="B663" s="17" t="inlineStr">
        <is>
          <t>MH2503-02</t>
        </is>
      </c>
      <c r="C663" s="16" t="n">
        <v>45719</v>
      </c>
      <c r="D663" s="17" t="inlineStr">
        <is>
          <t>0000031</t>
        </is>
      </c>
      <c r="E663" s="16" t="n">
        <v>45719</v>
      </c>
      <c r="F663" s="16" t="inlineStr">
        <is>
          <t>XK2503-02</t>
        </is>
      </c>
      <c r="G663" s="16" t="n">
        <v>45719</v>
      </c>
      <c r="H663" s="17" t="inlineStr">
        <is>
          <t>CÔNG TY TNHH TÀI LỘC WINDOW</t>
        </is>
      </c>
      <c r="I663" s="17" t="inlineStr">
        <is>
          <t>Khoá thoát hiểm 006S</t>
        </is>
      </c>
      <c r="J663" s="17" t="inlineStr">
        <is>
          <t>Bộ</t>
        </is>
      </c>
      <c r="K663" s="19" t="n">
        <v>720000</v>
      </c>
      <c r="L663" s="20" t="n"/>
      <c r="M663" s="20" t="n"/>
      <c r="N663" s="43" t="n">
        <v>2</v>
      </c>
      <c r="O663" s="20" t="n">
        <v>1440000</v>
      </c>
      <c r="P663" s="43" t="n">
        <v>2</v>
      </c>
      <c r="Q663" s="20" t="n">
        <v>1440000</v>
      </c>
      <c r="R663" s="42">
        <f>+L663+N663-P663</f>
        <v/>
      </c>
      <c r="S663" s="42">
        <f>+M663+O663-Q663</f>
        <v/>
      </c>
    </row>
    <row r="664" ht="15" customHeight="1">
      <c r="A664" s="16" t="n">
        <v>45719</v>
      </c>
      <c r="B664" s="17" t="inlineStr">
        <is>
          <t>MH2503-02</t>
        </is>
      </c>
      <c r="C664" s="16" t="n">
        <v>45719</v>
      </c>
      <c r="D664" s="17" t="inlineStr">
        <is>
          <t>0000031</t>
        </is>
      </c>
      <c r="E664" s="16" t="n">
        <v>45719</v>
      </c>
      <c r="F664" s="16" t="inlineStr">
        <is>
          <t>XK2503-02</t>
        </is>
      </c>
      <c r="G664" s="16" t="n">
        <v>45719</v>
      </c>
      <c r="H664" s="17" t="inlineStr">
        <is>
          <t>CÔNG TY TNHH TÀI LỘC WINDOW</t>
        </is>
      </c>
      <c r="I664" s="17" t="inlineStr">
        <is>
          <t>Thanh đẩy thoát hiểm đơn 500S</t>
        </is>
      </c>
      <c r="J664" s="17" t="inlineStr">
        <is>
          <t>Bộ</t>
        </is>
      </c>
      <c r="K664" s="19" t="n">
        <v>1392000</v>
      </c>
      <c r="L664" s="20" t="n"/>
      <c r="M664" s="20" t="n"/>
      <c r="N664" s="43" t="n">
        <v>2</v>
      </c>
      <c r="O664" s="20" t="n">
        <v>2784000</v>
      </c>
      <c r="P664" s="43" t="n">
        <v>2</v>
      </c>
      <c r="Q664" s="20" t="n">
        <v>2784000</v>
      </c>
      <c r="R664" s="42">
        <f>+L664+N664-P664</f>
        <v/>
      </c>
      <c r="S664" s="42">
        <f>+M664+O664-Q664</f>
        <v/>
      </c>
    </row>
    <row r="665" ht="15" customHeight="1">
      <c r="A665" s="16" t="n">
        <v>45719</v>
      </c>
      <c r="B665" s="17" t="inlineStr">
        <is>
          <t>MH2503-02</t>
        </is>
      </c>
      <c r="C665" s="16" t="n">
        <v>45719</v>
      </c>
      <c r="D665" s="17" t="inlineStr">
        <is>
          <t>0000031</t>
        </is>
      </c>
      <c r="E665" s="16" t="n">
        <v>45719</v>
      </c>
      <c r="F665" s="16" t="inlineStr">
        <is>
          <t>XK2503-02</t>
        </is>
      </c>
      <c r="G665" s="16" t="n">
        <v>45719</v>
      </c>
      <c r="H665" s="17" t="inlineStr">
        <is>
          <t>CÔNG TY TNHH TÀI LỘC WINDOW</t>
        </is>
      </c>
      <c r="I665" s="17" t="inlineStr">
        <is>
          <t>Tay co thủy lực galaxy 8004</t>
        </is>
      </c>
      <c r="J665" s="17" t="inlineStr">
        <is>
          <t>Bộ</t>
        </is>
      </c>
      <c r="K665" s="19" t="n">
        <v>624000</v>
      </c>
      <c r="L665" s="20" t="n"/>
      <c r="M665" s="20" t="n"/>
      <c r="N665" s="43" t="n">
        <v>2</v>
      </c>
      <c r="O665" s="20" t="n">
        <v>1248000</v>
      </c>
      <c r="P665" s="43" t="n">
        <v>2</v>
      </c>
      <c r="Q665" s="20" t="n">
        <v>1248000</v>
      </c>
      <c r="R665" s="42">
        <f>+L665+N665-P665</f>
        <v/>
      </c>
      <c r="S665" s="42">
        <f>+M665+O665-Q665</f>
        <v/>
      </c>
    </row>
    <row r="666" ht="15" customHeight="1">
      <c r="A666" s="16" t="n">
        <v>45719</v>
      </c>
      <c r="B666" s="17" t="inlineStr">
        <is>
          <t>MH2503-02</t>
        </is>
      </c>
      <c r="C666" s="16" t="n">
        <v>45719</v>
      </c>
      <c r="D666" s="17" t="inlineStr">
        <is>
          <t>0000031</t>
        </is>
      </c>
      <c r="E666" s="16" t="n">
        <v>45719</v>
      </c>
      <c r="F666" s="16" t="inlineStr">
        <is>
          <t>XK2503-02</t>
        </is>
      </c>
      <c r="G666" s="16" t="n">
        <v>45719</v>
      </c>
      <c r="H666" s="17" t="inlineStr">
        <is>
          <t>CÔNG TY TNHH TÀI LỘC WINDOW</t>
        </is>
      </c>
      <c r="I666" s="17" t="inlineStr">
        <is>
          <t>Bộ tấm kéo đẩy</t>
        </is>
      </c>
      <c r="J666" s="17" t="inlineStr">
        <is>
          <t>Bộ</t>
        </is>
      </c>
      <c r="K666" s="19" t="n">
        <v>403200</v>
      </c>
      <c r="L666" s="20" t="n"/>
      <c r="M666" s="20" t="n"/>
      <c r="N666" s="43" t="n">
        <v>2</v>
      </c>
      <c r="O666" s="20" t="n">
        <v>806400</v>
      </c>
      <c r="P666" s="43" t="n">
        <v>2</v>
      </c>
      <c r="Q666" s="20" t="n">
        <v>806400</v>
      </c>
      <c r="R666" s="42">
        <f>+L666+N666-P666</f>
        <v/>
      </c>
      <c r="S666" s="42">
        <f>+M666+O666-Q666</f>
        <v/>
      </c>
    </row>
    <row r="667" ht="15" customHeight="1">
      <c r="A667" s="16" t="n">
        <v>45719</v>
      </c>
      <c r="B667" s="17" t="inlineStr">
        <is>
          <t>MH2503-02</t>
        </is>
      </c>
      <c r="C667" s="16" t="n">
        <v>45719</v>
      </c>
      <c r="D667" s="17" t="inlineStr">
        <is>
          <t>0000031</t>
        </is>
      </c>
      <c r="E667" s="16" t="n">
        <v>45719</v>
      </c>
      <c r="F667" s="16" t="inlineStr">
        <is>
          <t>XK2503-02</t>
        </is>
      </c>
      <c r="G667" s="16" t="n">
        <v>45719</v>
      </c>
      <c r="H667" s="17" t="inlineStr">
        <is>
          <t>CÔNG TY TNHH TÀI LỘC WINDOW</t>
        </is>
      </c>
      <c r="I667" s="17" t="inlineStr">
        <is>
          <t>Chặn cửa</t>
        </is>
      </c>
      <c r="J667" s="17" t="inlineStr">
        <is>
          <t>Bộ</t>
        </is>
      </c>
      <c r="K667" s="19" t="n">
        <v>115200</v>
      </c>
      <c r="L667" s="20" t="n"/>
      <c r="M667" s="20" t="n"/>
      <c r="N667" s="43" t="n">
        <v>2</v>
      </c>
      <c r="O667" s="20" t="n">
        <v>230400</v>
      </c>
      <c r="P667" s="43" t="n">
        <v>2</v>
      </c>
      <c r="Q667" s="20" t="n">
        <v>230400</v>
      </c>
      <c r="R667" s="42">
        <f>+L667+N667-P667</f>
        <v/>
      </c>
      <c r="S667" s="42">
        <f>+M667+O667-Q667</f>
        <v/>
      </c>
    </row>
    <row r="668" ht="15" customHeight="1">
      <c r="A668" s="16" t="n">
        <v>45719</v>
      </c>
      <c r="B668" s="17" t="inlineStr">
        <is>
          <t>MH2503-02</t>
        </is>
      </c>
      <c r="C668" s="16" t="n">
        <v>45719</v>
      </c>
      <c r="D668" s="17" t="inlineStr">
        <is>
          <t>0000031</t>
        </is>
      </c>
      <c r="E668" s="16" t="n">
        <v>45719</v>
      </c>
      <c r="F668" s="16" t="inlineStr">
        <is>
          <t>XK2503-02</t>
        </is>
      </c>
      <c r="G668" s="16" t="n">
        <v>45719</v>
      </c>
      <c r="H668" s="17" t="inlineStr">
        <is>
          <t>CÔNG TY TNHH TÀI LỘC WINDOW</t>
        </is>
      </c>
      <c r="I668" s="17" t="inlineStr">
        <is>
          <t>Cửa cuốn thép tấm liền đồng bộ Austdoor</t>
        </is>
      </c>
      <c r="J668" s="17" t="inlineStr">
        <is>
          <t>Bộ</t>
        </is>
      </c>
      <c r="K668" s="19" t="n">
        <v>21112584</v>
      </c>
      <c r="L668" s="20" t="n"/>
      <c r="M668" s="20" t="n"/>
      <c r="N668" s="43" t="n">
        <v>2</v>
      </c>
      <c r="O668" s="20" t="n">
        <v>42225168</v>
      </c>
      <c r="P668" s="43" t="n">
        <v>2</v>
      </c>
      <c r="Q668" s="20" t="n">
        <v>42225168</v>
      </c>
      <c r="R668" s="42">
        <f>+L668+N668-P668</f>
        <v/>
      </c>
      <c r="S668" s="42">
        <f>+M668+O668-Q668</f>
        <v/>
      </c>
    </row>
    <row r="669" ht="15" customHeight="1">
      <c r="A669" s="16" t="n">
        <v>45721</v>
      </c>
      <c r="B669" s="17" t="inlineStr">
        <is>
          <t>MH2503-03</t>
        </is>
      </c>
      <c r="C669" s="16" t="n">
        <v>45721</v>
      </c>
      <c r="D669" s="17" t="inlineStr">
        <is>
          <t>00000629</t>
        </is>
      </c>
      <c r="E669" s="16" t="n">
        <v>45721</v>
      </c>
      <c r="F669" s="16" t="inlineStr">
        <is>
          <t>XK2503-03</t>
        </is>
      </c>
      <c r="G669" s="16" t="n">
        <v>45721</v>
      </c>
      <c r="H669" s="17" t="inlineStr">
        <is>
          <t>CÔNG TY TNHH TÂN MỸ HẠNH</t>
        </is>
      </c>
      <c r="I669" s="17" t="inlineStr">
        <is>
          <t>Thép dày mạ kẽm</t>
        </is>
      </c>
      <c r="J669" s="17" t="inlineStr">
        <is>
          <t>kg</t>
        </is>
      </c>
      <c r="K669" s="19" t="n">
        <v>22696</v>
      </c>
      <c r="L669" s="20" t="n"/>
      <c r="M669" s="20" t="n"/>
      <c r="N669" s="43" t="n">
        <v>46.737</v>
      </c>
      <c r="O669" s="20" t="n">
        <v>1060743</v>
      </c>
      <c r="P669" s="43" t="n">
        <v>46.737</v>
      </c>
      <c r="Q669" s="20" t="n">
        <v>1060743</v>
      </c>
      <c r="R669" s="42">
        <f>+L669+N669-P669</f>
        <v/>
      </c>
      <c r="S669" s="42">
        <f>+M669+O669-Q669</f>
        <v/>
      </c>
    </row>
    <row r="670" ht="15" customHeight="1">
      <c r="A670" s="16" t="n">
        <v>45721</v>
      </c>
      <c r="B670" s="17" t="inlineStr">
        <is>
          <t>MH2503-03</t>
        </is>
      </c>
      <c r="C670" s="16" t="n">
        <v>45721</v>
      </c>
      <c r="D670" s="17" t="inlineStr">
        <is>
          <t>00000629</t>
        </is>
      </c>
      <c r="E670" s="16" t="n">
        <v>45721</v>
      </c>
      <c r="F670" s="16" t="inlineStr">
        <is>
          <t>XK2503-03</t>
        </is>
      </c>
      <c r="G670" s="16" t="n">
        <v>45721</v>
      </c>
      <c r="H670" s="17" t="inlineStr">
        <is>
          <t>CÔNG TY TNHH TÂN MỸ HẠNH</t>
        </is>
      </c>
      <c r="I670" s="17" t="inlineStr">
        <is>
          <t>Xà gồ kẽm Z</t>
        </is>
      </c>
      <c r="J670" s="17" t="inlineStr">
        <is>
          <t>kg</t>
        </is>
      </c>
      <c r="K670" s="19" t="n">
        <v>18976</v>
      </c>
      <c r="L670" s="20" t="n"/>
      <c r="M670" s="20" t="n"/>
      <c r="N670" s="43" t="n">
        <v>2183.84</v>
      </c>
      <c r="O670" s="20" t="n">
        <v>41440548</v>
      </c>
      <c r="P670" s="43" t="n">
        <v>2183.84</v>
      </c>
      <c r="Q670" s="20" t="n">
        <v>41440548</v>
      </c>
      <c r="R670" s="42">
        <f>+L670+N670-P670</f>
        <v/>
      </c>
      <c r="S670" s="42">
        <f>+M670+O670-Q670</f>
        <v/>
      </c>
    </row>
    <row r="671" ht="15" customHeight="1">
      <c r="A671" s="16" t="n">
        <v>45721</v>
      </c>
      <c r="B671" s="17" t="inlineStr">
        <is>
          <t>MH2503-04</t>
        </is>
      </c>
      <c r="C671" s="16" t="n">
        <v>45721</v>
      </c>
      <c r="D671" s="17" t="inlineStr">
        <is>
          <t>00000630</t>
        </is>
      </c>
      <c r="E671" s="16" t="n">
        <v>45721</v>
      </c>
      <c r="F671" s="16" t="inlineStr">
        <is>
          <t>XK2503-04</t>
        </is>
      </c>
      <c r="G671" s="16" t="n">
        <v>45721</v>
      </c>
      <c r="H671" s="17" t="inlineStr">
        <is>
          <t>CÔNG TY TNHH TÂN MỸ HẠNH</t>
        </is>
      </c>
      <c r="I671" s="17" t="inlineStr">
        <is>
          <t>Tôn mạ màu</t>
        </is>
      </c>
      <c r="J671" s="17" t="inlineStr">
        <is>
          <t>kg</t>
        </is>
      </c>
      <c r="K671" s="19" t="n">
        <v>29376</v>
      </c>
      <c r="L671" s="20" t="n"/>
      <c r="M671" s="20" t="n"/>
      <c r="N671" s="43" t="n">
        <v>21077.782</v>
      </c>
      <c r="O671" s="20" t="n">
        <v>619180924</v>
      </c>
      <c r="P671" s="43" t="n">
        <v>21077.782</v>
      </c>
      <c r="Q671" s="20" t="n">
        <v>619180924</v>
      </c>
      <c r="R671" s="42">
        <f>+L671+N671-P671</f>
        <v/>
      </c>
      <c r="S671" s="42">
        <f>+M671+O671-Q671</f>
        <v/>
      </c>
    </row>
    <row r="672" ht="15" customHeight="1">
      <c r="A672" s="16" t="n">
        <v>45721</v>
      </c>
      <c r="B672" s="17" t="inlineStr">
        <is>
          <t>MH2503-04</t>
        </is>
      </c>
      <c r="C672" s="16" t="n">
        <v>45721</v>
      </c>
      <c r="D672" s="17" t="inlineStr">
        <is>
          <t>00000630</t>
        </is>
      </c>
      <c r="E672" s="16" t="n">
        <v>45721</v>
      </c>
      <c r="F672" s="16" t="inlineStr">
        <is>
          <t>XK2503-04</t>
        </is>
      </c>
      <c r="G672" s="16" t="n">
        <v>45721</v>
      </c>
      <c r="H672" s="17" t="inlineStr">
        <is>
          <t>CÔNG TY TNHH TÂN MỸ HẠNH</t>
        </is>
      </c>
      <c r="I672" s="17" t="inlineStr">
        <is>
          <t>Inox</t>
        </is>
      </c>
      <c r="J672" s="17" t="inlineStr">
        <is>
          <t>kg</t>
        </is>
      </c>
      <c r="K672" s="19" t="n">
        <v>67400</v>
      </c>
      <c r="L672" s="20" t="n"/>
      <c r="M672" s="20" t="n"/>
      <c r="N672" s="43" t="n">
        <v>2531.9277</v>
      </c>
      <c r="O672" s="20" t="n">
        <v>170651927</v>
      </c>
      <c r="P672" s="43" t="n">
        <v>2531.9277</v>
      </c>
      <c r="Q672" s="20" t="n">
        <v>170651927</v>
      </c>
      <c r="R672" s="42">
        <f>+L672+N672-P672</f>
        <v/>
      </c>
      <c r="S672" s="42">
        <f>+M672+O672-Q672</f>
        <v/>
      </c>
    </row>
    <row r="673" ht="15" customHeight="1">
      <c r="A673" s="16" t="n">
        <v>45721</v>
      </c>
      <c r="B673" s="17" t="inlineStr">
        <is>
          <t>MH2503-04</t>
        </is>
      </c>
      <c r="C673" s="16" t="n">
        <v>45721</v>
      </c>
      <c r="D673" s="17" t="inlineStr">
        <is>
          <t>00000630</t>
        </is>
      </c>
      <c r="E673" s="16" t="n">
        <v>45721</v>
      </c>
      <c r="F673" s="16" t="inlineStr">
        <is>
          <t>XK2503-04</t>
        </is>
      </c>
      <c r="G673" s="16" t="n">
        <v>45721</v>
      </c>
      <c r="H673" s="17" t="inlineStr">
        <is>
          <t>CÔNG TY TNHH TÂN MỸ HẠNH</t>
        </is>
      </c>
      <c r="I673" s="17" t="inlineStr">
        <is>
          <t>Thép dày mạ kẽm</t>
        </is>
      </c>
      <c r="J673" s="17" t="inlineStr">
        <is>
          <t>kg</t>
        </is>
      </c>
      <c r="K673" s="19" t="n">
        <v>22696</v>
      </c>
      <c r="L673" s="20" t="n"/>
      <c r="M673" s="20" t="n"/>
      <c r="N673" s="43" t="n">
        <v>4126.4861</v>
      </c>
      <c r="O673" s="20" t="n">
        <v>93654729</v>
      </c>
      <c r="P673" s="43" t="n">
        <v>4126.4861</v>
      </c>
      <c r="Q673" s="20" t="n">
        <v>93654729</v>
      </c>
      <c r="R673" s="42">
        <f>+L673+N673-P673</f>
        <v/>
      </c>
      <c r="S673" s="42">
        <f>+M673+O673-Q673</f>
        <v/>
      </c>
    </row>
    <row r="674" ht="30" customHeight="1">
      <c r="A674" s="16" t="n">
        <v>45721</v>
      </c>
      <c r="B674" s="17" t="inlineStr">
        <is>
          <t>MH2503-05</t>
        </is>
      </c>
      <c r="C674" s="16" t="n">
        <v>45721</v>
      </c>
      <c r="D674" s="17" t="inlineStr">
        <is>
          <t>00000922</t>
        </is>
      </c>
      <c r="E674" s="16" t="n">
        <v>45721</v>
      </c>
      <c r="F674" s="16" t="inlineStr">
        <is>
          <t>XK2503-05</t>
        </is>
      </c>
      <c r="G674" s="16" t="n">
        <v>45721</v>
      </c>
      <c r="H674" s="17" t="inlineStr">
        <is>
          <t>CÔNG TY TNHH MTV SẢN XUẤT THƯƠNG MẠI DỊCH VỤ THANH HUYỀN</t>
        </is>
      </c>
      <c r="I674" s="17" t="inlineStr">
        <is>
          <t>Thép lá mạ</t>
        </is>
      </c>
      <c r="J674" s="17" t="inlineStr">
        <is>
          <t>kg</t>
        </is>
      </c>
      <c r="K674" s="19" t="n">
        <v>20554.69</v>
      </c>
      <c r="L674" s="20" t="n"/>
      <c r="M674" s="20" t="n"/>
      <c r="N674" s="43" t="n">
        <v>3050</v>
      </c>
      <c r="O674" s="20" t="n">
        <v>62691817</v>
      </c>
      <c r="P674" s="43" t="n">
        <v>3050</v>
      </c>
      <c r="Q674" s="20" t="n">
        <v>62691817</v>
      </c>
      <c r="R674" s="42">
        <f>+L674+N674-P674</f>
        <v/>
      </c>
      <c r="S674" s="42">
        <f>+M674+O674-Q674</f>
        <v/>
      </c>
    </row>
    <row r="675" ht="30" customHeight="1">
      <c r="A675" s="16" t="n">
        <v>45721</v>
      </c>
      <c r="B675" s="17" t="inlineStr">
        <is>
          <t>MH2503-05</t>
        </is>
      </c>
      <c r="C675" s="16" t="n">
        <v>45721</v>
      </c>
      <c r="D675" s="17" t="inlineStr">
        <is>
          <t>00000923</t>
        </is>
      </c>
      <c r="E675" s="16" t="n">
        <v>45721</v>
      </c>
      <c r="F675" s="16" t="inlineStr">
        <is>
          <t>XK2503-06</t>
        </is>
      </c>
      <c r="G675" s="16" t="n">
        <v>45721</v>
      </c>
      <c r="H675" s="17" t="inlineStr">
        <is>
          <t>CÔNG TY TNHH MTV SẢN XUẤT THƯƠNG MẠI DỊCH VỤ THANH HUYỀN</t>
        </is>
      </c>
      <c r="I675" s="17" t="inlineStr">
        <is>
          <t>Tôn nhựa</t>
        </is>
      </c>
      <c r="J675" s="17" t="inlineStr">
        <is>
          <t>kg</t>
        </is>
      </c>
      <c r="K675" s="19" t="n">
        <v>69444.44</v>
      </c>
      <c r="L675" s="20" t="n"/>
      <c r="M675" s="20" t="n"/>
      <c r="N675" s="43" t="n">
        <v>96</v>
      </c>
      <c r="O675" s="20" t="n">
        <v>6666667</v>
      </c>
      <c r="P675" s="43" t="n">
        <v>96</v>
      </c>
      <c r="Q675" s="20" t="n">
        <v>6666667</v>
      </c>
      <c r="R675" s="42">
        <f>+L675+N675-P675</f>
        <v/>
      </c>
      <c r="S675" s="42">
        <f>+M675+O675-Q675</f>
        <v/>
      </c>
    </row>
    <row r="676" ht="30" customHeight="1">
      <c r="A676" s="16" t="n">
        <v>45722</v>
      </c>
      <c r="B676" s="17" t="inlineStr">
        <is>
          <t>MH2503-07</t>
        </is>
      </c>
      <c r="C676" s="16" t="n">
        <v>45722</v>
      </c>
      <c r="D676" s="17" t="inlineStr">
        <is>
          <t>00000657</t>
        </is>
      </c>
      <c r="E676" s="16" t="n">
        <v>45722</v>
      </c>
      <c r="F676" s="16" t="inlineStr">
        <is>
          <t>XK2503-07</t>
        </is>
      </c>
      <c r="G676" s="16" t="n">
        <v>45722</v>
      </c>
      <c r="H676" s="17" t="inlineStr">
        <is>
          <t>CÔNG TY CỔ PHẦN CÔNG NGHIỆP VÀ THƯƠNG MẠI CƯỜNG THỊNH</t>
        </is>
      </c>
      <c r="I676" s="17" t="inlineStr">
        <is>
          <t>Vít B2 Dacromet 12-14x20</t>
        </is>
      </c>
      <c r="J676" s="17" t="inlineStr">
        <is>
          <t>Cái</t>
        </is>
      </c>
      <c r="K676" s="19" t="n">
        <v>600</v>
      </c>
      <c r="L676" s="20" t="n"/>
      <c r="M676" s="20" t="n"/>
      <c r="N676" s="43" t="n">
        <v>1200</v>
      </c>
      <c r="O676" s="20" t="n">
        <v>720000</v>
      </c>
      <c r="P676" s="43" t="n">
        <v>1200</v>
      </c>
      <c r="Q676" s="20" t="n">
        <v>720000</v>
      </c>
      <c r="R676" s="42">
        <f>+L676+N676-P676</f>
        <v/>
      </c>
      <c r="S676" s="42">
        <f>+M676+O676-Q676</f>
        <v/>
      </c>
    </row>
    <row r="677" ht="30" customHeight="1">
      <c r="A677" s="16" t="n">
        <v>45722</v>
      </c>
      <c r="B677" s="17" t="inlineStr">
        <is>
          <t>MH2503-07</t>
        </is>
      </c>
      <c r="C677" s="16" t="n">
        <v>45722</v>
      </c>
      <c r="D677" s="17" t="inlineStr">
        <is>
          <t>00000657</t>
        </is>
      </c>
      <c r="E677" s="16" t="n">
        <v>45722</v>
      </c>
      <c r="F677" s="16" t="inlineStr">
        <is>
          <t>XK2503-07</t>
        </is>
      </c>
      <c r="G677" s="16" t="n">
        <v>45722</v>
      </c>
      <c r="H677" s="17" t="inlineStr">
        <is>
          <t>CÔNG TY CỔ PHẦN CÔNG NGHIỆP VÀ THƯƠNG MẠI CƯỜNG THỊNH</t>
        </is>
      </c>
      <c r="I677" s="17" t="inlineStr">
        <is>
          <t>Ty giằng 2 đầu ren 4.6 ZP M16</t>
        </is>
      </c>
      <c r="J677" s="17" t="inlineStr">
        <is>
          <t>Cái</t>
        </is>
      </c>
      <c r="K677" s="19" t="n">
        <v>48000</v>
      </c>
      <c r="L677" s="20" t="n"/>
      <c r="M677" s="20" t="n"/>
      <c r="N677" s="43" t="n">
        <v>263.65</v>
      </c>
      <c r="O677" s="20" t="n">
        <v>12655200</v>
      </c>
      <c r="P677" s="43" t="n">
        <v>263.65</v>
      </c>
      <c r="Q677" s="20" t="n">
        <v>12655200</v>
      </c>
      <c r="R677" s="42">
        <f>+L677+N677-P677</f>
        <v/>
      </c>
      <c r="S677" s="42">
        <f>+M677+O677-Q677</f>
        <v/>
      </c>
    </row>
    <row r="678" ht="30" customHeight="1">
      <c r="A678" s="16" t="n">
        <v>45722</v>
      </c>
      <c r="B678" s="17" t="inlineStr">
        <is>
          <t>MH2503-07</t>
        </is>
      </c>
      <c r="C678" s="16" t="n">
        <v>45722</v>
      </c>
      <c r="D678" s="17" t="inlineStr">
        <is>
          <t>00000657</t>
        </is>
      </c>
      <c r="E678" s="16" t="n">
        <v>45722</v>
      </c>
      <c r="F678" s="16" t="inlineStr">
        <is>
          <t>XK2503-07</t>
        </is>
      </c>
      <c r="G678" s="16" t="n">
        <v>45722</v>
      </c>
      <c r="H678" s="17" t="inlineStr">
        <is>
          <t>CÔNG TY CỔ PHẦN CÔNG NGHIỆP VÀ THƯƠNG MẠI CƯỜNG THỊNH</t>
        </is>
      </c>
      <c r="I678" s="17" t="inlineStr">
        <is>
          <t>Đai ốc Din 934 5 ZP M16</t>
        </is>
      </c>
      <c r="J678" s="17" t="inlineStr">
        <is>
          <t>Cái</t>
        </is>
      </c>
      <c r="K678" s="19" t="n">
        <v>1110</v>
      </c>
      <c r="L678" s="20" t="n"/>
      <c r="M678" s="20" t="n"/>
      <c r="N678" s="43" t="n">
        <v>144</v>
      </c>
      <c r="O678" s="20" t="n">
        <v>159840</v>
      </c>
      <c r="P678" s="43" t="n">
        <v>144</v>
      </c>
      <c r="Q678" s="20" t="n">
        <v>159840</v>
      </c>
      <c r="R678" s="42">
        <f>+L678+N678-P678</f>
        <v/>
      </c>
      <c r="S678" s="42">
        <f>+M678+O678-Q678</f>
        <v/>
      </c>
    </row>
    <row r="679" ht="30" customHeight="1">
      <c r="A679" s="16" t="n">
        <v>45722</v>
      </c>
      <c r="B679" s="17" t="inlineStr">
        <is>
          <t>MH2503-07</t>
        </is>
      </c>
      <c r="C679" s="16" t="n">
        <v>45722</v>
      </c>
      <c r="D679" s="17" t="inlineStr">
        <is>
          <t>00000657</t>
        </is>
      </c>
      <c r="E679" s="16" t="n">
        <v>45722</v>
      </c>
      <c r="F679" s="16" t="inlineStr">
        <is>
          <t>XK2503-07</t>
        </is>
      </c>
      <c r="G679" s="16" t="n">
        <v>45722</v>
      </c>
      <c r="H679" s="17" t="inlineStr">
        <is>
          <t>CÔNG TY CỔ PHẦN CÔNG NGHIỆP VÀ THƯƠNG MẠI CƯỜNG THỊNH</t>
        </is>
      </c>
      <c r="I679" s="17" t="inlineStr">
        <is>
          <t>Long đền thường ZP M16B42D2</t>
        </is>
      </c>
      <c r="J679" s="17" t="inlineStr">
        <is>
          <t>Cái</t>
        </is>
      </c>
      <c r="K679" s="19" t="n">
        <v>800</v>
      </c>
      <c r="L679" s="20" t="n"/>
      <c r="M679" s="20" t="n"/>
      <c r="N679" s="43" t="n">
        <v>144</v>
      </c>
      <c r="O679" s="20" t="n">
        <v>115200</v>
      </c>
      <c r="P679" s="43" t="n">
        <v>144</v>
      </c>
      <c r="Q679" s="20" t="n">
        <v>115200</v>
      </c>
      <c r="R679" s="42">
        <f>+L679+N679-P679</f>
        <v/>
      </c>
      <c r="S679" s="42">
        <f>+M679+O679-Q679</f>
        <v/>
      </c>
    </row>
    <row r="680" ht="30" customHeight="1">
      <c r="A680" s="16" t="n">
        <v>45722</v>
      </c>
      <c r="B680" s="17" t="inlineStr">
        <is>
          <t>MH2503-07</t>
        </is>
      </c>
      <c r="C680" s="16" t="n">
        <v>45722</v>
      </c>
      <c r="D680" s="17" t="inlineStr">
        <is>
          <t>00000657</t>
        </is>
      </c>
      <c r="E680" s="16" t="n">
        <v>45722</v>
      </c>
      <c r="F680" s="16" t="inlineStr">
        <is>
          <t>XK2503-07</t>
        </is>
      </c>
      <c r="G680" s="16" t="n">
        <v>45722</v>
      </c>
      <c r="H680" s="17" t="inlineStr">
        <is>
          <t>CÔNG TY CỔ PHẦN CÔNG NGHIỆP VÀ THƯƠNG MẠI CƯỜNG THỊNH</t>
        </is>
      </c>
      <c r="I680" s="17" t="inlineStr">
        <is>
          <t>Long đền móng ngựa ZP M16</t>
        </is>
      </c>
      <c r="J680" s="17" t="inlineStr">
        <is>
          <t>Cái</t>
        </is>
      </c>
      <c r="K680" s="19" t="n">
        <v>15670</v>
      </c>
      <c r="L680" s="20" t="n"/>
      <c r="M680" s="20" t="n"/>
      <c r="N680" s="43" t="n">
        <v>144</v>
      </c>
      <c r="O680" s="20" t="n">
        <v>2256480</v>
      </c>
      <c r="P680" s="43" t="n">
        <v>144</v>
      </c>
      <c r="Q680" s="20" t="n">
        <v>2256480</v>
      </c>
      <c r="R680" s="42">
        <f>+L680+N680-P680</f>
        <v/>
      </c>
      <c r="S680" s="42">
        <f>+M680+O680-Q680</f>
        <v/>
      </c>
    </row>
    <row r="681" ht="30" customHeight="1">
      <c r="A681" s="16" t="n">
        <v>45722</v>
      </c>
      <c r="B681" s="17" t="inlineStr">
        <is>
          <t>MH2503-07</t>
        </is>
      </c>
      <c r="C681" s="16" t="n">
        <v>45722</v>
      </c>
      <c r="D681" s="17" t="inlineStr">
        <is>
          <t>00000657</t>
        </is>
      </c>
      <c r="E681" s="16" t="n">
        <v>45722</v>
      </c>
      <c r="F681" s="16" t="inlineStr">
        <is>
          <t>XK2503-07</t>
        </is>
      </c>
      <c r="G681" s="16" t="n">
        <v>45722</v>
      </c>
      <c r="H681" s="17" t="inlineStr">
        <is>
          <t>CÔNG TY CỔ PHẦN CÔNG NGHIỆP VÀ THƯƠNG MẠI CƯỜNG THỊNH</t>
        </is>
      </c>
      <c r="I681" s="17" t="inlineStr">
        <is>
          <t>Bulong Din 933 8.8 ZP M16x40</t>
        </is>
      </c>
      <c r="J681" s="17" t="inlineStr">
        <is>
          <t>Cái</t>
        </is>
      </c>
      <c r="K681" s="19" t="n">
        <v>3030</v>
      </c>
      <c r="L681" s="20" t="n"/>
      <c r="M681" s="20" t="n"/>
      <c r="N681" s="43" t="n">
        <v>729</v>
      </c>
      <c r="O681" s="20" t="n">
        <v>2208870</v>
      </c>
      <c r="P681" s="43" t="n">
        <v>729</v>
      </c>
      <c r="Q681" s="20" t="n">
        <v>2208870</v>
      </c>
      <c r="R681" s="42">
        <f>+L681+N681-P681</f>
        <v/>
      </c>
      <c r="S681" s="42">
        <f>+M681+O681-Q681</f>
        <v/>
      </c>
    </row>
    <row r="682" ht="30" customHeight="1">
      <c r="A682" s="16" t="n">
        <v>45722</v>
      </c>
      <c r="B682" s="17" t="inlineStr">
        <is>
          <t>MH2503-07</t>
        </is>
      </c>
      <c r="C682" s="16" t="n">
        <v>45722</v>
      </c>
      <c r="D682" s="17" t="inlineStr">
        <is>
          <t>00000657</t>
        </is>
      </c>
      <c r="E682" s="16" t="n">
        <v>45722</v>
      </c>
      <c r="F682" s="16" t="inlineStr">
        <is>
          <t>XK2503-07</t>
        </is>
      </c>
      <c r="G682" s="16" t="n">
        <v>45722</v>
      </c>
      <c r="H682" s="17" t="inlineStr">
        <is>
          <t>CÔNG TY CỔ PHẦN CÔNG NGHIỆP VÀ THƯƠNG MẠI CƯỜNG THỊNH</t>
        </is>
      </c>
      <c r="I682" s="17" t="inlineStr">
        <is>
          <t>Đai ốc Din 934 8 ZP M16</t>
        </is>
      </c>
      <c r="J682" s="17" t="inlineStr">
        <is>
          <t>Cái</t>
        </is>
      </c>
      <c r="K682" s="19" t="n">
        <v>1090</v>
      </c>
      <c r="L682" s="20" t="n"/>
      <c r="M682" s="20" t="n"/>
      <c r="N682" s="43" t="n">
        <v>729</v>
      </c>
      <c r="O682" s="20" t="n">
        <v>794610</v>
      </c>
      <c r="P682" s="43" t="n">
        <v>729</v>
      </c>
      <c r="Q682" s="20" t="n">
        <v>794610</v>
      </c>
      <c r="R682" s="42">
        <f>+L682+N682-P682</f>
        <v/>
      </c>
      <c r="S682" s="42">
        <f>+M682+O682-Q682</f>
        <v/>
      </c>
    </row>
    <row r="683" ht="30" customHeight="1">
      <c r="A683" s="16" t="n">
        <v>45722</v>
      </c>
      <c r="B683" s="17" t="inlineStr">
        <is>
          <t>MH2503-07</t>
        </is>
      </c>
      <c r="C683" s="16" t="n">
        <v>45722</v>
      </c>
      <c r="D683" s="17" t="inlineStr">
        <is>
          <t>00000657</t>
        </is>
      </c>
      <c r="E683" s="16" t="n">
        <v>45722</v>
      </c>
      <c r="F683" s="16" t="inlineStr">
        <is>
          <t>XK2503-07</t>
        </is>
      </c>
      <c r="G683" s="16" t="n">
        <v>45722</v>
      </c>
      <c r="H683" s="17" t="inlineStr">
        <is>
          <t>CÔNG TY CỔ PHẦN CÔNG NGHIỆP VÀ THƯƠNG MẠI CƯỜNG THỊNH</t>
        </is>
      </c>
      <c r="I683" s="17" t="inlineStr">
        <is>
          <t>Long đền thường ZP M16B30D2</t>
        </is>
      </c>
      <c r="J683" s="17" t="inlineStr">
        <is>
          <t>Cái</t>
        </is>
      </c>
      <c r="K683" s="19" t="n">
        <v>350</v>
      </c>
      <c r="L683" s="20" t="n"/>
      <c r="M683" s="20" t="n"/>
      <c r="N683" s="43" t="n">
        <v>729</v>
      </c>
      <c r="O683" s="20" t="n">
        <v>255150</v>
      </c>
      <c r="P683" s="43" t="n">
        <v>729</v>
      </c>
      <c r="Q683" s="20" t="n">
        <v>255150</v>
      </c>
      <c r="R683" s="42">
        <f>+L683+N683-P683</f>
        <v/>
      </c>
      <c r="S683" s="42">
        <f>+M683+O683-Q683</f>
        <v/>
      </c>
    </row>
    <row r="684" ht="30" customHeight="1">
      <c r="A684" s="16" t="n">
        <v>45722</v>
      </c>
      <c r="B684" s="17" t="inlineStr">
        <is>
          <t>MH2503-07</t>
        </is>
      </c>
      <c r="C684" s="16" t="n">
        <v>45722</v>
      </c>
      <c r="D684" s="17" t="inlineStr">
        <is>
          <t>00000657</t>
        </is>
      </c>
      <c r="E684" s="16" t="n">
        <v>45722</v>
      </c>
      <c r="F684" s="16" t="inlineStr">
        <is>
          <t>XK2503-07</t>
        </is>
      </c>
      <c r="G684" s="16" t="n">
        <v>45722</v>
      </c>
      <c r="H684" s="17" t="inlineStr">
        <is>
          <t>CÔNG TY CỔ PHẦN CÔNG NGHIỆP VÀ THƯƠNG MẠI CƯỜNG THỊNH</t>
        </is>
      </c>
      <c r="I684" s="17" t="inlineStr">
        <is>
          <t>Bulong Din 933 8.8 ZP M16x50</t>
        </is>
      </c>
      <c r="J684" s="17" t="inlineStr">
        <is>
          <t>Cái</t>
        </is>
      </c>
      <c r="K684" s="19" t="n">
        <v>3470</v>
      </c>
      <c r="L684" s="20" t="n"/>
      <c r="M684" s="20" t="n"/>
      <c r="N684" s="43" t="n">
        <v>33</v>
      </c>
      <c r="O684" s="20" t="n">
        <v>114510</v>
      </c>
      <c r="P684" s="43" t="n">
        <v>33</v>
      </c>
      <c r="Q684" s="20" t="n">
        <v>114510</v>
      </c>
      <c r="R684" s="42">
        <f>+L684+N684-P684</f>
        <v/>
      </c>
      <c r="S684" s="42">
        <f>+M684+O684-Q684</f>
        <v/>
      </c>
    </row>
    <row r="685" ht="30" customHeight="1">
      <c r="A685" s="16" t="n">
        <v>45722</v>
      </c>
      <c r="B685" s="17" t="inlineStr">
        <is>
          <t>MH2503-07</t>
        </is>
      </c>
      <c r="C685" s="16" t="n">
        <v>45722</v>
      </c>
      <c r="D685" s="17" t="inlineStr">
        <is>
          <t>00000657</t>
        </is>
      </c>
      <c r="E685" s="16" t="n">
        <v>45722</v>
      </c>
      <c r="F685" s="16" t="inlineStr">
        <is>
          <t>XK2503-07</t>
        </is>
      </c>
      <c r="G685" s="16" t="n">
        <v>45722</v>
      </c>
      <c r="H685" s="17" t="inlineStr">
        <is>
          <t>CÔNG TY CỔ PHẦN CÔNG NGHIỆP VÀ THƯƠNG MẠI CƯỜNG THỊNH</t>
        </is>
      </c>
      <c r="I685" s="17" t="inlineStr">
        <is>
          <t>Đai ốc Din 934 8 ZP M16</t>
        </is>
      </c>
      <c r="J685" s="17" t="inlineStr">
        <is>
          <t>Cái</t>
        </is>
      </c>
      <c r="K685" s="19" t="n">
        <v>1090</v>
      </c>
      <c r="L685" s="20" t="n"/>
      <c r="M685" s="20" t="n"/>
      <c r="N685" s="43" t="n">
        <v>33</v>
      </c>
      <c r="O685" s="20" t="n">
        <v>35970</v>
      </c>
      <c r="P685" s="43" t="n">
        <v>33</v>
      </c>
      <c r="Q685" s="20" t="n">
        <v>35970</v>
      </c>
      <c r="R685" s="42">
        <f>+L685+N685-P685</f>
        <v/>
      </c>
      <c r="S685" s="42">
        <f>+M685+O685-Q685</f>
        <v/>
      </c>
    </row>
    <row r="686" ht="30" customHeight="1">
      <c r="A686" s="16" t="n">
        <v>45722</v>
      </c>
      <c r="B686" s="17" t="inlineStr">
        <is>
          <t>MH2503-07</t>
        </is>
      </c>
      <c r="C686" s="16" t="n">
        <v>45722</v>
      </c>
      <c r="D686" s="17" t="inlineStr">
        <is>
          <t>00000657</t>
        </is>
      </c>
      <c r="E686" s="16" t="n">
        <v>45722</v>
      </c>
      <c r="F686" s="16" t="inlineStr">
        <is>
          <t>XK2503-07</t>
        </is>
      </c>
      <c r="G686" s="16" t="n">
        <v>45722</v>
      </c>
      <c r="H686" s="17" t="inlineStr">
        <is>
          <t>CÔNG TY CỔ PHẦN CÔNG NGHIỆP VÀ THƯƠNG MẠI CƯỜNG THỊNH</t>
        </is>
      </c>
      <c r="I686" s="17" t="inlineStr">
        <is>
          <t>Long đền thường ZP M16B30D2</t>
        </is>
      </c>
      <c r="J686" s="17" t="inlineStr">
        <is>
          <t>Cái</t>
        </is>
      </c>
      <c r="K686" s="19" t="n">
        <v>350</v>
      </c>
      <c r="L686" s="20" t="n"/>
      <c r="M686" s="20" t="n"/>
      <c r="N686" s="43" t="n">
        <v>33</v>
      </c>
      <c r="O686" s="20" t="n">
        <v>11550</v>
      </c>
      <c r="P686" s="43" t="n">
        <v>33</v>
      </c>
      <c r="Q686" s="20" t="n">
        <v>11550</v>
      </c>
      <c r="R686" s="42">
        <f>+L686+N686-P686</f>
        <v/>
      </c>
      <c r="S686" s="42">
        <f>+M686+O686-Q686</f>
        <v/>
      </c>
    </row>
    <row r="687" ht="30" customHeight="1">
      <c r="A687" s="16" t="n">
        <v>45722</v>
      </c>
      <c r="B687" s="17" t="inlineStr">
        <is>
          <t>MH2503-07</t>
        </is>
      </c>
      <c r="C687" s="16" t="n">
        <v>45722</v>
      </c>
      <c r="D687" s="17" t="inlineStr">
        <is>
          <t>00000657</t>
        </is>
      </c>
      <c r="E687" s="16" t="n">
        <v>45722</v>
      </c>
      <c r="F687" s="16" t="inlineStr">
        <is>
          <t>XK2503-07</t>
        </is>
      </c>
      <c r="G687" s="16" t="n">
        <v>45722</v>
      </c>
      <c r="H687" s="17" t="inlineStr">
        <is>
          <t>CÔNG TY CỔ PHẦN CÔNG NGHIỆP VÀ THƯƠNG MẠI CƯỜNG THỊNH</t>
        </is>
      </c>
      <c r="I687" s="17" t="inlineStr">
        <is>
          <t>Bulong Din 933 8.8 ZP M20x50</t>
        </is>
      </c>
      <c r="J687" s="17" t="inlineStr">
        <is>
          <t>Cái</t>
        </is>
      </c>
      <c r="K687" s="19" t="n">
        <v>5760</v>
      </c>
      <c r="L687" s="20" t="n"/>
      <c r="M687" s="20" t="n"/>
      <c r="N687" s="43" t="n">
        <v>288</v>
      </c>
      <c r="O687" s="20" t="n">
        <v>1658880</v>
      </c>
      <c r="P687" s="43" t="n">
        <v>288</v>
      </c>
      <c r="Q687" s="20" t="n">
        <v>1658880</v>
      </c>
      <c r="R687" s="42">
        <f>+L687+N687-P687</f>
        <v/>
      </c>
      <c r="S687" s="42">
        <f>+M687+O687-Q687</f>
        <v/>
      </c>
    </row>
    <row r="688" ht="30" customHeight="1">
      <c r="A688" s="16" t="n">
        <v>45722</v>
      </c>
      <c r="B688" s="17" t="inlineStr">
        <is>
          <t>MH2503-07</t>
        </is>
      </c>
      <c r="C688" s="16" t="n">
        <v>45722</v>
      </c>
      <c r="D688" s="17" t="inlineStr">
        <is>
          <t>00000657</t>
        </is>
      </c>
      <c r="E688" s="16" t="n">
        <v>45722</v>
      </c>
      <c r="F688" s="16" t="inlineStr">
        <is>
          <t>XK2503-07</t>
        </is>
      </c>
      <c r="G688" s="16" t="n">
        <v>45722</v>
      </c>
      <c r="H688" s="17" t="inlineStr">
        <is>
          <t>CÔNG TY CỔ PHẦN CÔNG NGHIỆP VÀ THƯƠNG MẠI CƯỜNG THỊNH</t>
        </is>
      </c>
      <c r="I688" s="17" t="inlineStr">
        <is>
          <t>Đai ốc Din 934 8 ZP M20</t>
        </is>
      </c>
      <c r="J688" s="17" t="inlineStr">
        <is>
          <t>Cái</t>
        </is>
      </c>
      <c r="K688" s="19" t="n">
        <v>2030</v>
      </c>
      <c r="L688" s="20" t="n"/>
      <c r="M688" s="20" t="n"/>
      <c r="N688" s="43" t="n">
        <v>288</v>
      </c>
      <c r="O688" s="20" t="n">
        <v>584640</v>
      </c>
      <c r="P688" s="43" t="n">
        <v>288</v>
      </c>
      <c r="Q688" s="20" t="n">
        <v>584640</v>
      </c>
      <c r="R688" s="42">
        <f>+L688+N688-P688</f>
        <v/>
      </c>
      <c r="S688" s="42">
        <f>+M688+O688-Q688</f>
        <v/>
      </c>
    </row>
    <row r="689" ht="30" customHeight="1">
      <c r="A689" s="16" t="n">
        <v>45722</v>
      </c>
      <c r="B689" s="17" t="inlineStr">
        <is>
          <t>MH2503-07</t>
        </is>
      </c>
      <c r="C689" s="16" t="n">
        <v>45722</v>
      </c>
      <c r="D689" s="17" t="inlineStr">
        <is>
          <t>00000657</t>
        </is>
      </c>
      <c r="E689" s="16" t="n">
        <v>45722</v>
      </c>
      <c r="F689" s="16" t="inlineStr">
        <is>
          <t>XK2503-07</t>
        </is>
      </c>
      <c r="G689" s="16" t="n">
        <v>45722</v>
      </c>
      <c r="H689" s="17" t="inlineStr">
        <is>
          <t>CÔNG TY CỔ PHẦN CÔNG NGHIỆP VÀ THƯƠNG MẠI CƯỜNG THỊNH</t>
        </is>
      </c>
      <c r="I689" s="17" t="inlineStr">
        <is>
          <t>Long đền thường ZP M20B35D2</t>
        </is>
      </c>
      <c r="J689" s="17" t="inlineStr">
        <is>
          <t>Cái</t>
        </is>
      </c>
      <c r="K689" s="19" t="n">
        <v>350</v>
      </c>
      <c r="L689" s="20" t="n"/>
      <c r="M689" s="20" t="n"/>
      <c r="N689" s="43" t="n">
        <v>288</v>
      </c>
      <c r="O689" s="20" t="n">
        <v>100800</v>
      </c>
      <c r="P689" s="43" t="n">
        <v>288</v>
      </c>
      <c r="Q689" s="20" t="n">
        <v>100800</v>
      </c>
      <c r="R689" s="42">
        <f>+L689+N689-P689</f>
        <v/>
      </c>
      <c r="S689" s="42">
        <f>+M689+O689-Q689</f>
        <v/>
      </c>
    </row>
    <row r="690" ht="30" customHeight="1">
      <c r="A690" s="16" t="n">
        <v>45722</v>
      </c>
      <c r="B690" s="17" t="inlineStr">
        <is>
          <t>MH2503-07</t>
        </is>
      </c>
      <c r="C690" s="16" t="n">
        <v>45722</v>
      </c>
      <c r="D690" s="17" t="inlineStr">
        <is>
          <t>00000657</t>
        </is>
      </c>
      <c r="E690" s="16" t="n">
        <v>45722</v>
      </c>
      <c r="F690" s="16" t="inlineStr">
        <is>
          <t>XK2503-07</t>
        </is>
      </c>
      <c r="G690" s="16" t="n">
        <v>45722</v>
      </c>
      <c r="H690" s="17" t="inlineStr">
        <is>
          <t>CÔNG TY CỔ PHẦN CÔNG NGHIỆP VÀ THƯƠNG MẠI CƯỜNG THỊNH</t>
        </is>
      </c>
      <c r="I690" s="17" t="inlineStr">
        <is>
          <t>Bulong Din 933 8.8 ZP M20x60</t>
        </is>
      </c>
      <c r="J690" s="17" t="inlineStr">
        <is>
          <t>Cái</t>
        </is>
      </c>
      <c r="K690" s="19" t="n">
        <v>6440</v>
      </c>
      <c r="L690" s="20" t="n"/>
      <c r="M690" s="20" t="n"/>
      <c r="N690" s="43" t="n">
        <v>1463</v>
      </c>
      <c r="O690" s="20" t="n">
        <v>9421720</v>
      </c>
      <c r="P690" s="43" t="n">
        <v>1463</v>
      </c>
      <c r="Q690" s="20" t="n">
        <v>9421720</v>
      </c>
      <c r="R690" s="42">
        <f>+L690+N690-P690</f>
        <v/>
      </c>
      <c r="S690" s="42">
        <f>+M690+O690-Q690</f>
        <v/>
      </c>
    </row>
    <row r="691" ht="30" customHeight="1">
      <c r="A691" s="16" t="n">
        <v>45722</v>
      </c>
      <c r="B691" s="17" t="inlineStr">
        <is>
          <t>MH2503-07</t>
        </is>
      </c>
      <c r="C691" s="16" t="n">
        <v>45722</v>
      </c>
      <c r="D691" s="17" t="inlineStr">
        <is>
          <t>00000657</t>
        </is>
      </c>
      <c r="E691" s="16" t="n">
        <v>45722</v>
      </c>
      <c r="F691" s="16" t="inlineStr">
        <is>
          <t>XK2503-07</t>
        </is>
      </c>
      <c r="G691" s="16" t="n">
        <v>45722</v>
      </c>
      <c r="H691" s="17" t="inlineStr">
        <is>
          <t>CÔNG TY CỔ PHẦN CÔNG NGHIỆP VÀ THƯƠNG MẠI CƯỜNG THỊNH</t>
        </is>
      </c>
      <c r="I691" s="17" t="inlineStr">
        <is>
          <t>Đai ốc Din 934 8 ZP M20</t>
        </is>
      </c>
      <c r="J691" s="17" t="inlineStr">
        <is>
          <t>Cái</t>
        </is>
      </c>
      <c r="K691" s="19" t="n">
        <v>2030</v>
      </c>
      <c r="L691" s="20" t="n"/>
      <c r="M691" s="20" t="n"/>
      <c r="N691" s="43" t="n">
        <v>1463</v>
      </c>
      <c r="O691" s="20" t="n">
        <v>2969890</v>
      </c>
      <c r="P691" s="43" t="n">
        <v>1463</v>
      </c>
      <c r="Q691" s="20" t="n">
        <v>2969890</v>
      </c>
      <c r="R691" s="42">
        <f>+L691+N691-P691</f>
        <v/>
      </c>
      <c r="S691" s="42">
        <f>+M691+O691-Q691</f>
        <v/>
      </c>
    </row>
    <row r="692" ht="30" customHeight="1">
      <c r="A692" s="16" t="n">
        <v>45722</v>
      </c>
      <c r="B692" s="17" t="inlineStr">
        <is>
          <t>MH2503-07</t>
        </is>
      </c>
      <c r="C692" s="16" t="n">
        <v>45722</v>
      </c>
      <c r="D692" s="17" t="inlineStr">
        <is>
          <t>00000657</t>
        </is>
      </c>
      <c r="E692" s="16" t="n">
        <v>45722</v>
      </c>
      <c r="F692" s="16" t="inlineStr">
        <is>
          <t>XK2503-07</t>
        </is>
      </c>
      <c r="G692" s="16" t="n">
        <v>45722</v>
      </c>
      <c r="H692" s="17" t="inlineStr">
        <is>
          <t>CÔNG TY CỔ PHẦN CÔNG NGHIỆP VÀ THƯƠNG MẠI CƯỜNG THỊNH</t>
        </is>
      </c>
      <c r="I692" s="17" t="inlineStr">
        <is>
          <t>Long đền thường ZP M20B35D2</t>
        </is>
      </c>
      <c r="J692" s="17" t="inlineStr">
        <is>
          <t>Cái</t>
        </is>
      </c>
      <c r="K692" s="19" t="n">
        <v>350</v>
      </c>
      <c r="L692" s="20" t="n"/>
      <c r="M692" s="20" t="n"/>
      <c r="N692" s="43" t="n">
        <v>1463</v>
      </c>
      <c r="O692" s="20" t="n">
        <v>512050</v>
      </c>
      <c r="P692" s="43" t="n">
        <v>1463</v>
      </c>
      <c r="Q692" s="20" t="n">
        <v>512050</v>
      </c>
      <c r="R692" s="42">
        <f>+L692+N692-P692</f>
        <v/>
      </c>
      <c r="S692" s="42">
        <f>+M692+O692-Q692</f>
        <v/>
      </c>
    </row>
    <row r="693" ht="30" customHeight="1">
      <c r="A693" s="16" t="n">
        <v>45722</v>
      </c>
      <c r="B693" s="17" t="inlineStr">
        <is>
          <t>MH2503-07</t>
        </is>
      </c>
      <c r="C693" s="16" t="n">
        <v>45722</v>
      </c>
      <c r="D693" s="17" t="inlineStr">
        <is>
          <t>00000657</t>
        </is>
      </c>
      <c r="E693" s="16" t="n">
        <v>45722</v>
      </c>
      <c r="F693" s="16" t="inlineStr">
        <is>
          <t>XK2503-07</t>
        </is>
      </c>
      <c r="G693" s="16" t="n">
        <v>45722</v>
      </c>
      <c r="H693" s="17" t="inlineStr">
        <is>
          <t>CÔNG TY CỔ PHẦN CÔNG NGHIỆP VÀ THƯƠNG MẠI CƯỜNG THỊNH</t>
        </is>
      </c>
      <c r="I693" s="17" t="inlineStr">
        <is>
          <t>Bulong thường 4.6 ZP M12x30</t>
        </is>
      </c>
      <c r="J693" s="17" t="inlineStr">
        <is>
          <t>Cái</t>
        </is>
      </c>
      <c r="K693" s="19" t="n">
        <v>950</v>
      </c>
      <c r="L693" s="20" t="n"/>
      <c r="M693" s="20" t="n"/>
      <c r="N693" s="43" t="n">
        <v>931</v>
      </c>
      <c r="O693" s="20" t="n">
        <v>884450</v>
      </c>
      <c r="P693" s="43" t="n">
        <v>931</v>
      </c>
      <c r="Q693" s="20" t="n">
        <v>884450</v>
      </c>
      <c r="R693" s="42">
        <f>+L693+N693-P693</f>
        <v/>
      </c>
      <c r="S693" s="42">
        <f>+M693+O693-Q693</f>
        <v/>
      </c>
    </row>
    <row r="694" ht="30" customHeight="1">
      <c r="A694" s="16" t="n">
        <v>45722</v>
      </c>
      <c r="B694" s="17" t="inlineStr">
        <is>
          <t>MH2503-07</t>
        </is>
      </c>
      <c r="C694" s="16" t="n">
        <v>45722</v>
      </c>
      <c r="D694" s="17" t="inlineStr">
        <is>
          <t>00000657</t>
        </is>
      </c>
      <c r="E694" s="16" t="n">
        <v>45722</v>
      </c>
      <c r="F694" s="16" t="inlineStr">
        <is>
          <t>XK2503-07</t>
        </is>
      </c>
      <c r="G694" s="16" t="n">
        <v>45722</v>
      </c>
      <c r="H694" s="17" t="inlineStr">
        <is>
          <t>CÔNG TY CỔ PHẦN CÔNG NGHIỆP VÀ THƯƠNG MẠI CƯỜNG THỊNH</t>
        </is>
      </c>
      <c r="I694" s="17" t="inlineStr">
        <is>
          <t>Đai ốc thường 4 ZP M12 (9mm)</t>
        </is>
      </c>
      <c r="J694" s="17" t="inlineStr">
        <is>
          <t>Cái</t>
        </is>
      </c>
      <c r="K694" s="19" t="n">
        <v>360</v>
      </c>
      <c r="L694" s="20" t="n"/>
      <c r="M694" s="20" t="n"/>
      <c r="N694" s="43" t="n">
        <v>931</v>
      </c>
      <c r="O694" s="20" t="n">
        <v>335160</v>
      </c>
      <c r="P694" s="43" t="n">
        <v>931</v>
      </c>
      <c r="Q694" s="20" t="n">
        <v>335160</v>
      </c>
      <c r="R694" s="42">
        <f>+L694+N694-P694</f>
        <v/>
      </c>
      <c r="S694" s="42">
        <f>+M694+O694-Q694</f>
        <v/>
      </c>
    </row>
    <row r="695" ht="30" customHeight="1">
      <c r="A695" s="16" t="n">
        <v>45722</v>
      </c>
      <c r="B695" s="17" t="inlineStr">
        <is>
          <t>MH2503-07</t>
        </is>
      </c>
      <c r="C695" s="16" t="n">
        <v>45722</v>
      </c>
      <c r="D695" s="17" t="inlineStr">
        <is>
          <t>00000657</t>
        </is>
      </c>
      <c r="E695" s="16" t="n">
        <v>45722</v>
      </c>
      <c r="F695" s="16" t="inlineStr">
        <is>
          <t>XK2503-07</t>
        </is>
      </c>
      <c r="G695" s="16" t="n">
        <v>45722</v>
      </c>
      <c r="H695" s="17" t="inlineStr">
        <is>
          <t>CÔNG TY CỔ PHẦN CÔNG NGHIỆP VÀ THƯƠNG MẠI CƯỜNG THỊNH</t>
        </is>
      </c>
      <c r="I695" s="17" t="inlineStr">
        <is>
          <t>Long đền thường ZP M12B23D1</t>
        </is>
      </c>
      <c r="J695" s="17" t="inlineStr">
        <is>
          <t>Cái</t>
        </is>
      </c>
      <c r="K695" s="19" t="n">
        <v>100</v>
      </c>
      <c r="L695" s="20" t="n"/>
      <c r="M695" s="20" t="n"/>
      <c r="N695" s="43" t="n">
        <v>1862</v>
      </c>
      <c r="O695" s="20" t="n">
        <v>186200</v>
      </c>
      <c r="P695" s="43" t="n">
        <v>1862</v>
      </c>
      <c r="Q695" s="20" t="n">
        <v>186200</v>
      </c>
      <c r="R695" s="42">
        <f>+L695+N695-P695</f>
        <v/>
      </c>
      <c r="S695" s="42">
        <f>+M695+O695-Q695</f>
        <v/>
      </c>
    </row>
    <row r="696" ht="30" customHeight="1">
      <c r="A696" s="16" t="n">
        <v>45722</v>
      </c>
      <c r="B696" s="17" t="inlineStr">
        <is>
          <t>MH2503-08</t>
        </is>
      </c>
      <c r="C696" s="16" t="n">
        <v>45722</v>
      </c>
      <c r="D696" s="17" t="inlineStr">
        <is>
          <t>00000660</t>
        </is>
      </c>
      <c r="E696" s="16" t="n">
        <v>45722</v>
      </c>
      <c r="F696" s="16" t="inlineStr">
        <is>
          <t>XK2503-08</t>
        </is>
      </c>
      <c r="G696" s="16" t="n">
        <v>45722</v>
      </c>
      <c r="H696" s="17" t="inlineStr">
        <is>
          <t>CÔNG TY CỔ PHẦN CÔNG NGHIỆP VÀ THƯƠNG MẠI CƯỜNG THỊNH</t>
        </is>
      </c>
      <c r="I696" s="17" t="inlineStr">
        <is>
          <t>Bulong nở 5.6 ZP M16x200</t>
        </is>
      </c>
      <c r="J696" s="17" t="inlineStr">
        <is>
          <t>Cái</t>
        </is>
      </c>
      <c r="K696" s="19" t="n">
        <v>26860</v>
      </c>
      <c r="L696" s="20" t="n"/>
      <c r="M696" s="20" t="n"/>
      <c r="N696" s="43" t="n">
        <v>21</v>
      </c>
      <c r="O696" s="20" t="n">
        <v>564060</v>
      </c>
      <c r="P696" s="43" t="n">
        <v>21</v>
      </c>
      <c r="Q696" s="20" t="n">
        <v>564060</v>
      </c>
      <c r="R696" s="42">
        <f>+L696+N696-P696</f>
        <v/>
      </c>
      <c r="S696" s="42">
        <f>+M696+O696-Q696</f>
        <v/>
      </c>
    </row>
    <row r="697" ht="30" customHeight="1">
      <c r="A697" s="16" t="n">
        <v>45722</v>
      </c>
      <c r="B697" s="17" t="inlineStr">
        <is>
          <t>MH2503-08</t>
        </is>
      </c>
      <c r="C697" s="16" t="n">
        <v>45722</v>
      </c>
      <c r="D697" s="17" t="inlineStr">
        <is>
          <t>00000660</t>
        </is>
      </c>
      <c r="E697" s="16" t="n">
        <v>45722</v>
      </c>
      <c r="F697" s="16" t="inlineStr">
        <is>
          <t>XK2503-08</t>
        </is>
      </c>
      <c r="G697" s="16" t="n">
        <v>45722</v>
      </c>
      <c r="H697" s="17" t="inlineStr">
        <is>
          <t>CÔNG TY CỔ PHẦN CÔNG NGHIỆP VÀ THƯƠNG MẠI CƯỜNG THỊNH</t>
        </is>
      </c>
      <c r="I697" s="17" t="inlineStr">
        <is>
          <t>Bulong Din 933 8.8 ZP M16x50</t>
        </is>
      </c>
      <c r="J697" s="17" t="inlineStr">
        <is>
          <t>Cái</t>
        </is>
      </c>
      <c r="K697" s="19" t="n">
        <v>3470</v>
      </c>
      <c r="L697" s="20" t="n"/>
      <c r="M697" s="20" t="n"/>
      <c r="N697" s="43" t="n">
        <v>141</v>
      </c>
      <c r="O697" s="20" t="n">
        <v>489270</v>
      </c>
      <c r="P697" s="43" t="n">
        <v>141</v>
      </c>
      <c r="Q697" s="20" t="n">
        <v>489270</v>
      </c>
      <c r="R697" s="42">
        <f>+L697+N697-P697</f>
        <v/>
      </c>
      <c r="S697" s="42">
        <f>+M697+O697-Q697</f>
        <v/>
      </c>
    </row>
    <row r="698" ht="30" customHeight="1">
      <c r="A698" s="16" t="n">
        <v>45722</v>
      </c>
      <c r="B698" s="17" t="inlineStr">
        <is>
          <t>MH2503-08</t>
        </is>
      </c>
      <c r="C698" s="16" t="n">
        <v>45722</v>
      </c>
      <c r="D698" s="17" t="inlineStr">
        <is>
          <t>00000660</t>
        </is>
      </c>
      <c r="E698" s="16" t="n">
        <v>45722</v>
      </c>
      <c r="F698" s="16" t="inlineStr">
        <is>
          <t>XK2503-08</t>
        </is>
      </c>
      <c r="G698" s="16" t="n">
        <v>45722</v>
      </c>
      <c r="H698" s="17" t="inlineStr">
        <is>
          <t>CÔNG TY CỔ PHẦN CÔNG NGHIỆP VÀ THƯƠNG MẠI CƯỜNG THỊNH</t>
        </is>
      </c>
      <c r="I698" s="17" t="inlineStr">
        <is>
          <t>Đai ốc Din 934 8 ZP M16</t>
        </is>
      </c>
      <c r="J698" s="17" t="inlineStr">
        <is>
          <t>Cái</t>
        </is>
      </c>
      <c r="K698" s="19" t="n">
        <v>1090</v>
      </c>
      <c r="L698" s="20" t="n"/>
      <c r="M698" s="20" t="n"/>
      <c r="N698" s="43" t="n">
        <v>141</v>
      </c>
      <c r="O698" s="20" t="n">
        <v>153690</v>
      </c>
      <c r="P698" s="43" t="n">
        <v>141</v>
      </c>
      <c r="Q698" s="20" t="n">
        <v>153690</v>
      </c>
      <c r="R698" s="42">
        <f>+L698+N698-P698</f>
        <v/>
      </c>
      <c r="S698" s="42">
        <f>+M698+O698-Q698</f>
        <v/>
      </c>
    </row>
    <row r="699" ht="30" customHeight="1">
      <c r="A699" s="16" t="n">
        <v>45722</v>
      </c>
      <c r="B699" s="17" t="inlineStr">
        <is>
          <t>MH2503-08</t>
        </is>
      </c>
      <c r="C699" s="16" t="n">
        <v>45722</v>
      </c>
      <c r="D699" s="17" t="inlineStr">
        <is>
          <t>00000660</t>
        </is>
      </c>
      <c r="E699" s="16" t="n">
        <v>45722</v>
      </c>
      <c r="F699" s="16" t="inlineStr">
        <is>
          <t>XK2503-08</t>
        </is>
      </c>
      <c r="G699" s="16" t="n">
        <v>45722</v>
      </c>
      <c r="H699" s="17" t="inlineStr">
        <is>
          <t>CÔNG TY CỔ PHẦN CÔNG NGHIỆP VÀ THƯƠNG MẠI CƯỜNG THỊNH</t>
        </is>
      </c>
      <c r="I699" s="17" t="inlineStr">
        <is>
          <t>Long đền thường ZP M16B30D2</t>
        </is>
      </c>
      <c r="J699" s="17" t="inlineStr">
        <is>
          <t>Cái</t>
        </is>
      </c>
      <c r="K699" s="19" t="n">
        <v>350</v>
      </c>
      <c r="L699" s="20" t="n"/>
      <c r="M699" s="20" t="n"/>
      <c r="N699" s="43" t="n">
        <v>141</v>
      </c>
      <c r="O699" s="20" t="n">
        <v>49350</v>
      </c>
      <c r="P699" s="43" t="n">
        <v>141</v>
      </c>
      <c r="Q699" s="20" t="n">
        <v>49350</v>
      </c>
      <c r="R699" s="42">
        <f>+L699+N699-P699</f>
        <v/>
      </c>
      <c r="S699" s="42">
        <f>+M699+O699-Q699</f>
        <v/>
      </c>
    </row>
    <row r="700" ht="30" customHeight="1">
      <c r="A700" s="16" t="n">
        <v>45722</v>
      </c>
      <c r="B700" s="17" t="inlineStr">
        <is>
          <t>MH2503-08</t>
        </is>
      </c>
      <c r="C700" s="16" t="n">
        <v>45722</v>
      </c>
      <c r="D700" s="17" t="inlineStr">
        <is>
          <t>00000660</t>
        </is>
      </c>
      <c r="E700" s="16" t="n">
        <v>45722</v>
      </c>
      <c r="F700" s="16" t="inlineStr">
        <is>
          <t>XK2503-08</t>
        </is>
      </c>
      <c r="G700" s="16" t="n">
        <v>45722</v>
      </c>
      <c r="H700" s="17" t="inlineStr">
        <is>
          <t>CÔNG TY CỔ PHẦN CÔNG NGHIỆP VÀ THƯƠNG MẠI CƯỜNG THỊNH</t>
        </is>
      </c>
      <c r="I700" s="17" t="inlineStr">
        <is>
          <t>Bulong Din 933 8.8 ZP M20x60</t>
        </is>
      </c>
      <c r="J700" s="17" t="inlineStr">
        <is>
          <t>Cái</t>
        </is>
      </c>
      <c r="K700" s="19" t="n">
        <v>6440</v>
      </c>
      <c r="L700" s="20" t="n"/>
      <c r="M700" s="20" t="n"/>
      <c r="N700" s="43" t="n">
        <v>363</v>
      </c>
      <c r="O700" s="20" t="n">
        <v>2337720</v>
      </c>
      <c r="P700" s="43" t="n">
        <v>363</v>
      </c>
      <c r="Q700" s="20" t="n">
        <v>2337720</v>
      </c>
      <c r="R700" s="42">
        <f>+L700+N700-P700</f>
        <v/>
      </c>
      <c r="S700" s="42">
        <f>+M700+O700-Q700</f>
        <v/>
      </c>
    </row>
    <row r="701" ht="30" customHeight="1">
      <c r="A701" s="16" t="n">
        <v>45722</v>
      </c>
      <c r="B701" s="17" t="inlineStr">
        <is>
          <t>MH2503-08</t>
        </is>
      </c>
      <c r="C701" s="16" t="n">
        <v>45722</v>
      </c>
      <c r="D701" s="17" t="inlineStr">
        <is>
          <t>00000660</t>
        </is>
      </c>
      <c r="E701" s="16" t="n">
        <v>45722</v>
      </c>
      <c r="F701" s="16" t="inlineStr">
        <is>
          <t>XK2503-08</t>
        </is>
      </c>
      <c r="G701" s="16" t="n">
        <v>45722</v>
      </c>
      <c r="H701" s="17" t="inlineStr">
        <is>
          <t>CÔNG TY CỔ PHẦN CÔNG NGHIỆP VÀ THƯƠNG MẠI CƯỜNG THỊNH</t>
        </is>
      </c>
      <c r="I701" s="17" t="inlineStr">
        <is>
          <t>Đai ốc Din 934 8 ZP M20</t>
        </is>
      </c>
      <c r="J701" s="17" t="inlineStr">
        <is>
          <t>Cái</t>
        </is>
      </c>
      <c r="K701" s="19" t="n">
        <v>2030</v>
      </c>
      <c r="L701" s="20" t="n"/>
      <c r="M701" s="20" t="n"/>
      <c r="N701" s="43" t="n">
        <v>363</v>
      </c>
      <c r="O701" s="20" t="n">
        <v>736890</v>
      </c>
      <c r="P701" s="43" t="n">
        <v>363</v>
      </c>
      <c r="Q701" s="20" t="n">
        <v>736890</v>
      </c>
      <c r="R701" s="42">
        <f>+L701+N701-P701</f>
        <v/>
      </c>
      <c r="S701" s="42">
        <f>+M701+O701-Q701</f>
        <v/>
      </c>
    </row>
    <row r="702" ht="30" customHeight="1">
      <c r="A702" s="16" t="n">
        <v>45722</v>
      </c>
      <c r="B702" s="17" t="inlineStr">
        <is>
          <t>MH2503-08</t>
        </is>
      </c>
      <c r="C702" s="16" t="n">
        <v>45722</v>
      </c>
      <c r="D702" s="17" t="inlineStr">
        <is>
          <t>00000660</t>
        </is>
      </c>
      <c r="E702" s="16" t="n">
        <v>45722</v>
      </c>
      <c r="F702" s="16" t="inlineStr">
        <is>
          <t>XK2503-08</t>
        </is>
      </c>
      <c r="G702" s="16" t="n">
        <v>45722</v>
      </c>
      <c r="H702" s="17" t="inlineStr">
        <is>
          <t>CÔNG TY CỔ PHẦN CÔNG NGHIỆP VÀ THƯƠNG MẠI CƯỜNG THỊNH</t>
        </is>
      </c>
      <c r="I702" s="17" t="inlineStr">
        <is>
          <t>Long đền thường ZP M20B35D2</t>
        </is>
      </c>
      <c r="J702" s="17" t="inlineStr">
        <is>
          <t>Cái</t>
        </is>
      </c>
      <c r="K702" s="19" t="n">
        <v>350</v>
      </c>
      <c r="L702" s="20" t="n"/>
      <c r="M702" s="20" t="n"/>
      <c r="N702" s="43" t="n">
        <v>363</v>
      </c>
      <c r="O702" s="20" t="n">
        <v>127050</v>
      </c>
      <c r="P702" s="43" t="n">
        <v>363</v>
      </c>
      <c r="Q702" s="20" t="n">
        <v>127050</v>
      </c>
      <c r="R702" s="42">
        <f>+L702+N702-P702</f>
        <v/>
      </c>
      <c r="S702" s="42">
        <f>+M702+O702-Q702</f>
        <v/>
      </c>
    </row>
    <row r="703" ht="30" customHeight="1">
      <c r="A703" s="16" t="n">
        <v>45722</v>
      </c>
      <c r="B703" s="17" t="inlineStr">
        <is>
          <t>MH2503-08</t>
        </is>
      </c>
      <c r="C703" s="16" t="n">
        <v>45722</v>
      </c>
      <c r="D703" s="17" t="inlineStr">
        <is>
          <t>00000660</t>
        </is>
      </c>
      <c r="E703" s="16" t="n">
        <v>45722</v>
      </c>
      <c r="F703" s="16" t="inlineStr">
        <is>
          <t>XK2503-08</t>
        </is>
      </c>
      <c r="G703" s="16" t="n">
        <v>45722</v>
      </c>
      <c r="H703" s="17" t="inlineStr">
        <is>
          <t>CÔNG TY CỔ PHẦN CÔNG NGHIỆP VÀ THƯƠNG MẠI CƯỜNG THỊNH</t>
        </is>
      </c>
      <c r="I703" s="17" t="inlineStr">
        <is>
          <t>Bulong Din 933 8.8 ZP M20x80</t>
        </is>
      </c>
      <c r="J703" s="17" t="inlineStr">
        <is>
          <t>Cái</t>
        </is>
      </c>
      <c r="K703" s="19" t="n">
        <v>7730</v>
      </c>
      <c r="L703" s="20" t="n"/>
      <c r="M703" s="20" t="n"/>
      <c r="N703" s="43" t="n">
        <v>179</v>
      </c>
      <c r="O703" s="20" t="n">
        <v>1383670</v>
      </c>
      <c r="P703" s="43" t="n">
        <v>179</v>
      </c>
      <c r="Q703" s="20" t="n">
        <v>1383670</v>
      </c>
      <c r="R703" s="42">
        <f>+L703+N703-P703</f>
        <v/>
      </c>
      <c r="S703" s="42">
        <f>+M703+O703-Q703</f>
        <v/>
      </c>
    </row>
    <row r="704" ht="30" customHeight="1">
      <c r="A704" s="16" t="n">
        <v>45722</v>
      </c>
      <c r="B704" s="17" t="inlineStr">
        <is>
          <t>MH2503-08</t>
        </is>
      </c>
      <c r="C704" s="16" t="n">
        <v>45722</v>
      </c>
      <c r="D704" s="17" t="inlineStr">
        <is>
          <t>00000660</t>
        </is>
      </c>
      <c r="E704" s="16" t="n">
        <v>45722</v>
      </c>
      <c r="F704" s="16" t="inlineStr">
        <is>
          <t>XK2503-08</t>
        </is>
      </c>
      <c r="G704" s="16" t="n">
        <v>45722</v>
      </c>
      <c r="H704" s="17" t="inlineStr">
        <is>
          <t>CÔNG TY CỔ PHẦN CÔNG NGHIỆP VÀ THƯƠNG MẠI CƯỜNG THỊNH</t>
        </is>
      </c>
      <c r="I704" s="17" t="inlineStr">
        <is>
          <t>Đai ốc Din 934 8 ZP M20</t>
        </is>
      </c>
      <c r="J704" s="17" t="inlineStr">
        <is>
          <t>Cái</t>
        </is>
      </c>
      <c r="K704" s="19" t="n">
        <v>2030</v>
      </c>
      <c r="L704" s="20" t="n"/>
      <c r="M704" s="20" t="n"/>
      <c r="N704" s="43" t="n">
        <v>179</v>
      </c>
      <c r="O704" s="20" t="n">
        <v>363370</v>
      </c>
      <c r="P704" s="43" t="n">
        <v>179</v>
      </c>
      <c r="Q704" s="20" t="n">
        <v>363370</v>
      </c>
      <c r="R704" s="42">
        <f>+L704+N704-P704</f>
        <v/>
      </c>
      <c r="S704" s="42">
        <f>+M704+O704-Q704</f>
        <v/>
      </c>
    </row>
    <row r="705" ht="30" customHeight="1">
      <c r="A705" s="16" t="n">
        <v>45722</v>
      </c>
      <c r="B705" s="17" t="inlineStr">
        <is>
          <t>MH2503-08</t>
        </is>
      </c>
      <c r="C705" s="16" t="n">
        <v>45722</v>
      </c>
      <c r="D705" s="17" t="inlineStr">
        <is>
          <t>00000660</t>
        </is>
      </c>
      <c r="E705" s="16" t="n">
        <v>45722</v>
      </c>
      <c r="F705" s="16" t="inlineStr">
        <is>
          <t>XK2503-08</t>
        </is>
      </c>
      <c r="G705" s="16" t="n">
        <v>45722</v>
      </c>
      <c r="H705" s="17" t="inlineStr">
        <is>
          <t>CÔNG TY CỔ PHẦN CÔNG NGHIỆP VÀ THƯƠNG MẠI CƯỜNG THỊNH</t>
        </is>
      </c>
      <c r="I705" s="17" t="inlineStr">
        <is>
          <t>Long đền thường ZP M20B35D2</t>
        </is>
      </c>
      <c r="J705" s="17" t="inlineStr">
        <is>
          <t>Cái</t>
        </is>
      </c>
      <c r="K705" s="19" t="n">
        <v>350</v>
      </c>
      <c r="L705" s="20" t="n"/>
      <c r="M705" s="20" t="n"/>
      <c r="N705" s="43" t="n">
        <v>179</v>
      </c>
      <c r="O705" s="20" t="n">
        <v>62650</v>
      </c>
      <c r="P705" s="43" t="n">
        <v>179</v>
      </c>
      <c r="Q705" s="20" t="n">
        <v>62650</v>
      </c>
      <c r="R705" s="42">
        <f>+L705+N705-P705</f>
        <v/>
      </c>
      <c r="S705" s="42">
        <f>+M705+O705-Q705</f>
        <v/>
      </c>
    </row>
    <row r="706" ht="30" customHeight="1">
      <c r="A706" s="16" t="n">
        <v>45722</v>
      </c>
      <c r="B706" s="17" t="inlineStr">
        <is>
          <t>MH2503-08</t>
        </is>
      </c>
      <c r="C706" s="16" t="n">
        <v>45722</v>
      </c>
      <c r="D706" s="17" t="inlineStr">
        <is>
          <t>00000660</t>
        </is>
      </c>
      <c r="E706" s="16" t="n">
        <v>45722</v>
      </c>
      <c r="F706" s="16" t="inlineStr">
        <is>
          <t>XK2503-08</t>
        </is>
      </c>
      <c r="G706" s="16" t="n">
        <v>45722</v>
      </c>
      <c r="H706" s="17" t="inlineStr">
        <is>
          <t>CÔNG TY CỔ PHẦN CÔNG NGHIỆP VÀ THƯƠNG MẠI CƯỜNG THỊNH</t>
        </is>
      </c>
      <c r="I706" s="17" t="inlineStr">
        <is>
          <t>Bulong Din 933 8.8 ZP M24x70</t>
        </is>
      </c>
      <c r="J706" s="17" t="inlineStr">
        <is>
          <t>Cái</t>
        </is>
      </c>
      <c r="K706" s="19" t="n">
        <v>11010</v>
      </c>
      <c r="L706" s="20" t="n"/>
      <c r="M706" s="20" t="n"/>
      <c r="N706" s="43" t="n">
        <v>141</v>
      </c>
      <c r="O706" s="20" t="n">
        <v>1552410</v>
      </c>
      <c r="P706" s="43" t="n">
        <v>141</v>
      </c>
      <c r="Q706" s="20" t="n">
        <v>1552410</v>
      </c>
      <c r="R706" s="42">
        <f>+L706+N706-P706</f>
        <v/>
      </c>
      <c r="S706" s="42">
        <f>+M706+O706-Q706</f>
        <v/>
      </c>
    </row>
    <row r="707" ht="30" customHeight="1">
      <c r="A707" s="16" t="n">
        <v>45722</v>
      </c>
      <c r="B707" s="17" t="inlineStr">
        <is>
          <t>MH2503-08</t>
        </is>
      </c>
      <c r="C707" s="16" t="n">
        <v>45722</v>
      </c>
      <c r="D707" s="17" t="inlineStr">
        <is>
          <t>00000660</t>
        </is>
      </c>
      <c r="E707" s="16" t="n">
        <v>45722</v>
      </c>
      <c r="F707" s="16" t="inlineStr">
        <is>
          <t>XK2503-08</t>
        </is>
      </c>
      <c r="G707" s="16" t="n">
        <v>45722</v>
      </c>
      <c r="H707" s="17" t="inlineStr">
        <is>
          <t>CÔNG TY CỔ PHẦN CÔNG NGHIỆP VÀ THƯƠNG MẠI CƯỜNG THỊNH</t>
        </is>
      </c>
      <c r="I707" s="17" t="inlineStr">
        <is>
          <t>Đai ốc Din 934 8 ZP M24</t>
        </is>
      </c>
      <c r="J707" s="17" t="inlineStr">
        <is>
          <t>Cái</t>
        </is>
      </c>
      <c r="K707" s="19" t="n">
        <v>3500</v>
      </c>
      <c r="L707" s="20" t="n"/>
      <c r="M707" s="20" t="n"/>
      <c r="N707" s="43" t="n">
        <v>141</v>
      </c>
      <c r="O707" s="20" t="n">
        <v>493500</v>
      </c>
      <c r="P707" s="43" t="n">
        <v>141</v>
      </c>
      <c r="Q707" s="20" t="n">
        <v>493500</v>
      </c>
      <c r="R707" s="42">
        <f>+L707+N707-P707</f>
        <v/>
      </c>
      <c r="S707" s="42">
        <f>+M707+O707-Q707</f>
        <v/>
      </c>
    </row>
    <row r="708" ht="30" customHeight="1">
      <c r="A708" s="16" t="n">
        <v>45722</v>
      </c>
      <c r="B708" s="17" t="inlineStr">
        <is>
          <t>MH2503-08</t>
        </is>
      </c>
      <c r="C708" s="16" t="n">
        <v>45722</v>
      </c>
      <c r="D708" s="17" t="inlineStr">
        <is>
          <t>00000660</t>
        </is>
      </c>
      <c r="E708" s="16" t="n">
        <v>45722</v>
      </c>
      <c r="F708" s="16" t="inlineStr">
        <is>
          <t>XK2503-08</t>
        </is>
      </c>
      <c r="G708" s="16" t="n">
        <v>45722</v>
      </c>
      <c r="H708" s="17" t="inlineStr">
        <is>
          <t>CÔNG TY CỔ PHẦN CÔNG NGHIỆP VÀ THƯƠNG MẠI CƯỜNG THỊNH</t>
        </is>
      </c>
      <c r="I708" s="17" t="inlineStr">
        <is>
          <t>Long đền thường ZP M24B42D2</t>
        </is>
      </c>
      <c r="J708" s="17" t="inlineStr">
        <is>
          <t>Cái</t>
        </is>
      </c>
      <c r="K708" s="19" t="n">
        <v>710</v>
      </c>
      <c r="L708" s="20" t="n"/>
      <c r="M708" s="20" t="n"/>
      <c r="N708" s="43" t="n">
        <v>141</v>
      </c>
      <c r="O708" s="20" t="n">
        <v>100110</v>
      </c>
      <c r="P708" s="43" t="n">
        <v>141</v>
      </c>
      <c r="Q708" s="20" t="n">
        <v>100110</v>
      </c>
      <c r="R708" s="42">
        <f>+L708+N708-P708</f>
        <v/>
      </c>
      <c r="S708" s="42">
        <f>+M708+O708-Q708</f>
        <v/>
      </c>
    </row>
    <row r="709" ht="30" customHeight="1">
      <c r="A709" s="16" t="n">
        <v>45722</v>
      </c>
      <c r="B709" s="17" t="inlineStr">
        <is>
          <t>MH2503-08</t>
        </is>
      </c>
      <c r="C709" s="16" t="n">
        <v>45722</v>
      </c>
      <c r="D709" s="17" t="inlineStr">
        <is>
          <t>00000660</t>
        </is>
      </c>
      <c r="E709" s="16" t="n">
        <v>45722</v>
      </c>
      <c r="F709" s="16" t="inlineStr">
        <is>
          <t>XK2503-08</t>
        </is>
      </c>
      <c r="G709" s="16" t="n">
        <v>45722</v>
      </c>
      <c r="H709" s="17" t="inlineStr">
        <is>
          <t>CÔNG TY CỔ PHẦN CÔNG NGHIỆP VÀ THƯƠNG MẠI CƯỜNG THỊNH</t>
        </is>
      </c>
      <c r="I709" s="17" t="inlineStr">
        <is>
          <t>Bulong Din 933 8.8 ZP M24x90</t>
        </is>
      </c>
      <c r="J709" s="17" t="inlineStr">
        <is>
          <t>Cái</t>
        </is>
      </c>
      <c r="K709" s="19" t="n">
        <v>12950</v>
      </c>
      <c r="L709" s="20" t="n"/>
      <c r="M709" s="20" t="n"/>
      <c r="N709" s="43" t="n">
        <v>89</v>
      </c>
      <c r="O709" s="20" t="n">
        <v>1152550</v>
      </c>
      <c r="P709" s="43" t="n">
        <v>89</v>
      </c>
      <c r="Q709" s="20" t="n">
        <v>1152550</v>
      </c>
      <c r="R709" s="42">
        <f>+L709+N709-P709</f>
        <v/>
      </c>
      <c r="S709" s="42">
        <f>+M709+O709-Q709</f>
        <v/>
      </c>
    </row>
    <row r="710" ht="30" customHeight="1">
      <c r="A710" s="16" t="n">
        <v>45722</v>
      </c>
      <c r="B710" s="17" t="inlineStr">
        <is>
          <t>MH2503-08</t>
        </is>
      </c>
      <c r="C710" s="16" t="n">
        <v>45722</v>
      </c>
      <c r="D710" s="17" t="inlineStr">
        <is>
          <t>00000660</t>
        </is>
      </c>
      <c r="E710" s="16" t="n">
        <v>45722</v>
      </c>
      <c r="F710" s="16" t="inlineStr">
        <is>
          <t>XK2503-08</t>
        </is>
      </c>
      <c r="G710" s="16" t="n">
        <v>45722</v>
      </c>
      <c r="H710" s="17" t="inlineStr">
        <is>
          <t>CÔNG TY CỔ PHẦN CÔNG NGHIỆP VÀ THƯƠNG MẠI CƯỜNG THỊNH</t>
        </is>
      </c>
      <c r="I710" s="17" t="inlineStr">
        <is>
          <t>Đai ốc Din 934 8 ZP M24</t>
        </is>
      </c>
      <c r="J710" s="17" t="inlineStr">
        <is>
          <t>Cái</t>
        </is>
      </c>
      <c r="K710" s="19" t="n">
        <v>3500</v>
      </c>
      <c r="L710" s="20" t="n"/>
      <c r="M710" s="20" t="n"/>
      <c r="N710" s="43" t="n">
        <v>89</v>
      </c>
      <c r="O710" s="20" t="n">
        <v>311500</v>
      </c>
      <c r="P710" s="43" t="n">
        <v>89</v>
      </c>
      <c r="Q710" s="20" t="n">
        <v>311500</v>
      </c>
      <c r="R710" s="42">
        <f>+L710+N710-P710</f>
        <v/>
      </c>
      <c r="S710" s="42">
        <f>+M710+O710-Q710</f>
        <v/>
      </c>
    </row>
    <row r="711" ht="30" customHeight="1">
      <c r="A711" s="16" t="n">
        <v>45722</v>
      </c>
      <c r="B711" s="17" t="inlineStr">
        <is>
          <t>MH2503-08</t>
        </is>
      </c>
      <c r="C711" s="16" t="n">
        <v>45722</v>
      </c>
      <c r="D711" s="17" t="inlineStr">
        <is>
          <t>00000660</t>
        </is>
      </c>
      <c r="E711" s="16" t="n">
        <v>45722</v>
      </c>
      <c r="F711" s="16" t="inlineStr">
        <is>
          <t>XK2503-08</t>
        </is>
      </c>
      <c r="G711" s="16" t="n">
        <v>45722</v>
      </c>
      <c r="H711" s="17" t="inlineStr">
        <is>
          <t>CÔNG TY CỔ PHẦN CÔNG NGHIỆP VÀ THƯƠNG MẠI CƯỜNG THỊNH</t>
        </is>
      </c>
      <c r="I711" s="17" t="inlineStr">
        <is>
          <t>Long đền thường ZP M24B42D2</t>
        </is>
      </c>
      <c r="J711" s="17" t="inlineStr">
        <is>
          <t>Cái</t>
        </is>
      </c>
      <c r="K711" s="19" t="n">
        <v>710</v>
      </c>
      <c r="L711" s="20" t="n"/>
      <c r="M711" s="20" t="n"/>
      <c r="N711" s="43" t="n">
        <v>89</v>
      </c>
      <c r="O711" s="20" t="n">
        <v>63190</v>
      </c>
      <c r="P711" s="43" t="n">
        <v>89</v>
      </c>
      <c r="Q711" s="20" t="n">
        <v>63190</v>
      </c>
      <c r="R711" s="42">
        <f>+L711+N711-P711</f>
        <v/>
      </c>
      <c r="S711" s="42">
        <f>+M711+O711-Q711</f>
        <v/>
      </c>
    </row>
    <row r="712" ht="30" customHeight="1">
      <c r="A712" s="16" t="n">
        <v>45722</v>
      </c>
      <c r="B712" s="17" t="inlineStr">
        <is>
          <t>MH2503-08</t>
        </is>
      </c>
      <c r="C712" s="16" t="n">
        <v>45722</v>
      </c>
      <c r="D712" s="17" t="inlineStr">
        <is>
          <t>00000660</t>
        </is>
      </c>
      <c r="E712" s="16" t="n">
        <v>45722</v>
      </c>
      <c r="F712" s="16" t="inlineStr">
        <is>
          <t>XK2503-08</t>
        </is>
      </c>
      <c r="G712" s="16" t="n">
        <v>45722</v>
      </c>
      <c r="H712" s="17" t="inlineStr">
        <is>
          <t>CÔNG TY CỔ PHẦN CÔNG NGHIỆP VÀ THƯƠNG MẠI CƯỜNG THỊNH</t>
        </is>
      </c>
      <c r="I712" s="17" t="inlineStr">
        <is>
          <t>Bulong thường 4.6 ZP M12x30</t>
        </is>
      </c>
      <c r="J712" s="17" t="inlineStr">
        <is>
          <t>Cái</t>
        </is>
      </c>
      <c r="K712" s="19" t="n">
        <v>950</v>
      </c>
      <c r="L712" s="20" t="n"/>
      <c r="M712" s="20" t="n"/>
      <c r="N712" s="43" t="n">
        <v>672</v>
      </c>
      <c r="O712" s="20" t="n">
        <v>638400</v>
      </c>
      <c r="P712" s="43" t="n">
        <v>672</v>
      </c>
      <c r="Q712" s="20" t="n">
        <v>638400</v>
      </c>
      <c r="R712" s="42">
        <f>+L712+N712-P712</f>
        <v/>
      </c>
      <c r="S712" s="42">
        <f>+M712+O712-Q712</f>
        <v/>
      </c>
    </row>
    <row r="713" ht="30" customHeight="1">
      <c r="A713" s="16" t="n">
        <v>45722</v>
      </c>
      <c r="B713" s="17" t="inlineStr">
        <is>
          <t>MH2503-08</t>
        </is>
      </c>
      <c r="C713" s="16" t="n">
        <v>45722</v>
      </c>
      <c r="D713" s="17" t="inlineStr">
        <is>
          <t>00000660</t>
        </is>
      </c>
      <c r="E713" s="16" t="n">
        <v>45722</v>
      </c>
      <c r="F713" s="16" t="inlineStr">
        <is>
          <t>XK2503-08</t>
        </is>
      </c>
      <c r="G713" s="16" t="n">
        <v>45722</v>
      </c>
      <c r="H713" s="17" t="inlineStr">
        <is>
          <t>CÔNG TY CỔ PHẦN CÔNG NGHIỆP VÀ THƯƠNG MẠI CƯỜNG THỊNH</t>
        </is>
      </c>
      <c r="I713" s="17" t="inlineStr">
        <is>
          <t>Đai ốc thường 4 ZP M12 (9mm)</t>
        </is>
      </c>
      <c r="J713" s="17" t="inlineStr">
        <is>
          <t>Cái</t>
        </is>
      </c>
      <c r="K713" s="19" t="n">
        <v>360</v>
      </c>
      <c r="L713" s="20" t="n"/>
      <c r="M713" s="20" t="n"/>
      <c r="N713" s="43" t="n">
        <v>672</v>
      </c>
      <c r="O713" s="20" t="n">
        <v>241920</v>
      </c>
      <c r="P713" s="43" t="n">
        <v>672</v>
      </c>
      <c r="Q713" s="20" t="n">
        <v>241920</v>
      </c>
      <c r="R713" s="42">
        <f>+L713+N713-P713</f>
        <v/>
      </c>
      <c r="S713" s="42">
        <f>+M713+O713-Q713</f>
        <v/>
      </c>
    </row>
    <row r="714" ht="30" customHeight="1">
      <c r="A714" s="16" t="n">
        <v>45722</v>
      </c>
      <c r="B714" s="17" t="inlineStr">
        <is>
          <t>MH2503-08</t>
        </is>
      </c>
      <c r="C714" s="16" t="n">
        <v>45722</v>
      </c>
      <c r="D714" s="17" t="inlineStr">
        <is>
          <t>00000660</t>
        </is>
      </c>
      <c r="E714" s="16" t="n">
        <v>45722</v>
      </c>
      <c r="F714" s="16" t="inlineStr">
        <is>
          <t>XK2503-08</t>
        </is>
      </c>
      <c r="G714" s="16" t="n">
        <v>45722</v>
      </c>
      <c r="H714" s="17" t="inlineStr">
        <is>
          <t>CÔNG TY CỔ PHẦN CÔNG NGHIỆP VÀ THƯƠNG MẠI CƯỜNG THỊNH</t>
        </is>
      </c>
      <c r="I714" s="17" t="inlineStr">
        <is>
          <t>Long đền thường ZP M12B23D1</t>
        </is>
      </c>
      <c r="J714" s="17" t="inlineStr">
        <is>
          <t>Cái</t>
        </is>
      </c>
      <c r="K714" s="19" t="n">
        <v>100</v>
      </c>
      <c r="L714" s="20" t="n"/>
      <c r="M714" s="20" t="n"/>
      <c r="N714" s="43" t="n">
        <v>1344</v>
      </c>
      <c r="O714" s="20" t="n">
        <v>134400</v>
      </c>
      <c r="P714" s="43" t="n">
        <v>1344</v>
      </c>
      <c r="Q714" s="20" t="n">
        <v>134400</v>
      </c>
      <c r="R714" s="42">
        <f>+L714+N714-P714</f>
        <v/>
      </c>
      <c r="S714" s="42">
        <f>+M714+O714-Q714</f>
        <v/>
      </c>
    </row>
    <row r="715" ht="30" customHeight="1">
      <c r="A715" s="16" t="n">
        <v>45722</v>
      </c>
      <c r="B715" s="17" t="inlineStr">
        <is>
          <t>MH2503-08</t>
        </is>
      </c>
      <c r="C715" s="16" t="n">
        <v>45722</v>
      </c>
      <c r="D715" s="17" t="inlineStr">
        <is>
          <t>00000660</t>
        </is>
      </c>
      <c r="E715" s="16" t="n">
        <v>45722</v>
      </c>
      <c r="F715" s="16" t="inlineStr">
        <is>
          <t>XK2503-08</t>
        </is>
      </c>
      <c r="G715" s="16" t="n">
        <v>45722</v>
      </c>
      <c r="H715" s="17" t="inlineStr">
        <is>
          <t>CÔNG TY CỔ PHẦN CÔNG NGHIỆP VÀ THƯƠNG MẠI CƯỜNG THỊNH</t>
        </is>
      </c>
      <c r="I715" s="17" t="inlineStr">
        <is>
          <t>Bulong thường 4.6 ZP M12x50</t>
        </is>
      </c>
      <c r="J715" s="17" t="inlineStr">
        <is>
          <t>Cái</t>
        </is>
      </c>
      <c r="K715" s="19" t="n">
        <v>1300</v>
      </c>
      <c r="L715" s="20" t="n"/>
      <c r="M715" s="20" t="n"/>
      <c r="N715" s="43" t="n">
        <v>228</v>
      </c>
      <c r="O715" s="20" t="n">
        <v>296400</v>
      </c>
      <c r="P715" s="43" t="n">
        <v>228</v>
      </c>
      <c r="Q715" s="20" t="n">
        <v>296400</v>
      </c>
      <c r="R715" s="42">
        <f>+L715+N715-P715</f>
        <v/>
      </c>
      <c r="S715" s="42">
        <f>+M715+O715-Q715</f>
        <v/>
      </c>
    </row>
    <row r="716" ht="30" customHeight="1">
      <c r="A716" s="16" t="n">
        <v>45722</v>
      </c>
      <c r="B716" s="17" t="inlineStr">
        <is>
          <t>MH2503-08</t>
        </is>
      </c>
      <c r="C716" s="16" t="n">
        <v>45722</v>
      </c>
      <c r="D716" s="17" t="inlineStr">
        <is>
          <t>00000660</t>
        </is>
      </c>
      <c r="E716" s="16" t="n">
        <v>45722</v>
      </c>
      <c r="F716" s="16" t="inlineStr">
        <is>
          <t>XK2503-08</t>
        </is>
      </c>
      <c r="G716" s="16" t="n">
        <v>45722</v>
      </c>
      <c r="H716" s="17" t="inlineStr">
        <is>
          <t>CÔNG TY CỔ PHẦN CÔNG NGHIỆP VÀ THƯƠNG MẠI CƯỜNG THỊNH</t>
        </is>
      </c>
      <c r="I716" s="17" t="inlineStr">
        <is>
          <t>Đai ốc thường 4 ZP M12 (9mm)</t>
        </is>
      </c>
      <c r="J716" s="17" t="inlineStr">
        <is>
          <t>Cái</t>
        </is>
      </c>
      <c r="K716" s="19" t="n">
        <v>360</v>
      </c>
      <c r="L716" s="20" t="n"/>
      <c r="M716" s="20" t="n"/>
      <c r="N716" s="43" t="n">
        <v>228</v>
      </c>
      <c r="O716" s="20" t="n">
        <v>82080</v>
      </c>
      <c r="P716" s="43" t="n">
        <v>228</v>
      </c>
      <c r="Q716" s="20" t="n">
        <v>82080</v>
      </c>
      <c r="R716" s="42">
        <f>+L716+N716-P716</f>
        <v/>
      </c>
      <c r="S716" s="42">
        <f>+M716+O716-Q716</f>
        <v/>
      </c>
    </row>
    <row r="717" ht="30" customHeight="1">
      <c r="A717" s="16" t="n">
        <v>45722</v>
      </c>
      <c r="B717" s="17" t="inlineStr">
        <is>
          <t>MH2503-08</t>
        </is>
      </c>
      <c r="C717" s="16" t="n">
        <v>45722</v>
      </c>
      <c r="D717" s="17" t="inlineStr">
        <is>
          <t>00000660</t>
        </is>
      </c>
      <c r="E717" s="16" t="n">
        <v>45722</v>
      </c>
      <c r="F717" s="16" t="inlineStr">
        <is>
          <t>XK2503-08</t>
        </is>
      </c>
      <c r="G717" s="16" t="n">
        <v>45722</v>
      </c>
      <c r="H717" s="17" t="inlineStr">
        <is>
          <t>CÔNG TY CỔ PHẦN CÔNG NGHIỆP VÀ THƯƠNG MẠI CƯỜNG THỊNH</t>
        </is>
      </c>
      <c r="I717" s="17" t="inlineStr">
        <is>
          <t>Long đền thường ZP M12B23D1</t>
        </is>
      </c>
      <c r="J717" s="17" t="inlineStr">
        <is>
          <t>Cái</t>
        </is>
      </c>
      <c r="K717" s="19" t="n">
        <v>100</v>
      </c>
      <c r="L717" s="20" t="n"/>
      <c r="M717" s="20" t="n"/>
      <c r="N717" s="43" t="n">
        <v>456</v>
      </c>
      <c r="O717" s="20" t="n">
        <v>45600</v>
      </c>
      <c r="P717" s="43" t="n">
        <v>456</v>
      </c>
      <c r="Q717" s="20" t="n">
        <v>45600</v>
      </c>
      <c r="R717" s="42">
        <f>+L717+N717-P717</f>
        <v/>
      </c>
      <c r="S717" s="42">
        <f>+M717+O717-Q717</f>
        <v/>
      </c>
    </row>
    <row r="718" ht="30" customHeight="1">
      <c r="A718" s="16" t="n">
        <v>45722</v>
      </c>
      <c r="B718" s="17" t="inlineStr">
        <is>
          <t>MH2503-09</t>
        </is>
      </c>
      <c r="C718" s="16" t="n">
        <v>45722</v>
      </c>
      <c r="D718" s="17" t="inlineStr">
        <is>
          <t>00000654</t>
        </is>
      </c>
      <c r="E718" s="16" t="n">
        <v>45722</v>
      </c>
      <c r="F718" s="16" t="inlineStr">
        <is>
          <t>XK2503-09</t>
        </is>
      </c>
      <c r="G718" s="16" t="n">
        <v>45722</v>
      </c>
      <c r="H718" s="17" t="inlineStr">
        <is>
          <t>CÔNG TY CỔ PHẦN CÔNG NGHIỆP VÀ THƯƠNG MẠI CƯỜNG THỊNH</t>
        </is>
      </c>
      <c r="I718" s="17" t="inlineStr">
        <is>
          <t>Vít B2 Dacromet 12-14x20</t>
        </is>
      </c>
      <c r="J718" s="17" t="inlineStr">
        <is>
          <t>Cái</t>
        </is>
      </c>
      <c r="K718" s="19" t="n">
        <v>600</v>
      </c>
      <c r="L718" s="20" t="n"/>
      <c r="M718" s="20" t="n"/>
      <c r="N718" s="43" t="n">
        <v>200</v>
      </c>
      <c r="O718" s="20" t="n">
        <v>120000</v>
      </c>
      <c r="P718" s="43" t="n">
        <v>200</v>
      </c>
      <c r="Q718" s="20" t="n">
        <v>120000</v>
      </c>
      <c r="R718" s="42">
        <f>+L718+N718-P718</f>
        <v/>
      </c>
      <c r="S718" s="42">
        <f>+M718+O718-Q718</f>
        <v/>
      </c>
    </row>
    <row r="719" ht="30" customHeight="1">
      <c r="A719" s="16" t="n">
        <v>45722</v>
      </c>
      <c r="B719" s="17" t="inlineStr">
        <is>
          <t>MH2503-09</t>
        </is>
      </c>
      <c r="C719" s="16" t="n">
        <v>45722</v>
      </c>
      <c r="D719" s="17" t="inlineStr">
        <is>
          <t>00000654</t>
        </is>
      </c>
      <c r="E719" s="16" t="n">
        <v>45722</v>
      </c>
      <c r="F719" s="16" t="inlineStr">
        <is>
          <t>XK2503-09</t>
        </is>
      </c>
      <c r="G719" s="16" t="n">
        <v>45722</v>
      </c>
      <c r="H719" s="17" t="inlineStr">
        <is>
          <t>CÔNG TY CỔ PHẦN CÔNG NGHIỆP VÀ THƯƠNG MẠI CƯỜNG THỊNH</t>
        </is>
      </c>
      <c r="I719" s="17" t="inlineStr">
        <is>
          <t>Ty giằng 2 đầu ren 4.6 ZP M16</t>
        </is>
      </c>
      <c r="J719" s="17" t="inlineStr">
        <is>
          <t>Mét</t>
        </is>
      </c>
      <c r="K719" s="19" t="n">
        <v>48000</v>
      </c>
      <c r="L719" s="20" t="n"/>
      <c r="M719" s="20" t="n"/>
      <c r="N719" s="43" t="n">
        <v>25.55</v>
      </c>
      <c r="O719" s="20" t="n">
        <v>1226400</v>
      </c>
      <c r="P719" s="43" t="n">
        <v>25.55</v>
      </c>
      <c r="Q719" s="20" t="n">
        <v>1226400</v>
      </c>
      <c r="R719" s="42">
        <f>+L719+N719-P719</f>
        <v/>
      </c>
      <c r="S719" s="42">
        <f>+M719+O719-Q719</f>
        <v/>
      </c>
    </row>
    <row r="720" ht="30" customHeight="1">
      <c r="A720" s="16" t="n">
        <v>45722</v>
      </c>
      <c r="B720" s="17" t="inlineStr">
        <is>
          <t>MH2503-09</t>
        </is>
      </c>
      <c r="C720" s="16" t="n">
        <v>45722</v>
      </c>
      <c r="D720" s="17" t="inlineStr">
        <is>
          <t>00000654</t>
        </is>
      </c>
      <c r="E720" s="16" t="n">
        <v>45722</v>
      </c>
      <c r="F720" s="16" t="inlineStr">
        <is>
          <t>XK2503-09</t>
        </is>
      </c>
      <c r="G720" s="16" t="n">
        <v>45722</v>
      </c>
      <c r="H720" s="17" t="inlineStr">
        <is>
          <t>CÔNG TY CỔ PHẦN CÔNG NGHIỆP VÀ THƯƠNG MẠI CƯỜNG THỊNH</t>
        </is>
      </c>
      <c r="I720" s="17" t="inlineStr">
        <is>
          <t>Đai ốc Din 934 5 ZP M16</t>
        </is>
      </c>
      <c r="J720" s="17" t="inlineStr">
        <is>
          <t>Cái</t>
        </is>
      </c>
      <c r="K720" s="19">
        <f>+O720/N720</f>
        <v/>
      </c>
      <c r="L720" s="20" t="n"/>
      <c r="M720" s="20" t="n"/>
      <c r="N720" s="43" t="n">
        <v>8</v>
      </c>
      <c r="O720" s="20" t="n">
        <v>8880</v>
      </c>
      <c r="P720" s="43" t="n">
        <v>8</v>
      </c>
      <c r="Q720" s="20" t="n">
        <v>8880</v>
      </c>
      <c r="R720" s="42">
        <f>+L720+N720-P720</f>
        <v/>
      </c>
      <c r="S720" s="42">
        <f>+M720+O720-Q720</f>
        <v/>
      </c>
    </row>
    <row r="721" ht="30" customHeight="1">
      <c r="A721" s="16" t="n">
        <v>45722</v>
      </c>
      <c r="B721" s="17" t="inlineStr">
        <is>
          <t>MH2503-09</t>
        </is>
      </c>
      <c r="C721" s="16" t="n">
        <v>45722</v>
      </c>
      <c r="D721" s="17" t="inlineStr">
        <is>
          <t>00000654</t>
        </is>
      </c>
      <c r="E721" s="16" t="n">
        <v>45722</v>
      </c>
      <c r="F721" s="16" t="inlineStr">
        <is>
          <t>XK2503-09</t>
        </is>
      </c>
      <c r="G721" s="16" t="n">
        <v>45722</v>
      </c>
      <c r="H721" s="17" t="inlineStr">
        <is>
          <t>CÔNG TY CỔ PHẦN CÔNG NGHIỆP VÀ THƯƠNG MẠI CƯỜNG THỊNH</t>
        </is>
      </c>
      <c r="I721" s="17" t="inlineStr">
        <is>
          <t>Long đền thường ZP M16B42D2</t>
        </is>
      </c>
      <c r="J721" s="17" t="inlineStr">
        <is>
          <t>Cái</t>
        </is>
      </c>
      <c r="K721" s="19">
        <f>+O721/N721</f>
        <v/>
      </c>
      <c r="L721" s="20" t="n"/>
      <c r="M721" s="20" t="n"/>
      <c r="N721" s="43" t="n">
        <v>8</v>
      </c>
      <c r="O721" s="20" t="n">
        <v>6400</v>
      </c>
      <c r="P721" s="43" t="n">
        <v>8</v>
      </c>
      <c r="Q721" s="20" t="n">
        <v>6400</v>
      </c>
      <c r="R721" s="42">
        <f>+L721+N721-P721</f>
        <v/>
      </c>
      <c r="S721" s="42">
        <f>+M721+O721-Q721</f>
        <v/>
      </c>
    </row>
    <row r="722" ht="30" customHeight="1">
      <c r="A722" s="16" t="n">
        <v>45722</v>
      </c>
      <c r="B722" s="17" t="inlineStr">
        <is>
          <t>MH2503-09</t>
        </is>
      </c>
      <c r="C722" s="16" t="n">
        <v>45722</v>
      </c>
      <c r="D722" s="17" t="inlineStr">
        <is>
          <t>00000654</t>
        </is>
      </c>
      <c r="E722" s="16" t="n">
        <v>45722</v>
      </c>
      <c r="F722" s="16" t="inlineStr">
        <is>
          <t>XK2503-09</t>
        </is>
      </c>
      <c r="G722" s="16" t="n">
        <v>45722</v>
      </c>
      <c r="H722" s="17" t="inlineStr">
        <is>
          <t>CÔNG TY CỔ PHẦN CÔNG NGHIỆP VÀ THƯƠNG MẠI CƯỜNG THỊNH</t>
        </is>
      </c>
      <c r="I722" s="17" t="inlineStr">
        <is>
          <t>Long đền móng ngựa ZP M16</t>
        </is>
      </c>
      <c r="J722" s="17" t="inlineStr">
        <is>
          <t>Cái</t>
        </is>
      </c>
      <c r="K722" s="19">
        <f>+O722/N722</f>
        <v/>
      </c>
      <c r="L722" s="20" t="n"/>
      <c r="M722" s="20" t="n"/>
      <c r="N722" s="43" t="n">
        <v>8</v>
      </c>
      <c r="O722" s="20" t="n">
        <v>125360</v>
      </c>
      <c r="P722" s="43" t="n">
        <v>8</v>
      </c>
      <c r="Q722" s="20" t="n">
        <v>125360</v>
      </c>
      <c r="R722" s="42">
        <f>+L722+N722-P722</f>
        <v/>
      </c>
      <c r="S722" s="42">
        <f>+M722+O722-Q722</f>
        <v/>
      </c>
    </row>
    <row r="723" ht="30" customHeight="1">
      <c r="A723" s="16" t="n">
        <v>45722</v>
      </c>
      <c r="B723" s="17" t="inlineStr">
        <is>
          <t>MH2503-09</t>
        </is>
      </c>
      <c r="C723" s="16" t="n">
        <v>45722</v>
      </c>
      <c r="D723" s="17" t="inlineStr">
        <is>
          <t>00000654</t>
        </is>
      </c>
      <c r="E723" s="16" t="n">
        <v>45722</v>
      </c>
      <c r="F723" s="16" t="inlineStr">
        <is>
          <t>XK2503-09</t>
        </is>
      </c>
      <c r="G723" s="16" t="n">
        <v>45722</v>
      </c>
      <c r="H723" s="17" t="inlineStr">
        <is>
          <t>CÔNG TY CỔ PHẦN CÔNG NGHIỆP VÀ THƯƠNG MẠI CƯỜNG THỊNH</t>
        </is>
      </c>
      <c r="I723" s="17" t="inlineStr">
        <is>
          <t>Nối Ty ZP M16x100 (23mm)</t>
        </is>
      </c>
      <c r="J723" s="17" t="inlineStr">
        <is>
          <t>Cái</t>
        </is>
      </c>
      <c r="K723" s="19">
        <f>+O723/N723</f>
        <v/>
      </c>
      <c r="L723" s="20" t="n"/>
      <c r="M723" s="20" t="n"/>
      <c r="N723" s="43" t="n">
        <v>2</v>
      </c>
      <c r="O723" s="20" t="n">
        <v>48320</v>
      </c>
      <c r="P723" s="43" t="n">
        <v>2</v>
      </c>
      <c r="Q723" s="20" t="n">
        <v>48320</v>
      </c>
      <c r="R723" s="42">
        <f>+L723+N723-P723</f>
        <v/>
      </c>
      <c r="S723" s="42">
        <f>+M723+O723-Q723</f>
        <v/>
      </c>
    </row>
    <row r="724" ht="30" customHeight="1">
      <c r="A724" s="16" t="n">
        <v>45722</v>
      </c>
      <c r="B724" s="17" t="inlineStr">
        <is>
          <t>MH2503-09</t>
        </is>
      </c>
      <c r="C724" s="16" t="n">
        <v>45722</v>
      </c>
      <c r="D724" s="17" t="inlineStr">
        <is>
          <t>00000654</t>
        </is>
      </c>
      <c r="E724" s="16" t="n">
        <v>45722</v>
      </c>
      <c r="F724" s="16" t="inlineStr">
        <is>
          <t>XK2503-09</t>
        </is>
      </c>
      <c r="G724" s="16" t="n">
        <v>45722</v>
      </c>
      <c r="H724" s="17" t="inlineStr">
        <is>
          <t>CÔNG TY CỔ PHẦN CÔNG NGHIỆP VÀ THƯƠNG MẠI CƯỜNG THỊNH</t>
        </is>
      </c>
      <c r="I724" s="17" t="inlineStr">
        <is>
          <t>Bulong Din 933 8.8 ZP M16x40</t>
        </is>
      </c>
      <c r="J724" s="17" t="inlineStr">
        <is>
          <t>Cái</t>
        </is>
      </c>
      <c r="K724" s="19">
        <f>+O724/N724</f>
        <v/>
      </c>
      <c r="L724" s="20" t="n"/>
      <c r="M724" s="20" t="n"/>
      <c r="N724" s="43" t="n">
        <v>27</v>
      </c>
      <c r="O724" s="20" t="n">
        <v>81810</v>
      </c>
      <c r="P724" s="43" t="n">
        <v>27</v>
      </c>
      <c r="Q724" s="20" t="n">
        <v>81810</v>
      </c>
      <c r="R724" s="42">
        <f>+L724+N724-P724</f>
        <v/>
      </c>
      <c r="S724" s="42">
        <f>+M724+O724-Q724</f>
        <v/>
      </c>
    </row>
    <row r="725" ht="30" customHeight="1">
      <c r="A725" s="16" t="n">
        <v>45722</v>
      </c>
      <c r="B725" s="17" t="inlineStr">
        <is>
          <t>MH2503-09</t>
        </is>
      </c>
      <c r="C725" s="16" t="n">
        <v>45722</v>
      </c>
      <c r="D725" s="17" t="inlineStr">
        <is>
          <t>00000654</t>
        </is>
      </c>
      <c r="E725" s="16" t="n">
        <v>45722</v>
      </c>
      <c r="F725" s="16" t="inlineStr">
        <is>
          <t>XK2503-09</t>
        </is>
      </c>
      <c r="G725" s="16" t="n">
        <v>45722</v>
      </c>
      <c r="H725" s="17" t="inlineStr">
        <is>
          <t>CÔNG TY CỔ PHẦN CÔNG NGHIỆP VÀ THƯƠNG MẠI CƯỜNG THỊNH</t>
        </is>
      </c>
      <c r="I725" s="17" t="inlineStr">
        <is>
          <t>Đai ốc Din 934 8 ZP M16</t>
        </is>
      </c>
      <c r="J725" s="17" t="inlineStr">
        <is>
          <t>Cái</t>
        </is>
      </c>
      <c r="K725" s="19">
        <f>+O725/N725</f>
        <v/>
      </c>
      <c r="L725" s="20" t="n"/>
      <c r="M725" s="20" t="n"/>
      <c r="N725" s="43" t="n">
        <v>27</v>
      </c>
      <c r="O725" s="20" t="n">
        <v>29430</v>
      </c>
      <c r="P725" s="43" t="n">
        <v>27</v>
      </c>
      <c r="Q725" s="20" t="n">
        <v>29430</v>
      </c>
      <c r="R725" s="42">
        <f>+L725+N725-P725</f>
        <v/>
      </c>
      <c r="S725" s="42">
        <f>+M725+O725-Q725</f>
        <v/>
      </c>
    </row>
    <row r="726" ht="30" customHeight="1">
      <c r="A726" s="16" t="n">
        <v>45722</v>
      </c>
      <c r="B726" s="17" t="inlineStr">
        <is>
          <t>MH2503-09</t>
        </is>
      </c>
      <c r="C726" s="16" t="n">
        <v>45722</v>
      </c>
      <c r="D726" s="17" t="inlineStr">
        <is>
          <t>00000654</t>
        </is>
      </c>
      <c r="E726" s="16" t="n">
        <v>45722</v>
      </c>
      <c r="F726" s="16" t="inlineStr">
        <is>
          <t>XK2503-09</t>
        </is>
      </c>
      <c r="G726" s="16" t="n">
        <v>45722</v>
      </c>
      <c r="H726" s="17" t="inlineStr">
        <is>
          <t>CÔNG TY CỔ PHẦN CÔNG NGHIỆP VÀ THƯƠNG MẠI CƯỜNG THỊNH</t>
        </is>
      </c>
      <c r="I726" s="17" t="inlineStr">
        <is>
          <t>Long đền thường ZP M16B30D2</t>
        </is>
      </c>
      <c r="J726" s="17" t="inlineStr">
        <is>
          <t>Cái</t>
        </is>
      </c>
      <c r="K726" s="19">
        <f>+O726/N726</f>
        <v/>
      </c>
      <c r="L726" s="20" t="n"/>
      <c r="M726" s="20" t="n"/>
      <c r="N726" s="43" t="n">
        <v>27</v>
      </c>
      <c r="O726" s="20" t="n">
        <v>9450</v>
      </c>
      <c r="P726" s="43" t="n">
        <v>27</v>
      </c>
      <c r="Q726" s="20" t="n">
        <v>9450</v>
      </c>
      <c r="R726" s="42">
        <f>+L726+N726-P726</f>
        <v/>
      </c>
      <c r="S726" s="42">
        <f>+M726+O726-Q726</f>
        <v/>
      </c>
    </row>
    <row r="727" ht="30" customHeight="1">
      <c r="A727" s="16" t="n">
        <v>45722</v>
      </c>
      <c r="B727" s="17" t="inlineStr">
        <is>
          <t>MH2503-09</t>
        </is>
      </c>
      <c r="C727" s="16" t="n">
        <v>45722</v>
      </c>
      <c r="D727" s="17" t="inlineStr">
        <is>
          <t>00000654</t>
        </is>
      </c>
      <c r="E727" s="16" t="n">
        <v>45722</v>
      </c>
      <c r="F727" s="16" t="inlineStr">
        <is>
          <t>XK2503-09</t>
        </is>
      </c>
      <c r="G727" s="16" t="n">
        <v>45722</v>
      </c>
      <c r="H727" s="17" t="inlineStr">
        <is>
          <t>CÔNG TY CỔ PHẦN CÔNG NGHIỆP VÀ THƯƠNG MẠI CƯỜNG THỊNH</t>
        </is>
      </c>
      <c r="I727" s="17" t="inlineStr">
        <is>
          <t>Bulong Din 933 8.8 ZP M20x50</t>
        </is>
      </c>
      <c r="J727" s="17" t="inlineStr">
        <is>
          <t>Cái</t>
        </is>
      </c>
      <c r="K727" s="19">
        <f>+O727/N727</f>
        <v/>
      </c>
      <c r="L727" s="20" t="n"/>
      <c r="M727" s="20" t="n"/>
      <c r="N727" s="43" t="n">
        <v>29</v>
      </c>
      <c r="O727" s="20" t="n">
        <v>167040</v>
      </c>
      <c r="P727" s="43" t="n">
        <v>29</v>
      </c>
      <c r="Q727" s="20" t="n">
        <v>167040</v>
      </c>
      <c r="R727" s="42">
        <f>+L727+N727-P727</f>
        <v/>
      </c>
      <c r="S727" s="42">
        <f>+M727+O727-Q727</f>
        <v/>
      </c>
    </row>
    <row r="728" ht="30" customHeight="1">
      <c r="A728" s="16" t="n">
        <v>45722</v>
      </c>
      <c r="B728" s="17" t="inlineStr">
        <is>
          <t>MH2503-09</t>
        </is>
      </c>
      <c r="C728" s="16" t="n">
        <v>45722</v>
      </c>
      <c r="D728" s="17" t="inlineStr">
        <is>
          <t>00000654</t>
        </is>
      </c>
      <c r="E728" s="16" t="n">
        <v>45722</v>
      </c>
      <c r="F728" s="16" t="inlineStr">
        <is>
          <t>XK2503-09</t>
        </is>
      </c>
      <c r="G728" s="16" t="n">
        <v>45722</v>
      </c>
      <c r="H728" s="17" t="inlineStr">
        <is>
          <t>CÔNG TY CỔ PHẦN CÔNG NGHIỆP VÀ THƯƠNG MẠI CƯỜNG THỊNH</t>
        </is>
      </c>
      <c r="I728" s="17" t="inlineStr">
        <is>
          <t>Đai ốc Din 934 8 ZP M20</t>
        </is>
      </c>
      <c r="J728" s="17" t="inlineStr">
        <is>
          <t>Cái</t>
        </is>
      </c>
      <c r="K728" s="19">
        <f>+O728/N728</f>
        <v/>
      </c>
      <c r="L728" s="20" t="n"/>
      <c r="M728" s="20" t="n"/>
      <c r="N728" s="43" t="n">
        <v>29</v>
      </c>
      <c r="O728" s="20" t="n">
        <v>58870</v>
      </c>
      <c r="P728" s="43" t="n">
        <v>29</v>
      </c>
      <c r="Q728" s="20" t="n">
        <v>58870</v>
      </c>
      <c r="R728" s="42">
        <f>+L728+N728-P728</f>
        <v/>
      </c>
      <c r="S728" s="42">
        <f>+M728+O728-Q728</f>
        <v/>
      </c>
    </row>
    <row r="729" ht="30" customHeight="1">
      <c r="A729" s="16" t="n">
        <v>45722</v>
      </c>
      <c r="B729" s="17" t="inlineStr">
        <is>
          <t>MH2503-09</t>
        </is>
      </c>
      <c r="C729" s="16" t="n">
        <v>45722</v>
      </c>
      <c r="D729" s="17" t="inlineStr">
        <is>
          <t>00000654</t>
        </is>
      </c>
      <c r="E729" s="16" t="n">
        <v>45722</v>
      </c>
      <c r="F729" s="16" t="inlineStr">
        <is>
          <t>XK2503-09</t>
        </is>
      </c>
      <c r="G729" s="16" t="n">
        <v>45722</v>
      </c>
      <c r="H729" s="17" t="inlineStr">
        <is>
          <t>CÔNG TY CỔ PHẦN CÔNG NGHIỆP VÀ THƯƠNG MẠI CƯỜNG THỊNH</t>
        </is>
      </c>
      <c r="I729" s="17" t="inlineStr">
        <is>
          <t>Long đền thường ZP M20B35D2</t>
        </is>
      </c>
      <c r="J729" s="17" t="inlineStr">
        <is>
          <t>Cái</t>
        </is>
      </c>
      <c r="K729" s="19">
        <f>+O729/N729</f>
        <v/>
      </c>
      <c r="L729" s="20" t="n"/>
      <c r="M729" s="20" t="n"/>
      <c r="N729" s="43" t="n">
        <v>29</v>
      </c>
      <c r="O729" s="20" t="n">
        <v>10150</v>
      </c>
      <c r="P729" s="43" t="n">
        <v>29</v>
      </c>
      <c r="Q729" s="20" t="n">
        <v>10150</v>
      </c>
      <c r="R729" s="42">
        <f>+L729+N729-P729</f>
        <v/>
      </c>
      <c r="S729" s="42">
        <f>+M729+O729-Q729</f>
        <v/>
      </c>
    </row>
    <row r="730" ht="30" customHeight="1">
      <c r="A730" s="16" t="n">
        <v>45722</v>
      </c>
      <c r="B730" s="17" t="inlineStr">
        <is>
          <t>MH2503-09</t>
        </is>
      </c>
      <c r="C730" s="16" t="n">
        <v>45722</v>
      </c>
      <c r="D730" s="17" t="inlineStr">
        <is>
          <t>00000654</t>
        </is>
      </c>
      <c r="E730" s="16" t="n">
        <v>45722</v>
      </c>
      <c r="F730" s="16" t="inlineStr">
        <is>
          <t>XK2503-09</t>
        </is>
      </c>
      <c r="G730" s="16" t="n">
        <v>45722</v>
      </c>
      <c r="H730" s="17" t="inlineStr">
        <is>
          <t>CÔNG TY CỔ PHẦN CÔNG NGHIỆP VÀ THƯƠNG MẠI CƯỜNG THỊNH</t>
        </is>
      </c>
      <c r="I730" s="17" t="inlineStr">
        <is>
          <t>Bulong Din 933 8.8 ZP M20x60</t>
        </is>
      </c>
      <c r="J730" s="17" t="inlineStr">
        <is>
          <t>Cái</t>
        </is>
      </c>
      <c r="K730" s="19">
        <f>+O730/N730</f>
        <v/>
      </c>
      <c r="L730" s="20" t="n"/>
      <c r="M730" s="20" t="n"/>
      <c r="N730" s="43" t="n">
        <v>251</v>
      </c>
      <c r="O730" s="20" t="n">
        <v>1616440</v>
      </c>
      <c r="P730" s="43" t="n">
        <v>251</v>
      </c>
      <c r="Q730" s="20" t="n">
        <v>1616440</v>
      </c>
      <c r="R730" s="42">
        <f>+L730+N730-P730</f>
        <v/>
      </c>
      <c r="S730" s="42">
        <f>+M730+O730-Q730</f>
        <v/>
      </c>
    </row>
    <row r="731" ht="30" customHeight="1">
      <c r="A731" s="16" t="n">
        <v>45722</v>
      </c>
      <c r="B731" s="17" t="inlineStr">
        <is>
          <t>MH2503-09</t>
        </is>
      </c>
      <c r="C731" s="16" t="n">
        <v>45722</v>
      </c>
      <c r="D731" s="17" t="inlineStr">
        <is>
          <t>00000654</t>
        </is>
      </c>
      <c r="E731" s="16" t="n">
        <v>45722</v>
      </c>
      <c r="F731" s="16" t="inlineStr">
        <is>
          <t>XK2503-09</t>
        </is>
      </c>
      <c r="G731" s="16" t="n">
        <v>45722</v>
      </c>
      <c r="H731" s="17" t="inlineStr">
        <is>
          <t>CÔNG TY CỔ PHẦN CÔNG NGHIỆP VÀ THƯƠNG MẠI CƯỜNG THỊNH</t>
        </is>
      </c>
      <c r="I731" s="17" t="inlineStr">
        <is>
          <t>Đai ốc Din 934 8 ZP M20</t>
        </is>
      </c>
      <c r="J731" s="17" t="inlineStr">
        <is>
          <t>Cái</t>
        </is>
      </c>
      <c r="K731" s="19">
        <f>+O731/N731</f>
        <v/>
      </c>
      <c r="L731" s="20" t="n"/>
      <c r="M731" s="20" t="n"/>
      <c r="N731" s="43" t="n">
        <v>251</v>
      </c>
      <c r="O731" s="20" t="n">
        <v>509530</v>
      </c>
      <c r="P731" s="43" t="n">
        <v>251</v>
      </c>
      <c r="Q731" s="20" t="n">
        <v>509530</v>
      </c>
      <c r="R731" s="42">
        <f>+L731+N731-P731</f>
        <v/>
      </c>
      <c r="S731" s="42">
        <f>+M731+O731-Q731</f>
        <v/>
      </c>
    </row>
    <row r="732" ht="30" customHeight="1">
      <c r="A732" s="16" t="n">
        <v>45722</v>
      </c>
      <c r="B732" s="17" t="inlineStr">
        <is>
          <t>MH2503-09</t>
        </is>
      </c>
      <c r="C732" s="16" t="n">
        <v>45722</v>
      </c>
      <c r="D732" s="17" t="inlineStr">
        <is>
          <t>00000654</t>
        </is>
      </c>
      <c r="E732" s="16" t="n">
        <v>45722</v>
      </c>
      <c r="F732" s="16" t="inlineStr">
        <is>
          <t>XK2503-09</t>
        </is>
      </c>
      <c r="G732" s="16" t="n">
        <v>45722</v>
      </c>
      <c r="H732" s="17" t="inlineStr">
        <is>
          <t>CÔNG TY CỔ PHẦN CÔNG NGHIỆP VÀ THƯƠNG MẠI CƯỜNG THỊNH</t>
        </is>
      </c>
      <c r="I732" s="17" t="inlineStr">
        <is>
          <t>Long đền thường ZP M20B35D2</t>
        </is>
      </c>
      <c r="J732" s="17" t="inlineStr">
        <is>
          <t>Cái</t>
        </is>
      </c>
      <c r="K732" s="19">
        <f>+O732/N732</f>
        <v/>
      </c>
      <c r="L732" s="20" t="n"/>
      <c r="M732" s="20" t="n"/>
      <c r="N732" s="43" t="n">
        <v>251</v>
      </c>
      <c r="O732" s="20" t="n">
        <v>87850</v>
      </c>
      <c r="P732" s="43" t="n">
        <v>251</v>
      </c>
      <c r="Q732" s="20" t="n">
        <v>87850</v>
      </c>
      <c r="R732" s="42">
        <f>+L732+N732-P732</f>
        <v/>
      </c>
      <c r="S732" s="42">
        <f>+M732+O732-Q732</f>
        <v/>
      </c>
    </row>
    <row r="733" ht="30" customHeight="1">
      <c r="A733" s="16" t="n">
        <v>45722</v>
      </c>
      <c r="B733" s="17" t="inlineStr">
        <is>
          <t>MH2503-09</t>
        </is>
      </c>
      <c r="C733" s="16" t="n">
        <v>45722</v>
      </c>
      <c r="D733" s="17" t="inlineStr">
        <is>
          <t>00000654</t>
        </is>
      </c>
      <c r="E733" s="16" t="n">
        <v>45722</v>
      </c>
      <c r="F733" s="16" t="inlineStr">
        <is>
          <t>XK2503-09</t>
        </is>
      </c>
      <c r="G733" s="16" t="n">
        <v>45722</v>
      </c>
      <c r="H733" s="17" t="inlineStr">
        <is>
          <t>CÔNG TY CỔ PHẦN CÔNG NGHIỆP VÀ THƯƠNG MẠI CƯỜNG THỊNH</t>
        </is>
      </c>
      <c r="I733" s="17" t="inlineStr">
        <is>
          <t>Bulong thường 4.6 ZP M12x30</t>
        </is>
      </c>
      <c r="J733" s="17" t="inlineStr">
        <is>
          <t>Cái</t>
        </is>
      </c>
      <c r="K733" s="19">
        <f>+O733/N733</f>
        <v/>
      </c>
      <c r="L733" s="20" t="n"/>
      <c r="M733" s="20" t="n"/>
      <c r="N733" s="43" t="n">
        <v>47</v>
      </c>
      <c r="O733" s="20" t="n">
        <v>44650</v>
      </c>
      <c r="P733" s="43" t="n">
        <v>47</v>
      </c>
      <c r="Q733" s="20" t="n">
        <v>44650</v>
      </c>
      <c r="R733" s="42">
        <f>+L733+N733-P733</f>
        <v/>
      </c>
      <c r="S733" s="42">
        <f>+M733+O733-Q733</f>
        <v/>
      </c>
    </row>
    <row r="734" ht="30" customHeight="1">
      <c r="A734" s="16" t="n">
        <v>45722</v>
      </c>
      <c r="B734" s="17" t="inlineStr">
        <is>
          <t>MH2503-09</t>
        </is>
      </c>
      <c r="C734" s="16" t="n">
        <v>45722</v>
      </c>
      <c r="D734" s="17" t="inlineStr">
        <is>
          <t>00000654</t>
        </is>
      </c>
      <c r="E734" s="16" t="n">
        <v>45722</v>
      </c>
      <c r="F734" s="16" t="inlineStr">
        <is>
          <t>XK2503-09</t>
        </is>
      </c>
      <c r="G734" s="16" t="n">
        <v>45722</v>
      </c>
      <c r="H734" s="17" t="inlineStr">
        <is>
          <t>CÔNG TY CỔ PHẦN CÔNG NGHIỆP VÀ THƯƠNG MẠI CƯỜNG THỊNH</t>
        </is>
      </c>
      <c r="I734" s="17" t="inlineStr">
        <is>
          <t>Đai ốc thường 4 ZP M12 (9mm)</t>
        </is>
      </c>
      <c r="J734" s="17" t="inlineStr">
        <is>
          <t>Cái</t>
        </is>
      </c>
      <c r="K734" s="19">
        <f>+O734/N734</f>
        <v/>
      </c>
      <c r="L734" s="20" t="n"/>
      <c r="M734" s="20" t="n"/>
      <c r="N734" s="43" t="n">
        <v>47</v>
      </c>
      <c r="O734" s="20" t="n">
        <v>16920</v>
      </c>
      <c r="P734" s="43" t="n">
        <v>47</v>
      </c>
      <c r="Q734" s="20" t="n">
        <v>16920</v>
      </c>
      <c r="R734" s="42">
        <f>+L734+N734-P734</f>
        <v/>
      </c>
      <c r="S734" s="42">
        <f>+M734+O734-Q734</f>
        <v/>
      </c>
    </row>
    <row r="735" ht="30" customHeight="1">
      <c r="A735" s="16" t="n">
        <v>45722</v>
      </c>
      <c r="B735" s="17" t="inlineStr">
        <is>
          <t>MH2503-09</t>
        </is>
      </c>
      <c r="C735" s="16" t="n">
        <v>45722</v>
      </c>
      <c r="D735" s="17" t="inlineStr">
        <is>
          <t>00000654</t>
        </is>
      </c>
      <c r="E735" s="16" t="n">
        <v>45722</v>
      </c>
      <c r="F735" s="16" t="inlineStr">
        <is>
          <t>XK2503-09</t>
        </is>
      </c>
      <c r="G735" s="16" t="n">
        <v>45722</v>
      </c>
      <c r="H735" s="17" t="inlineStr">
        <is>
          <t>CÔNG TY CỔ PHẦN CÔNG NGHIỆP VÀ THƯƠNG MẠI CƯỜNG THỊNH</t>
        </is>
      </c>
      <c r="I735" s="17" t="inlineStr">
        <is>
          <t>Long đền thường ZP M12B23D1</t>
        </is>
      </c>
      <c r="J735" s="17" t="inlineStr">
        <is>
          <t>Cái</t>
        </is>
      </c>
      <c r="K735" s="19">
        <f>+O735/N735</f>
        <v/>
      </c>
      <c r="L735" s="20" t="n"/>
      <c r="M735" s="20" t="n"/>
      <c r="N735" s="43" t="n">
        <v>94</v>
      </c>
      <c r="O735" s="20" t="n">
        <v>9400</v>
      </c>
      <c r="P735" s="43" t="n">
        <v>94</v>
      </c>
      <c r="Q735" s="20" t="n">
        <v>9400</v>
      </c>
      <c r="R735" s="42">
        <f>+L735+N735-P735</f>
        <v/>
      </c>
      <c r="S735" s="42">
        <f>+M735+O735-Q735</f>
        <v/>
      </c>
    </row>
    <row r="736" ht="30" customHeight="1">
      <c r="A736" s="16" t="n">
        <v>45722</v>
      </c>
      <c r="B736" s="17" t="inlineStr">
        <is>
          <t>MH2503-09</t>
        </is>
      </c>
      <c r="C736" s="16" t="n">
        <v>45722</v>
      </c>
      <c r="D736" s="17" t="inlineStr">
        <is>
          <t>00000658</t>
        </is>
      </c>
      <c r="E736" s="16" t="n">
        <v>45722</v>
      </c>
      <c r="F736" s="16" t="inlineStr">
        <is>
          <t>XK2503-10</t>
        </is>
      </c>
      <c r="G736" s="16" t="n">
        <v>45722</v>
      </c>
      <c r="H736" s="17" t="inlineStr">
        <is>
          <t>CÔNG TY CỔ PHẦN CÔNG NGHIỆP VÀ THƯƠNG MẠI CƯỜNG THỊNH</t>
        </is>
      </c>
      <c r="I736" s="17" t="inlineStr">
        <is>
          <t>Vít B2 Dacromet 12-14x20</t>
        </is>
      </c>
      <c r="J736" s="17" t="inlineStr">
        <is>
          <t>Cái</t>
        </is>
      </c>
      <c r="K736" s="19">
        <f>+O736/N736</f>
        <v/>
      </c>
      <c r="L736" s="20" t="n"/>
      <c r="M736" s="20" t="n"/>
      <c r="N736" s="43" t="n">
        <v>400</v>
      </c>
      <c r="O736" s="20" t="n">
        <v>240000</v>
      </c>
      <c r="P736" s="43" t="n">
        <v>400</v>
      </c>
      <c r="Q736" s="20" t="n">
        <v>240000</v>
      </c>
      <c r="R736" s="42">
        <f>+L736+N736-P736</f>
        <v/>
      </c>
      <c r="S736" s="42">
        <f>+M736+O736-Q736</f>
        <v/>
      </c>
    </row>
    <row r="737" ht="30" customHeight="1">
      <c r="A737" s="16" t="n">
        <v>45722</v>
      </c>
      <c r="B737" s="17" t="inlineStr">
        <is>
          <t>MH2503-09</t>
        </is>
      </c>
      <c r="C737" s="16" t="n">
        <v>45722</v>
      </c>
      <c r="D737" s="17" t="inlineStr">
        <is>
          <t>00000658</t>
        </is>
      </c>
      <c r="E737" s="16" t="n">
        <v>45722</v>
      </c>
      <c r="F737" s="16" t="inlineStr">
        <is>
          <t>XK2503-10</t>
        </is>
      </c>
      <c r="G737" s="16" t="n">
        <v>45722</v>
      </c>
      <c r="H737" s="17" t="inlineStr">
        <is>
          <t>CÔNG TY CỔ PHẦN CÔNG NGHIỆP VÀ THƯƠNG MẠI CƯỜNG THỊNH</t>
        </is>
      </c>
      <c r="I737" s="17" t="inlineStr">
        <is>
          <t>Bulong Din 933 8.8 ZP M16x40</t>
        </is>
      </c>
      <c r="J737" s="17" t="inlineStr">
        <is>
          <t>Cái</t>
        </is>
      </c>
      <c r="K737" s="19">
        <f>+O737/N737</f>
        <v/>
      </c>
      <c r="L737" s="20" t="n"/>
      <c r="M737" s="20" t="n"/>
      <c r="N737" s="43" t="n">
        <v>214</v>
      </c>
      <c r="O737" s="20" t="n">
        <v>648420</v>
      </c>
      <c r="P737" s="43" t="n">
        <v>214</v>
      </c>
      <c r="Q737" s="20" t="n">
        <v>648420</v>
      </c>
      <c r="R737" s="42">
        <f>+L737+N737-P737</f>
        <v/>
      </c>
      <c r="S737" s="42">
        <f>+M737+O737-Q737</f>
        <v/>
      </c>
    </row>
    <row r="738" ht="30" customHeight="1">
      <c r="A738" s="16" t="n">
        <v>45722</v>
      </c>
      <c r="B738" s="17" t="inlineStr">
        <is>
          <t>MH2503-09</t>
        </is>
      </c>
      <c r="C738" s="16" t="n">
        <v>45722</v>
      </c>
      <c r="D738" s="17" t="inlineStr">
        <is>
          <t>00000658</t>
        </is>
      </c>
      <c r="E738" s="16" t="n">
        <v>45722</v>
      </c>
      <c r="F738" s="16" t="inlineStr">
        <is>
          <t>XK2503-10</t>
        </is>
      </c>
      <c r="G738" s="16" t="n">
        <v>45722</v>
      </c>
      <c r="H738" s="17" t="inlineStr">
        <is>
          <t>CÔNG TY CỔ PHẦN CÔNG NGHIỆP VÀ THƯƠNG MẠI CƯỜNG THỊNH</t>
        </is>
      </c>
      <c r="I738" s="17" t="inlineStr">
        <is>
          <t>Đai ốc Din 934 8 ZP M16</t>
        </is>
      </c>
      <c r="J738" s="17" t="inlineStr">
        <is>
          <t>Cái</t>
        </is>
      </c>
      <c r="K738" s="19">
        <f>+O738/N738</f>
        <v/>
      </c>
      <c r="L738" s="20" t="n"/>
      <c r="M738" s="20" t="n"/>
      <c r="N738" s="43" t="n">
        <v>214</v>
      </c>
      <c r="O738" s="20" t="n">
        <v>233260</v>
      </c>
      <c r="P738" s="43" t="n">
        <v>214</v>
      </c>
      <c r="Q738" s="20" t="n">
        <v>233260</v>
      </c>
      <c r="R738" s="42">
        <f>+L738+N738-P738</f>
        <v/>
      </c>
      <c r="S738" s="42">
        <f>+M738+O738-Q738</f>
        <v/>
      </c>
    </row>
    <row r="739" ht="30" customHeight="1">
      <c r="A739" s="16" t="n">
        <v>45722</v>
      </c>
      <c r="B739" s="17" t="inlineStr">
        <is>
          <t>MH2503-09</t>
        </is>
      </c>
      <c r="C739" s="16" t="n">
        <v>45722</v>
      </c>
      <c r="D739" s="17" t="inlineStr">
        <is>
          <t>00000658</t>
        </is>
      </c>
      <c r="E739" s="16" t="n">
        <v>45722</v>
      </c>
      <c r="F739" s="16" t="inlineStr">
        <is>
          <t>XK2503-10</t>
        </is>
      </c>
      <c r="G739" s="16" t="n">
        <v>45722</v>
      </c>
      <c r="H739" s="17" t="inlineStr">
        <is>
          <t>CÔNG TY CỔ PHẦN CÔNG NGHIỆP VÀ THƯƠNG MẠI CƯỜNG THỊNH</t>
        </is>
      </c>
      <c r="I739" s="17" t="inlineStr">
        <is>
          <t>Long đền thường ZP M16B30D2</t>
        </is>
      </c>
      <c r="J739" s="17" t="inlineStr">
        <is>
          <t>Cái</t>
        </is>
      </c>
      <c r="K739" s="19">
        <f>+O739/N739</f>
        <v/>
      </c>
      <c r="L739" s="20" t="n"/>
      <c r="M739" s="20" t="n"/>
      <c r="N739" s="43" t="n">
        <v>214</v>
      </c>
      <c r="O739" s="20" t="n">
        <v>74900</v>
      </c>
      <c r="P739" s="43" t="n">
        <v>214</v>
      </c>
      <c r="Q739" s="20" t="n">
        <v>74900</v>
      </c>
      <c r="R739" s="42">
        <f>+L739+N739-P739</f>
        <v/>
      </c>
      <c r="S739" s="42">
        <f>+M739+O739-Q739</f>
        <v/>
      </c>
    </row>
    <row r="740" ht="30" customHeight="1">
      <c r="A740" s="16" t="n">
        <v>45722</v>
      </c>
      <c r="B740" s="17" t="inlineStr">
        <is>
          <t>MH2503-09</t>
        </is>
      </c>
      <c r="C740" s="16" t="n">
        <v>45722</v>
      </c>
      <c r="D740" s="17" t="inlineStr">
        <is>
          <t>00000658</t>
        </is>
      </c>
      <c r="E740" s="16" t="n">
        <v>45722</v>
      </c>
      <c r="F740" s="16" t="inlineStr">
        <is>
          <t>XK2503-10</t>
        </is>
      </c>
      <c r="G740" s="16" t="n">
        <v>45722</v>
      </c>
      <c r="H740" s="17" t="inlineStr">
        <is>
          <t>CÔNG TY CỔ PHẦN CÔNG NGHIỆP VÀ THƯƠNG MẠI CƯỜNG THỊNH</t>
        </is>
      </c>
      <c r="I740" s="17" t="inlineStr">
        <is>
          <t>Bulong Din 933 8.8 ZP M16x50</t>
        </is>
      </c>
      <c r="J740" s="17" t="inlineStr">
        <is>
          <t>Cái</t>
        </is>
      </c>
      <c r="K740" s="19">
        <f>+O740/N740</f>
        <v/>
      </c>
      <c r="L740" s="20" t="n"/>
      <c r="M740" s="20" t="n"/>
      <c r="N740" s="43" t="n">
        <v>60</v>
      </c>
      <c r="O740" s="20" t="n">
        <v>208200</v>
      </c>
      <c r="P740" s="43" t="n">
        <v>60</v>
      </c>
      <c r="Q740" s="20" t="n">
        <v>208200</v>
      </c>
      <c r="R740" s="42">
        <f>+L740+N740-P740</f>
        <v/>
      </c>
      <c r="S740" s="42">
        <f>+M740+O740-Q740</f>
        <v/>
      </c>
    </row>
    <row r="741" ht="30" customHeight="1">
      <c r="A741" s="16" t="n">
        <v>45722</v>
      </c>
      <c r="B741" s="17" t="inlineStr">
        <is>
          <t>MH2503-09</t>
        </is>
      </c>
      <c r="C741" s="16" t="n">
        <v>45722</v>
      </c>
      <c r="D741" s="17" t="inlineStr">
        <is>
          <t>00000658</t>
        </is>
      </c>
      <c r="E741" s="16" t="n">
        <v>45722</v>
      </c>
      <c r="F741" s="16" t="inlineStr">
        <is>
          <t>XK2503-10</t>
        </is>
      </c>
      <c r="G741" s="16" t="n">
        <v>45722</v>
      </c>
      <c r="H741" s="17" t="inlineStr">
        <is>
          <t>CÔNG TY CỔ PHẦN CÔNG NGHIỆP VÀ THƯƠNG MẠI CƯỜNG THỊNH</t>
        </is>
      </c>
      <c r="I741" s="17" t="inlineStr">
        <is>
          <t>Đai ốc Din 934 8 ZP M16</t>
        </is>
      </c>
      <c r="J741" s="17" t="inlineStr">
        <is>
          <t>Cái</t>
        </is>
      </c>
      <c r="K741" s="19">
        <f>+O741/N741</f>
        <v/>
      </c>
      <c r="L741" s="20" t="n"/>
      <c r="M741" s="20" t="n"/>
      <c r="N741" s="43" t="n">
        <v>60</v>
      </c>
      <c r="O741" s="20" t="n">
        <v>65400</v>
      </c>
      <c r="P741" s="43" t="n">
        <v>60</v>
      </c>
      <c r="Q741" s="20" t="n">
        <v>65400</v>
      </c>
      <c r="R741" s="42">
        <f>+L741+N741-P741</f>
        <v/>
      </c>
      <c r="S741" s="42">
        <f>+M741+O741-Q741</f>
        <v/>
      </c>
    </row>
    <row r="742" ht="30" customHeight="1">
      <c r="A742" s="16" t="n">
        <v>45722</v>
      </c>
      <c r="B742" s="17" t="inlineStr">
        <is>
          <t>MH2503-09</t>
        </is>
      </c>
      <c r="C742" s="16" t="n">
        <v>45722</v>
      </c>
      <c r="D742" s="17" t="inlineStr">
        <is>
          <t>00000658</t>
        </is>
      </c>
      <c r="E742" s="16" t="n">
        <v>45722</v>
      </c>
      <c r="F742" s="16" t="inlineStr">
        <is>
          <t>XK2503-10</t>
        </is>
      </c>
      <c r="G742" s="16" t="n">
        <v>45722</v>
      </c>
      <c r="H742" s="17" t="inlineStr">
        <is>
          <t>CÔNG TY CỔ PHẦN CÔNG NGHIỆP VÀ THƯƠNG MẠI CƯỜNG THỊNH</t>
        </is>
      </c>
      <c r="I742" s="17" t="inlineStr">
        <is>
          <t>Long đền thường ZP M16B30D2</t>
        </is>
      </c>
      <c r="J742" s="17" t="inlineStr">
        <is>
          <t>Cái</t>
        </is>
      </c>
      <c r="K742" s="19">
        <f>+O742/N742</f>
        <v/>
      </c>
      <c r="L742" s="20" t="n"/>
      <c r="M742" s="20" t="n"/>
      <c r="N742" s="43" t="n">
        <v>60</v>
      </c>
      <c r="O742" s="20" t="n">
        <v>21000</v>
      </c>
      <c r="P742" s="43" t="n">
        <v>60</v>
      </c>
      <c r="Q742" s="20" t="n">
        <v>21000</v>
      </c>
      <c r="R742" s="42">
        <f>+L742+N742-P742</f>
        <v/>
      </c>
      <c r="S742" s="42">
        <f>+M742+O742-Q742</f>
        <v/>
      </c>
    </row>
    <row r="743" ht="30" customHeight="1">
      <c r="A743" s="16" t="n">
        <v>45722</v>
      </c>
      <c r="B743" s="17" t="inlineStr">
        <is>
          <t>MH2503-09</t>
        </is>
      </c>
      <c r="C743" s="16" t="n">
        <v>45722</v>
      </c>
      <c r="D743" s="17" t="inlineStr">
        <is>
          <t>00000658</t>
        </is>
      </c>
      <c r="E743" s="16" t="n">
        <v>45722</v>
      </c>
      <c r="F743" s="16" t="inlineStr">
        <is>
          <t>XK2503-10</t>
        </is>
      </c>
      <c r="G743" s="16" t="n">
        <v>45722</v>
      </c>
      <c r="H743" s="17" t="inlineStr">
        <is>
          <t>CÔNG TY CỔ PHẦN CÔNG NGHIỆP VÀ THƯƠNG MẠI CƯỜNG THỊNH</t>
        </is>
      </c>
      <c r="I743" s="17" t="inlineStr">
        <is>
          <t>Bulong Din 933 8.8 ZP M20x50</t>
        </is>
      </c>
      <c r="J743" s="17" t="inlineStr">
        <is>
          <t>Cái</t>
        </is>
      </c>
      <c r="K743" s="19">
        <f>+O743/N743</f>
        <v/>
      </c>
      <c r="L743" s="20" t="n"/>
      <c r="M743" s="20" t="n"/>
      <c r="N743" s="43" t="n">
        <v>25</v>
      </c>
      <c r="O743" s="20" t="n">
        <v>144000</v>
      </c>
      <c r="P743" s="43" t="n">
        <v>25</v>
      </c>
      <c r="Q743" s="20" t="n">
        <v>144000</v>
      </c>
      <c r="R743" s="42">
        <f>+L743+N743-P743</f>
        <v/>
      </c>
      <c r="S743" s="42">
        <f>+M743+O743-Q743</f>
        <v/>
      </c>
    </row>
    <row r="744" ht="30" customHeight="1">
      <c r="A744" s="16" t="n">
        <v>45722</v>
      </c>
      <c r="B744" s="17" t="inlineStr">
        <is>
          <t>MH2503-09</t>
        </is>
      </c>
      <c r="C744" s="16" t="n">
        <v>45722</v>
      </c>
      <c r="D744" s="17" t="inlineStr">
        <is>
          <t>00000658</t>
        </is>
      </c>
      <c r="E744" s="16" t="n">
        <v>45722</v>
      </c>
      <c r="F744" s="16" t="inlineStr">
        <is>
          <t>XK2503-10</t>
        </is>
      </c>
      <c r="G744" s="16" t="n">
        <v>45722</v>
      </c>
      <c r="H744" s="17" t="inlineStr">
        <is>
          <t>CÔNG TY CỔ PHẦN CÔNG NGHIỆP VÀ THƯƠNG MẠI CƯỜNG THỊNH</t>
        </is>
      </c>
      <c r="I744" s="17" t="inlineStr">
        <is>
          <t>Đai ốc Din 934 8 ZP M20</t>
        </is>
      </c>
      <c r="J744" s="17" t="inlineStr">
        <is>
          <t>Cái</t>
        </is>
      </c>
      <c r="K744" s="19">
        <f>+O744/N744</f>
        <v/>
      </c>
      <c r="L744" s="20" t="n"/>
      <c r="M744" s="20" t="n"/>
      <c r="N744" s="43" t="n">
        <v>25</v>
      </c>
      <c r="O744" s="20" t="n">
        <v>50750</v>
      </c>
      <c r="P744" s="43" t="n">
        <v>25</v>
      </c>
      <c r="Q744" s="20" t="n">
        <v>50750</v>
      </c>
      <c r="R744" s="42">
        <f>+L744+N744-P744</f>
        <v/>
      </c>
      <c r="S744" s="42">
        <f>+M744+O744-Q744</f>
        <v/>
      </c>
    </row>
    <row r="745" ht="30" customHeight="1">
      <c r="A745" s="16" t="n">
        <v>45722</v>
      </c>
      <c r="B745" s="17" t="inlineStr">
        <is>
          <t>MH2503-09</t>
        </is>
      </c>
      <c r="C745" s="16" t="n">
        <v>45722</v>
      </c>
      <c r="D745" s="17" t="inlineStr">
        <is>
          <t>00000658</t>
        </is>
      </c>
      <c r="E745" s="16" t="n">
        <v>45722</v>
      </c>
      <c r="F745" s="16" t="inlineStr">
        <is>
          <t>XK2503-10</t>
        </is>
      </c>
      <c r="G745" s="16" t="n">
        <v>45722</v>
      </c>
      <c r="H745" s="17" t="inlineStr">
        <is>
          <t>CÔNG TY CỔ PHẦN CÔNG NGHIỆP VÀ THƯƠNG MẠI CƯỜNG THỊNH</t>
        </is>
      </c>
      <c r="I745" s="17" t="inlineStr">
        <is>
          <t>Long đền thường ZP M20B35D2</t>
        </is>
      </c>
      <c r="J745" s="17" t="inlineStr">
        <is>
          <t>Cái</t>
        </is>
      </c>
      <c r="K745" s="19">
        <f>+O745/N745</f>
        <v/>
      </c>
      <c r="L745" s="20" t="n"/>
      <c r="M745" s="20" t="n"/>
      <c r="N745" s="43" t="n">
        <v>25</v>
      </c>
      <c r="O745" s="20" t="n">
        <v>8750</v>
      </c>
      <c r="P745" s="43" t="n">
        <v>25</v>
      </c>
      <c r="Q745" s="20" t="n">
        <v>8750</v>
      </c>
      <c r="R745" s="42">
        <f>+L745+N745-P745</f>
        <v/>
      </c>
      <c r="S745" s="42">
        <f>+M745+O745-Q745</f>
        <v/>
      </c>
    </row>
    <row r="746" ht="30" customHeight="1">
      <c r="A746" s="16" t="n">
        <v>45722</v>
      </c>
      <c r="B746" s="17" t="inlineStr">
        <is>
          <t>MH2503-09</t>
        </is>
      </c>
      <c r="C746" s="16" t="n">
        <v>45722</v>
      </c>
      <c r="D746" s="17" t="inlineStr">
        <is>
          <t>00000658</t>
        </is>
      </c>
      <c r="E746" s="16" t="n">
        <v>45722</v>
      </c>
      <c r="F746" s="16" t="inlineStr">
        <is>
          <t>XK2503-10</t>
        </is>
      </c>
      <c r="G746" s="16" t="n">
        <v>45722</v>
      </c>
      <c r="H746" s="17" t="inlineStr">
        <is>
          <t>CÔNG TY CỔ PHẦN CÔNG NGHIỆP VÀ THƯƠNG MẠI CƯỜNG THỊNH</t>
        </is>
      </c>
      <c r="I746" s="17" t="inlineStr">
        <is>
          <t>Bulong Din 933 8.8 ZP M20x60</t>
        </is>
      </c>
      <c r="J746" s="17" t="inlineStr">
        <is>
          <t>Cái</t>
        </is>
      </c>
      <c r="K746" s="19">
        <f>+O746/N746</f>
        <v/>
      </c>
      <c r="L746" s="20" t="n"/>
      <c r="M746" s="20" t="n"/>
      <c r="N746" s="43" t="n">
        <v>672</v>
      </c>
      <c r="O746" s="20" t="n">
        <v>4327680</v>
      </c>
      <c r="P746" s="43" t="n">
        <v>672</v>
      </c>
      <c r="Q746" s="20" t="n">
        <v>4327680</v>
      </c>
      <c r="R746" s="42">
        <f>+L746+N746-P746</f>
        <v/>
      </c>
      <c r="S746" s="42">
        <f>+M746+O746-Q746</f>
        <v/>
      </c>
    </row>
    <row r="747" ht="30" customHeight="1">
      <c r="A747" s="16" t="n">
        <v>45722</v>
      </c>
      <c r="B747" s="17" t="inlineStr">
        <is>
          <t>MH2503-09</t>
        </is>
      </c>
      <c r="C747" s="16" t="n">
        <v>45722</v>
      </c>
      <c r="D747" s="17" t="inlineStr">
        <is>
          <t>00000658</t>
        </is>
      </c>
      <c r="E747" s="16" t="n">
        <v>45722</v>
      </c>
      <c r="F747" s="16" t="inlineStr">
        <is>
          <t>XK2503-10</t>
        </is>
      </c>
      <c r="G747" s="16" t="n">
        <v>45722</v>
      </c>
      <c r="H747" s="17" t="inlineStr">
        <is>
          <t>CÔNG TY CỔ PHẦN CÔNG NGHIỆP VÀ THƯƠNG MẠI CƯỜNG THỊNH</t>
        </is>
      </c>
      <c r="I747" s="17" t="inlineStr">
        <is>
          <t>Đai ốc Din 934 8 ZP M20</t>
        </is>
      </c>
      <c r="J747" s="17" t="inlineStr">
        <is>
          <t>Cái</t>
        </is>
      </c>
      <c r="K747" s="19">
        <f>+O747/N747</f>
        <v/>
      </c>
      <c r="L747" s="20" t="n"/>
      <c r="M747" s="20" t="n"/>
      <c r="N747" s="43" t="n">
        <v>672</v>
      </c>
      <c r="O747" s="20" t="n">
        <v>1364160</v>
      </c>
      <c r="P747" s="43" t="n">
        <v>672</v>
      </c>
      <c r="Q747" s="20" t="n">
        <v>1364160</v>
      </c>
      <c r="R747" s="42">
        <f>+L747+N747-P747</f>
        <v/>
      </c>
      <c r="S747" s="42">
        <f>+M747+O747-Q747</f>
        <v/>
      </c>
    </row>
    <row r="748" ht="30" customHeight="1">
      <c r="A748" s="16" t="n">
        <v>45722</v>
      </c>
      <c r="B748" s="17" t="inlineStr">
        <is>
          <t>MH2503-09</t>
        </is>
      </c>
      <c r="C748" s="16" t="n">
        <v>45722</v>
      </c>
      <c r="D748" s="17" t="inlineStr">
        <is>
          <t>00000658</t>
        </is>
      </c>
      <c r="E748" s="16" t="n">
        <v>45722</v>
      </c>
      <c r="F748" s="16" t="inlineStr">
        <is>
          <t>XK2503-10</t>
        </is>
      </c>
      <c r="G748" s="16" t="n">
        <v>45722</v>
      </c>
      <c r="H748" s="17" t="inlineStr">
        <is>
          <t>CÔNG TY CỔ PHẦN CÔNG NGHIỆP VÀ THƯƠNG MẠI CƯỜNG THỊNH</t>
        </is>
      </c>
      <c r="I748" s="17" t="inlineStr">
        <is>
          <t>Long đền thường ZP M20B35D2</t>
        </is>
      </c>
      <c r="J748" s="17" t="inlineStr">
        <is>
          <t>Cái</t>
        </is>
      </c>
      <c r="K748" s="19">
        <f>+O748/N748</f>
        <v/>
      </c>
      <c r="L748" s="20" t="n"/>
      <c r="M748" s="20" t="n"/>
      <c r="N748" s="43" t="n">
        <v>672</v>
      </c>
      <c r="O748" s="20" t="n">
        <v>235200</v>
      </c>
      <c r="P748" s="43" t="n">
        <v>672</v>
      </c>
      <c r="Q748" s="20" t="n">
        <v>235200</v>
      </c>
      <c r="R748" s="42">
        <f>+L748+N748-P748</f>
        <v/>
      </c>
      <c r="S748" s="42">
        <f>+M748+O748-Q748</f>
        <v/>
      </c>
    </row>
    <row r="749" ht="30" customHeight="1">
      <c r="A749" s="16" t="n">
        <v>45722</v>
      </c>
      <c r="B749" s="17" t="inlineStr">
        <is>
          <t>MH2503-09</t>
        </is>
      </c>
      <c r="C749" s="16" t="n">
        <v>45722</v>
      </c>
      <c r="D749" s="17" t="inlineStr">
        <is>
          <t>00000658</t>
        </is>
      </c>
      <c r="E749" s="16" t="n">
        <v>45722</v>
      </c>
      <c r="F749" s="16" t="inlineStr">
        <is>
          <t>XK2503-10</t>
        </is>
      </c>
      <c r="G749" s="16" t="n">
        <v>45722</v>
      </c>
      <c r="H749" s="17" t="inlineStr">
        <is>
          <t>CÔNG TY CỔ PHẦN CÔNG NGHIỆP VÀ THƯƠNG MẠI CƯỜNG THỊNH</t>
        </is>
      </c>
      <c r="I749" s="17" t="inlineStr">
        <is>
          <t>Bulong thường 4.6 ZP M12x30</t>
        </is>
      </c>
      <c r="J749" s="17" t="inlineStr">
        <is>
          <t>Cái</t>
        </is>
      </c>
      <c r="K749" s="19">
        <f>+O749/N749</f>
        <v/>
      </c>
      <c r="L749" s="20" t="n"/>
      <c r="M749" s="20" t="n"/>
      <c r="N749" s="43" t="n">
        <v>329</v>
      </c>
      <c r="O749" s="20" t="n">
        <v>312550</v>
      </c>
      <c r="P749" s="43" t="n">
        <v>329</v>
      </c>
      <c r="Q749" s="20" t="n">
        <v>312550</v>
      </c>
      <c r="R749" s="42">
        <f>+L749+N749-P749</f>
        <v/>
      </c>
      <c r="S749" s="42">
        <f>+M749+O749-Q749</f>
        <v/>
      </c>
    </row>
    <row r="750" ht="30" customHeight="1">
      <c r="A750" s="16" t="n">
        <v>45722</v>
      </c>
      <c r="B750" s="17" t="inlineStr">
        <is>
          <t>MH2503-09</t>
        </is>
      </c>
      <c r="C750" s="16" t="n">
        <v>45722</v>
      </c>
      <c r="D750" s="17" t="inlineStr">
        <is>
          <t>00000658</t>
        </is>
      </c>
      <c r="E750" s="16" t="n">
        <v>45722</v>
      </c>
      <c r="F750" s="16" t="inlineStr">
        <is>
          <t>XK2503-10</t>
        </is>
      </c>
      <c r="G750" s="16" t="n">
        <v>45722</v>
      </c>
      <c r="H750" s="17" t="inlineStr">
        <is>
          <t>CÔNG TY CỔ PHẦN CÔNG NGHIỆP VÀ THƯƠNG MẠI CƯỜNG THỊNH</t>
        </is>
      </c>
      <c r="I750" s="17" t="inlineStr">
        <is>
          <t>Đai ốc thường 4 ZP M12 (9mm)</t>
        </is>
      </c>
      <c r="J750" s="17" t="inlineStr">
        <is>
          <t>Cái</t>
        </is>
      </c>
      <c r="K750" s="19">
        <f>+O750/N750</f>
        <v/>
      </c>
      <c r="L750" s="20" t="n"/>
      <c r="M750" s="20" t="n"/>
      <c r="N750" s="43" t="n">
        <v>329</v>
      </c>
      <c r="O750" s="20" t="n">
        <v>118440</v>
      </c>
      <c r="P750" s="43" t="n">
        <v>329</v>
      </c>
      <c r="Q750" s="20" t="n">
        <v>118440</v>
      </c>
      <c r="R750" s="42">
        <f>+L750+N750-P750</f>
        <v/>
      </c>
      <c r="S750" s="42">
        <f>+M750+O750-Q750</f>
        <v/>
      </c>
    </row>
    <row r="751" ht="30" customHeight="1">
      <c r="A751" s="16" t="n">
        <v>45722</v>
      </c>
      <c r="B751" s="17" t="inlineStr">
        <is>
          <t>MH2503-09</t>
        </is>
      </c>
      <c r="C751" s="16" t="n">
        <v>45722</v>
      </c>
      <c r="D751" s="17" t="inlineStr">
        <is>
          <t>00000658</t>
        </is>
      </c>
      <c r="E751" s="16" t="n">
        <v>45722</v>
      </c>
      <c r="F751" s="16" t="inlineStr">
        <is>
          <t>XK2503-10</t>
        </is>
      </c>
      <c r="G751" s="16" t="n">
        <v>45722</v>
      </c>
      <c r="H751" s="17" t="inlineStr">
        <is>
          <t>CÔNG TY CỔ PHẦN CÔNG NGHIỆP VÀ THƯƠNG MẠI CƯỜNG THỊNH</t>
        </is>
      </c>
      <c r="I751" s="17" t="inlineStr">
        <is>
          <t>Long đền thường ZP M12B23D1</t>
        </is>
      </c>
      <c r="J751" s="17" t="inlineStr">
        <is>
          <t>Cái</t>
        </is>
      </c>
      <c r="K751" s="19">
        <f>+O751/N751</f>
        <v/>
      </c>
      <c r="L751" s="20" t="n"/>
      <c r="M751" s="20" t="n"/>
      <c r="N751" s="43" t="n">
        <v>658</v>
      </c>
      <c r="O751" s="20" t="n">
        <v>65800</v>
      </c>
      <c r="P751" s="43" t="n">
        <v>658</v>
      </c>
      <c r="Q751" s="20" t="n">
        <v>65800</v>
      </c>
      <c r="R751" s="42">
        <f>+L751+N751-P751</f>
        <v/>
      </c>
      <c r="S751" s="42">
        <f>+M751+O751-Q751</f>
        <v/>
      </c>
    </row>
    <row r="752" ht="30" customHeight="1">
      <c r="A752" s="16" t="n">
        <v>45722</v>
      </c>
      <c r="B752" s="17" t="inlineStr">
        <is>
          <t>MH2503-10</t>
        </is>
      </c>
      <c r="C752" s="16" t="n">
        <v>45722</v>
      </c>
      <c r="D752" s="17" t="inlineStr">
        <is>
          <t>00000652</t>
        </is>
      </c>
      <c r="E752" s="16" t="n">
        <v>45722</v>
      </c>
      <c r="F752" s="16" t="inlineStr">
        <is>
          <t>XK2503-11</t>
        </is>
      </c>
      <c r="G752" s="16" t="n">
        <v>45722</v>
      </c>
      <c r="H752" s="17" t="inlineStr">
        <is>
          <t>CÔNG TY CỔ PHẦN CÔNG NGHIỆP VÀ THƯƠNG MẠI CƯỜNG THỊNH</t>
        </is>
      </c>
      <c r="I752" s="17" t="inlineStr">
        <is>
          <t>Vít B2 Dacromet 12-14x20</t>
        </is>
      </c>
      <c r="J752" s="17" t="inlineStr">
        <is>
          <t>Cái</t>
        </is>
      </c>
      <c r="K752" s="19" t="n">
        <v>600</v>
      </c>
      <c r="L752" s="20" t="n"/>
      <c r="M752" s="20" t="n"/>
      <c r="N752" s="43" t="n">
        <v>600</v>
      </c>
      <c r="O752" s="20" t="n">
        <v>360000</v>
      </c>
      <c r="P752" s="43" t="n">
        <v>600</v>
      </c>
      <c r="Q752" s="20" t="n">
        <v>360000</v>
      </c>
      <c r="R752" s="42">
        <f>+L752+N752-P752</f>
        <v/>
      </c>
      <c r="S752" s="42">
        <f>+M752+O752-Q752</f>
        <v/>
      </c>
    </row>
    <row r="753" ht="30" customHeight="1">
      <c r="A753" s="16" t="n">
        <v>45722</v>
      </c>
      <c r="B753" s="17" t="inlineStr">
        <is>
          <t>MH2503-10</t>
        </is>
      </c>
      <c r="C753" s="16" t="n">
        <v>45722</v>
      </c>
      <c r="D753" s="17" t="inlineStr">
        <is>
          <t>00000652</t>
        </is>
      </c>
      <c r="E753" s="16" t="n">
        <v>45722</v>
      </c>
      <c r="F753" s="16" t="inlineStr">
        <is>
          <t>XK2503-11</t>
        </is>
      </c>
      <c r="G753" s="16" t="n">
        <v>45722</v>
      </c>
      <c r="H753" s="17" t="inlineStr">
        <is>
          <t>CÔNG TY CỔ PHẦN CÔNG NGHIỆP VÀ THƯƠNG MẠI CƯỜNG THỊNH</t>
        </is>
      </c>
      <c r="I753" s="17" t="inlineStr">
        <is>
          <t>Ty giằng 2 đầu ren 4.6 ZP M16</t>
        </is>
      </c>
      <c r="J753" s="17" t="inlineStr">
        <is>
          <t>Mét</t>
        </is>
      </c>
      <c r="K753" s="19" t="n">
        <v>48000</v>
      </c>
      <c r="L753" s="20" t="n"/>
      <c r="M753" s="20" t="n"/>
      <c r="N753" s="43" t="n">
        <v>258.6</v>
      </c>
      <c r="O753" s="20" t="n">
        <v>12412800</v>
      </c>
      <c r="P753" s="43" t="n">
        <v>258.6</v>
      </c>
      <c r="Q753" s="20" t="n">
        <v>12412800</v>
      </c>
      <c r="R753" s="42">
        <f>+L753+N753-P753</f>
        <v/>
      </c>
      <c r="S753" s="42">
        <f>+M753+O753-Q753</f>
        <v/>
      </c>
    </row>
    <row r="754" ht="30" customHeight="1">
      <c r="A754" s="16" t="n">
        <v>45722</v>
      </c>
      <c r="B754" s="17" t="inlineStr">
        <is>
          <t>MH2503-10</t>
        </is>
      </c>
      <c r="C754" s="16" t="n">
        <v>45722</v>
      </c>
      <c r="D754" s="17" t="inlineStr">
        <is>
          <t>00000652</t>
        </is>
      </c>
      <c r="E754" s="16" t="n">
        <v>45722</v>
      </c>
      <c r="F754" s="16" t="inlineStr">
        <is>
          <t>XK2503-11</t>
        </is>
      </c>
      <c r="G754" s="16" t="n">
        <v>45722</v>
      </c>
      <c r="H754" s="17" t="inlineStr">
        <is>
          <t>CÔNG TY CỔ PHẦN CÔNG NGHIỆP VÀ THƯƠNG MẠI CƯỜNG THỊNH</t>
        </is>
      </c>
      <c r="I754" s="17" t="inlineStr">
        <is>
          <t>Đai ốc Din 934 5 ZP M16</t>
        </is>
      </c>
      <c r="J754" s="17" t="inlineStr">
        <is>
          <t>Cái</t>
        </is>
      </c>
      <c r="K754" s="19" t="n">
        <v>1110</v>
      </c>
      <c r="L754" s="20" t="n"/>
      <c r="M754" s="20" t="n"/>
      <c r="N754" s="43" t="n">
        <v>140</v>
      </c>
      <c r="O754" s="20" t="n">
        <v>155400</v>
      </c>
      <c r="P754" s="43" t="n">
        <v>140</v>
      </c>
      <c r="Q754" s="20" t="n">
        <v>155400</v>
      </c>
      <c r="R754" s="42">
        <f>+L754+N754-P754</f>
        <v/>
      </c>
      <c r="S754" s="42">
        <f>+M754+O754-Q754</f>
        <v/>
      </c>
    </row>
    <row r="755" ht="30" customHeight="1">
      <c r="A755" s="16" t="n">
        <v>45722</v>
      </c>
      <c r="B755" s="17" t="inlineStr">
        <is>
          <t>MH2503-10</t>
        </is>
      </c>
      <c r="C755" s="16" t="n">
        <v>45722</v>
      </c>
      <c r="D755" s="17" t="inlineStr">
        <is>
          <t>00000652</t>
        </is>
      </c>
      <c r="E755" s="16" t="n">
        <v>45722</v>
      </c>
      <c r="F755" s="16" t="inlineStr">
        <is>
          <t>XK2503-11</t>
        </is>
      </c>
      <c r="G755" s="16" t="n">
        <v>45722</v>
      </c>
      <c r="H755" s="17" t="inlineStr">
        <is>
          <t>CÔNG TY CỔ PHẦN CÔNG NGHIỆP VÀ THƯƠNG MẠI CƯỜNG THỊNH</t>
        </is>
      </c>
      <c r="I755" s="17" t="inlineStr">
        <is>
          <t>Long đền thường ZP M16B42D2</t>
        </is>
      </c>
      <c r="J755" s="17" t="inlineStr">
        <is>
          <t>Cái</t>
        </is>
      </c>
      <c r="K755" s="19" t="n">
        <v>800</v>
      </c>
      <c r="L755" s="20" t="n"/>
      <c r="M755" s="20" t="n"/>
      <c r="N755" s="43" t="n">
        <v>140</v>
      </c>
      <c r="O755" s="20" t="n">
        <v>112000</v>
      </c>
      <c r="P755" s="43" t="n">
        <v>140</v>
      </c>
      <c r="Q755" s="20" t="n">
        <v>112000</v>
      </c>
      <c r="R755" s="42">
        <f>+L755+N755-P755</f>
        <v/>
      </c>
      <c r="S755" s="42">
        <f>+M755+O755-Q755</f>
        <v/>
      </c>
    </row>
    <row r="756" ht="30" customHeight="1">
      <c r="A756" s="16" t="n">
        <v>45722</v>
      </c>
      <c r="B756" s="17" t="inlineStr">
        <is>
          <t>MH2503-10</t>
        </is>
      </c>
      <c r="C756" s="16" t="n">
        <v>45722</v>
      </c>
      <c r="D756" s="17" t="inlineStr">
        <is>
          <t>00000652</t>
        </is>
      </c>
      <c r="E756" s="16" t="n">
        <v>45722</v>
      </c>
      <c r="F756" s="16" t="inlineStr">
        <is>
          <t>XK2503-11</t>
        </is>
      </c>
      <c r="G756" s="16" t="n">
        <v>45722</v>
      </c>
      <c r="H756" s="17" t="inlineStr">
        <is>
          <t>CÔNG TY CỔ PHẦN CÔNG NGHIỆP VÀ THƯƠNG MẠI CƯỜNG THỊNH</t>
        </is>
      </c>
      <c r="I756" s="17" t="inlineStr">
        <is>
          <t>Long đền móng ngựa ZP M16</t>
        </is>
      </c>
      <c r="J756" s="17" t="inlineStr">
        <is>
          <t>Cái</t>
        </is>
      </c>
      <c r="K756" s="19" t="n">
        <v>15670</v>
      </c>
      <c r="L756" s="20" t="n"/>
      <c r="M756" s="20" t="n"/>
      <c r="N756" s="43" t="n">
        <v>140</v>
      </c>
      <c r="O756" s="20" t="n">
        <v>2193800</v>
      </c>
      <c r="P756" s="43" t="n">
        <v>140</v>
      </c>
      <c r="Q756" s="20" t="n">
        <v>2193800</v>
      </c>
      <c r="R756" s="42">
        <f>+L756+N756-P756</f>
        <v/>
      </c>
      <c r="S756" s="42">
        <f>+M756+O756-Q756</f>
        <v/>
      </c>
    </row>
    <row r="757" ht="30" customHeight="1">
      <c r="A757" s="16" t="n">
        <v>45722</v>
      </c>
      <c r="B757" s="17" t="inlineStr">
        <is>
          <t>MH2503-10</t>
        </is>
      </c>
      <c r="C757" s="16" t="n">
        <v>45722</v>
      </c>
      <c r="D757" s="17" t="inlineStr">
        <is>
          <t>00000652</t>
        </is>
      </c>
      <c r="E757" s="16" t="n">
        <v>45722</v>
      </c>
      <c r="F757" s="16" t="inlineStr">
        <is>
          <t>XK2503-11</t>
        </is>
      </c>
      <c r="G757" s="16" t="n">
        <v>45722</v>
      </c>
      <c r="H757" s="17" t="inlineStr">
        <is>
          <t>CÔNG TY CỔ PHẦN CÔNG NGHIỆP VÀ THƯƠNG MẠI CƯỜNG THỊNH</t>
        </is>
      </c>
      <c r="I757" s="17" t="inlineStr">
        <is>
          <t>Bulong Din 933 8.8 ZP M16x40</t>
        </is>
      </c>
      <c r="J757" s="17" t="inlineStr">
        <is>
          <t>Cái</t>
        </is>
      </c>
      <c r="K757" s="19" t="n">
        <v>3030</v>
      </c>
      <c r="L757" s="20" t="n"/>
      <c r="M757" s="20" t="n"/>
      <c r="N757" s="43" t="n">
        <v>690</v>
      </c>
      <c r="O757" s="20" t="n">
        <v>2090700</v>
      </c>
      <c r="P757" s="43" t="n">
        <v>690</v>
      </c>
      <c r="Q757" s="20" t="n">
        <v>2090700</v>
      </c>
      <c r="R757" s="42">
        <f>+L757+N757-P757</f>
        <v/>
      </c>
      <c r="S757" s="42">
        <f>+M757+O757-Q757</f>
        <v/>
      </c>
    </row>
    <row r="758" ht="30" customHeight="1">
      <c r="A758" s="16" t="n">
        <v>45722</v>
      </c>
      <c r="B758" s="17" t="inlineStr">
        <is>
          <t>MH2503-10</t>
        </is>
      </c>
      <c r="C758" s="16" t="n">
        <v>45722</v>
      </c>
      <c r="D758" s="17" t="inlineStr">
        <is>
          <t>00000652</t>
        </is>
      </c>
      <c r="E758" s="16" t="n">
        <v>45722</v>
      </c>
      <c r="F758" s="16" t="inlineStr">
        <is>
          <t>XK2503-11</t>
        </is>
      </c>
      <c r="G758" s="16" t="n">
        <v>45722</v>
      </c>
      <c r="H758" s="17" t="inlineStr">
        <is>
          <t>CÔNG TY CỔ PHẦN CÔNG NGHIỆP VÀ THƯƠNG MẠI CƯỜNG THỊNH</t>
        </is>
      </c>
      <c r="I758" s="17" t="inlineStr">
        <is>
          <t>Đai ốc Din 934 8 ZP M16</t>
        </is>
      </c>
      <c r="J758" s="17" t="inlineStr">
        <is>
          <t>Cái</t>
        </is>
      </c>
      <c r="K758" s="19" t="n">
        <v>1090</v>
      </c>
      <c r="L758" s="20" t="n"/>
      <c r="M758" s="20" t="n"/>
      <c r="N758" s="43" t="n">
        <v>690</v>
      </c>
      <c r="O758" s="20" t="n">
        <v>752100</v>
      </c>
      <c r="P758" s="43" t="n">
        <v>690</v>
      </c>
      <c r="Q758" s="20" t="n">
        <v>752100</v>
      </c>
      <c r="R758" s="42">
        <f>+L758+N758-P758</f>
        <v/>
      </c>
      <c r="S758" s="42">
        <f>+M758+O758-Q758</f>
        <v/>
      </c>
    </row>
    <row r="759" ht="30" customHeight="1">
      <c r="A759" s="16" t="n">
        <v>45722</v>
      </c>
      <c r="B759" s="17" t="inlineStr">
        <is>
          <t>MH2503-10</t>
        </is>
      </c>
      <c r="C759" s="16" t="n">
        <v>45722</v>
      </c>
      <c r="D759" s="17" t="inlineStr">
        <is>
          <t>00000652</t>
        </is>
      </c>
      <c r="E759" s="16" t="n">
        <v>45722</v>
      </c>
      <c r="F759" s="16" t="inlineStr">
        <is>
          <t>XK2503-11</t>
        </is>
      </c>
      <c r="G759" s="16" t="n">
        <v>45722</v>
      </c>
      <c r="H759" s="17" t="inlineStr">
        <is>
          <t>CÔNG TY CỔ PHẦN CÔNG NGHIỆP VÀ THƯƠNG MẠI CƯỜNG THỊNH</t>
        </is>
      </c>
      <c r="I759" s="17" t="inlineStr">
        <is>
          <t>Long đền thường ZP M16B30D2</t>
        </is>
      </c>
      <c r="J759" s="17" t="inlineStr">
        <is>
          <t>Cái</t>
        </is>
      </c>
      <c r="K759" s="19" t="n">
        <v>350</v>
      </c>
      <c r="L759" s="20" t="n"/>
      <c r="M759" s="20" t="n"/>
      <c r="N759" s="43" t="n">
        <v>690</v>
      </c>
      <c r="O759" s="20" t="n">
        <v>241500</v>
      </c>
      <c r="P759" s="43" t="n">
        <v>690</v>
      </c>
      <c r="Q759" s="20" t="n">
        <v>241500</v>
      </c>
      <c r="R759" s="42">
        <f>+L759+N759-P759</f>
        <v/>
      </c>
      <c r="S759" s="42">
        <f>+M759+O759-Q759</f>
        <v/>
      </c>
    </row>
    <row r="760" ht="30" customHeight="1">
      <c r="A760" s="16" t="n">
        <v>45722</v>
      </c>
      <c r="B760" s="17" t="inlineStr">
        <is>
          <t>MH2503-10</t>
        </is>
      </c>
      <c r="C760" s="16" t="n">
        <v>45722</v>
      </c>
      <c r="D760" s="17" t="inlineStr">
        <is>
          <t>00000652</t>
        </is>
      </c>
      <c r="E760" s="16" t="n">
        <v>45722</v>
      </c>
      <c r="F760" s="16" t="inlineStr">
        <is>
          <t>XK2503-11</t>
        </is>
      </c>
      <c r="G760" s="16" t="n">
        <v>45722</v>
      </c>
      <c r="H760" s="17" t="inlineStr">
        <is>
          <t>CÔNG TY CỔ PHẦN CÔNG NGHIỆP VÀ THƯƠNG MẠI CƯỜNG THỊNH</t>
        </is>
      </c>
      <c r="I760" s="17" t="inlineStr">
        <is>
          <t>Bulong Din 933 8.8 ZP M16x50</t>
        </is>
      </c>
      <c r="J760" s="17" t="inlineStr">
        <is>
          <t>Cái</t>
        </is>
      </c>
      <c r="K760" s="19" t="n">
        <v>3470</v>
      </c>
      <c r="L760" s="20" t="n"/>
      <c r="M760" s="20" t="n"/>
      <c r="N760" s="43" t="n">
        <v>35</v>
      </c>
      <c r="O760" s="20" t="n">
        <v>121450</v>
      </c>
      <c r="P760" s="43" t="n">
        <v>35</v>
      </c>
      <c r="Q760" s="20" t="n">
        <v>121450</v>
      </c>
      <c r="R760" s="42">
        <f>+L760+N760-P760</f>
        <v/>
      </c>
      <c r="S760" s="42">
        <f>+M760+O760-Q760</f>
        <v/>
      </c>
    </row>
    <row r="761" ht="30" customHeight="1">
      <c r="A761" s="16" t="n">
        <v>45722</v>
      </c>
      <c r="B761" s="17" t="inlineStr">
        <is>
          <t>MH2503-10</t>
        </is>
      </c>
      <c r="C761" s="16" t="n">
        <v>45722</v>
      </c>
      <c r="D761" s="17" t="inlineStr">
        <is>
          <t>00000652</t>
        </is>
      </c>
      <c r="E761" s="16" t="n">
        <v>45722</v>
      </c>
      <c r="F761" s="16" t="inlineStr">
        <is>
          <t>XK2503-11</t>
        </is>
      </c>
      <c r="G761" s="16" t="n">
        <v>45722</v>
      </c>
      <c r="H761" s="17" t="inlineStr">
        <is>
          <t>CÔNG TY CỔ PHẦN CÔNG NGHIỆP VÀ THƯƠNG MẠI CƯỜNG THỊNH</t>
        </is>
      </c>
      <c r="I761" s="17" t="inlineStr">
        <is>
          <t>Đai ốc Din 934 8 ZP M16</t>
        </is>
      </c>
      <c r="J761" s="17" t="inlineStr">
        <is>
          <t>Cái</t>
        </is>
      </c>
      <c r="K761" s="19" t="n">
        <v>1090</v>
      </c>
      <c r="L761" s="20" t="n"/>
      <c r="M761" s="20" t="n"/>
      <c r="N761" s="43" t="n">
        <v>35</v>
      </c>
      <c r="O761" s="20" t="n">
        <v>38150</v>
      </c>
      <c r="P761" s="43" t="n">
        <v>35</v>
      </c>
      <c r="Q761" s="20" t="n">
        <v>38150</v>
      </c>
      <c r="R761" s="42">
        <f>+L761+N761-P761</f>
        <v/>
      </c>
      <c r="S761" s="42">
        <f>+M761+O761-Q761</f>
        <v/>
      </c>
    </row>
    <row r="762" ht="30" customHeight="1">
      <c r="A762" s="16" t="n">
        <v>45722</v>
      </c>
      <c r="B762" s="17" t="inlineStr">
        <is>
          <t>MH2503-10</t>
        </is>
      </c>
      <c r="C762" s="16" t="n">
        <v>45722</v>
      </c>
      <c r="D762" s="17" t="inlineStr">
        <is>
          <t>00000652</t>
        </is>
      </c>
      <c r="E762" s="16" t="n">
        <v>45722</v>
      </c>
      <c r="F762" s="16" t="inlineStr">
        <is>
          <t>XK2503-11</t>
        </is>
      </c>
      <c r="G762" s="16" t="n">
        <v>45722</v>
      </c>
      <c r="H762" s="17" t="inlineStr">
        <is>
          <t>CÔNG TY CỔ PHẦN CÔNG NGHIỆP VÀ THƯƠNG MẠI CƯỜNG THỊNH</t>
        </is>
      </c>
      <c r="I762" s="17" t="inlineStr">
        <is>
          <t>Long đền thường ZP M16B30D2</t>
        </is>
      </c>
      <c r="J762" s="17" t="inlineStr">
        <is>
          <t>Cái</t>
        </is>
      </c>
      <c r="K762" s="19" t="n">
        <v>350</v>
      </c>
      <c r="L762" s="20" t="n"/>
      <c r="M762" s="20" t="n"/>
      <c r="N762" s="43" t="n">
        <v>35</v>
      </c>
      <c r="O762" s="20" t="n">
        <v>12250</v>
      </c>
      <c r="P762" s="43" t="n">
        <v>35</v>
      </c>
      <c r="Q762" s="20" t="n">
        <v>12250</v>
      </c>
      <c r="R762" s="42">
        <f>+L762+N762-P762</f>
        <v/>
      </c>
      <c r="S762" s="42">
        <f>+M762+O762-Q762</f>
        <v/>
      </c>
    </row>
    <row r="763" ht="30" customHeight="1">
      <c r="A763" s="16" t="n">
        <v>45722</v>
      </c>
      <c r="B763" s="17" t="inlineStr">
        <is>
          <t>MH2503-10</t>
        </is>
      </c>
      <c r="C763" s="16" t="n">
        <v>45722</v>
      </c>
      <c r="D763" s="17" t="inlineStr">
        <is>
          <t>00000652</t>
        </is>
      </c>
      <c r="E763" s="16" t="n">
        <v>45722</v>
      </c>
      <c r="F763" s="16" t="inlineStr">
        <is>
          <t>XK2503-11</t>
        </is>
      </c>
      <c r="G763" s="16" t="n">
        <v>45722</v>
      </c>
      <c r="H763" s="17" t="inlineStr">
        <is>
          <t>CÔNG TY CỔ PHẦN CÔNG NGHIỆP VÀ THƯƠNG MẠI CƯỜNG THỊNH</t>
        </is>
      </c>
      <c r="I763" s="17" t="inlineStr">
        <is>
          <t>Bulong Din 933 8.8 ZP M20x50</t>
        </is>
      </c>
      <c r="J763" s="17" t="inlineStr">
        <is>
          <t>Cái</t>
        </is>
      </c>
      <c r="K763" s="19" t="n">
        <v>5760</v>
      </c>
      <c r="L763" s="20" t="n"/>
      <c r="M763" s="20" t="n"/>
      <c r="N763" s="43" t="n">
        <v>260</v>
      </c>
      <c r="O763" s="20" t="n">
        <v>1497600</v>
      </c>
      <c r="P763" s="43" t="n">
        <v>260</v>
      </c>
      <c r="Q763" s="20" t="n">
        <v>1497600</v>
      </c>
      <c r="R763" s="42">
        <f>+L763+N763-P763</f>
        <v/>
      </c>
      <c r="S763" s="42">
        <f>+M763+O763-Q763</f>
        <v/>
      </c>
    </row>
    <row r="764" ht="30" customHeight="1">
      <c r="A764" s="16" t="n">
        <v>45722</v>
      </c>
      <c r="B764" s="17" t="inlineStr">
        <is>
          <t>MH2503-10</t>
        </is>
      </c>
      <c r="C764" s="16" t="n">
        <v>45722</v>
      </c>
      <c r="D764" s="17" t="inlineStr">
        <is>
          <t>00000652</t>
        </is>
      </c>
      <c r="E764" s="16" t="n">
        <v>45722</v>
      </c>
      <c r="F764" s="16" t="inlineStr">
        <is>
          <t>XK2503-11</t>
        </is>
      </c>
      <c r="G764" s="16" t="n">
        <v>45722</v>
      </c>
      <c r="H764" s="17" t="inlineStr">
        <is>
          <t>CÔNG TY CỔ PHẦN CÔNG NGHIỆP VÀ THƯƠNG MẠI CƯỜNG THỊNH</t>
        </is>
      </c>
      <c r="I764" s="17" t="inlineStr">
        <is>
          <t>Đai ốc Din 934 8 ZP M20</t>
        </is>
      </c>
      <c r="J764" s="17" t="inlineStr">
        <is>
          <t>Cái</t>
        </is>
      </c>
      <c r="K764" s="19" t="n">
        <v>2030</v>
      </c>
      <c r="L764" s="20" t="n"/>
      <c r="M764" s="20" t="n"/>
      <c r="N764" s="43" t="n">
        <v>260</v>
      </c>
      <c r="O764" s="20" t="n">
        <v>527800</v>
      </c>
      <c r="P764" s="43" t="n">
        <v>260</v>
      </c>
      <c r="Q764" s="20" t="n">
        <v>527800</v>
      </c>
      <c r="R764" s="42">
        <f>+L764+N764-P764</f>
        <v/>
      </c>
      <c r="S764" s="42">
        <f>+M764+O764-Q764</f>
        <v/>
      </c>
    </row>
    <row r="765" ht="30" customHeight="1">
      <c r="A765" s="16" t="n">
        <v>45722</v>
      </c>
      <c r="B765" s="17" t="inlineStr">
        <is>
          <t>MH2503-10</t>
        </is>
      </c>
      <c r="C765" s="16" t="n">
        <v>45722</v>
      </c>
      <c r="D765" s="17" t="inlineStr">
        <is>
          <t>00000652</t>
        </is>
      </c>
      <c r="E765" s="16" t="n">
        <v>45722</v>
      </c>
      <c r="F765" s="16" t="inlineStr">
        <is>
          <t>XK2503-11</t>
        </is>
      </c>
      <c r="G765" s="16" t="n">
        <v>45722</v>
      </c>
      <c r="H765" s="17" t="inlineStr">
        <is>
          <t>CÔNG TY CỔ PHẦN CÔNG NGHIỆP VÀ THƯƠNG MẠI CƯỜNG THỊNH</t>
        </is>
      </c>
      <c r="I765" s="17" t="inlineStr">
        <is>
          <t>Long đền thường ZP M20B35D2</t>
        </is>
      </c>
      <c r="J765" s="17" t="inlineStr">
        <is>
          <t>Cái</t>
        </is>
      </c>
      <c r="K765" s="19" t="n">
        <v>350</v>
      </c>
      <c r="L765" s="20" t="n"/>
      <c r="M765" s="20" t="n"/>
      <c r="N765" s="43" t="n">
        <v>260</v>
      </c>
      <c r="O765" s="20" t="n">
        <v>91000</v>
      </c>
      <c r="P765" s="43" t="n">
        <v>260</v>
      </c>
      <c r="Q765" s="20" t="n">
        <v>91000</v>
      </c>
      <c r="R765" s="42">
        <f>+L765+N765-P765</f>
        <v/>
      </c>
      <c r="S765" s="42">
        <f>+M765+O765-Q765</f>
        <v/>
      </c>
    </row>
    <row r="766" ht="30" customHeight="1">
      <c r="A766" s="16" t="n">
        <v>45722</v>
      </c>
      <c r="B766" s="17" t="inlineStr">
        <is>
          <t>MH2503-10</t>
        </is>
      </c>
      <c r="C766" s="16" t="n">
        <v>45722</v>
      </c>
      <c r="D766" s="17" t="inlineStr">
        <is>
          <t>00000652</t>
        </is>
      </c>
      <c r="E766" s="16" t="n">
        <v>45722</v>
      </c>
      <c r="F766" s="16" t="inlineStr">
        <is>
          <t>XK2503-11</t>
        </is>
      </c>
      <c r="G766" s="16" t="n">
        <v>45722</v>
      </c>
      <c r="H766" s="17" t="inlineStr">
        <is>
          <t>CÔNG TY CỔ PHẦN CÔNG NGHIỆP VÀ THƯƠNG MẠI CƯỜNG THỊNH</t>
        </is>
      </c>
      <c r="I766" s="17" t="inlineStr">
        <is>
          <t>Bulong Din 933 8.8 ZP M20x60</t>
        </is>
      </c>
      <c r="J766" s="17" t="inlineStr">
        <is>
          <t>Cái</t>
        </is>
      </c>
      <c r="K766" s="19" t="n">
        <v>6440</v>
      </c>
      <c r="L766" s="20" t="n"/>
      <c r="M766" s="20" t="n"/>
      <c r="N766" s="43" t="n">
        <v>1415</v>
      </c>
      <c r="O766" s="20" t="n">
        <v>9112600</v>
      </c>
      <c r="P766" s="43" t="n">
        <v>1415</v>
      </c>
      <c r="Q766" s="20" t="n">
        <v>9112600</v>
      </c>
      <c r="R766" s="42">
        <f>+L766+N766-P766</f>
        <v/>
      </c>
      <c r="S766" s="42">
        <f>+M766+O766-Q766</f>
        <v/>
      </c>
    </row>
    <row r="767" ht="30" customHeight="1">
      <c r="A767" s="16" t="n">
        <v>45722</v>
      </c>
      <c r="B767" s="17" t="inlineStr">
        <is>
          <t>MH2503-10</t>
        </is>
      </c>
      <c r="C767" s="16" t="n">
        <v>45722</v>
      </c>
      <c r="D767" s="17" t="inlineStr">
        <is>
          <t>00000652</t>
        </is>
      </c>
      <c r="E767" s="16" t="n">
        <v>45722</v>
      </c>
      <c r="F767" s="16" t="inlineStr">
        <is>
          <t>XK2503-11</t>
        </is>
      </c>
      <c r="G767" s="16" t="n">
        <v>45722</v>
      </c>
      <c r="H767" s="17" t="inlineStr">
        <is>
          <t>CÔNG TY CỔ PHẦN CÔNG NGHIỆP VÀ THƯƠNG MẠI CƯỜNG THỊNH</t>
        </is>
      </c>
      <c r="I767" s="17" t="inlineStr">
        <is>
          <t>Đai ốc Din 934 8 ZP M20</t>
        </is>
      </c>
      <c r="J767" s="17" t="inlineStr">
        <is>
          <t>Cái</t>
        </is>
      </c>
      <c r="K767" s="19" t="n">
        <v>2030</v>
      </c>
      <c r="L767" s="20" t="n"/>
      <c r="M767" s="20" t="n"/>
      <c r="N767" s="43" t="n">
        <v>1415</v>
      </c>
      <c r="O767" s="20" t="n">
        <v>2872450</v>
      </c>
      <c r="P767" s="43" t="n">
        <v>1415</v>
      </c>
      <c r="Q767" s="20" t="n">
        <v>2872450</v>
      </c>
      <c r="R767" s="42">
        <f>+L767+N767-P767</f>
        <v/>
      </c>
      <c r="S767" s="42">
        <f>+M767+O767-Q767</f>
        <v/>
      </c>
    </row>
    <row r="768" ht="30" customHeight="1">
      <c r="A768" s="16" t="n">
        <v>45722</v>
      </c>
      <c r="B768" s="17" t="inlineStr">
        <is>
          <t>MH2503-10</t>
        </is>
      </c>
      <c r="C768" s="16" t="n">
        <v>45722</v>
      </c>
      <c r="D768" s="17" t="inlineStr">
        <is>
          <t>00000652</t>
        </is>
      </c>
      <c r="E768" s="16" t="n">
        <v>45722</v>
      </c>
      <c r="F768" s="16" t="inlineStr">
        <is>
          <t>XK2503-11</t>
        </is>
      </c>
      <c r="G768" s="16" t="n">
        <v>45722</v>
      </c>
      <c r="H768" s="17" t="inlineStr">
        <is>
          <t>CÔNG TY CỔ PHẦN CÔNG NGHIỆP VÀ THƯƠNG MẠI CƯỜNG THỊNH</t>
        </is>
      </c>
      <c r="I768" s="17" t="inlineStr">
        <is>
          <t>Long đền thường ZP M20B35D2</t>
        </is>
      </c>
      <c r="J768" s="17" t="inlineStr">
        <is>
          <t>Cái</t>
        </is>
      </c>
      <c r="K768" s="19" t="n">
        <v>350</v>
      </c>
      <c r="L768" s="20" t="n"/>
      <c r="M768" s="20" t="n"/>
      <c r="N768" s="43" t="n">
        <v>1415</v>
      </c>
      <c r="O768" s="20" t="n">
        <v>495250</v>
      </c>
      <c r="P768" s="43" t="n">
        <v>1415</v>
      </c>
      <c r="Q768" s="20" t="n">
        <v>495250</v>
      </c>
      <c r="R768" s="42">
        <f>+L768+N768-P768</f>
        <v/>
      </c>
      <c r="S768" s="42">
        <f>+M768+O768-Q768</f>
        <v/>
      </c>
    </row>
    <row r="769" ht="30" customHeight="1">
      <c r="A769" s="16" t="n">
        <v>45722</v>
      </c>
      <c r="B769" s="17" t="inlineStr">
        <is>
          <t>MH2503-10</t>
        </is>
      </c>
      <c r="C769" s="16" t="n">
        <v>45722</v>
      </c>
      <c r="D769" s="17" t="inlineStr">
        <is>
          <t>00000652</t>
        </is>
      </c>
      <c r="E769" s="16" t="n">
        <v>45722</v>
      </c>
      <c r="F769" s="16" t="inlineStr">
        <is>
          <t>XK2503-11</t>
        </is>
      </c>
      <c r="G769" s="16" t="n">
        <v>45722</v>
      </c>
      <c r="H769" s="17" t="inlineStr">
        <is>
          <t>CÔNG TY CỔ PHẦN CÔNG NGHIỆP VÀ THƯƠNG MẠI CƯỜNG THỊNH</t>
        </is>
      </c>
      <c r="I769" s="17" t="inlineStr">
        <is>
          <t>Bulong thường 4.6 ZP M12x30</t>
        </is>
      </c>
      <c r="J769" s="17" t="inlineStr">
        <is>
          <t>Cái</t>
        </is>
      </c>
      <c r="K769" s="19" t="n">
        <v>950</v>
      </c>
      <c r="L769" s="20" t="n"/>
      <c r="M769" s="20" t="n"/>
      <c r="N769" s="43" t="n">
        <v>883</v>
      </c>
      <c r="O769" s="20" t="n">
        <v>838850</v>
      </c>
      <c r="P769" s="43" t="n">
        <v>883</v>
      </c>
      <c r="Q769" s="20" t="n">
        <v>838850</v>
      </c>
      <c r="R769" s="42">
        <f>+L769+N769-P769</f>
        <v/>
      </c>
      <c r="S769" s="42">
        <f>+M769+O769-Q769</f>
        <v/>
      </c>
    </row>
    <row r="770" ht="30" customHeight="1">
      <c r="A770" s="16" t="n">
        <v>45722</v>
      </c>
      <c r="B770" s="17" t="inlineStr">
        <is>
          <t>MH2503-10</t>
        </is>
      </c>
      <c r="C770" s="16" t="n">
        <v>45722</v>
      </c>
      <c r="D770" s="17" t="inlineStr">
        <is>
          <t>00000652</t>
        </is>
      </c>
      <c r="E770" s="16" t="n">
        <v>45722</v>
      </c>
      <c r="F770" s="16" t="inlineStr">
        <is>
          <t>XK2503-11</t>
        </is>
      </c>
      <c r="G770" s="16" t="n">
        <v>45722</v>
      </c>
      <c r="H770" s="17" t="inlineStr">
        <is>
          <t>CÔNG TY CỔ PHẦN CÔNG NGHIỆP VÀ THƯƠNG MẠI CƯỜNG THỊNH</t>
        </is>
      </c>
      <c r="I770" s="17" t="inlineStr">
        <is>
          <t>Đai ốc thường 4 ZP M12 (9mm)</t>
        </is>
      </c>
      <c r="J770" s="17" t="inlineStr">
        <is>
          <t>Cái</t>
        </is>
      </c>
      <c r="K770" s="19" t="n">
        <v>360</v>
      </c>
      <c r="L770" s="20" t="n"/>
      <c r="M770" s="20" t="n"/>
      <c r="N770" s="43" t="n">
        <v>883</v>
      </c>
      <c r="O770" s="20" t="n">
        <v>317880</v>
      </c>
      <c r="P770" s="43" t="n">
        <v>883</v>
      </c>
      <c r="Q770" s="20" t="n">
        <v>317880</v>
      </c>
      <c r="R770" s="42">
        <f>+L770+N770-P770</f>
        <v/>
      </c>
      <c r="S770" s="42">
        <f>+M770+O770-Q770</f>
        <v/>
      </c>
    </row>
    <row r="771" ht="30" customHeight="1">
      <c r="A771" s="16" t="n">
        <v>45722</v>
      </c>
      <c r="B771" s="17" t="inlineStr">
        <is>
          <t>MH2503-10</t>
        </is>
      </c>
      <c r="C771" s="16" t="n">
        <v>45722</v>
      </c>
      <c r="D771" s="17" t="inlineStr">
        <is>
          <t>00000652</t>
        </is>
      </c>
      <c r="E771" s="16" t="n">
        <v>45722</v>
      </c>
      <c r="F771" s="16" t="inlineStr">
        <is>
          <t>XK2503-11</t>
        </is>
      </c>
      <c r="G771" s="16" t="n">
        <v>45722</v>
      </c>
      <c r="H771" s="17" t="inlineStr">
        <is>
          <t>CÔNG TY CỔ PHẦN CÔNG NGHIỆP VÀ THƯƠNG MẠI CƯỜNG THỊNH</t>
        </is>
      </c>
      <c r="I771" s="17" t="inlineStr">
        <is>
          <t>Long đền thường ZP M12B23D1</t>
        </is>
      </c>
      <c r="J771" s="17" t="inlineStr">
        <is>
          <t>Cái</t>
        </is>
      </c>
      <c r="K771" s="19" t="n">
        <v>100</v>
      </c>
      <c r="L771" s="20" t="n"/>
      <c r="M771" s="20" t="n"/>
      <c r="N771" s="43" t="n">
        <v>1766</v>
      </c>
      <c r="O771" s="20" t="n">
        <v>176600</v>
      </c>
      <c r="P771" s="43" t="n">
        <v>1766</v>
      </c>
      <c r="Q771" s="20" t="n">
        <v>176600</v>
      </c>
      <c r="R771" s="42">
        <f>+L771+N771-P771</f>
        <v/>
      </c>
      <c r="S771" s="42">
        <f>+M771+O771-Q771</f>
        <v/>
      </c>
    </row>
    <row r="772" ht="30" customHeight="1">
      <c r="A772" s="16" t="n">
        <v>45722</v>
      </c>
      <c r="B772" s="17" t="inlineStr">
        <is>
          <t>MH2503-10</t>
        </is>
      </c>
      <c r="C772" s="16" t="n">
        <v>45722</v>
      </c>
      <c r="D772" s="17" t="inlineStr">
        <is>
          <t>00000653</t>
        </is>
      </c>
      <c r="E772" s="16" t="n">
        <v>45722</v>
      </c>
      <c r="F772" s="16" t="inlineStr">
        <is>
          <t>XK2503-12</t>
        </is>
      </c>
      <c r="G772" s="16" t="n">
        <v>45722</v>
      </c>
      <c r="H772" s="17" t="inlineStr">
        <is>
          <t>CÔNG TY CỔ PHẦN CÔNG NGHIỆP VÀ THƯƠNG MẠI CƯỜNG THỊNH</t>
        </is>
      </c>
      <c r="I772" s="17" t="inlineStr">
        <is>
          <t>Vít B2 Dacromet 12-14x20</t>
        </is>
      </c>
      <c r="J772" s="17" t="inlineStr">
        <is>
          <t>Cái</t>
        </is>
      </c>
      <c r="K772" s="19" t="n">
        <v>600</v>
      </c>
      <c r="L772" s="20" t="n"/>
      <c r="M772" s="20" t="n"/>
      <c r="N772" s="43" t="n">
        <v>800</v>
      </c>
      <c r="O772" s="20" t="n">
        <v>480000</v>
      </c>
      <c r="P772" s="43" t="n">
        <v>800</v>
      </c>
      <c r="Q772" s="20" t="n">
        <v>480000</v>
      </c>
      <c r="R772" s="42">
        <f>+L772+N772-P772</f>
        <v/>
      </c>
      <c r="S772" s="42">
        <f>+M772+O772-Q772</f>
        <v/>
      </c>
    </row>
    <row r="773" ht="30" customHeight="1">
      <c r="A773" s="16" t="n">
        <v>45722</v>
      </c>
      <c r="B773" s="17" t="inlineStr">
        <is>
          <t>MH2503-10</t>
        </is>
      </c>
      <c r="C773" s="16" t="n">
        <v>45722</v>
      </c>
      <c r="D773" s="17" t="inlineStr">
        <is>
          <t>00000653</t>
        </is>
      </c>
      <c r="E773" s="16" t="n">
        <v>45722</v>
      </c>
      <c r="F773" s="16" t="inlineStr">
        <is>
          <t>XK2503-12</t>
        </is>
      </c>
      <c r="G773" s="16" t="n">
        <v>45722</v>
      </c>
      <c r="H773" s="17" t="inlineStr">
        <is>
          <t>CÔNG TY CỔ PHẦN CÔNG NGHIỆP VÀ THƯƠNG MẠI CƯỜNG THỊNH</t>
        </is>
      </c>
      <c r="I773" s="17" t="inlineStr">
        <is>
          <t>Ty giằng 2 đầu ren 4.6 ZP M16</t>
        </is>
      </c>
      <c r="J773" s="17" t="inlineStr">
        <is>
          <t>Mét</t>
        </is>
      </c>
      <c r="K773" s="19" t="n">
        <v>48000</v>
      </c>
      <c r="L773" s="20" t="n"/>
      <c r="M773" s="20" t="n"/>
      <c r="N773" s="43" t="n">
        <v>268.4</v>
      </c>
      <c r="O773" s="20" t="n">
        <v>12883200</v>
      </c>
      <c r="P773" s="43" t="n">
        <v>268.4</v>
      </c>
      <c r="Q773" s="20" t="n">
        <v>12883200</v>
      </c>
      <c r="R773" s="42">
        <f>+L773+N773-P773</f>
        <v/>
      </c>
      <c r="S773" s="42">
        <f>+M773+O773-Q773</f>
        <v/>
      </c>
    </row>
    <row r="774" ht="30" customHeight="1">
      <c r="A774" s="16" t="n">
        <v>45722</v>
      </c>
      <c r="B774" s="17" t="inlineStr">
        <is>
          <t>MH2503-10</t>
        </is>
      </c>
      <c r="C774" s="16" t="n">
        <v>45722</v>
      </c>
      <c r="D774" s="17" t="inlineStr">
        <is>
          <t>00000653</t>
        </is>
      </c>
      <c r="E774" s="16" t="n">
        <v>45722</v>
      </c>
      <c r="F774" s="16" t="inlineStr">
        <is>
          <t>XK2503-12</t>
        </is>
      </c>
      <c r="G774" s="16" t="n">
        <v>45722</v>
      </c>
      <c r="H774" s="17" t="inlineStr">
        <is>
          <t>CÔNG TY CỔ PHẦN CÔNG NGHIỆP VÀ THƯƠNG MẠI CƯỜNG THỊNH</t>
        </is>
      </c>
      <c r="I774" s="17" t="inlineStr">
        <is>
          <t>Đai ốc Din 934 5 ZP M16</t>
        </is>
      </c>
      <c r="J774" s="17" t="inlineStr">
        <is>
          <t>Cái</t>
        </is>
      </c>
      <c r="K774" s="19" t="n">
        <v>1110</v>
      </c>
      <c r="L774" s="20" t="n"/>
      <c r="M774" s="20" t="n"/>
      <c r="N774" s="43" t="n">
        <v>148</v>
      </c>
      <c r="O774" s="20" t="n">
        <v>164280</v>
      </c>
      <c r="P774" s="43" t="n">
        <v>148</v>
      </c>
      <c r="Q774" s="20" t="n">
        <v>164280</v>
      </c>
      <c r="R774" s="42">
        <f>+L774+N774-P774</f>
        <v/>
      </c>
      <c r="S774" s="42">
        <f>+M774+O774-Q774</f>
        <v/>
      </c>
    </row>
    <row r="775" ht="30" customHeight="1">
      <c r="A775" s="16" t="n">
        <v>45722</v>
      </c>
      <c r="B775" s="17" t="inlineStr">
        <is>
          <t>MH2503-10</t>
        </is>
      </c>
      <c r="C775" s="16" t="n">
        <v>45722</v>
      </c>
      <c r="D775" s="17" t="inlineStr">
        <is>
          <t>00000653</t>
        </is>
      </c>
      <c r="E775" s="16" t="n">
        <v>45722</v>
      </c>
      <c r="F775" s="16" t="inlineStr">
        <is>
          <t>XK2503-12</t>
        </is>
      </c>
      <c r="G775" s="16" t="n">
        <v>45722</v>
      </c>
      <c r="H775" s="17" t="inlineStr">
        <is>
          <t>CÔNG TY CỔ PHẦN CÔNG NGHIỆP VÀ THƯƠNG MẠI CƯỜNG THỊNH</t>
        </is>
      </c>
      <c r="I775" s="17" t="inlineStr">
        <is>
          <t>Long đền thường ZP M16B42D2</t>
        </is>
      </c>
      <c r="J775" s="17" t="inlineStr">
        <is>
          <t>Cái</t>
        </is>
      </c>
      <c r="K775" s="19" t="n">
        <v>800</v>
      </c>
      <c r="L775" s="20" t="n"/>
      <c r="M775" s="20" t="n"/>
      <c r="N775" s="43" t="n">
        <v>148</v>
      </c>
      <c r="O775" s="20" t="n">
        <v>118400</v>
      </c>
      <c r="P775" s="43" t="n">
        <v>148</v>
      </c>
      <c r="Q775" s="20" t="n">
        <v>118400</v>
      </c>
      <c r="R775" s="42">
        <f>+L775+N775-P775</f>
        <v/>
      </c>
      <c r="S775" s="42">
        <f>+M775+O775-Q775</f>
        <v/>
      </c>
    </row>
    <row r="776" ht="30" customHeight="1">
      <c r="A776" s="16" t="n">
        <v>45722</v>
      </c>
      <c r="B776" s="17" t="inlineStr">
        <is>
          <t>MH2503-10</t>
        </is>
      </c>
      <c r="C776" s="16" t="n">
        <v>45722</v>
      </c>
      <c r="D776" s="17" t="inlineStr">
        <is>
          <t>00000653</t>
        </is>
      </c>
      <c r="E776" s="16" t="n">
        <v>45722</v>
      </c>
      <c r="F776" s="16" t="inlineStr">
        <is>
          <t>XK2503-12</t>
        </is>
      </c>
      <c r="G776" s="16" t="n">
        <v>45722</v>
      </c>
      <c r="H776" s="17" t="inlineStr">
        <is>
          <t>CÔNG TY CỔ PHẦN CÔNG NGHIỆP VÀ THƯƠNG MẠI CƯỜNG THỊNH</t>
        </is>
      </c>
      <c r="I776" s="17" t="inlineStr">
        <is>
          <t>Long đền móng ngựa ZP M16</t>
        </is>
      </c>
      <c r="J776" s="17" t="inlineStr">
        <is>
          <t>Cái</t>
        </is>
      </c>
      <c r="K776" s="19" t="n">
        <v>15670</v>
      </c>
      <c r="L776" s="20" t="n"/>
      <c r="M776" s="20" t="n"/>
      <c r="N776" s="43" t="n">
        <v>148</v>
      </c>
      <c r="O776" s="20" t="n">
        <v>2319160</v>
      </c>
      <c r="P776" s="43" t="n">
        <v>148</v>
      </c>
      <c r="Q776" s="20" t="n">
        <v>2319160</v>
      </c>
      <c r="R776" s="42">
        <f>+L776+N776-P776</f>
        <v/>
      </c>
      <c r="S776" s="42">
        <f>+M776+O776-Q776</f>
        <v/>
      </c>
    </row>
    <row r="777" ht="30" customHeight="1">
      <c r="A777" s="16" t="n">
        <v>45722</v>
      </c>
      <c r="B777" s="17" t="inlineStr">
        <is>
          <t>MH2503-10</t>
        </is>
      </c>
      <c r="C777" s="16" t="n">
        <v>45722</v>
      </c>
      <c r="D777" s="17" t="inlineStr">
        <is>
          <t>00000653</t>
        </is>
      </c>
      <c r="E777" s="16" t="n">
        <v>45722</v>
      </c>
      <c r="F777" s="16" t="inlineStr">
        <is>
          <t>XK2503-12</t>
        </is>
      </c>
      <c r="G777" s="16" t="n">
        <v>45722</v>
      </c>
      <c r="H777" s="17" t="inlineStr">
        <is>
          <t>CÔNG TY CỔ PHẦN CÔNG NGHIỆP VÀ THƯƠNG MẠI CƯỜNG THỊNH</t>
        </is>
      </c>
      <c r="I777" s="17" t="inlineStr">
        <is>
          <t>Bulong Din 933 8.8 ZP M16x40</t>
        </is>
      </c>
      <c r="J777" s="17" t="inlineStr">
        <is>
          <t>Cái</t>
        </is>
      </c>
      <c r="K777" s="19" t="n">
        <v>3030</v>
      </c>
      <c r="L777" s="20" t="n"/>
      <c r="M777" s="20" t="n"/>
      <c r="N777" s="43" t="n">
        <v>764</v>
      </c>
      <c r="O777" s="20" t="n">
        <v>2314920</v>
      </c>
      <c r="P777" s="43" t="n">
        <v>764</v>
      </c>
      <c r="Q777" s="20" t="n">
        <v>2314920</v>
      </c>
      <c r="R777" s="42">
        <f>+L777+N777-P777</f>
        <v/>
      </c>
      <c r="S777" s="42">
        <f>+M777+O777-Q777</f>
        <v/>
      </c>
    </row>
    <row r="778" ht="30" customHeight="1">
      <c r="A778" s="16" t="n">
        <v>45722</v>
      </c>
      <c r="B778" s="17" t="inlineStr">
        <is>
          <t>MH2503-10</t>
        </is>
      </c>
      <c r="C778" s="16" t="n">
        <v>45722</v>
      </c>
      <c r="D778" s="17" t="inlineStr">
        <is>
          <t>00000653</t>
        </is>
      </c>
      <c r="E778" s="16" t="n">
        <v>45722</v>
      </c>
      <c r="F778" s="16" t="inlineStr">
        <is>
          <t>XK2503-12</t>
        </is>
      </c>
      <c r="G778" s="16" t="n">
        <v>45722</v>
      </c>
      <c r="H778" s="17" t="inlineStr">
        <is>
          <t>CÔNG TY CỔ PHẦN CÔNG NGHIỆP VÀ THƯƠNG MẠI CƯỜNG THỊNH</t>
        </is>
      </c>
      <c r="I778" s="17" t="inlineStr">
        <is>
          <t>Đai ốc Din 934 8 ZP M16</t>
        </is>
      </c>
      <c r="J778" s="17" t="inlineStr">
        <is>
          <t>Cái</t>
        </is>
      </c>
      <c r="K778" s="19" t="n">
        <v>1090</v>
      </c>
      <c r="L778" s="20" t="n"/>
      <c r="M778" s="20" t="n"/>
      <c r="N778" s="43" t="n">
        <v>764</v>
      </c>
      <c r="O778" s="20" t="n">
        <v>832760</v>
      </c>
      <c r="P778" s="43" t="n">
        <v>764</v>
      </c>
      <c r="Q778" s="20" t="n">
        <v>832760</v>
      </c>
      <c r="R778" s="42">
        <f>+L778+N778-P778</f>
        <v/>
      </c>
      <c r="S778" s="42">
        <f>+M778+O778-Q778</f>
        <v/>
      </c>
    </row>
    <row r="779" ht="30" customHeight="1">
      <c r="A779" s="16" t="n">
        <v>45722</v>
      </c>
      <c r="B779" s="17" t="inlineStr">
        <is>
          <t>MH2503-10</t>
        </is>
      </c>
      <c r="C779" s="16" t="n">
        <v>45722</v>
      </c>
      <c r="D779" s="17" t="inlineStr">
        <is>
          <t>00000653</t>
        </is>
      </c>
      <c r="E779" s="16" t="n">
        <v>45722</v>
      </c>
      <c r="F779" s="16" t="inlineStr">
        <is>
          <t>XK2503-12</t>
        </is>
      </c>
      <c r="G779" s="16" t="n">
        <v>45722</v>
      </c>
      <c r="H779" s="17" t="inlineStr">
        <is>
          <t>CÔNG TY CỔ PHẦN CÔNG NGHIỆP VÀ THƯƠNG MẠI CƯỜNG THỊNH</t>
        </is>
      </c>
      <c r="I779" s="17" t="inlineStr">
        <is>
          <t>Long đền thường ZP M16B30D2</t>
        </is>
      </c>
      <c r="J779" s="17" t="inlineStr">
        <is>
          <t>Cái</t>
        </is>
      </c>
      <c r="K779" s="19" t="n">
        <v>350</v>
      </c>
      <c r="L779" s="20" t="n"/>
      <c r="M779" s="20" t="n"/>
      <c r="N779" s="43" t="n">
        <v>764</v>
      </c>
      <c r="O779" s="20" t="n">
        <v>267400</v>
      </c>
      <c r="P779" s="43" t="n">
        <v>764</v>
      </c>
      <c r="Q779" s="20" t="n">
        <v>267400</v>
      </c>
      <c r="R779" s="42">
        <f>+L779+N779-P779</f>
        <v/>
      </c>
      <c r="S779" s="42">
        <f>+M779+O779-Q779</f>
        <v/>
      </c>
    </row>
    <row r="780" ht="30" customHeight="1">
      <c r="A780" s="16" t="n">
        <v>45722</v>
      </c>
      <c r="B780" s="17" t="inlineStr">
        <is>
          <t>MH2503-10</t>
        </is>
      </c>
      <c r="C780" s="16" t="n">
        <v>45722</v>
      </c>
      <c r="D780" s="17" t="inlineStr">
        <is>
          <t>00000653</t>
        </is>
      </c>
      <c r="E780" s="16" t="n">
        <v>45722</v>
      </c>
      <c r="F780" s="16" t="inlineStr">
        <is>
          <t>XK2503-12</t>
        </is>
      </c>
      <c r="G780" s="16" t="n">
        <v>45722</v>
      </c>
      <c r="H780" s="17" t="inlineStr">
        <is>
          <t>CÔNG TY CỔ PHẦN CÔNG NGHIỆP VÀ THƯƠNG MẠI CƯỜNG THỊNH</t>
        </is>
      </c>
      <c r="I780" s="17" t="inlineStr">
        <is>
          <t>Bulong Din 933 8.8 ZP M16x50</t>
        </is>
      </c>
      <c r="J780" s="17" t="inlineStr">
        <is>
          <t>Cái</t>
        </is>
      </c>
      <c r="K780" s="19" t="n">
        <v>3470</v>
      </c>
      <c r="L780" s="20" t="n"/>
      <c r="M780" s="20" t="n"/>
      <c r="N780" s="43" t="n">
        <v>39</v>
      </c>
      <c r="O780" s="20" t="n">
        <v>135330</v>
      </c>
      <c r="P780" s="43" t="n">
        <v>39</v>
      </c>
      <c r="Q780" s="20" t="n">
        <v>135330</v>
      </c>
      <c r="R780" s="42">
        <f>+L780+N780-P780</f>
        <v/>
      </c>
      <c r="S780" s="42">
        <f>+M780+O780-Q780</f>
        <v/>
      </c>
    </row>
    <row r="781" ht="30" customHeight="1">
      <c r="A781" s="16" t="n">
        <v>45722</v>
      </c>
      <c r="B781" s="17" t="inlineStr">
        <is>
          <t>MH2503-10</t>
        </is>
      </c>
      <c r="C781" s="16" t="n">
        <v>45722</v>
      </c>
      <c r="D781" s="17" t="inlineStr">
        <is>
          <t>00000653</t>
        </is>
      </c>
      <c r="E781" s="16" t="n">
        <v>45722</v>
      </c>
      <c r="F781" s="16" t="inlineStr">
        <is>
          <t>XK2503-12</t>
        </is>
      </c>
      <c r="G781" s="16" t="n">
        <v>45722</v>
      </c>
      <c r="H781" s="17" t="inlineStr">
        <is>
          <t>CÔNG TY CỔ PHẦN CÔNG NGHIỆP VÀ THƯƠNG MẠI CƯỜNG THỊNH</t>
        </is>
      </c>
      <c r="I781" s="17" t="inlineStr">
        <is>
          <t>Đai ốc Din 934 8 ZP M16</t>
        </is>
      </c>
      <c r="J781" s="17" t="inlineStr">
        <is>
          <t>Cái</t>
        </is>
      </c>
      <c r="K781" s="19" t="n">
        <v>1090</v>
      </c>
      <c r="L781" s="20" t="n"/>
      <c r="M781" s="20" t="n"/>
      <c r="N781" s="43" t="n">
        <v>39</v>
      </c>
      <c r="O781" s="20" t="n">
        <v>42510</v>
      </c>
      <c r="P781" s="43" t="n">
        <v>39</v>
      </c>
      <c r="Q781" s="20" t="n">
        <v>42510</v>
      </c>
      <c r="R781" s="42">
        <f>+L781+N781-P781</f>
        <v/>
      </c>
      <c r="S781" s="42">
        <f>+M781+O781-Q781</f>
        <v/>
      </c>
    </row>
    <row r="782" ht="30" customHeight="1">
      <c r="A782" s="16" t="n">
        <v>45722</v>
      </c>
      <c r="B782" s="17" t="inlineStr">
        <is>
          <t>MH2503-10</t>
        </is>
      </c>
      <c r="C782" s="16" t="n">
        <v>45722</v>
      </c>
      <c r="D782" s="17" t="inlineStr">
        <is>
          <t>00000653</t>
        </is>
      </c>
      <c r="E782" s="16" t="n">
        <v>45722</v>
      </c>
      <c r="F782" s="16" t="inlineStr">
        <is>
          <t>XK2503-12</t>
        </is>
      </c>
      <c r="G782" s="16" t="n">
        <v>45722</v>
      </c>
      <c r="H782" s="17" t="inlineStr">
        <is>
          <t>CÔNG TY CỔ PHẦN CÔNG NGHIỆP VÀ THƯƠNG MẠI CƯỜNG THỊNH</t>
        </is>
      </c>
      <c r="I782" s="17" t="inlineStr">
        <is>
          <t>Long đền thường ZP M16B30D2</t>
        </is>
      </c>
      <c r="J782" s="17" t="inlineStr">
        <is>
          <t>Cái</t>
        </is>
      </c>
      <c r="K782" s="19" t="n">
        <v>350</v>
      </c>
      <c r="L782" s="20" t="n"/>
      <c r="M782" s="20" t="n"/>
      <c r="N782" s="43" t="n">
        <v>39</v>
      </c>
      <c r="O782" s="20" t="n">
        <v>13650</v>
      </c>
      <c r="P782" s="43" t="n">
        <v>39</v>
      </c>
      <c r="Q782" s="20" t="n">
        <v>13650</v>
      </c>
      <c r="R782" s="42">
        <f>+L782+N782-P782</f>
        <v/>
      </c>
      <c r="S782" s="42">
        <f>+M782+O782-Q782</f>
        <v/>
      </c>
    </row>
    <row r="783" ht="30" customHeight="1">
      <c r="A783" s="16" t="n">
        <v>45722</v>
      </c>
      <c r="B783" s="17" t="inlineStr">
        <is>
          <t>MH2503-10</t>
        </is>
      </c>
      <c r="C783" s="16" t="n">
        <v>45722</v>
      </c>
      <c r="D783" s="17" t="inlineStr">
        <is>
          <t>00000653</t>
        </is>
      </c>
      <c r="E783" s="16" t="n">
        <v>45722</v>
      </c>
      <c r="F783" s="16" t="inlineStr">
        <is>
          <t>XK2503-12</t>
        </is>
      </c>
      <c r="G783" s="16" t="n">
        <v>45722</v>
      </c>
      <c r="H783" s="17" t="inlineStr">
        <is>
          <t>CÔNG TY CỔ PHẦN CÔNG NGHIỆP VÀ THƯƠNG MẠI CƯỜNG THỊNH</t>
        </is>
      </c>
      <c r="I783" s="17" t="inlineStr">
        <is>
          <t>Bulong Din 933 8.8 ZP M20x50</t>
        </is>
      </c>
      <c r="J783" s="17" t="inlineStr">
        <is>
          <t>Cái</t>
        </is>
      </c>
      <c r="K783" s="19" t="n">
        <v>5760</v>
      </c>
      <c r="L783" s="20" t="n"/>
      <c r="M783" s="20" t="n"/>
      <c r="N783" s="43" t="n">
        <v>243</v>
      </c>
      <c r="O783" s="20" t="n">
        <v>1399680</v>
      </c>
      <c r="P783" s="43" t="n">
        <v>243</v>
      </c>
      <c r="Q783" s="20" t="n">
        <v>1399680</v>
      </c>
      <c r="R783" s="42">
        <f>+L783+N783-P783</f>
        <v/>
      </c>
      <c r="S783" s="42">
        <f>+M783+O783-Q783</f>
        <v/>
      </c>
    </row>
    <row r="784" ht="30" customHeight="1">
      <c r="A784" s="16" t="n">
        <v>45722</v>
      </c>
      <c r="B784" s="17" t="inlineStr">
        <is>
          <t>MH2503-10</t>
        </is>
      </c>
      <c r="C784" s="16" t="n">
        <v>45722</v>
      </c>
      <c r="D784" s="17" t="inlineStr">
        <is>
          <t>00000653</t>
        </is>
      </c>
      <c r="E784" s="16" t="n">
        <v>45722</v>
      </c>
      <c r="F784" s="16" t="inlineStr">
        <is>
          <t>XK2503-12</t>
        </is>
      </c>
      <c r="G784" s="16" t="n">
        <v>45722</v>
      </c>
      <c r="H784" s="17" t="inlineStr">
        <is>
          <t>CÔNG TY CỔ PHẦN CÔNG NGHIỆP VÀ THƯƠNG MẠI CƯỜNG THỊNH</t>
        </is>
      </c>
      <c r="I784" s="17" t="inlineStr">
        <is>
          <t>Đai ốc Din 934 8 ZP M20</t>
        </is>
      </c>
      <c r="J784" s="17" t="inlineStr">
        <is>
          <t>Cái</t>
        </is>
      </c>
      <c r="K784" s="19" t="n">
        <v>2030</v>
      </c>
      <c r="L784" s="20" t="n"/>
      <c r="M784" s="20" t="n"/>
      <c r="N784" s="43" t="n">
        <v>243</v>
      </c>
      <c r="O784" s="20" t="n">
        <v>493290</v>
      </c>
      <c r="P784" s="43" t="n">
        <v>243</v>
      </c>
      <c r="Q784" s="20" t="n">
        <v>493290</v>
      </c>
      <c r="R784" s="42">
        <f>+L784+N784-P784</f>
        <v/>
      </c>
      <c r="S784" s="42">
        <f>+M784+O784-Q784</f>
        <v/>
      </c>
    </row>
    <row r="785" ht="30" customHeight="1">
      <c r="A785" s="16" t="n">
        <v>45722</v>
      </c>
      <c r="B785" s="17" t="inlineStr">
        <is>
          <t>MH2503-10</t>
        </is>
      </c>
      <c r="C785" s="16" t="n">
        <v>45722</v>
      </c>
      <c r="D785" s="17" t="inlineStr">
        <is>
          <t>00000653</t>
        </is>
      </c>
      <c r="E785" s="16" t="n">
        <v>45722</v>
      </c>
      <c r="F785" s="16" t="inlineStr">
        <is>
          <t>XK2503-12</t>
        </is>
      </c>
      <c r="G785" s="16" t="n">
        <v>45722</v>
      </c>
      <c r="H785" s="17" t="inlineStr">
        <is>
          <t>CÔNG TY CỔ PHẦN CÔNG NGHIỆP VÀ THƯƠNG MẠI CƯỜNG THỊNH</t>
        </is>
      </c>
      <c r="I785" s="17" t="inlineStr">
        <is>
          <t>Long đền thường ZP M20B35D2</t>
        </is>
      </c>
      <c r="J785" s="17" t="inlineStr">
        <is>
          <t>Cái</t>
        </is>
      </c>
      <c r="K785" s="19" t="n">
        <v>350</v>
      </c>
      <c r="L785" s="20" t="n"/>
      <c r="M785" s="20" t="n"/>
      <c r="N785" s="43" t="n">
        <v>243</v>
      </c>
      <c r="O785" s="20" t="n">
        <v>85050</v>
      </c>
      <c r="P785" s="43" t="n">
        <v>243</v>
      </c>
      <c r="Q785" s="20" t="n">
        <v>85050</v>
      </c>
      <c r="R785" s="42">
        <f>+L785+N785-P785</f>
        <v/>
      </c>
      <c r="S785" s="42">
        <f>+M785+O785-Q785</f>
        <v/>
      </c>
    </row>
    <row r="786" ht="30" customHeight="1">
      <c r="A786" s="16" t="n">
        <v>45722</v>
      </c>
      <c r="B786" s="17" t="inlineStr">
        <is>
          <t>MH2503-10</t>
        </is>
      </c>
      <c r="C786" s="16" t="n">
        <v>45722</v>
      </c>
      <c r="D786" s="17" t="inlineStr">
        <is>
          <t>00000653</t>
        </is>
      </c>
      <c r="E786" s="16" t="n">
        <v>45722</v>
      </c>
      <c r="F786" s="16" t="inlineStr">
        <is>
          <t>XK2503-12</t>
        </is>
      </c>
      <c r="G786" s="16" t="n">
        <v>45722</v>
      </c>
      <c r="H786" s="17" t="inlineStr">
        <is>
          <t>CÔNG TY CỔ PHẦN CÔNG NGHIỆP VÀ THƯƠNG MẠI CƯỜNG THỊNH</t>
        </is>
      </c>
      <c r="I786" s="17" t="inlineStr">
        <is>
          <t>Bulong Din 933 8.8 ZP M20x60</t>
        </is>
      </c>
      <c r="J786" s="17" t="inlineStr">
        <is>
          <t>Cái</t>
        </is>
      </c>
      <c r="K786" s="19" t="n">
        <v>6440</v>
      </c>
      <c r="L786" s="20" t="n"/>
      <c r="M786" s="20" t="n"/>
      <c r="N786" s="43" t="n">
        <v>1597</v>
      </c>
      <c r="O786" s="20" t="n">
        <v>10284680</v>
      </c>
      <c r="P786" s="43" t="n">
        <v>1597</v>
      </c>
      <c r="Q786" s="20" t="n">
        <v>10284680</v>
      </c>
      <c r="R786" s="42">
        <f>+L786+N786-P786</f>
        <v/>
      </c>
      <c r="S786" s="42">
        <f>+M786+O786-Q786</f>
        <v/>
      </c>
    </row>
    <row r="787" ht="30" customHeight="1">
      <c r="A787" s="16" t="n">
        <v>45722</v>
      </c>
      <c r="B787" s="17" t="inlineStr">
        <is>
          <t>MH2503-10</t>
        </is>
      </c>
      <c r="C787" s="16" t="n">
        <v>45722</v>
      </c>
      <c r="D787" s="17" t="inlineStr">
        <is>
          <t>00000653</t>
        </is>
      </c>
      <c r="E787" s="16" t="n">
        <v>45722</v>
      </c>
      <c r="F787" s="16" t="inlineStr">
        <is>
          <t>XK2503-12</t>
        </is>
      </c>
      <c r="G787" s="16" t="n">
        <v>45722</v>
      </c>
      <c r="H787" s="17" t="inlineStr">
        <is>
          <t>CÔNG TY CỔ PHẦN CÔNG NGHIỆP VÀ THƯƠNG MẠI CƯỜNG THỊNH</t>
        </is>
      </c>
      <c r="I787" s="17" t="inlineStr">
        <is>
          <t>Đai ốc Din 934 8 ZP M20</t>
        </is>
      </c>
      <c r="J787" s="17" t="inlineStr">
        <is>
          <t>Cái</t>
        </is>
      </c>
      <c r="K787" s="19" t="n">
        <v>2030</v>
      </c>
      <c r="L787" s="20" t="n"/>
      <c r="M787" s="20" t="n"/>
      <c r="N787" s="43" t="n">
        <v>1597</v>
      </c>
      <c r="O787" s="20" t="n">
        <v>3241910</v>
      </c>
      <c r="P787" s="43" t="n">
        <v>1597</v>
      </c>
      <c r="Q787" s="20" t="n">
        <v>3241910</v>
      </c>
      <c r="R787" s="42">
        <f>+L787+N787-P787</f>
        <v/>
      </c>
      <c r="S787" s="42">
        <f>+M787+O787-Q787</f>
        <v/>
      </c>
    </row>
    <row r="788" ht="30" customHeight="1">
      <c r="A788" s="16" t="n">
        <v>45722</v>
      </c>
      <c r="B788" s="17" t="inlineStr">
        <is>
          <t>MH2503-10</t>
        </is>
      </c>
      <c r="C788" s="16" t="n">
        <v>45722</v>
      </c>
      <c r="D788" s="17" t="inlineStr">
        <is>
          <t>00000653</t>
        </is>
      </c>
      <c r="E788" s="16" t="n">
        <v>45722</v>
      </c>
      <c r="F788" s="16" t="inlineStr">
        <is>
          <t>XK2503-12</t>
        </is>
      </c>
      <c r="G788" s="16" t="n">
        <v>45722</v>
      </c>
      <c r="H788" s="17" t="inlineStr">
        <is>
          <t>CÔNG TY CỔ PHẦN CÔNG NGHIỆP VÀ THƯƠNG MẠI CƯỜNG THỊNH</t>
        </is>
      </c>
      <c r="I788" s="17" t="inlineStr">
        <is>
          <t>Long đền thường ZP M20B35D2</t>
        </is>
      </c>
      <c r="J788" s="17" t="inlineStr">
        <is>
          <t>Cái</t>
        </is>
      </c>
      <c r="K788" s="19" t="n">
        <v>350</v>
      </c>
      <c r="L788" s="20" t="n"/>
      <c r="M788" s="20" t="n"/>
      <c r="N788" s="43" t="n">
        <v>1597</v>
      </c>
      <c r="O788" s="20" t="n">
        <v>558950</v>
      </c>
      <c r="P788" s="43" t="n">
        <v>1597</v>
      </c>
      <c r="Q788" s="20" t="n">
        <v>558950</v>
      </c>
      <c r="R788" s="42">
        <f>+L788+N788-P788</f>
        <v/>
      </c>
      <c r="S788" s="42">
        <f>+M788+O788-Q788</f>
        <v/>
      </c>
    </row>
    <row r="789" ht="30" customHeight="1">
      <c r="A789" s="16" t="n">
        <v>45722</v>
      </c>
      <c r="B789" s="17" t="inlineStr">
        <is>
          <t>MH2503-10</t>
        </is>
      </c>
      <c r="C789" s="16" t="n">
        <v>45722</v>
      </c>
      <c r="D789" s="17" t="inlineStr">
        <is>
          <t>00000653</t>
        </is>
      </c>
      <c r="E789" s="16" t="n">
        <v>45722</v>
      </c>
      <c r="F789" s="16" t="inlineStr">
        <is>
          <t>XK2503-12</t>
        </is>
      </c>
      <c r="G789" s="16" t="n">
        <v>45722</v>
      </c>
      <c r="H789" s="17" t="inlineStr">
        <is>
          <t>CÔNG TY CỔ PHẦN CÔNG NGHIỆP VÀ THƯƠNG MẠI CƯỜNG THỊNH</t>
        </is>
      </c>
      <c r="I789" s="17" t="inlineStr">
        <is>
          <t>Bulong thường 4.6 ZP M12x30</t>
        </is>
      </c>
      <c r="J789" s="17" t="inlineStr">
        <is>
          <t>Cái</t>
        </is>
      </c>
      <c r="K789" s="19" t="n">
        <v>950</v>
      </c>
      <c r="L789" s="20" t="n"/>
      <c r="M789" s="20" t="n"/>
      <c r="N789" s="43" t="n">
        <v>975</v>
      </c>
      <c r="O789" s="20" t="n">
        <v>926250</v>
      </c>
      <c r="P789" s="43" t="n">
        <v>975</v>
      </c>
      <c r="Q789" s="20" t="n">
        <v>926250</v>
      </c>
      <c r="R789" s="42">
        <f>+L789+N789-P789</f>
        <v/>
      </c>
      <c r="S789" s="42">
        <f>+M789+O789-Q789</f>
        <v/>
      </c>
    </row>
    <row r="790" ht="30" customHeight="1">
      <c r="A790" s="16" t="n">
        <v>45722</v>
      </c>
      <c r="B790" s="17" t="inlineStr">
        <is>
          <t>MH2503-10</t>
        </is>
      </c>
      <c r="C790" s="16" t="n">
        <v>45722</v>
      </c>
      <c r="D790" s="17" t="inlineStr">
        <is>
          <t>00000653</t>
        </is>
      </c>
      <c r="E790" s="16" t="n">
        <v>45722</v>
      </c>
      <c r="F790" s="16" t="inlineStr">
        <is>
          <t>XK2503-12</t>
        </is>
      </c>
      <c r="G790" s="16" t="n">
        <v>45722</v>
      </c>
      <c r="H790" s="17" t="inlineStr">
        <is>
          <t>CÔNG TY CỔ PHẦN CÔNG NGHIỆP VÀ THƯƠNG MẠI CƯỜNG THỊNH</t>
        </is>
      </c>
      <c r="I790" s="17" t="inlineStr">
        <is>
          <t>Đai ốc thường 4 ZP M12 (9mm)</t>
        </is>
      </c>
      <c r="J790" s="17" t="inlineStr">
        <is>
          <t>Cái</t>
        </is>
      </c>
      <c r="K790" s="19" t="n">
        <v>360</v>
      </c>
      <c r="L790" s="20" t="n"/>
      <c r="M790" s="20" t="n"/>
      <c r="N790" s="43" t="n">
        <v>975</v>
      </c>
      <c r="O790" s="20" t="n">
        <v>351000</v>
      </c>
      <c r="P790" s="43" t="n">
        <v>975</v>
      </c>
      <c r="Q790" s="20" t="n">
        <v>351000</v>
      </c>
      <c r="R790" s="42">
        <f>+L790+N790-P790</f>
        <v/>
      </c>
      <c r="S790" s="42">
        <f>+M790+O790-Q790</f>
        <v/>
      </c>
    </row>
    <row r="791" ht="30" customHeight="1">
      <c r="A791" s="16" t="n">
        <v>45722</v>
      </c>
      <c r="B791" s="17" t="inlineStr">
        <is>
          <t>MH2503-10</t>
        </is>
      </c>
      <c r="C791" s="16" t="n">
        <v>45722</v>
      </c>
      <c r="D791" s="17" t="inlineStr">
        <is>
          <t>00000653</t>
        </is>
      </c>
      <c r="E791" s="16" t="n">
        <v>45722</v>
      </c>
      <c r="F791" s="16" t="inlineStr">
        <is>
          <t>XK2503-12</t>
        </is>
      </c>
      <c r="G791" s="16" t="n">
        <v>45722</v>
      </c>
      <c r="H791" s="17" t="inlineStr">
        <is>
          <t>CÔNG TY CỔ PHẦN CÔNG NGHIỆP VÀ THƯƠNG MẠI CƯỜNG THỊNH</t>
        </is>
      </c>
      <c r="I791" s="17" t="inlineStr">
        <is>
          <t>Long đền thường ZP M12B23D1</t>
        </is>
      </c>
      <c r="J791" s="17" t="inlineStr">
        <is>
          <t>Cái</t>
        </is>
      </c>
      <c r="K791" s="19" t="n">
        <v>100</v>
      </c>
      <c r="L791" s="20" t="n"/>
      <c r="M791" s="20" t="n"/>
      <c r="N791" s="43" t="n">
        <v>1950</v>
      </c>
      <c r="O791" s="20" t="n">
        <v>195000</v>
      </c>
      <c r="P791" s="43" t="n">
        <v>1950</v>
      </c>
      <c r="Q791" s="20" t="n">
        <v>195000</v>
      </c>
      <c r="R791" s="42">
        <f>+L791+N791-P791</f>
        <v/>
      </c>
      <c r="S791" s="42">
        <f>+M791+O791-Q791</f>
        <v/>
      </c>
    </row>
    <row r="792" ht="30" customHeight="1">
      <c r="A792" s="16" t="n">
        <v>45722</v>
      </c>
      <c r="B792" s="17" t="inlineStr">
        <is>
          <t>MH2503-10</t>
        </is>
      </c>
      <c r="C792" s="16" t="n">
        <v>45722</v>
      </c>
      <c r="D792" s="17" t="inlineStr">
        <is>
          <t>00000655</t>
        </is>
      </c>
      <c r="E792" s="16" t="n">
        <v>45722</v>
      </c>
      <c r="F792" s="16" t="inlineStr">
        <is>
          <t>XK2503-13</t>
        </is>
      </c>
      <c r="G792" s="16" t="n">
        <v>45722</v>
      </c>
      <c r="H792" s="17" t="inlineStr">
        <is>
          <t>CÔNG TY CỔ PHẦN CÔNG NGHIỆP VÀ THƯƠNG MẠI CƯỜNG THỊNH</t>
        </is>
      </c>
      <c r="I792" s="17" t="inlineStr">
        <is>
          <t>Vít B2 Dacromet 12-14x20</t>
        </is>
      </c>
      <c r="J792" s="17" t="inlineStr">
        <is>
          <t>Cái</t>
        </is>
      </c>
      <c r="K792" s="19" t="n">
        <v>600</v>
      </c>
      <c r="L792" s="20" t="n"/>
      <c r="M792" s="20" t="n"/>
      <c r="N792" s="43" t="n">
        <v>200</v>
      </c>
      <c r="O792" s="20" t="n">
        <v>120000</v>
      </c>
      <c r="P792" s="43" t="n">
        <v>200</v>
      </c>
      <c r="Q792" s="20" t="n">
        <v>120000</v>
      </c>
      <c r="R792" s="42">
        <f>+L792+N792-P792</f>
        <v/>
      </c>
      <c r="S792" s="42">
        <f>+M792+O792-Q792</f>
        <v/>
      </c>
    </row>
    <row r="793" ht="30" customHeight="1">
      <c r="A793" s="16" t="n">
        <v>45722</v>
      </c>
      <c r="B793" s="17" t="inlineStr">
        <is>
          <t>MH2503-10</t>
        </is>
      </c>
      <c r="C793" s="16" t="n">
        <v>45722</v>
      </c>
      <c r="D793" s="17" t="inlineStr">
        <is>
          <t>00000655</t>
        </is>
      </c>
      <c r="E793" s="16" t="n">
        <v>45722</v>
      </c>
      <c r="F793" s="16" t="inlineStr">
        <is>
          <t>XK2503-13</t>
        </is>
      </c>
      <c r="G793" s="16" t="n">
        <v>45722</v>
      </c>
      <c r="H793" s="17" t="inlineStr">
        <is>
          <t>CÔNG TY CỔ PHẦN CÔNG NGHIỆP VÀ THƯƠNG MẠI CƯỜNG THỊNH</t>
        </is>
      </c>
      <c r="I793" s="17" t="inlineStr">
        <is>
          <t>Ty giằng 2 đầu ren 4.6 ZP M16</t>
        </is>
      </c>
      <c r="J793" s="17" t="inlineStr">
        <is>
          <t>Mét</t>
        </is>
      </c>
      <c r="K793" s="19" t="n">
        <v>48000</v>
      </c>
      <c r="L793" s="20" t="n"/>
      <c r="M793" s="20" t="n"/>
      <c r="N793" s="43" t="n">
        <v>25.58</v>
      </c>
      <c r="O793" s="20" t="n">
        <v>1227840</v>
      </c>
      <c r="P793" s="43" t="n">
        <v>25.58</v>
      </c>
      <c r="Q793" s="20" t="n">
        <v>1227840</v>
      </c>
      <c r="R793" s="42">
        <f>+L793+N793-P793</f>
        <v/>
      </c>
      <c r="S793" s="42">
        <f>+M793+O793-Q793</f>
        <v/>
      </c>
    </row>
    <row r="794" ht="30" customHeight="1">
      <c r="A794" s="16" t="n">
        <v>45722</v>
      </c>
      <c r="B794" s="17" t="inlineStr">
        <is>
          <t>MH2503-10</t>
        </is>
      </c>
      <c r="C794" s="16" t="n">
        <v>45722</v>
      </c>
      <c r="D794" s="17" t="inlineStr">
        <is>
          <t>00000655</t>
        </is>
      </c>
      <c r="E794" s="16" t="n">
        <v>45722</v>
      </c>
      <c r="F794" s="16" t="inlineStr">
        <is>
          <t>XK2503-13</t>
        </is>
      </c>
      <c r="G794" s="16" t="n">
        <v>45722</v>
      </c>
      <c r="H794" s="17" t="inlineStr">
        <is>
          <t>CÔNG TY CỔ PHẦN CÔNG NGHIỆP VÀ THƯƠNG MẠI CƯỜNG THỊNH</t>
        </is>
      </c>
      <c r="I794" s="17" t="inlineStr">
        <is>
          <t>Đai ốc Din 934 5 ZP M16</t>
        </is>
      </c>
      <c r="J794" s="17" t="inlineStr">
        <is>
          <t>Cái</t>
        </is>
      </c>
      <c r="K794" s="19" t="n">
        <v>1110</v>
      </c>
      <c r="L794" s="20" t="n"/>
      <c r="M794" s="20" t="n"/>
      <c r="N794" s="43" t="n">
        <v>8</v>
      </c>
      <c r="O794" s="20" t="n">
        <v>8880</v>
      </c>
      <c r="P794" s="43" t="n">
        <v>8</v>
      </c>
      <c r="Q794" s="20" t="n">
        <v>8880</v>
      </c>
      <c r="R794" s="42">
        <f>+L794+N794-P794</f>
        <v/>
      </c>
      <c r="S794" s="42">
        <f>+M794+O794-Q794</f>
        <v/>
      </c>
    </row>
    <row r="795" ht="30" customHeight="1">
      <c r="A795" s="16" t="n">
        <v>45722</v>
      </c>
      <c r="B795" s="17" t="inlineStr">
        <is>
          <t>MH2503-10</t>
        </is>
      </c>
      <c r="C795" s="16" t="n">
        <v>45722</v>
      </c>
      <c r="D795" s="17" t="inlineStr">
        <is>
          <t>00000655</t>
        </is>
      </c>
      <c r="E795" s="16" t="n">
        <v>45722</v>
      </c>
      <c r="F795" s="16" t="inlineStr">
        <is>
          <t>XK2503-13</t>
        </is>
      </c>
      <c r="G795" s="16" t="n">
        <v>45722</v>
      </c>
      <c r="H795" s="17" t="inlineStr">
        <is>
          <t>CÔNG TY CỔ PHẦN CÔNG NGHIỆP VÀ THƯƠNG MẠI CƯỜNG THỊNH</t>
        </is>
      </c>
      <c r="I795" s="17" t="inlineStr">
        <is>
          <t>Long đền thường ZP M16B42D2</t>
        </is>
      </c>
      <c r="J795" s="17" t="inlineStr">
        <is>
          <t>Cái</t>
        </is>
      </c>
      <c r="K795" s="19" t="n">
        <v>800</v>
      </c>
      <c r="L795" s="20" t="n"/>
      <c r="M795" s="20" t="n"/>
      <c r="N795" s="43" t="n">
        <v>8</v>
      </c>
      <c r="O795" s="20" t="n">
        <v>6400</v>
      </c>
      <c r="P795" s="43" t="n">
        <v>8</v>
      </c>
      <c r="Q795" s="20" t="n">
        <v>6400</v>
      </c>
      <c r="R795" s="42">
        <f>+L795+N795-P795</f>
        <v/>
      </c>
      <c r="S795" s="42">
        <f>+M795+O795-Q795</f>
        <v/>
      </c>
    </row>
    <row r="796" ht="30" customHeight="1">
      <c r="A796" s="16" t="n">
        <v>45722</v>
      </c>
      <c r="B796" s="17" t="inlineStr">
        <is>
          <t>MH2503-10</t>
        </is>
      </c>
      <c r="C796" s="16" t="n">
        <v>45722</v>
      </c>
      <c r="D796" s="17" t="inlineStr">
        <is>
          <t>00000655</t>
        </is>
      </c>
      <c r="E796" s="16" t="n">
        <v>45722</v>
      </c>
      <c r="F796" s="16" t="inlineStr">
        <is>
          <t>XK2503-13</t>
        </is>
      </c>
      <c r="G796" s="16" t="n">
        <v>45722</v>
      </c>
      <c r="H796" s="17" t="inlineStr">
        <is>
          <t>CÔNG TY CỔ PHẦN CÔNG NGHIỆP VÀ THƯƠNG MẠI CƯỜNG THỊNH</t>
        </is>
      </c>
      <c r="I796" s="17" t="inlineStr">
        <is>
          <t>Long đền móng ngựa ZP M16</t>
        </is>
      </c>
      <c r="J796" s="17" t="inlineStr">
        <is>
          <t>Cái</t>
        </is>
      </c>
      <c r="K796" s="19" t="n">
        <v>15670</v>
      </c>
      <c r="L796" s="20" t="n"/>
      <c r="M796" s="20" t="n"/>
      <c r="N796" s="43" t="n">
        <v>8</v>
      </c>
      <c r="O796" s="20" t="n">
        <v>125360</v>
      </c>
      <c r="P796" s="43" t="n">
        <v>8</v>
      </c>
      <c r="Q796" s="20" t="n">
        <v>125360</v>
      </c>
      <c r="R796" s="42">
        <f>+L796+N796-P796</f>
        <v/>
      </c>
      <c r="S796" s="42">
        <f>+M796+O796-Q796</f>
        <v/>
      </c>
    </row>
    <row r="797" ht="30" customHeight="1">
      <c r="A797" s="16" t="n">
        <v>45722</v>
      </c>
      <c r="B797" s="17" t="inlineStr">
        <is>
          <t>MH2503-10</t>
        </is>
      </c>
      <c r="C797" s="16" t="n">
        <v>45722</v>
      </c>
      <c r="D797" s="17" t="inlineStr">
        <is>
          <t>00000655</t>
        </is>
      </c>
      <c r="E797" s="16" t="n">
        <v>45722</v>
      </c>
      <c r="F797" s="16" t="inlineStr">
        <is>
          <t>XK2503-13</t>
        </is>
      </c>
      <c r="G797" s="16" t="n">
        <v>45722</v>
      </c>
      <c r="H797" s="17" t="inlineStr">
        <is>
          <t>CÔNG TY CỔ PHẦN CÔNG NGHIỆP VÀ THƯƠNG MẠI CƯỜNG THỊNH</t>
        </is>
      </c>
      <c r="I797" s="17" t="inlineStr">
        <is>
          <t>Nối Ty ZP M16x100 (23mm)</t>
        </is>
      </c>
      <c r="J797" s="17" t="inlineStr">
        <is>
          <t>Cái</t>
        </is>
      </c>
      <c r="K797" s="19" t="n">
        <v>24160</v>
      </c>
      <c r="L797" s="20" t="n"/>
      <c r="M797" s="20" t="n"/>
      <c r="N797" s="43" t="n">
        <v>2</v>
      </c>
      <c r="O797" s="20" t="n">
        <v>48320</v>
      </c>
      <c r="P797" s="43" t="n">
        <v>2</v>
      </c>
      <c r="Q797" s="20" t="n">
        <v>48320</v>
      </c>
      <c r="R797" s="42">
        <f>+L797+N797-P797</f>
        <v/>
      </c>
      <c r="S797" s="42">
        <f>+M797+O797-Q797</f>
        <v/>
      </c>
    </row>
    <row r="798" ht="30" customHeight="1">
      <c r="A798" s="16" t="n">
        <v>45722</v>
      </c>
      <c r="B798" s="17" t="inlineStr">
        <is>
          <t>MH2503-10</t>
        </is>
      </c>
      <c r="C798" s="16" t="n">
        <v>45722</v>
      </c>
      <c r="D798" s="17" t="inlineStr">
        <is>
          <t>00000655</t>
        </is>
      </c>
      <c r="E798" s="16" t="n">
        <v>45722</v>
      </c>
      <c r="F798" s="16" t="inlineStr">
        <is>
          <t>XK2503-13</t>
        </is>
      </c>
      <c r="G798" s="16" t="n">
        <v>45722</v>
      </c>
      <c r="H798" s="17" t="inlineStr">
        <is>
          <t>CÔNG TY CỔ PHẦN CÔNG NGHIỆP VÀ THƯƠNG MẠI CƯỜNG THỊNH</t>
        </is>
      </c>
      <c r="I798" s="17" t="inlineStr">
        <is>
          <t>Bulong Din 933 8.8 ZP M16x40</t>
        </is>
      </c>
      <c r="J798" s="17" t="inlineStr">
        <is>
          <t>Cái</t>
        </is>
      </c>
      <c r="K798" s="19" t="n">
        <v>3030</v>
      </c>
      <c r="L798" s="20" t="n"/>
      <c r="M798" s="20" t="n"/>
      <c r="N798" s="43" t="n">
        <v>27</v>
      </c>
      <c r="O798" s="20" t="n">
        <v>81810</v>
      </c>
      <c r="P798" s="43" t="n">
        <v>27</v>
      </c>
      <c r="Q798" s="20" t="n">
        <v>81810</v>
      </c>
      <c r="R798" s="42">
        <f>+L798+N798-P798</f>
        <v/>
      </c>
      <c r="S798" s="42">
        <f>+M798+O798-Q798</f>
        <v/>
      </c>
    </row>
    <row r="799" ht="30" customHeight="1">
      <c r="A799" s="16" t="n">
        <v>45722</v>
      </c>
      <c r="B799" s="17" t="inlineStr">
        <is>
          <t>MH2503-10</t>
        </is>
      </c>
      <c r="C799" s="16" t="n">
        <v>45722</v>
      </c>
      <c r="D799" s="17" t="inlineStr">
        <is>
          <t>00000655</t>
        </is>
      </c>
      <c r="E799" s="16" t="n">
        <v>45722</v>
      </c>
      <c r="F799" s="16" t="inlineStr">
        <is>
          <t>XK2503-13</t>
        </is>
      </c>
      <c r="G799" s="16" t="n">
        <v>45722</v>
      </c>
      <c r="H799" s="17" t="inlineStr">
        <is>
          <t>CÔNG TY CỔ PHẦN CÔNG NGHIỆP VÀ THƯƠNG MẠI CƯỜNG THỊNH</t>
        </is>
      </c>
      <c r="I799" s="17" t="inlineStr">
        <is>
          <t>Đai ốc Din 934 8 ZP M16</t>
        </is>
      </c>
      <c r="J799" s="17" t="inlineStr">
        <is>
          <t>Cái</t>
        </is>
      </c>
      <c r="K799" s="19" t="n">
        <v>1090</v>
      </c>
      <c r="L799" s="20" t="n"/>
      <c r="M799" s="20" t="n"/>
      <c r="N799" s="43" t="n">
        <v>27</v>
      </c>
      <c r="O799" s="20" t="n">
        <v>29430</v>
      </c>
      <c r="P799" s="43" t="n">
        <v>27</v>
      </c>
      <c r="Q799" s="20" t="n">
        <v>29430</v>
      </c>
      <c r="R799" s="42">
        <f>+L799+N799-P799</f>
        <v/>
      </c>
      <c r="S799" s="42">
        <f>+M799+O799-Q799</f>
        <v/>
      </c>
    </row>
    <row r="800" ht="30" customHeight="1">
      <c r="A800" s="16" t="n">
        <v>45722</v>
      </c>
      <c r="B800" s="17" t="inlineStr">
        <is>
          <t>MH2503-10</t>
        </is>
      </c>
      <c r="C800" s="16" t="n">
        <v>45722</v>
      </c>
      <c r="D800" s="17" t="inlineStr">
        <is>
          <t>00000655</t>
        </is>
      </c>
      <c r="E800" s="16" t="n">
        <v>45722</v>
      </c>
      <c r="F800" s="16" t="inlineStr">
        <is>
          <t>XK2503-13</t>
        </is>
      </c>
      <c r="G800" s="16" t="n">
        <v>45722</v>
      </c>
      <c r="H800" s="17" t="inlineStr">
        <is>
          <t>CÔNG TY CỔ PHẦN CÔNG NGHIỆP VÀ THƯƠNG MẠI CƯỜNG THỊNH</t>
        </is>
      </c>
      <c r="I800" s="17" t="inlineStr">
        <is>
          <t>Long đền thường ZP M16B30D2</t>
        </is>
      </c>
      <c r="J800" s="17" t="inlineStr">
        <is>
          <t>Cái</t>
        </is>
      </c>
      <c r="K800" s="19" t="n">
        <v>350</v>
      </c>
      <c r="L800" s="20" t="n"/>
      <c r="M800" s="20" t="n"/>
      <c r="N800" s="43" t="n">
        <v>27</v>
      </c>
      <c r="O800" s="20" t="n">
        <v>9450</v>
      </c>
      <c r="P800" s="43" t="n">
        <v>27</v>
      </c>
      <c r="Q800" s="20" t="n">
        <v>9450</v>
      </c>
      <c r="R800" s="42">
        <f>+L800+N800-P800</f>
        <v/>
      </c>
      <c r="S800" s="42">
        <f>+M800+O800-Q800</f>
        <v/>
      </c>
    </row>
    <row r="801" ht="30" customHeight="1">
      <c r="A801" s="16" t="n">
        <v>45722</v>
      </c>
      <c r="B801" s="17" t="inlineStr">
        <is>
          <t>MH2503-10</t>
        </is>
      </c>
      <c r="C801" s="16" t="n">
        <v>45722</v>
      </c>
      <c r="D801" s="17" t="inlineStr">
        <is>
          <t>00000655</t>
        </is>
      </c>
      <c r="E801" s="16" t="n">
        <v>45722</v>
      </c>
      <c r="F801" s="16" t="inlineStr">
        <is>
          <t>XK2503-13</t>
        </is>
      </c>
      <c r="G801" s="16" t="n">
        <v>45722</v>
      </c>
      <c r="H801" s="17" t="inlineStr">
        <is>
          <t>CÔNG TY CỔ PHẦN CÔNG NGHIỆP VÀ THƯƠNG MẠI CƯỜNG THỊNH</t>
        </is>
      </c>
      <c r="I801" s="17" t="inlineStr">
        <is>
          <t>Bulong Din 933 8.8 ZP M20x50</t>
        </is>
      </c>
      <c r="J801" s="17" t="inlineStr">
        <is>
          <t>Cái</t>
        </is>
      </c>
      <c r="K801" s="19" t="n">
        <v>5760</v>
      </c>
      <c r="L801" s="20" t="n"/>
      <c r="M801" s="20" t="n"/>
      <c r="N801" s="43" t="n">
        <v>29</v>
      </c>
      <c r="O801" s="20" t="n">
        <v>167040</v>
      </c>
      <c r="P801" s="43" t="n">
        <v>29</v>
      </c>
      <c r="Q801" s="20" t="n">
        <v>167040</v>
      </c>
      <c r="R801" s="42">
        <f>+L801+N801-P801</f>
        <v/>
      </c>
      <c r="S801" s="42">
        <f>+M801+O801-Q801</f>
        <v/>
      </c>
    </row>
    <row r="802" ht="30" customHeight="1">
      <c r="A802" s="16" t="n">
        <v>45722</v>
      </c>
      <c r="B802" s="17" t="inlineStr">
        <is>
          <t>MH2503-10</t>
        </is>
      </c>
      <c r="C802" s="16" t="n">
        <v>45722</v>
      </c>
      <c r="D802" s="17" t="inlineStr">
        <is>
          <t>00000655</t>
        </is>
      </c>
      <c r="E802" s="16" t="n">
        <v>45722</v>
      </c>
      <c r="F802" s="16" t="inlineStr">
        <is>
          <t>XK2503-13</t>
        </is>
      </c>
      <c r="G802" s="16" t="n">
        <v>45722</v>
      </c>
      <c r="H802" s="17" t="inlineStr">
        <is>
          <t>CÔNG TY CỔ PHẦN CÔNG NGHIỆP VÀ THƯƠNG MẠI CƯỜNG THỊNH</t>
        </is>
      </c>
      <c r="I802" s="17" t="inlineStr">
        <is>
          <t>Đai ốc Din 934 8 ZP M20</t>
        </is>
      </c>
      <c r="J802" s="17" t="inlineStr">
        <is>
          <t>Cái</t>
        </is>
      </c>
      <c r="K802" s="19" t="n">
        <v>2030</v>
      </c>
      <c r="L802" s="20" t="n"/>
      <c r="M802" s="20" t="n"/>
      <c r="N802" s="43" t="n">
        <v>29</v>
      </c>
      <c r="O802" s="20" t="n">
        <v>58870</v>
      </c>
      <c r="P802" s="43" t="n">
        <v>29</v>
      </c>
      <c r="Q802" s="20" t="n">
        <v>58870</v>
      </c>
      <c r="R802" s="42">
        <f>+L802+N802-P802</f>
        <v/>
      </c>
      <c r="S802" s="42">
        <f>+M802+O802-Q802</f>
        <v/>
      </c>
    </row>
    <row r="803" ht="30" customHeight="1">
      <c r="A803" s="16" t="n">
        <v>45722</v>
      </c>
      <c r="B803" s="17" t="inlineStr">
        <is>
          <t>MH2503-10</t>
        </is>
      </c>
      <c r="C803" s="16" t="n">
        <v>45722</v>
      </c>
      <c r="D803" s="17" t="inlineStr">
        <is>
          <t>00000655</t>
        </is>
      </c>
      <c r="E803" s="16" t="n">
        <v>45722</v>
      </c>
      <c r="F803" s="16" t="inlineStr">
        <is>
          <t>XK2503-13</t>
        </is>
      </c>
      <c r="G803" s="16" t="n">
        <v>45722</v>
      </c>
      <c r="H803" s="17" t="inlineStr">
        <is>
          <t>CÔNG TY CỔ PHẦN CÔNG NGHIỆP VÀ THƯƠNG MẠI CƯỜNG THỊNH</t>
        </is>
      </c>
      <c r="I803" s="17" t="inlineStr">
        <is>
          <t>Long đền thường ZP M20B35D2</t>
        </is>
      </c>
      <c r="J803" s="17" t="inlineStr">
        <is>
          <t>Cái</t>
        </is>
      </c>
      <c r="K803" s="19" t="n">
        <v>350</v>
      </c>
      <c r="L803" s="20" t="n"/>
      <c r="M803" s="20" t="n"/>
      <c r="N803" s="43" t="n">
        <v>29</v>
      </c>
      <c r="O803" s="20" t="n">
        <v>10150</v>
      </c>
      <c r="P803" s="43" t="n">
        <v>29</v>
      </c>
      <c r="Q803" s="20" t="n">
        <v>10150</v>
      </c>
      <c r="R803" s="42">
        <f>+L803+N803-P803</f>
        <v/>
      </c>
      <c r="S803" s="42">
        <f>+M803+O803-Q803</f>
        <v/>
      </c>
    </row>
    <row r="804" ht="30" customHeight="1">
      <c r="A804" s="16" t="n">
        <v>45722</v>
      </c>
      <c r="B804" s="17" t="inlineStr">
        <is>
          <t>MH2503-10</t>
        </is>
      </c>
      <c r="C804" s="16" t="n">
        <v>45722</v>
      </c>
      <c r="D804" s="17" t="inlineStr">
        <is>
          <t>00000655</t>
        </is>
      </c>
      <c r="E804" s="16" t="n">
        <v>45722</v>
      </c>
      <c r="F804" s="16" t="inlineStr">
        <is>
          <t>XK2503-13</t>
        </is>
      </c>
      <c r="G804" s="16" t="n">
        <v>45722</v>
      </c>
      <c r="H804" s="17" t="inlineStr">
        <is>
          <t>CÔNG TY CỔ PHẦN CÔNG NGHIỆP VÀ THƯƠNG MẠI CƯỜNG THỊNH</t>
        </is>
      </c>
      <c r="I804" s="17" t="inlineStr">
        <is>
          <t>Bulong Din 933 8.8 ZP M20x60</t>
        </is>
      </c>
      <c r="J804" s="17" t="inlineStr">
        <is>
          <t>Cái</t>
        </is>
      </c>
      <c r="K804" s="19" t="n">
        <v>6440</v>
      </c>
      <c r="L804" s="20" t="n"/>
      <c r="M804" s="20" t="n"/>
      <c r="N804" s="43" t="n">
        <v>251</v>
      </c>
      <c r="O804" s="20" t="n">
        <v>1616440</v>
      </c>
      <c r="P804" s="43" t="n">
        <v>251</v>
      </c>
      <c r="Q804" s="20" t="n">
        <v>1616440</v>
      </c>
      <c r="R804" s="42">
        <f>+L804+N804-P804</f>
        <v/>
      </c>
      <c r="S804" s="42">
        <f>+M804+O804-Q804</f>
        <v/>
      </c>
    </row>
    <row r="805" ht="30" customHeight="1">
      <c r="A805" s="16" t="n">
        <v>45722</v>
      </c>
      <c r="B805" s="17" t="inlineStr">
        <is>
          <t>MH2503-10</t>
        </is>
      </c>
      <c r="C805" s="16" t="n">
        <v>45722</v>
      </c>
      <c r="D805" s="17" t="inlineStr">
        <is>
          <t>00000655</t>
        </is>
      </c>
      <c r="E805" s="16" t="n">
        <v>45722</v>
      </c>
      <c r="F805" s="16" t="inlineStr">
        <is>
          <t>XK2503-13</t>
        </is>
      </c>
      <c r="G805" s="16" t="n">
        <v>45722</v>
      </c>
      <c r="H805" s="17" t="inlineStr">
        <is>
          <t>CÔNG TY CỔ PHẦN CÔNG NGHIỆP VÀ THƯƠNG MẠI CƯỜNG THỊNH</t>
        </is>
      </c>
      <c r="I805" s="17" t="inlineStr">
        <is>
          <t>Đai ốc Din 934 8 ZP M20</t>
        </is>
      </c>
      <c r="J805" s="17" t="inlineStr">
        <is>
          <t>Cái</t>
        </is>
      </c>
      <c r="K805" s="19" t="n">
        <v>2030</v>
      </c>
      <c r="L805" s="20" t="n"/>
      <c r="M805" s="20" t="n"/>
      <c r="N805" s="43" t="n">
        <v>251</v>
      </c>
      <c r="O805" s="20" t="n">
        <v>509530</v>
      </c>
      <c r="P805" s="43" t="n">
        <v>251</v>
      </c>
      <c r="Q805" s="20" t="n">
        <v>509530</v>
      </c>
      <c r="R805" s="42">
        <f>+L805+N805-P805</f>
        <v/>
      </c>
      <c r="S805" s="42">
        <f>+M805+O805-Q805</f>
        <v/>
      </c>
    </row>
    <row r="806" ht="30" customHeight="1">
      <c r="A806" s="16" t="n">
        <v>45722</v>
      </c>
      <c r="B806" s="17" t="inlineStr">
        <is>
          <t>MH2503-10</t>
        </is>
      </c>
      <c r="C806" s="16" t="n">
        <v>45722</v>
      </c>
      <c r="D806" s="17" t="inlineStr">
        <is>
          <t>00000655</t>
        </is>
      </c>
      <c r="E806" s="16" t="n">
        <v>45722</v>
      </c>
      <c r="F806" s="16" t="inlineStr">
        <is>
          <t>XK2503-13</t>
        </is>
      </c>
      <c r="G806" s="16" t="n">
        <v>45722</v>
      </c>
      <c r="H806" s="17" t="inlineStr">
        <is>
          <t>CÔNG TY CỔ PHẦN CÔNG NGHIỆP VÀ THƯƠNG MẠI CƯỜNG THỊNH</t>
        </is>
      </c>
      <c r="I806" s="17" t="inlineStr">
        <is>
          <t>Long đền thường ZP M20B35D2</t>
        </is>
      </c>
      <c r="J806" s="17" t="inlineStr">
        <is>
          <t>Cái</t>
        </is>
      </c>
      <c r="K806" s="19" t="n">
        <v>350</v>
      </c>
      <c r="L806" s="20" t="n"/>
      <c r="M806" s="20" t="n"/>
      <c r="N806" s="43" t="n">
        <v>251</v>
      </c>
      <c r="O806" s="20" t="n">
        <v>87850</v>
      </c>
      <c r="P806" s="43" t="n">
        <v>251</v>
      </c>
      <c r="Q806" s="20" t="n">
        <v>87850</v>
      </c>
      <c r="R806" s="42">
        <f>+L806+N806-P806</f>
        <v/>
      </c>
      <c r="S806" s="42">
        <f>+M806+O806-Q806</f>
        <v/>
      </c>
    </row>
    <row r="807" ht="30" customHeight="1">
      <c r="A807" s="16" t="n">
        <v>45722</v>
      </c>
      <c r="B807" s="17" t="inlineStr">
        <is>
          <t>MH2503-10</t>
        </is>
      </c>
      <c r="C807" s="16" t="n">
        <v>45722</v>
      </c>
      <c r="D807" s="17" t="inlineStr">
        <is>
          <t>00000655</t>
        </is>
      </c>
      <c r="E807" s="16" t="n">
        <v>45722</v>
      </c>
      <c r="F807" s="16" t="inlineStr">
        <is>
          <t>XK2503-13</t>
        </is>
      </c>
      <c r="G807" s="16" t="n">
        <v>45722</v>
      </c>
      <c r="H807" s="17" t="inlineStr">
        <is>
          <t>CÔNG TY CỔ PHẦN CÔNG NGHIỆP VÀ THƯƠNG MẠI CƯỜNG THỊNH</t>
        </is>
      </c>
      <c r="I807" s="17" t="inlineStr">
        <is>
          <t>Bulong thường 4.6 ZP M12x30</t>
        </is>
      </c>
      <c r="J807" s="17" t="inlineStr">
        <is>
          <t>Cái</t>
        </is>
      </c>
      <c r="K807" s="19" t="n">
        <v>950</v>
      </c>
      <c r="L807" s="20" t="n"/>
      <c r="M807" s="20" t="n"/>
      <c r="N807" s="43" t="n">
        <v>48</v>
      </c>
      <c r="O807" s="20" t="n">
        <v>45600</v>
      </c>
      <c r="P807" s="43" t="n">
        <v>48</v>
      </c>
      <c r="Q807" s="20" t="n">
        <v>45600</v>
      </c>
      <c r="R807" s="42">
        <f>+L807+N807-P807</f>
        <v/>
      </c>
      <c r="S807" s="42">
        <f>+M807+O807-Q807</f>
        <v/>
      </c>
    </row>
    <row r="808" ht="30" customHeight="1">
      <c r="A808" s="16" t="n">
        <v>45722</v>
      </c>
      <c r="B808" s="17" t="inlineStr">
        <is>
          <t>MH2503-10</t>
        </is>
      </c>
      <c r="C808" s="16" t="n">
        <v>45722</v>
      </c>
      <c r="D808" s="17" t="inlineStr">
        <is>
          <t>00000655</t>
        </is>
      </c>
      <c r="E808" s="16" t="n">
        <v>45722</v>
      </c>
      <c r="F808" s="16" t="inlineStr">
        <is>
          <t>XK2503-13</t>
        </is>
      </c>
      <c r="G808" s="16" t="n">
        <v>45722</v>
      </c>
      <c r="H808" s="17" t="inlineStr">
        <is>
          <t>CÔNG TY CỔ PHẦN CÔNG NGHIỆP VÀ THƯƠNG MẠI CƯỜNG THỊNH</t>
        </is>
      </c>
      <c r="I808" s="17" t="inlineStr">
        <is>
          <t>Đai ốc thường 4 ZP M12 (9mm)</t>
        </is>
      </c>
      <c r="J808" s="17" t="inlineStr">
        <is>
          <t>Cái</t>
        </is>
      </c>
      <c r="K808" s="19" t="n">
        <v>360</v>
      </c>
      <c r="L808" s="20" t="n"/>
      <c r="M808" s="20" t="n"/>
      <c r="N808" s="43" t="n">
        <v>48</v>
      </c>
      <c r="O808" s="20" t="n">
        <v>17280</v>
      </c>
      <c r="P808" s="43" t="n">
        <v>48</v>
      </c>
      <c r="Q808" s="20" t="n">
        <v>17280</v>
      </c>
      <c r="R808" s="42">
        <f>+L808+N808-P808</f>
        <v/>
      </c>
      <c r="S808" s="42">
        <f>+M808+O808-Q808</f>
        <v/>
      </c>
    </row>
    <row r="809" ht="30" customHeight="1">
      <c r="A809" s="16" t="n">
        <v>45722</v>
      </c>
      <c r="B809" s="17" t="inlineStr">
        <is>
          <t>MH2503-10</t>
        </is>
      </c>
      <c r="C809" s="16" t="n">
        <v>45722</v>
      </c>
      <c r="D809" s="17" t="inlineStr">
        <is>
          <t>00000655</t>
        </is>
      </c>
      <c r="E809" s="16" t="n">
        <v>45722</v>
      </c>
      <c r="F809" s="16" t="inlineStr">
        <is>
          <t>XK2503-13</t>
        </is>
      </c>
      <c r="G809" s="16" t="n">
        <v>45722</v>
      </c>
      <c r="H809" s="17" t="inlineStr">
        <is>
          <t>CÔNG TY CỔ PHẦN CÔNG NGHIỆP VÀ THƯƠNG MẠI CƯỜNG THỊNH</t>
        </is>
      </c>
      <c r="I809" s="17" t="inlineStr">
        <is>
          <t>Long đền thường ZP M12B23D1</t>
        </is>
      </c>
      <c r="J809" s="17" t="inlineStr">
        <is>
          <t>Cái</t>
        </is>
      </c>
      <c r="K809" s="19" t="n">
        <v>100</v>
      </c>
      <c r="L809" s="20" t="n"/>
      <c r="M809" s="20" t="n"/>
      <c r="N809" s="43" t="n">
        <v>96</v>
      </c>
      <c r="O809" s="20" t="n">
        <v>9600</v>
      </c>
      <c r="P809" s="43" t="n">
        <v>96</v>
      </c>
      <c r="Q809" s="20" t="n">
        <v>9600</v>
      </c>
      <c r="R809" s="42">
        <f>+L809+N809-P809</f>
        <v/>
      </c>
      <c r="S809" s="42">
        <f>+M809+O809-Q809</f>
        <v/>
      </c>
    </row>
    <row r="810" ht="30" customHeight="1">
      <c r="A810" s="16" t="n">
        <v>45722</v>
      </c>
      <c r="B810" s="17" t="inlineStr">
        <is>
          <t>MH2503-10</t>
        </is>
      </c>
      <c r="C810" s="16" t="n">
        <v>45722</v>
      </c>
      <c r="D810" s="17" t="inlineStr">
        <is>
          <t>00000656</t>
        </is>
      </c>
      <c r="E810" s="16" t="n">
        <v>45722</v>
      </c>
      <c r="F810" s="16" t="inlineStr">
        <is>
          <t>XK2503-14</t>
        </is>
      </c>
      <c r="G810" s="16" t="n">
        <v>45722</v>
      </c>
      <c r="H810" s="17" t="inlineStr">
        <is>
          <t>CÔNG TY CỔ PHẦN CÔNG NGHIỆP VÀ THƯƠNG MẠI CƯỜNG THỊNH</t>
        </is>
      </c>
      <c r="I810" s="17" t="inlineStr">
        <is>
          <t>Vít B2 Dacromet 12-14x20</t>
        </is>
      </c>
      <c r="J810" s="17" t="inlineStr">
        <is>
          <t>Cái</t>
        </is>
      </c>
      <c r="K810" s="19" t="n">
        <v>600</v>
      </c>
      <c r="L810" s="20" t="n"/>
      <c r="M810" s="20" t="n"/>
      <c r="N810" s="43" t="n">
        <v>1200</v>
      </c>
      <c r="O810" s="20" t="n">
        <v>720000</v>
      </c>
      <c r="P810" s="43" t="n">
        <v>1200</v>
      </c>
      <c r="Q810" s="20" t="n">
        <v>720000</v>
      </c>
      <c r="R810" s="42">
        <f>+L810+N810-P810</f>
        <v/>
      </c>
      <c r="S810" s="42">
        <f>+M810+O810-Q810</f>
        <v/>
      </c>
    </row>
    <row r="811" ht="30" customHeight="1">
      <c r="A811" s="16" t="n">
        <v>45722</v>
      </c>
      <c r="B811" s="17" t="inlineStr">
        <is>
          <t>MH2503-10</t>
        </is>
      </c>
      <c r="C811" s="16" t="n">
        <v>45722</v>
      </c>
      <c r="D811" s="17" t="inlineStr">
        <is>
          <t>00000656</t>
        </is>
      </c>
      <c r="E811" s="16" t="n">
        <v>45722</v>
      </c>
      <c r="F811" s="16" t="inlineStr">
        <is>
          <t>XK2503-14</t>
        </is>
      </c>
      <c r="G811" s="16" t="n">
        <v>45722</v>
      </c>
      <c r="H811" s="17" t="inlineStr">
        <is>
          <t>CÔNG TY CỔ PHẦN CÔNG NGHIỆP VÀ THƯƠNG MẠI CƯỜNG THỊNH</t>
        </is>
      </c>
      <c r="I811" s="17" t="inlineStr">
        <is>
          <t>Ty giằng 2 đầu ren 4.6 ZP M16</t>
        </is>
      </c>
      <c r="J811" s="17" t="inlineStr">
        <is>
          <t>Mét</t>
        </is>
      </c>
      <c r="K811" s="19" t="n">
        <v>48000</v>
      </c>
      <c r="L811" s="20" t="n"/>
      <c r="M811" s="20" t="n"/>
      <c r="N811" s="43" t="n">
        <v>254.14</v>
      </c>
      <c r="O811" s="20" t="n">
        <v>12198720</v>
      </c>
      <c r="P811" s="43" t="n">
        <v>254.14</v>
      </c>
      <c r="Q811" s="20" t="n">
        <v>12198720</v>
      </c>
      <c r="R811" s="42">
        <f>+L811+N811-P811</f>
        <v/>
      </c>
      <c r="S811" s="42">
        <f>+M811+O811-Q811</f>
        <v/>
      </c>
    </row>
    <row r="812" ht="30" customHeight="1">
      <c r="A812" s="16" t="n">
        <v>45722</v>
      </c>
      <c r="B812" s="17" t="inlineStr">
        <is>
          <t>MH2503-10</t>
        </is>
      </c>
      <c r="C812" s="16" t="n">
        <v>45722</v>
      </c>
      <c r="D812" s="17" t="inlineStr">
        <is>
          <t>00000656</t>
        </is>
      </c>
      <c r="E812" s="16" t="n">
        <v>45722</v>
      </c>
      <c r="F812" s="16" t="inlineStr">
        <is>
          <t>XK2503-14</t>
        </is>
      </c>
      <c r="G812" s="16" t="n">
        <v>45722</v>
      </c>
      <c r="H812" s="17" t="inlineStr">
        <is>
          <t>CÔNG TY CỔ PHẦN CÔNG NGHIỆP VÀ THƯƠNG MẠI CƯỜNG THỊNH</t>
        </is>
      </c>
      <c r="I812" s="17" t="inlineStr">
        <is>
          <t>Đai ốc Din 934 5 ZP M16</t>
        </is>
      </c>
      <c r="J812" s="17" t="inlineStr">
        <is>
          <t>Cái</t>
        </is>
      </c>
      <c r="K812" s="19" t="n">
        <v>1110</v>
      </c>
      <c r="L812" s="20" t="n"/>
      <c r="M812" s="20" t="n"/>
      <c r="N812" s="43" t="n">
        <v>136</v>
      </c>
      <c r="O812" s="20" t="n">
        <v>150960</v>
      </c>
      <c r="P812" s="43" t="n">
        <v>136</v>
      </c>
      <c r="Q812" s="20" t="n">
        <v>150960</v>
      </c>
      <c r="R812" s="42">
        <f>+L812+N812-P812</f>
        <v/>
      </c>
      <c r="S812" s="42">
        <f>+M812+O812-Q812</f>
        <v/>
      </c>
    </row>
    <row r="813" ht="30" customHeight="1">
      <c r="A813" s="16" t="n">
        <v>45722</v>
      </c>
      <c r="B813" s="17" t="inlineStr">
        <is>
          <t>MH2503-10</t>
        </is>
      </c>
      <c r="C813" s="16" t="n">
        <v>45722</v>
      </c>
      <c r="D813" s="17" t="inlineStr">
        <is>
          <t>00000656</t>
        </is>
      </c>
      <c r="E813" s="16" t="n">
        <v>45722</v>
      </c>
      <c r="F813" s="16" t="inlineStr">
        <is>
          <t>XK2503-14</t>
        </is>
      </c>
      <c r="G813" s="16" t="n">
        <v>45722</v>
      </c>
      <c r="H813" s="17" t="inlineStr">
        <is>
          <t>CÔNG TY CỔ PHẦN CÔNG NGHIỆP VÀ THƯƠNG MẠI CƯỜNG THỊNH</t>
        </is>
      </c>
      <c r="I813" s="17" t="inlineStr">
        <is>
          <t>Long đền thường ZP M16B42D2</t>
        </is>
      </c>
      <c r="J813" s="17" t="inlineStr">
        <is>
          <t>Cái</t>
        </is>
      </c>
      <c r="K813" s="19" t="n">
        <v>800</v>
      </c>
      <c r="L813" s="20" t="n"/>
      <c r="M813" s="20" t="n"/>
      <c r="N813" s="43" t="n">
        <v>136</v>
      </c>
      <c r="O813" s="20" t="n">
        <v>108800</v>
      </c>
      <c r="P813" s="43" t="n">
        <v>136</v>
      </c>
      <c r="Q813" s="20" t="n">
        <v>108800</v>
      </c>
      <c r="R813" s="42">
        <f>+L813+N813-P813</f>
        <v/>
      </c>
      <c r="S813" s="42">
        <f>+M813+O813-Q813</f>
        <v/>
      </c>
    </row>
    <row r="814" ht="30" customHeight="1">
      <c r="A814" s="16" t="n">
        <v>45722</v>
      </c>
      <c r="B814" s="17" t="inlineStr">
        <is>
          <t>MH2503-10</t>
        </is>
      </c>
      <c r="C814" s="16" t="n">
        <v>45722</v>
      </c>
      <c r="D814" s="17" t="inlineStr">
        <is>
          <t>00000656</t>
        </is>
      </c>
      <c r="E814" s="16" t="n">
        <v>45722</v>
      </c>
      <c r="F814" s="16" t="inlineStr">
        <is>
          <t>XK2503-14</t>
        </is>
      </c>
      <c r="G814" s="16" t="n">
        <v>45722</v>
      </c>
      <c r="H814" s="17" t="inlineStr">
        <is>
          <t>CÔNG TY CỔ PHẦN CÔNG NGHIỆP VÀ THƯƠNG MẠI CƯỜNG THỊNH</t>
        </is>
      </c>
      <c r="I814" s="17" t="inlineStr">
        <is>
          <t>Long đền móng ngựa ZP M16</t>
        </is>
      </c>
      <c r="J814" s="17" t="inlineStr">
        <is>
          <t>Cái</t>
        </is>
      </c>
      <c r="K814" s="19" t="n">
        <v>15670</v>
      </c>
      <c r="L814" s="20" t="n"/>
      <c r="M814" s="20" t="n"/>
      <c r="N814" s="43" t="n">
        <v>136</v>
      </c>
      <c r="O814" s="20" t="n">
        <v>2131120</v>
      </c>
      <c r="P814" s="43" t="n">
        <v>136</v>
      </c>
      <c r="Q814" s="20" t="n">
        <v>2131120</v>
      </c>
      <c r="R814" s="42">
        <f>+L814+N814-P814</f>
        <v/>
      </c>
      <c r="S814" s="42">
        <f>+M814+O814-Q814</f>
        <v/>
      </c>
    </row>
    <row r="815" ht="30" customHeight="1">
      <c r="A815" s="16" t="n">
        <v>45722</v>
      </c>
      <c r="B815" s="17" t="inlineStr">
        <is>
          <t>MH2503-10</t>
        </is>
      </c>
      <c r="C815" s="16" t="n">
        <v>45722</v>
      </c>
      <c r="D815" s="17" t="inlineStr">
        <is>
          <t>00000656</t>
        </is>
      </c>
      <c r="E815" s="16" t="n">
        <v>45722</v>
      </c>
      <c r="F815" s="16" t="inlineStr">
        <is>
          <t>XK2503-14</t>
        </is>
      </c>
      <c r="G815" s="16" t="n">
        <v>45722</v>
      </c>
      <c r="H815" s="17" t="inlineStr">
        <is>
          <t>CÔNG TY CỔ PHẦN CÔNG NGHIỆP VÀ THƯƠNG MẠI CƯỜNG THỊNH</t>
        </is>
      </c>
      <c r="I815" s="17" t="inlineStr">
        <is>
          <t>Bulong Din 933 8.8 ZP M16x40</t>
        </is>
      </c>
      <c r="J815" s="17" t="inlineStr">
        <is>
          <t>Cái</t>
        </is>
      </c>
      <c r="K815" s="19" t="n">
        <v>3030</v>
      </c>
      <c r="L815" s="20" t="n"/>
      <c r="M815" s="20" t="n"/>
      <c r="N815" s="43" t="n">
        <v>655</v>
      </c>
      <c r="O815" s="20" t="n">
        <v>1984650</v>
      </c>
      <c r="P815" s="43" t="n">
        <v>655</v>
      </c>
      <c r="Q815" s="20" t="n">
        <v>1984650</v>
      </c>
      <c r="R815" s="42">
        <f>+L815+N815-P815</f>
        <v/>
      </c>
      <c r="S815" s="42">
        <f>+M815+O815-Q815</f>
        <v/>
      </c>
    </row>
    <row r="816" ht="30" customHeight="1">
      <c r="A816" s="16" t="n">
        <v>45722</v>
      </c>
      <c r="B816" s="17" t="inlineStr">
        <is>
          <t>MH2503-10</t>
        </is>
      </c>
      <c r="C816" s="16" t="n">
        <v>45722</v>
      </c>
      <c r="D816" s="17" t="inlineStr">
        <is>
          <t>00000656</t>
        </is>
      </c>
      <c r="E816" s="16" t="n">
        <v>45722</v>
      </c>
      <c r="F816" s="16" t="inlineStr">
        <is>
          <t>XK2503-14</t>
        </is>
      </c>
      <c r="G816" s="16" t="n">
        <v>45722</v>
      </c>
      <c r="H816" s="17" t="inlineStr">
        <is>
          <t>CÔNG TY CỔ PHẦN CÔNG NGHIỆP VÀ THƯƠNG MẠI CƯỜNG THỊNH</t>
        </is>
      </c>
      <c r="I816" s="17" t="inlineStr">
        <is>
          <t>Đai ốc Din 934 8 ZP M16</t>
        </is>
      </c>
      <c r="J816" s="17" t="inlineStr">
        <is>
          <t>Cái</t>
        </is>
      </c>
      <c r="K816" s="19" t="n">
        <v>1090</v>
      </c>
      <c r="L816" s="20" t="n"/>
      <c r="M816" s="20" t="n"/>
      <c r="N816" s="43" t="n">
        <v>655</v>
      </c>
      <c r="O816" s="20" t="n">
        <v>713950</v>
      </c>
      <c r="P816" s="43" t="n">
        <v>655</v>
      </c>
      <c r="Q816" s="20" t="n">
        <v>713950</v>
      </c>
      <c r="R816" s="42">
        <f>+L816+N816-P816</f>
        <v/>
      </c>
      <c r="S816" s="42">
        <f>+M816+O816-Q816</f>
        <v/>
      </c>
    </row>
    <row r="817" ht="30" customHeight="1">
      <c r="A817" s="16" t="n">
        <v>45722</v>
      </c>
      <c r="B817" s="17" t="inlineStr">
        <is>
          <t>MH2503-10</t>
        </is>
      </c>
      <c r="C817" s="16" t="n">
        <v>45722</v>
      </c>
      <c r="D817" s="17" t="inlineStr">
        <is>
          <t>00000656</t>
        </is>
      </c>
      <c r="E817" s="16" t="n">
        <v>45722</v>
      </c>
      <c r="F817" s="16" t="inlineStr">
        <is>
          <t>XK2503-14</t>
        </is>
      </c>
      <c r="G817" s="16" t="n">
        <v>45722</v>
      </c>
      <c r="H817" s="17" t="inlineStr">
        <is>
          <t>CÔNG TY CỔ PHẦN CÔNG NGHIỆP VÀ THƯƠNG MẠI CƯỜNG THỊNH</t>
        </is>
      </c>
      <c r="I817" s="17" t="inlineStr">
        <is>
          <t>Long đền thường ZP M16B30D2</t>
        </is>
      </c>
      <c r="J817" s="17" t="inlineStr">
        <is>
          <t>Cái</t>
        </is>
      </c>
      <c r="K817" s="19" t="n">
        <v>350</v>
      </c>
      <c r="L817" s="20" t="n"/>
      <c r="M817" s="20" t="n"/>
      <c r="N817" s="43" t="n">
        <v>655</v>
      </c>
      <c r="O817" s="20" t="n">
        <v>229250</v>
      </c>
      <c r="P817" s="43" t="n">
        <v>655</v>
      </c>
      <c r="Q817" s="20" t="n">
        <v>229250</v>
      </c>
      <c r="R817" s="42">
        <f>+L817+N817-P817</f>
        <v/>
      </c>
      <c r="S817" s="42">
        <f>+M817+O817-Q817</f>
        <v/>
      </c>
    </row>
    <row r="818" ht="30" customHeight="1">
      <c r="A818" s="16" t="n">
        <v>45722</v>
      </c>
      <c r="B818" s="17" t="inlineStr">
        <is>
          <t>MH2503-10</t>
        </is>
      </c>
      <c r="C818" s="16" t="n">
        <v>45722</v>
      </c>
      <c r="D818" s="17" t="inlineStr">
        <is>
          <t>00000656</t>
        </is>
      </c>
      <c r="E818" s="16" t="n">
        <v>45722</v>
      </c>
      <c r="F818" s="16" t="inlineStr">
        <is>
          <t>XK2503-14</t>
        </is>
      </c>
      <c r="G818" s="16" t="n">
        <v>45722</v>
      </c>
      <c r="H818" s="17" t="inlineStr">
        <is>
          <t>CÔNG TY CỔ PHẦN CÔNG NGHIỆP VÀ THƯƠNG MẠI CƯỜNG THỊNH</t>
        </is>
      </c>
      <c r="I818" s="17" t="inlineStr">
        <is>
          <t>Bulong Din 933 8.8 ZP M16x50</t>
        </is>
      </c>
      <c r="J818" s="17" t="inlineStr">
        <is>
          <t>Cái</t>
        </is>
      </c>
      <c r="K818" s="19" t="n">
        <v>3470</v>
      </c>
      <c r="L818" s="20" t="n"/>
      <c r="M818" s="20" t="n"/>
      <c r="N818" s="43" t="n">
        <v>29</v>
      </c>
      <c r="O818" s="20" t="n">
        <v>100630</v>
      </c>
      <c r="P818" s="43" t="n">
        <v>29</v>
      </c>
      <c r="Q818" s="20" t="n">
        <v>100630</v>
      </c>
      <c r="R818" s="42">
        <f>+L818+N818-P818</f>
        <v/>
      </c>
      <c r="S818" s="42">
        <f>+M818+O818-Q818</f>
        <v/>
      </c>
    </row>
    <row r="819" ht="30" customHeight="1">
      <c r="A819" s="16" t="n">
        <v>45722</v>
      </c>
      <c r="B819" s="17" t="inlineStr">
        <is>
          <t>MH2503-10</t>
        </is>
      </c>
      <c r="C819" s="16" t="n">
        <v>45722</v>
      </c>
      <c r="D819" s="17" t="inlineStr">
        <is>
          <t>00000656</t>
        </is>
      </c>
      <c r="E819" s="16" t="n">
        <v>45722</v>
      </c>
      <c r="F819" s="16" t="inlineStr">
        <is>
          <t>XK2503-14</t>
        </is>
      </c>
      <c r="G819" s="16" t="n">
        <v>45722</v>
      </c>
      <c r="H819" s="17" t="inlineStr">
        <is>
          <t>CÔNG TY CỔ PHẦN CÔNG NGHIỆP VÀ THƯƠNG MẠI CƯỜNG THỊNH</t>
        </is>
      </c>
      <c r="I819" s="17" t="inlineStr">
        <is>
          <t>Đai ốc Din 934 8 ZP M16</t>
        </is>
      </c>
      <c r="J819" s="17" t="inlineStr">
        <is>
          <t>Cái</t>
        </is>
      </c>
      <c r="K819" s="19" t="n">
        <v>1090</v>
      </c>
      <c r="L819" s="20" t="n"/>
      <c r="M819" s="20" t="n"/>
      <c r="N819" s="43" t="n">
        <v>29</v>
      </c>
      <c r="O819" s="20" t="n">
        <v>31610</v>
      </c>
      <c r="P819" s="43" t="n">
        <v>29</v>
      </c>
      <c r="Q819" s="20" t="n">
        <v>31610</v>
      </c>
      <c r="R819" s="42">
        <f>+L819+N819-P819</f>
        <v/>
      </c>
      <c r="S819" s="42">
        <f>+M819+O819-Q819</f>
        <v/>
      </c>
    </row>
    <row r="820" ht="30" customHeight="1">
      <c r="A820" s="16" t="n">
        <v>45722</v>
      </c>
      <c r="B820" s="17" t="inlineStr">
        <is>
          <t>MH2503-10</t>
        </is>
      </c>
      <c r="C820" s="16" t="n">
        <v>45722</v>
      </c>
      <c r="D820" s="17" t="inlineStr">
        <is>
          <t>00000656</t>
        </is>
      </c>
      <c r="E820" s="16" t="n">
        <v>45722</v>
      </c>
      <c r="F820" s="16" t="inlineStr">
        <is>
          <t>XK2503-14</t>
        </is>
      </c>
      <c r="G820" s="16" t="n">
        <v>45722</v>
      </c>
      <c r="H820" s="17" t="inlineStr">
        <is>
          <t>CÔNG TY CỔ PHẦN CÔNG NGHIỆP VÀ THƯƠNG MẠI CƯỜNG THỊNH</t>
        </is>
      </c>
      <c r="I820" s="17" t="inlineStr">
        <is>
          <t>Long đền thường ZP M16B30D2</t>
        </is>
      </c>
      <c r="J820" s="17" t="inlineStr">
        <is>
          <t>Cái</t>
        </is>
      </c>
      <c r="K820" s="19" t="n">
        <v>350</v>
      </c>
      <c r="L820" s="20" t="n"/>
      <c r="M820" s="20" t="n"/>
      <c r="N820" s="43" t="n">
        <v>29</v>
      </c>
      <c r="O820" s="20" t="n">
        <v>10150</v>
      </c>
      <c r="P820" s="43" t="n">
        <v>29</v>
      </c>
      <c r="Q820" s="20" t="n">
        <v>10150</v>
      </c>
      <c r="R820" s="42">
        <f>+L820+N820-P820</f>
        <v/>
      </c>
      <c r="S820" s="42">
        <f>+M820+O820-Q820</f>
        <v/>
      </c>
    </row>
    <row r="821" ht="30" customHeight="1">
      <c r="A821" s="16" t="n">
        <v>45722</v>
      </c>
      <c r="B821" s="17" t="inlineStr">
        <is>
          <t>MH2503-10</t>
        </is>
      </c>
      <c r="C821" s="16" t="n">
        <v>45722</v>
      </c>
      <c r="D821" s="17" t="inlineStr">
        <is>
          <t>00000656</t>
        </is>
      </c>
      <c r="E821" s="16" t="n">
        <v>45722</v>
      </c>
      <c r="F821" s="16" t="inlineStr">
        <is>
          <t>XK2503-14</t>
        </is>
      </c>
      <c r="G821" s="16" t="n">
        <v>45722</v>
      </c>
      <c r="H821" s="17" t="inlineStr">
        <is>
          <t>CÔNG TY CỔ PHẦN CÔNG NGHIỆP VÀ THƯƠNG MẠI CƯỜNG THỊNH</t>
        </is>
      </c>
      <c r="I821" s="17" t="inlineStr">
        <is>
          <t>Bulong Din 933 8.8 ZP M20x50</t>
        </is>
      </c>
      <c r="J821" s="17" t="inlineStr">
        <is>
          <t>Cái</t>
        </is>
      </c>
      <c r="K821" s="19" t="n">
        <v>5760</v>
      </c>
      <c r="L821" s="20" t="n"/>
      <c r="M821" s="20" t="n"/>
      <c r="N821" s="43" t="n">
        <v>115</v>
      </c>
      <c r="O821" s="20" t="n">
        <v>662400</v>
      </c>
      <c r="P821" s="43" t="n">
        <v>115</v>
      </c>
      <c r="Q821" s="20" t="n">
        <v>662400</v>
      </c>
      <c r="R821" s="42">
        <f>+L821+N821-P821</f>
        <v/>
      </c>
      <c r="S821" s="42">
        <f>+M821+O821-Q821</f>
        <v/>
      </c>
    </row>
    <row r="822" ht="30" customHeight="1">
      <c r="A822" s="16" t="n">
        <v>45722</v>
      </c>
      <c r="B822" s="17" t="inlineStr">
        <is>
          <t>MH2503-10</t>
        </is>
      </c>
      <c r="C822" s="16" t="n">
        <v>45722</v>
      </c>
      <c r="D822" s="17" t="inlineStr">
        <is>
          <t>00000656</t>
        </is>
      </c>
      <c r="E822" s="16" t="n">
        <v>45722</v>
      </c>
      <c r="F822" s="16" t="inlineStr">
        <is>
          <t>XK2503-14</t>
        </is>
      </c>
      <c r="G822" s="16" t="n">
        <v>45722</v>
      </c>
      <c r="H822" s="17" t="inlineStr">
        <is>
          <t>CÔNG TY CỔ PHẦN CÔNG NGHIỆP VÀ THƯƠNG MẠI CƯỜNG THỊNH</t>
        </is>
      </c>
      <c r="I822" s="17" t="inlineStr">
        <is>
          <t>Đai ốc Din 934 8 ZP M20</t>
        </is>
      </c>
      <c r="J822" s="17" t="inlineStr">
        <is>
          <t>Cái</t>
        </is>
      </c>
      <c r="K822" s="19" t="n">
        <v>2030</v>
      </c>
      <c r="L822" s="20" t="n"/>
      <c r="M822" s="20" t="n"/>
      <c r="N822" s="43" t="n">
        <v>115</v>
      </c>
      <c r="O822" s="20" t="n">
        <v>233450</v>
      </c>
      <c r="P822" s="43" t="n">
        <v>115</v>
      </c>
      <c r="Q822" s="20" t="n">
        <v>233450</v>
      </c>
      <c r="R822" s="42">
        <f>+L822+N822-P822</f>
        <v/>
      </c>
      <c r="S822" s="42">
        <f>+M822+O822-Q822</f>
        <v/>
      </c>
    </row>
    <row r="823" ht="30" customHeight="1">
      <c r="A823" s="16" t="n">
        <v>45722</v>
      </c>
      <c r="B823" s="17" t="inlineStr">
        <is>
          <t>MH2503-10</t>
        </is>
      </c>
      <c r="C823" s="16" t="n">
        <v>45722</v>
      </c>
      <c r="D823" s="17" t="inlineStr">
        <is>
          <t>00000656</t>
        </is>
      </c>
      <c r="E823" s="16" t="n">
        <v>45722</v>
      </c>
      <c r="F823" s="16" t="inlineStr">
        <is>
          <t>XK2503-14</t>
        </is>
      </c>
      <c r="G823" s="16" t="n">
        <v>45722</v>
      </c>
      <c r="H823" s="17" t="inlineStr">
        <is>
          <t>CÔNG TY CỔ PHẦN CÔNG NGHIỆP VÀ THƯƠNG MẠI CƯỜNG THỊNH</t>
        </is>
      </c>
      <c r="I823" s="17" t="inlineStr">
        <is>
          <t>Long đền thường ZP M20B35D2</t>
        </is>
      </c>
      <c r="J823" s="17" t="inlineStr">
        <is>
          <t>Cái</t>
        </is>
      </c>
      <c r="K823" s="19" t="n">
        <v>350</v>
      </c>
      <c r="L823" s="20" t="n"/>
      <c r="M823" s="20" t="n"/>
      <c r="N823" s="43" t="n">
        <v>115</v>
      </c>
      <c r="O823" s="20" t="n">
        <v>40250</v>
      </c>
      <c r="P823" s="43" t="n">
        <v>115</v>
      </c>
      <c r="Q823" s="20" t="n">
        <v>40250</v>
      </c>
      <c r="R823" s="42">
        <f>+L823+N823-P823</f>
        <v/>
      </c>
      <c r="S823" s="42">
        <f>+M823+O823-Q823</f>
        <v/>
      </c>
    </row>
    <row r="824" ht="30" customHeight="1">
      <c r="A824" s="16" t="n">
        <v>45722</v>
      </c>
      <c r="B824" s="17" t="inlineStr">
        <is>
          <t>MH2503-10</t>
        </is>
      </c>
      <c r="C824" s="16" t="n">
        <v>45722</v>
      </c>
      <c r="D824" s="17" t="inlineStr">
        <is>
          <t>00000656</t>
        </is>
      </c>
      <c r="E824" s="16" t="n">
        <v>45722</v>
      </c>
      <c r="F824" s="16" t="inlineStr">
        <is>
          <t>XK2503-14</t>
        </is>
      </c>
      <c r="G824" s="16" t="n">
        <v>45722</v>
      </c>
      <c r="H824" s="17" t="inlineStr">
        <is>
          <t>CÔNG TY CỔ PHẦN CÔNG NGHIỆP VÀ THƯƠNG MẠI CƯỜNG THỊNH</t>
        </is>
      </c>
      <c r="I824" s="17" t="inlineStr">
        <is>
          <t>Bulong Din 933 8.8 ZP M20x60</t>
        </is>
      </c>
      <c r="J824" s="17" t="inlineStr">
        <is>
          <t>Cái</t>
        </is>
      </c>
      <c r="K824" s="19" t="n">
        <v>6440</v>
      </c>
      <c r="L824" s="20" t="n"/>
      <c r="M824" s="20" t="n"/>
      <c r="N824" s="43" t="n">
        <v>1471</v>
      </c>
      <c r="O824" s="20" t="n">
        <v>9473240</v>
      </c>
      <c r="P824" s="43" t="n">
        <v>1471</v>
      </c>
      <c r="Q824" s="20" t="n">
        <v>9473240</v>
      </c>
      <c r="R824" s="42">
        <f>+L824+N824-P824</f>
        <v/>
      </c>
      <c r="S824" s="42">
        <f>+M824+O824-Q824</f>
        <v/>
      </c>
    </row>
    <row r="825" ht="30" customHeight="1">
      <c r="A825" s="16" t="n">
        <v>45722</v>
      </c>
      <c r="B825" s="17" t="inlineStr">
        <is>
          <t>MH2503-10</t>
        </is>
      </c>
      <c r="C825" s="16" t="n">
        <v>45722</v>
      </c>
      <c r="D825" s="17" t="inlineStr">
        <is>
          <t>00000656</t>
        </is>
      </c>
      <c r="E825" s="16" t="n">
        <v>45722</v>
      </c>
      <c r="F825" s="16" t="inlineStr">
        <is>
          <t>XK2503-14</t>
        </is>
      </c>
      <c r="G825" s="16" t="n">
        <v>45722</v>
      </c>
      <c r="H825" s="17" t="inlineStr">
        <is>
          <t>CÔNG TY CỔ PHẦN CÔNG NGHIỆP VÀ THƯƠNG MẠI CƯỜNG THỊNH</t>
        </is>
      </c>
      <c r="I825" s="17" t="inlineStr">
        <is>
          <t>Đai ốc Din 934 8 ZP M20</t>
        </is>
      </c>
      <c r="J825" s="17" t="inlineStr">
        <is>
          <t>Cái</t>
        </is>
      </c>
      <c r="K825" s="19" t="n">
        <v>2030</v>
      </c>
      <c r="L825" s="20" t="n"/>
      <c r="M825" s="20" t="n"/>
      <c r="N825" s="43" t="n">
        <v>1471</v>
      </c>
      <c r="O825" s="20" t="n">
        <v>2986130</v>
      </c>
      <c r="P825" s="43" t="n">
        <v>1471</v>
      </c>
      <c r="Q825" s="20" t="n">
        <v>2986130</v>
      </c>
      <c r="R825" s="42">
        <f>+L825+N825-P825</f>
        <v/>
      </c>
      <c r="S825" s="42">
        <f>+M825+O825-Q825</f>
        <v/>
      </c>
    </row>
    <row r="826" ht="30" customHeight="1">
      <c r="A826" s="16" t="n">
        <v>45722</v>
      </c>
      <c r="B826" s="17" t="inlineStr">
        <is>
          <t>MH2503-10</t>
        </is>
      </c>
      <c r="C826" s="16" t="n">
        <v>45722</v>
      </c>
      <c r="D826" s="17" t="inlineStr">
        <is>
          <t>00000656</t>
        </is>
      </c>
      <c r="E826" s="16" t="n">
        <v>45722</v>
      </c>
      <c r="F826" s="16" t="inlineStr">
        <is>
          <t>XK2503-14</t>
        </is>
      </c>
      <c r="G826" s="16" t="n">
        <v>45722</v>
      </c>
      <c r="H826" s="17" t="inlineStr">
        <is>
          <t>CÔNG TY CỔ PHẦN CÔNG NGHIỆP VÀ THƯƠNG MẠI CƯỜNG THỊNH</t>
        </is>
      </c>
      <c r="I826" s="17" t="inlineStr">
        <is>
          <t>Long đền thường ZP M20B35D2</t>
        </is>
      </c>
      <c r="J826" s="17" t="inlineStr">
        <is>
          <t>Cái</t>
        </is>
      </c>
      <c r="K826" s="19" t="n">
        <v>350</v>
      </c>
      <c r="L826" s="20" t="n"/>
      <c r="M826" s="20" t="n"/>
      <c r="N826" s="43" t="n">
        <v>1471</v>
      </c>
      <c r="O826" s="20" t="n">
        <v>514850</v>
      </c>
      <c r="P826" s="43" t="n">
        <v>1471</v>
      </c>
      <c r="Q826" s="20" t="n">
        <v>514850</v>
      </c>
      <c r="R826" s="42">
        <f>+L826+N826-P826</f>
        <v/>
      </c>
      <c r="S826" s="42">
        <f>+M826+O826-Q826</f>
        <v/>
      </c>
    </row>
    <row r="827" ht="30" customHeight="1">
      <c r="A827" s="16" t="n">
        <v>45722</v>
      </c>
      <c r="B827" s="17" t="inlineStr">
        <is>
          <t>MH2503-10</t>
        </is>
      </c>
      <c r="C827" s="16" t="n">
        <v>45722</v>
      </c>
      <c r="D827" s="17" t="inlineStr">
        <is>
          <t>00000656</t>
        </is>
      </c>
      <c r="E827" s="16" t="n">
        <v>45722</v>
      </c>
      <c r="F827" s="16" t="inlineStr">
        <is>
          <t>XK2503-14</t>
        </is>
      </c>
      <c r="G827" s="16" t="n">
        <v>45722</v>
      </c>
      <c r="H827" s="17" t="inlineStr">
        <is>
          <t>CÔNG TY CỔ PHẦN CÔNG NGHIỆP VÀ THƯƠNG MẠI CƯỜNG THỊNH</t>
        </is>
      </c>
      <c r="I827" s="17" t="inlineStr">
        <is>
          <t>Bulong thường 4.6 ZP M12x30</t>
        </is>
      </c>
      <c r="J827" s="17" t="inlineStr">
        <is>
          <t>Cái</t>
        </is>
      </c>
      <c r="K827" s="19" t="n">
        <v>950</v>
      </c>
      <c r="L827" s="20" t="n"/>
      <c r="M827" s="20" t="n"/>
      <c r="N827" s="43" t="n">
        <v>838</v>
      </c>
      <c r="O827" s="20" t="n">
        <v>796100</v>
      </c>
      <c r="P827" s="43" t="n">
        <v>838</v>
      </c>
      <c r="Q827" s="20" t="n">
        <v>796100</v>
      </c>
      <c r="R827" s="42">
        <f>+L827+N827-P827</f>
        <v/>
      </c>
      <c r="S827" s="42">
        <f>+M827+O827-Q827</f>
        <v/>
      </c>
    </row>
    <row r="828" ht="30" customHeight="1">
      <c r="A828" s="16" t="n">
        <v>45722</v>
      </c>
      <c r="B828" s="17" t="inlineStr">
        <is>
          <t>MH2503-10</t>
        </is>
      </c>
      <c r="C828" s="16" t="n">
        <v>45722</v>
      </c>
      <c r="D828" s="17" t="inlineStr">
        <is>
          <t>00000656</t>
        </is>
      </c>
      <c r="E828" s="16" t="n">
        <v>45722</v>
      </c>
      <c r="F828" s="16" t="inlineStr">
        <is>
          <t>XK2503-14</t>
        </is>
      </c>
      <c r="G828" s="16" t="n">
        <v>45722</v>
      </c>
      <c r="H828" s="17" t="inlineStr">
        <is>
          <t>CÔNG TY CỔ PHẦN CÔNG NGHIỆP VÀ THƯƠNG MẠI CƯỜNG THỊNH</t>
        </is>
      </c>
      <c r="I828" s="17" t="inlineStr">
        <is>
          <t>Đai ốc thường 4 ZP M12 (9mm)</t>
        </is>
      </c>
      <c r="J828" s="17" t="inlineStr">
        <is>
          <t>Cái</t>
        </is>
      </c>
      <c r="K828" s="19" t="n">
        <v>360</v>
      </c>
      <c r="L828" s="20" t="n"/>
      <c r="M828" s="20" t="n"/>
      <c r="N828" s="43" t="n">
        <v>838</v>
      </c>
      <c r="O828" s="20" t="n">
        <v>301680</v>
      </c>
      <c r="P828" s="43" t="n">
        <v>838</v>
      </c>
      <c r="Q828" s="20" t="n">
        <v>301680</v>
      </c>
      <c r="R828" s="42">
        <f>+L828+N828-P828</f>
        <v/>
      </c>
      <c r="S828" s="42">
        <f>+M828+O828-Q828</f>
        <v/>
      </c>
    </row>
    <row r="829" ht="30" customHeight="1">
      <c r="A829" s="16" t="n">
        <v>45722</v>
      </c>
      <c r="B829" s="17" t="inlineStr">
        <is>
          <t>MH2503-10</t>
        </is>
      </c>
      <c r="C829" s="16" t="n">
        <v>45722</v>
      </c>
      <c r="D829" s="17" t="inlineStr">
        <is>
          <t>00000656</t>
        </is>
      </c>
      <c r="E829" s="16" t="n">
        <v>45722</v>
      </c>
      <c r="F829" s="16" t="inlineStr">
        <is>
          <t>XK2503-14</t>
        </is>
      </c>
      <c r="G829" s="16" t="n">
        <v>45722</v>
      </c>
      <c r="H829" s="17" t="inlineStr">
        <is>
          <t>CÔNG TY CỔ PHẦN CÔNG NGHIỆP VÀ THƯƠNG MẠI CƯỜNG THỊNH</t>
        </is>
      </c>
      <c r="I829" s="17" t="inlineStr">
        <is>
          <t>Long đền thường ZP M12B23D1</t>
        </is>
      </c>
      <c r="J829" s="17" t="inlineStr">
        <is>
          <t>Cái</t>
        </is>
      </c>
      <c r="K829" s="19" t="n">
        <v>100</v>
      </c>
      <c r="L829" s="20" t="n"/>
      <c r="M829" s="20" t="n"/>
      <c r="N829" s="43" t="n">
        <v>1676</v>
      </c>
      <c r="O829" s="20" t="n">
        <v>167600</v>
      </c>
      <c r="P829" s="43" t="n">
        <v>1676</v>
      </c>
      <c r="Q829" s="20" t="n">
        <v>167600</v>
      </c>
      <c r="R829" s="42">
        <f>+L829+N829-P829</f>
        <v/>
      </c>
      <c r="S829" s="42">
        <f>+M829+O829-Q829</f>
        <v/>
      </c>
    </row>
    <row r="830" ht="30" customHeight="1">
      <c r="A830" s="16" t="n">
        <v>45722</v>
      </c>
      <c r="B830" s="17" t="inlineStr">
        <is>
          <t>MH2503-11</t>
        </is>
      </c>
      <c r="C830" s="16" t="n">
        <v>45722</v>
      </c>
      <c r="D830" s="17" t="inlineStr">
        <is>
          <t>00000661</t>
        </is>
      </c>
      <c r="E830" s="16" t="n">
        <v>45722</v>
      </c>
      <c r="F830" s="16" t="inlineStr">
        <is>
          <t>XK2503-15</t>
        </is>
      </c>
      <c r="G830" s="16" t="n">
        <v>45722</v>
      </c>
      <c r="H830" s="17" t="inlineStr">
        <is>
          <t>CÔNG TY CỔ PHẦN CÔNG NGHIỆP VÀ THƯƠNG MẠI CƯỜNG THỊNH</t>
        </is>
      </c>
      <c r="I830" s="17" t="inlineStr">
        <is>
          <t>Ty giằng 2 đầu ren 4.6 ZP M16</t>
        </is>
      </c>
      <c r="J830" s="17" t="inlineStr">
        <is>
          <t>Mét</t>
        </is>
      </c>
      <c r="K830" s="19" t="n">
        <v>48000</v>
      </c>
      <c r="L830" s="20" t="n"/>
      <c r="M830" s="20" t="n"/>
      <c r="N830" s="43" t="n">
        <v>154.84</v>
      </c>
      <c r="O830" s="20" t="n">
        <v>7432320</v>
      </c>
      <c r="P830" s="43" t="n">
        <v>154.84</v>
      </c>
      <c r="Q830" s="20" t="n">
        <v>7432320</v>
      </c>
      <c r="R830" s="42">
        <f>+L830+N830-P830</f>
        <v/>
      </c>
      <c r="S830" s="42">
        <f>+M830+O830-Q830</f>
        <v/>
      </c>
    </row>
    <row r="831" ht="30" customHeight="1">
      <c r="A831" s="16" t="n">
        <v>45722</v>
      </c>
      <c r="B831" s="17" t="inlineStr">
        <is>
          <t>MH2503-11</t>
        </is>
      </c>
      <c r="C831" s="16" t="n">
        <v>45722</v>
      </c>
      <c r="D831" s="17" t="inlineStr">
        <is>
          <t>00000661</t>
        </is>
      </c>
      <c r="E831" s="16" t="n">
        <v>45722</v>
      </c>
      <c r="F831" s="16" t="inlineStr">
        <is>
          <t>XK2503-15</t>
        </is>
      </c>
      <c r="G831" s="16" t="n">
        <v>45722</v>
      </c>
      <c r="H831" s="17" t="inlineStr">
        <is>
          <t>CÔNG TY CỔ PHẦN CÔNG NGHIỆP VÀ THƯƠNG MẠI CƯỜNG THỊNH</t>
        </is>
      </c>
      <c r="I831" s="17" t="inlineStr">
        <is>
          <t>Đai ốc Din 934 5 ZP M16</t>
        </is>
      </c>
      <c r="J831" s="17" t="inlineStr">
        <is>
          <t>Cái</t>
        </is>
      </c>
      <c r="K831" s="19" t="n">
        <v>1110</v>
      </c>
      <c r="L831" s="20" t="n"/>
      <c r="M831" s="20" t="n"/>
      <c r="N831" s="43" t="n">
        <v>40</v>
      </c>
      <c r="O831" s="20" t="n">
        <v>44400</v>
      </c>
      <c r="P831" s="43" t="n">
        <v>40</v>
      </c>
      <c r="Q831" s="20" t="n">
        <v>44400</v>
      </c>
      <c r="R831" s="42">
        <f>+L831+N831-P831</f>
        <v/>
      </c>
      <c r="S831" s="42">
        <f>+M831+O831-Q831</f>
        <v/>
      </c>
    </row>
    <row r="832" ht="30" customHeight="1">
      <c r="A832" s="16" t="n">
        <v>45722</v>
      </c>
      <c r="B832" s="17" t="inlineStr">
        <is>
          <t>MH2503-11</t>
        </is>
      </c>
      <c r="C832" s="16" t="n">
        <v>45722</v>
      </c>
      <c r="D832" s="17" t="inlineStr">
        <is>
          <t>00000661</t>
        </is>
      </c>
      <c r="E832" s="16" t="n">
        <v>45722</v>
      </c>
      <c r="F832" s="16" t="inlineStr">
        <is>
          <t>XK2503-15</t>
        </is>
      </c>
      <c r="G832" s="16" t="n">
        <v>45722</v>
      </c>
      <c r="H832" s="17" t="inlineStr">
        <is>
          <t>CÔNG TY CỔ PHẦN CÔNG NGHIỆP VÀ THƯƠNG MẠI CƯỜNG THỊNH</t>
        </is>
      </c>
      <c r="I832" s="17" t="inlineStr">
        <is>
          <t>Long đền thường ZP M16B42D2</t>
        </is>
      </c>
      <c r="J832" s="17" t="inlineStr">
        <is>
          <t>Cái</t>
        </is>
      </c>
      <c r="K832" s="19" t="n">
        <v>800</v>
      </c>
      <c r="L832" s="20" t="n"/>
      <c r="M832" s="20" t="n"/>
      <c r="N832" s="43" t="n">
        <v>40</v>
      </c>
      <c r="O832" s="20" t="n">
        <v>32000</v>
      </c>
      <c r="P832" s="43" t="n">
        <v>40</v>
      </c>
      <c r="Q832" s="20" t="n">
        <v>32000</v>
      </c>
      <c r="R832" s="42">
        <f>+L832+N832-P832</f>
        <v/>
      </c>
      <c r="S832" s="42">
        <f>+M832+O832-Q832</f>
        <v/>
      </c>
    </row>
    <row r="833" ht="30" customHeight="1">
      <c r="A833" s="16" t="n">
        <v>45722</v>
      </c>
      <c r="B833" s="17" t="inlineStr">
        <is>
          <t>MH2503-11</t>
        </is>
      </c>
      <c r="C833" s="16" t="n">
        <v>45722</v>
      </c>
      <c r="D833" s="17" t="inlineStr">
        <is>
          <t>00000661</t>
        </is>
      </c>
      <c r="E833" s="16" t="n">
        <v>45722</v>
      </c>
      <c r="F833" s="16" t="inlineStr">
        <is>
          <t>XK2503-15</t>
        </is>
      </c>
      <c r="G833" s="16" t="n">
        <v>45722</v>
      </c>
      <c r="H833" s="17" t="inlineStr">
        <is>
          <t>CÔNG TY CỔ PHẦN CÔNG NGHIỆP VÀ THƯƠNG MẠI CƯỜNG THỊNH</t>
        </is>
      </c>
      <c r="I833" s="17" t="inlineStr">
        <is>
          <t>Long đền móng ngựa ZP M16</t>
        </is>
      </c>
      <c r="J833" s="17" t="inlineStr">
        <is>
          <t>Cái</t>
        </is>
      </c>
      <c r="K833" s="19" t="n">
        <v>15670</v>
      </c>
      <c r="L833" s="20" t="n"/>
      <c r="M833" s="20" t="n"/>
      <c r="N833" s="43" t="n">
        <v>40</v>
      </c>
      <c r="O833" s="20" t="n">
        <v>626800</v>
      </c>
      <c r="P833" s="43" t="n">
        <v>40</v>
      </c>
      <c r="Q833" s="20" t="n">
        <v>626800</v>
      </c>
      <c r="R833" s="42">
        <f>+L833+N833-P833</f>
        <v/>
      </c>
      <c r="S833" s="42">
        <f>+M833+O833-Q833</f>
        <v/>
      </c>
    </row>
    <row r="834" ht="30" customHeight="1">
      <c r="A834" s="16" t="n">
        <v>45722</v>
      </c>
      <c r="B834" s="17" t="inlineStr">
        <is>
          <t>MH2503-11</t>
        </is>
      </c>
      <c r="C834" s="16" t="n">
        <v>45722</v>
      </c>
      <c r="D834" s="17" t="inlineStr">
        <is>
          <t>00000661</t>
        </is>
      </c>
      <c r="E834" s="16" t="n">
        <v>45722</v>
      </c>
      <c r="F834" s="16" t="inlineStr">
        <is>
          <t>XK2503-15</t>
        </is>
      </c>
      <c r="G834" s="16" t="n">
        <v>45722</v>
      </c>
      <c r="H834" s="17" t="inlineStr">
        <is>
          <t>CÔNG TY CỔ PHẦN CÔNG NGHIỆP VÀ THƯƠNG MẠI CƯỜNG THỊNH</t>
        </is>
      </c>
      <c r="I834" s="17" t="inlineStr">
        <is>
          <t>Nối Ty ZP M16x100 (23mm)</t>
        </is>
      </c>
      <c r="J834" s="17" t="inlineStr">
        <is>
          <t>Cái</t>
        </is>
      </c>
      <c r="K834" s="19" t="n">
        <v>24160</v>
      </c>
      <c r="L834" s="20" t="n"/>
      <c r="M834" s="20" t="n"/>
      <c r="N834" s="43" t="n">
        <v>20</v>
      </c>
      <c r="O834" s="20" t="n">
        <v>483200</v>
      </c>
      <c r="P834" s="43" t="n">
        <v>20</v>
      </c>
      <c r="Q834" s="20" t="n">
        <v>483200</v>
      </c>
      <c r="R834" s="42">
        <f>+L834+N834-P834</f>
        <v/>
      </c>
      <c r="S834" s="42">
        <f>+M834+O834-Q834</f>
        <v/>
      </c>
    </row>
    <row r="835" ht="30" customHeight="1">
      <c r="A835" s="16" t="n">
        <v>45722</v>
      </c>
      <c r="B835" s="17" t="inlineStr">
        <is>
          <t>MH2503-11</t>
        </is>
      </c>
      <c r="C835" s="16" t="n">
        <v>45722</v>
      </c>
      <c r="D835" s="17" t="inlineStr">
        <is>
          <t>00000661</t>
        </is>
      </c>
      <c r="E835" s="16" t="n">
        <v>45722</v>
      </c>
      <c r="F835" s="16" t="inlineStr">
        <is>
          <t>XK2503-15</t>
        </is>
      </c>
      <c r="G835" s="16" t="n">
        <v>45722</v>
      </c>
      <c r="H835" s="17" t="inlineStr">
        <is>
          <t>CÔNG TY CỔ PHẦN CÔNG NGHIỆP VÀ THƯƠNG MẠI CƯỜNG THỊNH</t>
        </is>
      </c>
      <c r="I835" s="17" t="inlineStr">
        <is>
          <t>Ty giằng 2 đầu ren 4.6 Ф11.3-11.5mm ZP M12</t>
        </is>
      </c>
      <c r="J835" s="17" t="inlineStr">
        <is>
          <t>Mét</t>
        </is>
      </c>
      <c r="K835" s="19" t="n">
        <v>20500</v>
      </c>
      <c r="L835" s="20" t="n"/>
      <c r="M835" s="20" t="n"/>
      <c r="N835" s="43" t="n">
        <v>137.01</v>
      </c>
      <c r="O835" s="20" t="n">
        <v>2808705</v>
      </c>
      <c r="P835" s="43" t="n">
        <v>137.01</v>
      </c>
      <c r="Q835" s="20" t="n">
        <v>2808705</v>
      </c>
      <c r="R835" s="42">
        <f>+L835+N835-P835</f>
        <v/>
      </c>
      <c r="S835" s="42">
        <f>+M835+O835-Q835</f>
        <v/>
      </c>
    </row>
    <row r="836" ht="30" customHeight="1">
      <c r="A836" s="16" t="n">
        <v>45722</v>
      </c>
      <c r="B836" s="17" t="inlineStr">
        <is>
          <t>MH2503-11</t>
        </is>
      </c>
      <c r="C836" s="16" t="n">
        <v>45722</v>
      </c>
      <c r="D836" s="17" t="inlineStr">
        <is>
          <t>00000661</t>
        </is>
      </c>
      <c r="E836" s="16" t="n">
        <v>45722</v>
      </c>
      <c r="F836" s="16" t="inlineStr">
        <is>
          <t>XK2503-15</t>
        </is>
      </c>
      <c r="G836" s="16" t="n">
        <v>45722</v>
      </c>
      <c r="H836" s="17" t="inlineStr">
        <is>
          <t>CÔNG TY CỔ PHẦN CÔNG NGHIỆP VÀ THƯƠNG MẠI CƯỜNG THỊNH</t>
        </is>
      </c>
      <c r="I836" s="17" t="inlineStr">
        <is>
          <t>Ty giằng 2 đầu ren 4.6 Ф11.3-11.5mm ZP M12</t>
        </is>
      </c>
      <c r="J836" s="17" t="inlineStr">
        <is>
          <t>Mét</t>
        </is>
      </c>
      <c r="K836" s="19" t="n">
        <v>22500</v>
      </c>
      <c r="L836" s="20" t="n"/>
      <c r="M836" s="20" t="n"/>
      <c r="N836" s="43" t="n">
        <v>61.11</v>
      </c>
      <c r="O836" s="20" t="n">
        <v>1374975</v>
      </c>
      <c r="P836" s="43" t="n">
        <v>61.11</v>
      </c>
      <c r="Q836" s="20" t="n">
        <v>1374975</v>
      </c>
      <c r="R836" s="42">
        <f>+L836+N836-P836</f>
        <v/>
      </c>
      <c r="S836" s="42">
        <f>+M836+O836-Q836</f>
        <v/>
      </c>
    </row>
    <row r="837" ht="30" customHeight="1">
      <c r="A837" s="16" t="n">
        <v>45722</v>
      </c>
      <c r="B837" s="17" t="inlineStr">
        <is>
          <t>MH2503-11</t>
        </is>
      </c>
      <c r="C837" s="16" t="n">
        <v>45722</v>
      </c>
      <c r="D837" s="17" t="inlineStr">
        <is>
          <t>00000661</t>
        </is>
      </c>
      <c r="E837" s="16" t="n">
        <v>45722</v>
      </c>
      <c r="F837" s="16" t="inlineStr">
        <is>
          <t>XK2503-15</t>
        </is>
      </c>
      <c r="G837" s="16" t="n">
        <v>45722</v>
      </c>
      <c r="H837" s="17" t="inlineStr">
        <is>
          <t>CÔNG TY CỔ PHẦN CÔNG NGHIỆP VÀ THƯƠNG MẠI CƯỜNG THỊNH</t>
        </is>
      </c>
      <c r="I837" s="17" t="inlineStr">
        <is>
          <t>Đai ốc thường 4 ZP M12 (9mm)</t>
        </is>
      </c>
      <c r="J837" s="17" t="inlineStr">
        <is>
          <t>Cái</t>
        </is>
      </c>
      <c r="K837" s="19" t="n">
        <v>360</v>
      </c>
      <c r="L837" s="20" t="n"/>
      <c r="M837" s="20" t="n"/>
      <c r="N837" s="43" t="n">
        <v>556</v>
      </c>
      <c r="O837" s="20" t="n">
        <v>200160</v>
      </c>
      <c r="P837" s="43" t="n">
        <v>556</v>
      </c>
      <c r="Q837" s="20" t="n">
        <v>200160</v>
      </c>
      <c r="R837" s="42">
        <f>+L837+N837-P837</f>
        <v/>
      </c>
      <c r="S837" s="42">
        <f>+M837+O837-Q837</f>
        <v/>
      </c>
    </row>
    <row r="838" ht="30" customHeight="1">
      <c r="A838" s="16" t="n">
        <v>45722</v>
      </c>
      <c r="B838" s="17" t="inlineStr">
        <is>
          <t>MH2503-11</t>
        </is>
      </c>
      <c r="C838" s="16" t="n">
        <v>45722</v>
      </c>
      <c r="D838" s="17" t="inlineStr">
        <is>
          <t>00000661</t>
        </is>
      </c>
      <c r="E838" s="16" t="n">
        <v>45722</v>
      </c>
      <c r="F838" s="16" t="inlineStr">
        <is>
          <t>XK2503-15</t>
        </is>
      </c>
      <c r="G838" s="16" t="n">
        <v>45722</v>
      </c>
      <c r="H838" s="17" t="inlineStr">
        <is>
          <t>CÔNG TY CỔ PHẦN CÔNG NGHIỆP VÀ THƯƠNG MẠI CƯỜNG THỊNH</t>
        </is>
      </c>
      <c r="I838" s="17" t="inlineStr">
        <is>
          <t>Long đền thường ZP M12B26D1.5</t>
        </is>
      </c>
      <c r="J838" s="17" t="inlineStr">
        <is>
          <t>Cái</t>
        </is>
      </c>
      <c r="K838" s="19" t="n">
        <v>190</v>
      </c>
      <c r="L838" s="20" t="n"/>
      <c r="M838" s="20" t="n"/>
      <c r="N838" s="43" t="n">
        <v>556</v>
      </c>
      <c r="O838" s="20" t="n">
        <v>105640</v>
      </c>
      <c r="P838" s="43" t="n">
        <v>556</v>
      </c>
      <c r="Q838" s="20" t="n">
        <v>105640</v>
      </c>
      <c r="R838" s="42">
        <f>+L838+N838-P838</f>
        <v/>
      </c>
      <c r="S838" s="42">
        <f>+M838+O838-Q838</f>
        <v/>
      </c>
    </row>
    <row r="839" ht="30" customHeight="1">
      <c r="A839" s="16" t="n">
        <v>45722</v>
      </c>
      <c r="B839" s="17" t="inlineStr">
        <is>
          <t>MH2503-12</t>
        </is>
      </c>
      <c r="C839" s="16" t="n">
        <v>45722</v>
      </c>
      <c r="D839" s="17" t="inlineStr">
        <is>
          <t>00000659</t>
        </is>
      </c>
      <c r="E839" s="16" t="n">
        <v>45722</v>
      </c>
      <c r="F839" s="16" t="inlineStr">
        <is>
          <t>XK2503-16</t>
        </is>
      </c>
      <c r="G839" s="16" t="n">
        <v>45722</v>
      </c>
      <c r="H839" s="17" t="inlineStr">
        <is>
          <t>CÔNG TY CỔ PHẦN CÔNG NGHIỆP VÀ THƯƠNG MẠI CƯỜNG THỊNH</t>
        </is>
      </c>
      <c r="I839" s="17" t="inlineStr">
        <is>
          <t>Vít bắn tole D ZP (Cr+6) M4.8x25RTN</t>
        </is>
      </c>
      <c r="J839" s="17" t="inlineStr">
        <is>
          <t>Cái</t>
        </is>
      </c>
      <c r="K839" s="19" t="n">
        <v>320</v>
      </c>
      <c r="L839" s="20" t="n"/>
      <c r="M839" s="20" t="n"/>
      <c r="N839" s="43" t="n">
        <v>4000</v>
      </c>
      <c r="O839" s="20" t="n">
        <v>1280000</v>
      </c>
      <c r="P839" s="43" t="n">
        <v>4000</v>
      </c>
      <c r="Q839" s="20" t="n">
        <v>1280000</v>
      </c>
      <c r="R839" s="42">
        <f>+L839+N839-P839</f>
        <v/>
      </c>
      <c r="S839" s="42">
        <f>+M839+O839-Q839</f>
        <v/>
      </c>
    </row>
    <row r="840" ht="30" customHeight="1">
      <c r="A840" s="16" t="n">
        <v>45722</v>
      </c>
      <c r="B840" s="17" t="inlineStr">
        <is>
          <t>MH2503-13</t>
        </is>
      </c>
      <c r="C840" s="16" t="n">
        <v>45722</v>
      </c>
      <c r="D840" s="17" t="inlineStr">
        <is>
          <t>00000263</t>
        </is>
      </c>
      <c r="E840" s="16" t="n">
        <v>45722</v>
      </c>
      <c r="F840" s="16" t="inlineStr">
        <is>
          <t>XK2503-17</t>
        </is>
      </c>
      <c r="G840" s="16" t="n">
        <v>45722</v>
      </c>
      <c r="H840" s="17" t="inlineStr">
        <is>
          <t>CÔNG TY TNHH DỊCH VỤ - THƯƠNG MẠI THÉP THIÊN LONG</t>
        </is>
      </c>
      <c r="I840" s="17" t="inlineStr">
        <is>
          <t>Thép tấm 5ly</t>
        </is>
      </c>
      <c r="J840" s="17" t="inlineStr">
        <is>
          <t>kg</t>
        </is>
      </c>
      <c r="K840" s="19" t="n">
        <v>14090.9</v>
      </c>
      <c r="L840" s="20" t="n"/>
      <c r="M840" s="20" t="n"/>
      <c r="N840" s="43" t="n">
        <v>2355</v>
      </c>
      <c r="O840" s="20" t="n">
        <v>33184070</v>
      </c>
      <c r="P840" s="43" t="n">
        <v>2355</v>
      </c>
      <c r="Q840" s="20" t="n">
        <v>33184070</v>
      </c>
      <c r="R840" s="42">
        <f>+L840+N840-P840</f>
        <v/>
      </c>
      <c r="S840" s="42">
        <f>+M840+O840-Q840</f>
        <v/>
      </c>
    </row>
    <row r="841" ht="30" customHeight="1">
      <c r="A841" s="16" t="n">
        <v>45722</v>
      </c>
      <c r="B841" s="17" t="inlineStr">
        <is>
          <t>MH2503-13</t>
        </is>
      </c>
      <c r="C841" s="16" t="n">
        <v>45722</v>
      </c>
      <c r="D841" s="17" t="inlineStr">
        <is>
          <t>00000263</t>
        </is>
      </c>
      <c r="E841" s="16" t="n">
        <v>45722</v>
      </c>
      <c r="F841" s="16" t="inlineStr">
        <is>
          <t>XK2503-17</t>
        </is>
      </c>
      <c r="G841" s="16" t="n">
        <v>45722</v>
      </c>
      <c r="H841" s="17" t="inlineStr">
        <is>
          <t>CÔNG TY TNHH DỊCH VỤ - THƯƠNG MẠI THÉP THIÊN LONG</t>
        </is>
      </c>
      <c r="I841" s="17" t="inlineStr">
        <is>
          <t>Thép tấm 6ly</t>
        </is>
      </c>
      <c r="J841" s="17" t="inlineStr">
        <is>
          <t>kg</t>
        </is>
      </c>
      <c r="K841" s="19" t="n">
        <v>14090.9</v>
      </c>
      <c r="L841" s="20" t="n"/>
      <c r="M841" s="20" t="n"/>
      <c r="N841" s="43" t="n">
        <v>2260.8</v>
      </c>
      <c r="O841" s="20" t="n">
        <v>31856707</v>
      </c>
      <c r="P841" s="43" t="n">
        <v>2260.8</v>
      </c>
      <c r="Q841" s="20" t="n">
        <v>31856707</v>
      </c>
      <c r="R841" s="42">
        <f>+L841+N841-P841</f>
        <v/>
      </c>
      <c r="S841" s="42">
        <f>+M841+O841-Q841</f>
        <v/>
      </c>
    </row>
    <row r="842" ht="30" customHeight="1">
      <c r="A842" s="16" t="n">
        <v>45722</v>
      </c>
      <c r="B842" s="17" t="inlineStr">
        <is>
          <t>MH2503-13</t>
        </is>
      </c>
      <c r="C842" s="16" t="n">
        <v>45722</v>
      </c>
      <c r="D842" s="17" t="inlineStr">
        <is>
          <t>00000263</t>
        </is>
      </c>
      <c r="E842" s="16" t="n">
        <v>45722</v>
      </c>
      <c r="F842" s="16" t="inlineStr">
        <is>
          <t>XK2503-17</t>
        </is>
      </c>
      <c r="G842" s="16" t="n">
        <v>45722</v>
      </c>
      <c r="H842" s="17" t="inlineStr">
        <is>
          <t>CÔNG TY TNHH DỊCH VỤ - THƯƠNG MẠI THÉP THIÊN LONG</t>
        </is>
      </c>
      <c r="I842" s="17" t="inlineStr">
        <is>
          <t>Thép tấm 8ly</t>
        </is>
      </c>
      <c r="J842" s="17" t="inlineStr">
        <is>
          <t>kg</t>
        </is>
      </c>
      <c r="K842" s="19" t="n">
        <v>14090.9</v>
      </c>
      <c r="L842" s="20" t="n"/>
      <c r="M842" s="20" t="n"/>
      <c r="N842" s="43" t="n">
        <v>1507.2</v>
      </c>
      <c r="O842" s="20" t="n">
        <v>21237859</v>
      </c>
      <c r="P842" s="43" t="n">
        <v>1507.2</v>
      </c>
      <c r="Q842" s="20" t="n">
        <v>21237859</v>
      </c>
      <c r="R842" s="42">
        <f>+L842+N842-P842</f>
        <v/>
      </c>
      <c r="S842" s="42">
        <f>+M842+O842-Q842</f>
        <v/>
      </c>
    </row>
    <row r="843" ht="30" customHeight="1">
      <c r="A843" s="16" t="n">
        <v>45722</v>
      </c>
      <c r="B843" s="17" t="inlineStr">
        <is>
          <t>MH2503-14</t>
        </is>
      </c>
      <c r="C843" s="16" t="n">
        <v>45722</v>
      </c>
      <c r="D843" s="17" t="inlineStr">
        <is>
          <t>00000264</t>
        </is>
      </c>
      <c r="E843" s="16" t="n">
        <v>45722</v>
      </c>
      <c r="F843" s="16" t="inlineStr">
        <is>
          <t>XK2503-18</t>
        </is>
      </c>
      <c r="G843" s="16" t="n">
        <v>45722</v>
      </c>
      <c r="H843" s="17" t="inlineStr">
        <is>
          <t>CÔNG TY TNHH DỊCH VỤ - THƯƠNG MẠI THÉP THIÊN LONG</t>
        </is>
      </c>
      <c r="I843" s="17" t="inlineStr">
        <is>
          <t>Thép tấm 5ly</t>
        </is>
      </c>
      <c r="J843" s="17" t="inlineStr">
        <is>
          <t>kg</t>
        </is>
      </c>
      <c r="K843" s="19" t="n">
        <v>14090.9</v>
      </c>
      <c r="L843" s="20" t="n"/>
      <c r="M843" s="20" t="n"/>
      <c r="N843" s="43" t="n">
        <v>9420</v>
      </c>
      <c r="O843" s="20" t="n">
        <v>132736278</v>
      </c>
      <c r="P843" s="43" t="n">
        <v>9420</v>
      </c>
      <c r="Q843" s="20" t="n">
        <v>132736278</v>
      </c>
      <c r="R843" s="42">
        <f>+L843+N843-P843</f>
        <v/>
      </c>
      <c r="S843" s="42">
        <f>+M843+O843-Q843</f>
        <v/>
      </c>
    </row>
    <row r="844" ht="30" customHeight="1">
      <c r="A844" s="16" t="n">
        <v>45722</v>
      </c>
      <c r="B844" s="17" t="inlineStr">
        <is>
          <t>MH2503-14</t>
        </is>
      </c>
      <c r="C844" s="16" t="n">
        <v>45722</v>
      </c>
      <c r="D844" s="17" t="inlineStr">
        <is>
          <t>00000264</t>
        </is>
      </c>
      <c r="E844" s="16" t="n">
        <v>45722</v>
      </c>
      <c r="F844" s="16" t="inlineStr">
        <is>
          <t>XK2503-18</t>
        </is>
      </c>
      <c r="G844" s="16" t="n">
        <v>45722</v>
      </c>
      <c r="H844" s="17" t="inlineStr">
        <is>
          <t>CÔNG TY TNHH DỊCH VỤ - THƯƠNG MẠI THÉP THIÊN LONG</t>
        </is>
      </c>
      <c r="I844" s="17" t="inlineStr">
        <is>
          <t>Thép tấm 6ly</t>
        </is>
      </c>
      <c r="J844" s="17" t="inlineStr">
        <is>
          <t>kg</t>
        </is>
      </c>
      <c r="K844" s="19" t="n">
        <v>14090.9</v>
      </c>
      <c r="L844" s="20" t="n"/>
      <c r="M844" s="20" t="n"/>
      <c r="N844" s="43" t="n">
        <v>5652</v>
      </c>
      <c r="O844" s="20" t="n">
        <v>79641767</v>
      </c>
      <c r="P844" s="43" t="n">
        <v>5652</v>
      </c>
      <c r="Q844" s="20" t="n">
        <v>79641767</v>
      </c>
      <c r="R844" s="42">
        <f>+L844+N844-P844</f>
        <v/>
      </c>
      <c r="S844" s="42">
        <f>+M844+O844-Q844</f>
        <v/>
      </c>
    </row>
    <row r="845" ht="30" customHeight="1">
      <c r="A845" s="16" t="n">
        <v>45722</v>
      </c>
      <c r="B845" s="17" t="inlineStr">
        <is>
          <t>MH2503-14</t>
        </is>
      </c>
      <c r="C845" s="16" t="n">
        <v>45722</v>
      </c>
      <c r="D845" s="17" t="inlineStr">
        <is>
          <t>00000264</t>
        </is>
      </c>
      <c r="E845" s="16" t="n">
        <v>45722</v>
      </c>
      <c r="F845" s="16" t="inlineStr">
        <is>
          <t>XK2503-18</t>
        </is>
      </c>
      <c r="G845" s="16" t="n">
        <v>45722</v>
      </c>
      <c r="H845" s="17" t="inlineStr">
        <is>
          <t>CÔNG TY TNHH DỊCH VỤ - THƯƠNG MẠI THÉP THIÊN LONG</t>
        </is>
      </c>
      <c r="I845" s="17" t="inlineStr">
        <is>
          <t>Thép tấm 8ly</t>
        </is>
      </c>
      <c r="J845" s="17" t="inlineStr">
        <is>
          <t>kg</t>
        </is>
      </c>
      <c r="K845" s="19" t="n">
        <v>14090.9</v>
      </c>
      <c r="L845" s="20" t="n"/>
      <c r="M845" s="20" t="n"/>
      <c r="N845" s="43" t="n">
        <v>6028.8</v>
      </c>
      <c r="O845" s="20" t="n">
        <v>84951218</v>
      </c>
      <c r="P845" s="43" t="n">
        <v>6028.8</v>
      </c>
      <c r="Q845" s="20" t="n">
        <v>84951218</v>
      </c>
      <c r="R845" s="42">
        <f>+L845+N845-P845</f>
        <v/>
      </c>
      <c r="S845" s="42">
        <f>+M845+O845-Q845</f>
        <v/>
      </c>
    </row>
    <row r="846" ht="30" customHeight="1">
      <c r="A846" s="16" t="n">
        <v>45722</v>
      </c>
      <c r="B846" s="17" t="inlineStr">
        <is>
          <t>MH2503-14</t>
        </is>
      </c>
      <c r="C846" s="16" t="n">
        <v>45722</v>
      </c>
      <c r="D846" s="17" t="inlineStr">
        <is>
          <t>00000264</t>
        </is>
      </c>
      <c r="E846" s="16" t="n">
        <v>45722</v>
      </c>
      <c r="F846" s="16" t="inlineStr">
        <is>
          <t>XK2503-18</t>
        </is>
      </c>
      <c r="G846" s="16" t="n">
        <v>45722</v>
      </c>
      <c r="H846" s="17" t="inlineStr">
        <is>
          <t>CÔNG TY TNHH DỊCH VỤ - THƯƠNG MẠI THÉP THIÊN LONG</t>
        </is>
      </c>
      <c r="I846" s="17" t="inlineStr">
        <is>
          <t>Thép tấm 12ly</t>
        </is>
      </c>
      <c r="J846" s="17" t="inlineStr">
        <is>
          <t>kg</t>
        </is>
      </c>
      <c r="K846" s="19" t="n">
        <v>14909.09</v>
      </c>
      <c r="L846" s="20" t="n"/>
      <c r="M846" s="20" t="n"/>
      <c r="N846" s="43" t="n">
        <v>2260.8</v>
      </c>
      <c r="O846" s="20" t="n">
        <v>33706471</v>
      </c>
      <c r="P846" s="43" t="n">
        <v>2260.8</v>
      </c>
      <c r="Q846" s="20" t="n">
        <v>33706471</v>
      </c>
      <c r="R846" s="42">
        <f>+L846+N846-P846</f>
        <v/>
      </c>
      <c r="S846" s="42">
        <f>+M846+O846-Q846</f>
        <v/>
      </c>
    </row>
    <row r="847" ht="30" customHeight="1">
      <c r="A847" s="16" t="n">
        <v>45722</v>
      </c>
      <c r="B847" s="17" t="inlineStr">
        <is>
          <t>MH2503-14</t>
        </is>
      </c>
      <c r="C847" s="16" t="n">
        <v>45722</v>
      </c>
      <c r="D847" s="17" t="inlineStr">
        <is>
          <t>00000264</t>
        </is>
      </c>
      <c r="E847" s="16" t="n">
        <v>45722</v>
      </c>
      <c r="F847" s="16" t="inlineStr">
        <is>
          <t>XK2503-18</t>
        </is>
      </c>
      <c r="G847" s="16" t="n">
        <v>45722</v>
      </c>
      <c r="H847" s="17" t="inlineStr">
        <is>
          <t>CÔNG TY TNHH DỊCH VỤ - THƯƠNG MẠI THÉP THIÊN LONG</t>
        </is>
      </c>
      <c r="I847" s="17" t="inlineStr">
        <is>
          <t>Thép tấm 14ly</t>
        </is>
      </c>
      <c r="J847" s="17" t="inlineStr">
        <is>
          <t>kg</t>
        </is>
      </c>
      <c r="K847" s="19" t="n">
        <v>14909.09</v>
      </c>
      <c r="L847" s="20" t="n"/>
      <c r="M847" s="20" t="n"/>
      <c r="N847" s="43" t="n">
        <v>2637.6</v>
      </c>
      <c r="O847" s="20" t="n">
        <v>39324411</v>
      </c>
      <c r="P847" s="43" t="n">
        <v>2637.6</v>
      </c>
      <c r="Q847" s="20" t="n">
        <v>39324411</v>
      </c>
      <c r="R847" s="42">
        <f>+L847+N847-P847</f>
        <v/>
      </c>
      <c r="S847" s="42">
        <f>+M847+O847-Q847</f>
        <v/>
      </c>
    </row>
    <row r="848" ht="30" customHeight="1">
      <c r="A848" s="16" t="n">
        <v>45722</v>
      </c>
      <c r="B848" s="17" t="inlineStr">
        <is>
          <t>MH2503-15</t>
        </is>
      </c>
      <c r="C848" s="16" t="n">
        <v>45722</v>
      </c>
      <c r="D848" s="17" t="inlineStr">
        <is>
          <t>00000265</t>
        </is>
      </c>
      <c r="E848" s="16" t="n">
        <v>45722</v>
      </c>
      <c r="F848" s="16" t="inlineStr">
        <is>
          <t>XK2503-19</t>
        </is>
      </c>
      <c r="G848" s="16" t="n">
        <v>45722</v>
      </c>
      <c r="H848" s="17" t="inlineStr">
        <is>
          <t>CÔNG TY TNHH DỊCH VỤ - THƯƠNG MẠI THÉP THIÊN LONG</t>
        </is>
      </c>
      <c r="I848" s="17" t="inlineStr">
        <is>
          <t>Thép tấm 5ly</t>
        </is>
      </c>
      <c r="J848" s="17" t="inlineStr">
        <is>
          <t>kg</t>
        </is>
      </c>
      <c r="K848" s="19" t="n">
        <v>14090.9</v>
      </c>
      <c r="L848" s="20" t="n"/>
      <c r="M848" s="20" t="n"/>
      <c r="N848" s="43" t="n">
        <v>4710</v>
      </c>
      <c r="O848" s="20" t="n">
        <v>66368139</v>
      </c>
      <c r="P848" s="43" t="n">
        <v>4710</v>
      </c>
      <c r="Q848" s="20" t="n">
        <v>66368139</v>
      </c>
      <c r="R848" s="42">
        <f>+L848+N848-P848</f>
        <v/>
      </c>
      <c r="S848" s="42">
        <f>+M848+O848-Q848</f>
        <v/>
      </c>
    </row>
    <row r="849" ht="30" customHeight="1">
      <c r="A849" s="16" t="n">
        <v>45722</v>
      </c>
      <c r="B849" s="17" t="inlineStr">
        <is>
          <t>MH2503-15</t>
        </is>
      </c>
      <c r="C849" s="16" t="n">
        <v>45722</v>
      </c>
      <c r="D849" s="17" t="inlineStr">
        <is>
          <t>00000265</t>
        </is>
      </c>
      <c r="E849" s="16" t="n">
        <v>45722</v>
      </c>
      <c r="F849" s="16" t="inlineStr">
        <is>
          <t>XK2503-19</t>
        </is>
      </c>
      <c r="G849" s="16" t="n">
        <v>45722</v>
      </c>
      <c r="H849" s="17" t="inlineStr">
        <is>
          <t>CÔNG TY TNHH DỊCH VỤ - THƯƠNG MẠI THÉP THIÊN LONG</t>
        </is>
      </c>
      <c r="I849" s="17" t="inlineStr">
        <is>
          <t>Thép tấm 6ly</t>
        </is>
      </c>
      <c r="J849" s="17" t="inlineStr">
        <is>
          <t>kg</t>
        </is>
      </c>
      <c r="K849" s="19" t="n">
        <v>14090.9</v>
      </c>
      <c r="L849" s="20" t="n"/>
      <c r="M849" s="20" t="n"/>
      <c r="N849" s="43" t="n">
        <v>2260.8</v>
      </c>
      <c r="O849" s="20" t="n">
        <v>31856707</v>
      </c>
      <c r="P849" s="43" t="n">
        <v>2260.8</v>
      </c>
      <c r="Q849" s="20" t="n">
        <v>31856707</v>
      </c>
      <c r="R849" s="42">
        <f>+L849+N849-P849</f>
        <v/>
      </c>
      <c r="S849" s="42">
        <f>+M849+O849-Q849</f>
        <v/>
      </c>
    </row>
    <row r="850" ht="30" customHeight="1">
      <c r="A850" s="16" t="n">
        <v>45722</v>
      </c>
      <c r="B850" s="17" t="inlineStr">
        <is>
          <t>MH2503-15</t>
        </is>
      </c>
      <c r="C850" s="16" t="n">
        <v>45722</v>
      </c>
      <c r="D850" s="17" t="inlineStr">
        <is>
          <t>00000265</t>
        </is>
      </c>
      <c r="E850" s="16" t="n">
        <v>45722</v>
      </c>
      <c r="F850" s="16" t="inlineStr">
        <is>
          <t>XK2503-19</t>
        </is>
      </c>
      <c r="G850" s="16" t="n">
        <v>45722</v>
      </c>
      <c r="H850" s="17" t="inlineStr">
        <is>
          <t>CÔNG TY TNHH DỊCH VỤ - THƯƠNG MẠI THÉP THIÊN LONG</t>
        </is>
      </c>
      <c r="I850" s="17" t="inlineStr">
        <is>
          <t>Thép tấm 8ly</t>
        </is>
      </c>
      <c r="J850" s="17" t="inlineStr">
        <is>
          <t>kg</t>
        </is>
      </c>
      <c r="K850" s="19" t="n">
        <v>14090.9</v>
      </c>
      <c r="L850" s="20" t="n"/>
      <c r="M850" s="20" t="n"/>
      <c r="N850" s="43" t="n">
        <v>4521.6</v>
      </c>
      <c r="O850" s="20" t="n">
        <v>63713413</v>
      </c>
      <c r="P850" s="43" t="n">
        <v>4521.6</v>
      </c>
      <c r="Q850" s="20" t="n">
        <v>63713413</v>
      </c>
      <c r="R850" s="42">
        <f>+L850+N850-P850</f>
        <v/>
      </c>
      <c r="S850" s="42">
        <f>+M850+O850-Q850</f>
        <v/>
      </c>
    </row>
    <row r="851" ht="30" customHeight="1">
      <c r="A851" s="16" t="n">
        <v>45722</v>
      </c>
      <c r="B851" s="17" t="inlineStr">
        <is>
          <t>MH2503-15</t>
        </is>
      </c>
      <c r="C851" s="16" t="n">
        <v>45722</v>
      </c>
      <c r="D851" s="17" t="inlineStr">
        <is>
          <t>00000265</t>
        </is>
      </c>
      <c r="E851" s="16" t="n">
        <v>45722</v>
      </c>
      <c r="F851" s="16" t="inlineStr">
        <is>
          <t>XK2503-19</t>
        </is>
      </c>
      <c r="G851" s="16" t="n">
        <v>45722</v>
      </c>
      <c r="H851" s="17" t="inlineStr">
        <is>
          <t>CÔNG TY TNHH DỊCH VỤ - THƯƠNG MẠI THÉP THIÊN LONG</t>
        </is>
      </c>
      <c r="I851" s="17" t="inlineStr">
        <is>
          <t>Thép tấm 10ly</t>
        </is>
      </c>
      <c r="J851" s="17" t="inlineStr">
        <is>
          <t>kg</t>
        </is>
      </c>
      <c r="K851" s="19" t="n">
        <v>14090.9</v>
      </c>
      <c r="L851" s="20" t="n"/>
      <c r="M851" s="20" t="n"/>
      <c r="N851" s="43" t="n">
        <v>5652</v>
      </c>
      <c r="O851" s="20" t="n">
        <v>79641767</v>
      </c>
      <c r="P851" s="43" t="n">
        <v>5652</v>
      </c>
      <c r="Q851" s="20" t="n">
        <v>79641767</v>
      </c>
      <c r="R851" s="42">
        <f>+L851+N851-P851</f>
        <v/>
      </c>
      <c r="S851" s="42">
        <f>+M851+O851-Q851</f>
        <v/>
      </c>
    </row>
    <row r="852" ht="30" customHeight="1">
      <c r="A852" s="16" t="n">
        <v>45722</v>
      </c>
      <c r="B852" s="17" t="inlineStr">
        <is>
          <t>MH2503-15</t>
        </is>
      </c>
      <c r="C852" s="16" t="n">
        <v>45722</v>
      </c>
      <c r="D852" s="17" t="inlineStr">
        <is>
          <t>00000265</t>
        </is>
      </c>
      <c r="E852" s="16" t="n">
        <v>45722</v>
      </c>
      <c r="F852" s="16" t="inlineStr">
        <is>
          <t>XK2503-19</t>
        </is>
      </c>
      <c r="G852" s="16" t="n">
        <v>45722</v>
      </c>
      <c r="H852" s="17" t="inlineStr">
        <is>
          <t>CÔNG TY TNHH DỊCH VỤ - THƯƠNG MẠI THÉP THIÊN LONG</t>
        </is>
      </c>
      <c r="I852" s="17" t="inlineStr">
        <is>
          <t>Thép tấm 12ly</t>
        </is>
      </c>
      <c r="J852" s="17" t="inlineStr">
        <is>
          <t>kg</t>
        </is>
      </c>
      <c r="K852" s="19" t="n">
        <v>14090.9</v>
      </c>
      <c r="L852" s="20" t="n"/>
      <c r="M852" s="20" t="n"/>
      <c r="N852" s="43" t="n">
        <v>2260.8</v>
      </c>
      <c r="O852" s="20" t="n">
        <v>31856707</v>
      </c>
      <c r="P852" s="43" t="n">
        <v>2260.8</v>
      </c>
      <c r="Q852" s="20" t="n">
        <v>31856707</v>
      </c>
      <c r="R852" s="42">
        <f>+L852+N852-P852</f>
        <v/>
      </c>
      <c r="S852" s="42">
        <f>+M852+O852-Q852</f>
        <v/>
      </c>
    </row>
    <row r="853" ht="30" customHeight="1">
      <c r="A853" s="16" t="n">
        <v>45722</v>
      </c>
      <c r="B853" s="17" t="inlineStr">
        <is>
          <t>MH2503-15</t>
        </is>
      </c>
      <c r="C853" s="16" t="n">
        <v>45722</v>
      </c>
      <c r="D853" s="17" t="inlineStr">
        <is>
          <t>00000265</t>
        </is>
      </c>
      <c r="E853" s="16" t="n">
        <v>45722</v>
      </c>
      <c r="F853" s="16" t="inlineStr">
        <is>
          <t>XK2503-19</t>
        </is>
      </c>
      <c r="G853" s="16" t="n">
        <v>45722</v>
      </c>
      <c r="H853" s="17" t="inlineStr">
        <is>
          <t>CÔNG TY TNHH DỊCH VỤ - THƯƠNG MẠI THÉP THIÊN LONG</t>
        </is>
      </c>
      <c r="I853" s="17" t="inlineStr">
        <is>
          <t>Thép tấm 14ly</t>
        </is>
      </c>
      <c r="J853" s="17" t="inlineStr">
        <is>
          <t>kg</t>
        </is>
      </c>
      <c r="K853" s="19" t="n">
        <v>14909.09</v>
      </c>
      <c r="L853" s="20" t="n"/>
      <c r="M853" s="20" t="n"/>
      <c r="N853" s="43" t="n">
        <v>5275.2</v>
      </c>
      <c r="O853" s="20" t="n">
        <v>78648432</v>
      </c>
      <c r="P853" s="43" t="n">
        <v>5275.2</v>
      </c>
      <c r="Q853" s="20" t="n">
        <v>78648432</v>
      </c>
      <c r="R853" s="42">
        <f>+L853+N853-P853</f>
        <v/>
      </c>
      <c r="S853" s="42">
        <f>+M853+O853-Q853</f>
        <v/>
      </c>
    </row>
    <row r="854" ht="30" customHeight="1">
      <c r="A854" s="16" t="n">
        <v>45722</v>
      </c>
      <c r="B854" s="17" t="inlineStr">
        <is>
          <t>MH2503-15</t>
        </is>
      </c>
      <c r="C854" s="16" t="n">
        <v>45722</v>
      </c>
      <c r="D854" s="17" t="inlineStr">
        <is>
          <t>00000265</t>
        </is>
      </c>
      <c r="E854" s="16" t="n">
        <v>45722</v>
      </c>
      <c r="F854" s="16" t="inlineStr">
        <is>
          <t>XK2503-19</t>
        </is>
      </c>
      <c r="G854" s="16" t="n">
        <v>45722</v>
      </c>
      <c r="H854" s="17" t="inlineStr">
        <is>
          <t>CÔNG TY TNHH DỊCH VỤ - THƯƠNG MẠI THÉP THIÊN LONG</t>
        </is>
      </c>
      <c r="I854" s="17" t="inlineStr">
        <is>
          <t>Thép tấm 16ly</t>
        </is>
      </c>
      <c r="J854" s="17" t="inlineStr">
        <is>
          <t>kg</t>
        </is>
      </c>
      <c r="K854" s="19" t="n">
        <v>14909.09</v>
      </c>
      <c r="L854" s="20" t="n"/>
      <c r="M854" s="20" t="n"/>
      <c r="N854" s="43" t="n">
        <v>3014.4</v>
      </c>
      <c r="O854" s="20" t="n">
        <v>44941961</v>
      </c>
      <c r="P854" s="43" t="n">
        <v>3014.4</v>
      </c>
      <c r="Q854" s="20" t="n">
        <v>44941961</v>
      </c>
      <c r="R854" s="42">
        <f>+L854+N854-P854</f>
        <v/>
      </c>
      <c r="S854" s="42">
        <f>+M854+O854-Q854</f>
        <v/>
      </c>
    </row>
    <row r="855" ht="30" customHeight="1">
      <c r="A855" s="16" t="n">
        <v>45722</v>
      </c>
      <c r="B855" s="17" t="inlineStr">
        <is>
          <t>MH2503-15</t>
        </is>
      </c>
      <c r="C855" s="16" t="n">
        <v>45722</v>
      </c>
      <c r="D855" s="17" t="inlineStr">
        <is>
          <t>00000265</t>
        </is>
      </c>
      <c r="E855" s="16" t="n">
        <v>45722</v>
      </c>
      <c r="F855" s="16" t="inlineStr">
        <is>
          <t>XK2503-19</t>
        </is>
      </c>
      <c r="G855" s="16" t="n">
        <v>45722</v>
      </c>
      <c r="H855" s="17" t="inlineStr">
        <is>
          <t>CÔNG TY TNHH DỊCH VỤ - THƯƠNG MẠI THÉP THIÊN LONG</t>
        </is>
      </c>
      <c r="I855" s="17" t="inlineStr">
        <is>
          <t>Thép tấm gân 5ly</t>
        </is>
      </c>
      <c r="J855" s="17" t="inlineStr">
        <is>
          <t>kg</t>
        </is>
      </c>
      <c r="K855" s="19" t="n">
        <v>13345.54</v>
      </c>
      <c r="L855" s="20" t="n"/>
      <c r="M855" s="20" t="n"/>
      <c r="N855" s="43" t="n">
        <v>706.5</v>
      </c>
      <c r="O855" s="20" t="n">
        <v>9428747</v>
      </c>
      <c r="P855" s="43" t="n">
        <v>706.5</v>
      </c>
      <c r="Q855" s="20" t="n">
        <v>9428747</v>
      </c>
      <c r="R855" s="42">
        <f>+L855+N855-P855</f>
        <v/>
      </c>
      <c r="S855" s="42">
        <f>+M855+O855-Q855</f>
        <v/>
      </c>
    </row>
    <row r="856" ht="30" customHeight="1">
      <c r="A856" s="16" t="n">
        <v>45722</v>
      </c>
      <c r="B856" s="17" t="inlineStr">
        <is>
          <t>MH2503-16</t>
        </is>
      </c>
      <c r="C856" s="16" t="n">
        <v>45722</v>
      </c>
      <c r="D856" s="17" t="inlineStr">
        <is>
          <t>00000266</t>
        </is>
      </c>
      <c r="E856" s="16" t="n">
        <v>45722</v>
      </c>
      <c r="F856" s="16" t="inlineStr">
        <is>
          <t>XK2503-20</t>
        </is>
      </c>
      <c r="G856" s="16" t="n">
        <v>45722</v>
      </c>
      <c r="H856" s="17" t="inlineStr">
        <is>
          <t>CÔNG TY TNHH DỊCH VỤ - THƯƠNG MẠI THÉP THIÊN LONG</t>
        </is>
      </c>
      <c r="I856" s="17" t="inlineStr">
        <is>
          <t>Thép tấm 5ly</t>
        </is>
      </c>
      <c r="J856" s="17" t="inlineStr">
        <is>
          <t>kg</t>
        </is>
      </c>
      <c r="K856" s="19" t="n">
        <v>14090.9</v>
      </c>
      <c r="L856" s="20" t="n"/>
      <c r="M856" s="20" t="n"/>
      <c r="N856" s="43" t="n">
        <v>10362</v>
      </c>
      <c r="O856" s="20" t="n">
        <v>146009906</v>
      </c>
      <c r="P856" s="43" t="n">
        <v>10362</v>
      </c>
      <c r="Q856" s="20" t="n">
        <v>146009906</v>
      </c>
      <c r="R856" s="42">
        <f>+L856+N856-P856</f>
        <v/>
      </c>
      <c r="S856" s="42">
        <f>+M856+O856-Q856</f>
        <v/>
      </c>
    </row>
    <row r="857" ht="30" customHeight="1">
      <c r="A857" s="16" t="n">
        <v>45722</v>
      </c>
      <c r="B857" s="17" t="inlineStr">
        <is>
          <t>MH2503-16</t>
        </is>
      </c>
      <c r="C857" s="16" t="n">
        <v>45722</v>
      </c>
      <c r="D857" s="17" t="inlineStr">
        <is>
          <t>00000266</t>
        </is>
      </c>
      <c r="E857" s="16" t="n">
        <v>45722</v>
      </c>
      <c r="F857" s="16" t="inlineStr">
        <is>
          <t>XK2503-20</t>
        </is>
      </c>
      <c r="G857" s="16" t="n">
        <v>45722</v>
      </c>
      <c r="H857" s="17" t="inlineStr">
        <is>
          <t>CÔNG TY TNHH DỊCH VỤ - THƯƠNG MẠI THÉP THIÊN LONG</t>
        </is>
      </c>
      <c r="I857" s="17" t="inlineStr">
        <is>
          <t>Thép tấm 6ly</t>
        </is>
      </c>
      <c r="J857" s="17" t="inlineStr">
        <is>
          <t>kg</t>
        </is>
      </c>
      <c r="K857" s="19" t="n">
        <v>14090.9</v>
      </c>
      <c r="L857" s="20" t="n"/>
      <c r="M857" s="20" t="n"/>
      <c r="N857" s="43" t="n">
        <v>6217.2</v>
      </c>
      <c r="O857" s="20" t="n">
        <v>87605943</v>
      </c>
      <c r="P857" s="43" t="n">
        <v>6217.2</v>
      </c>
      <c r="Q857" s="20" t="n">
        <v>87605943</v>
      </c>
      <c r="R857" s="42">
        <f>+L857+N857-P857</f>
        <v/>
      </c>
      <c r="S857" s="42">
        <f>+M857+O857-Q857</f>
        <v/>
      </c>
    </row>
    <row r="858" ht="30" customHeight="1">
      <c r="A858" s="16" t="n">
        <v>45722</v>
      </c>
      <c r="B858" s="17" t="inlineStr">
        <is>
          <t>MH2503-16</t>
        </is>
      </c>
      <c r="C858" s="16" t="n">
        <v>45722</v>
      </c>
      <c r="D858" s="17" t="inlineStr">
        <is>
          <t>00000266</t>
        </is>
      </c>
      <c r="E858" s="16" t="n">
        <v>45722</v>
      </c>
      <c r="F858" s="16" t="inlineStr">
        <is>
          <t>XK2503-20</t>
        </is>
      </c>
      <c r="G858" s="16" t="n">
        <v>45722</v>
      </c>
      <c r="H858" s="17" t="inlineStr">
        <is>
          <t>CÔNG TY TNHH DỊCH VỤ - THƯƠNG MẠI THÉP THIÊN LONG</t>
        </is>
      </c>
      <c r="I858" s="17" t="inlineStr">
        <is>
          <t>Thép tấm 8ly</t>
        </is>
      </c>
      <c r="J858" s="17" t="inlineStr">
        <is>
          <t>kg</t>
        </is>
      </c>
      <c r="K858" s="19" t="n">
        <v>14090.9</v>
      </c>
      <c r="L858" s="20" t="n"/>
      <c r="M858" s="20" t="n"/>
      <c r="N858" s="43" t="n">
        <v>7536</v>
      </c>
      <c r="O858" s="20" t="n">
        <v>106189022</v>
      </c>
      <c r="P858" s="43" t="n">
        <v>7536</v>
      </c>
      <c r="Q858" s="20" t="n">
        <v>106189022</v>
      </c>
      <c r="R858" s="42">
        <f>+L858+N858-P858</f>
        <v/>
      </c>
      <c r="S858" s="42">
        <f>+M858+O858-Q858</f>
        <v/>
      </c>
    </row>
    <row r="859" ht="30" customHeight="1">
      <c r="A859" s="16" t="n">
        <v>45722</v>
      </c>
      <c r="B859" s="17" t="inlineStr">
        <is>
          <t>MH2503-16</t>
        </is>
      </c>
      <c r="C859" s="16" t="n">
        <v>45722</v>
      </c>
      <c r="D859" s="17" t="inlineStr">
        <is>
          <t>00000266</t>
        </is>
      </c>
      <c r="E859" s="16" t="n">
        <v>45722</v>
      </c>
      <c r="F859" s="16" t="inlineStr">
        <is>
          <t>XK2503-20</t>
        </is>
      </c>
      <c r="G859" s="16" t="n">
        <v>45722</v>
      </c>
      <c r="H859" s="17" t="inlineStr">
        <is>
          <t>CÔNG TY TNHH DỊCH VỤ - THƯƠNG MẠI THÉP THIÊN LONG</t>
        </is>
      </c>
      <c r="I859" s="17" t="inlineStr">
        <is>
          <t>Thép tấm 12ly</t>
        </is>
      </c>
      <c r="J859" s="17" t="inlineStr">
        <is>
          <t>kg</t>
        </is>
      </c>
      <c r="K859" s="19" t="n">
        <v>14909.09</v>
      </c>
      <c r="L859" s="20" t="n"/>
      <c r="M859" s="20" t="n"/>
      <c r="N859" s="43" t="n">
        <v>5275.2</v>
      </c>
      <c r="O859" s="20" t="n">
        <v>78648657</v>
      </c>
      <c r="P859" s="43" t="n">
        <v>5275.2</v>
      </c>
      <c r="Q859" s="20" t="n">
        <v>78648657</v>
      </c>
      <c r="R859" s="42">
        <f>+L859+N859-P859</f>
        <v/>
      </c>
      <c r="S859" s="42">
        <f>+M859+O859-Q859</f>
        <v/>
      </c>
    </row>
    <row r="860" ht="30" customHeight="1">
      <c r="A860" s="16" t="n">
        <v>45722</v>
      </c>
      <c r="B860" s="17" t="inlineStr">
        <is>
          <t>MH2503-17</t>
        </is>
      </c>
      <c r="C860" s="16" t="n">
        <v>45722</v>
      </c>
      <c r="D860" s="17" t="inlineStr">
        <is>
          <t>00000270</t>
        </is>
      </c>
      <c r="E860" s="16" t="n">
        <v>45722</v>
      </c>
      <c r="F860" s="16" t="inlineStr">
        <is>
          <t>XK2503-21</t>
        </is>
      </c>
      <c r="G860" s="16" t="n">
        <v>45722</v>
      </c>
      <c r="H860" s="17" t="inlineStr">
        <is>
          <t>CÔNG TY TNHH DỊCH VỤ - THƯƠNG MẠI THÉP THIÊN LONG</t>
        </is>
      </c>
      <c r="I860" s="17" t="inlineStr">
        <is>
          <t>Thép góc V63</t>
        </is>
      </c>
      <c r="J860" s="17" t="inlineStr">
        <is>
          <t>kg</t>
        </is>
      </c>
      <c r="K860" s="19" t="n">
        <v>15181.81</v>
      </c>
      <c r="L860" s="20" t="n"/>
      <c r="M860" s="20" t="n"/>
      <c r="N860" s="43" t="n">
        <v>140</v>
      </c>
      <c r="O860" s="20" t="n">
        <v>2125453</v>
      </c>
      <c r="P860" s="43" t="n">
        <v>140</v>
      </c>
      <c r="Q860" s="20" t="n">
        <v>2125453</v>
      </c>
      <c r="R860" s="42">
        <f>+L860+N860-P860</f>
        <v/>
      </c>
      <c r="S860" s="42">
        <f>+M860+O860-Q860</f>
        <v/>
      </c>
    </row>
    <row r="861" ht="30" customHeight="1">
      <c r="A861" s="16" t="n">
        <v>45722</v>
      </c>
      <c r="B861" s="17" t="inlineStr">
        <is>
          <t>MH2503-17</t>
        </is>
      </c>
      <c r="C861" s="16" t="n">
        <v>45722</v>
      </c>
      <c r="D861" s="17" t="inlineStr">
        <is>
          <t>00000270</t>
        </is>
      </c>
      <c r="E861" s="16" t="n">
        <v>45722</v>
      </c>
      <c r="F861" s="16" t="inlineStr">
        <is>
          <t>XK2503-21</t>
        </is>
      </c>
      <c r="G861" s="16" t="n">
        <v>45722</v>
      </c>
      <c r="H861" s="17" t="inlineStr">
        <is>
          <t>CÔNG TY TNHH DỊCH VỤ - THƯƠNG MẠI THÉP THIÊN LONG</t>
        </is>
      </c>
      <c r="I861" s="17" t="inlineStr">
        <is>
          <t>Thép vuông 100</t>
        </is>
      </c>
      <c r="J861" s="17" t="inlineStr">
        <is>
          <t>kg</t>
        </is>
      </c>
      <c r="K861" s="19" t="n">
        <v>16181.81</v>
      </c>
      <c r="L861" s="20" t="n"/>
      <c r="M861" s="20" t="n"/>
      <c r="N861" s="43" t="n">
        <v>1096.56</v>
      </c>
      <c r="O861" s="20" t="n">
        <v>17744349</v>
      </c>
      <c r="P861" s="43" t="n">
        <v>1096.56</v>
      </c>
      <c r="Q861" s="20" t="n">
        <v>17744349</v>
      </c>
      <c r="R861" s="42">
        <f>+L861+N861-P861</f>
        <v/>
      </c>
      <c r="S861" s="42">
        <f>+M861+O861-Q861</f>
        <v/>
      </c>
    </row>
    <row r="862" ht="30" customHeight="1">
      <c r="A862" s="16" t="n">
        <v>45722</v>
      </c>
      <c r="B862" s="17" t="inlineStr">
        <is>
          <t>MH2503-17</t>
        </is>
      </c>
      <c r="C862" s="16" t="n">
        <v>45722</v>
      </c>
      <c r="D862" s="17" t="inlineStr">
        <is>
          <t>00000270</t>
        </is>
      </c>
      <c r="E862" s="16" t="n">
        <v>45722</v>
      </c>
      <c r="F862" s="16" t="inlineStr">
        <is>
          <t>XK2503-21</t>
        </is>
      </c>
      <c r="G862" s="16" t="n">
        <v>45722</v>
      </c>
      <c r="H862" s="17" t="inlineStr">
        <is>
          <t>CÔNG TY TNHH DỊCH VỤ - THƯƠNG MẠI THÉP THIÊN LONG</t>
        </is>
      </c>
      <c r="I862" s="17" t="inlineStr">
        <is>
          <t>Thép hình I150</t>
        </is>
      </c>
      <c r="J862" s="17" t="inlineStr">
        <is>
          <t>kg</t>
        </is>
      </c>
      <c r="K862" s="19" t="n">
        <v>16727.27</v>
      </c>
      <c r="L862" s="20" t="n"/>
      <c r="M862" s="20" t="n"/>
      <c r="N862" s="43" t="n">
        <v>4704</v>
      </c>
      <c r="O862" s="20" t="n">
        <v>78685078</v>
      </c>
      <c r="P862" s="43" t="n">
        <v>4704</v>
      </c>
      <c r="Q862" s="20" t="n">
        <v>78685078</v>
      </c>
      <c r="R862" s="42">
        <f>+L862+N862-P862</f>
        <v/>
      </c>
      <c r="S862" s="42">
        <f>+M862+O862-Q862</f>
        <v/>
      </c>
    </row>
    <row r="863" ht="30" customHeight="1">
      <c r="A863" s="16" t="n">
        <v>45722</v>
      </c>
      <c r="B863" s="17" t="inlineStr">
        <is>
          <t>MH2503-17</t>
        </is>
      </c>
      <c r="C863" s="16" t="n">
        <v>45722</v>
      </c>
      <c r="D863" s="17" t="inlineStr">
        <is>
          <t>00000271</t>
        </is>
      </c>
      <c r="E863" s="16" t="n">
        <v>45722</v>
      </c>
      <c r="F863" s="16" t="inlineStr">
        <is>
          <t>XK2503-22</t>
        </is>
      </c>
      <c r="G863" s="16" t="n">
        <v>45722</v>
      </c>
      <c r="H863" s="17" t="inlineStr">
        <is>
          <t>CÔNG TY TNHH DỊCH VỤ - THƯƠNG MẠI THÉP THIÊN LONG</t>
        </is>
      </c>
      <c r="I863" s="17" t="inlineStr">
        <is>
          <t>Thép góc V63</t>
        </is>
      </c>
      <c r="J863" s="17" t="inlineStr">
        <is>
          <t>kg</t>
        </is>
      </c>
      <c r="K863" s="19" t="n">
        <v>15181.81</v>
      </c>
      <c r="L863" s="20" t="n"/>
      <c r="M863" s="20" t="n"/>
      <c r="N863" s="43" t="n">
        <v>56</v>
      </c>
      <c r="O863" s="20" t="n">
        <v>850187</v>
      </c>
      <c r="P863" s="43" t="n">
        <v>56</v>
      </c>
      <c r="Q863" s="20" t="n">
        <v>850187</v>
      </c>
      <c r="R863" s="42">
        <f>+L863+N863-P863</f>
        <v/>
      </c>
      <c r="S863" s="42">
        <f>+M863+O863-Q863</f>
        <v/>
      </c>
    </row>
    <row r="864" ht="30" customHeight="1">
      <c r="A864" s="16" t="n">
        <v>45722</v>
      </c>
      <c r="B864" s="17" t="inlineStr">
        <is>
          <t>MH2503-17</t>
        </is>
      </c>
      <c r="C864" s="16" t="n">
        <v>45722</v>
      </c>
      <c r="D864" s="17" t="inlineStr">
        <is>
          <t>00000271</t>
        </is>
      </c>
      <c r="E864" s="16" t="n">
        <v>45722</v>
      </c>
      <c r="F864" s="16" t="inlineStr">
        <is>
          <t>XK2503-22</t>
        </is>
      </c>
      <c r="G864" s="16" t="n">
        <v>45722</v>
      </c>
      <c r="H864" s="17" t="inlineStr">
        <is>
          <t>CÔNG TY TNHH DỊCH VỤ - THƯƠNG MẠI THÉP THIÊN LONG</t>
        </is>
      </c>
      <c r="I864" s="17" t="inlineStr">
        <is>
          <t>Thép vuông 100</t>
        </is>
      </c>
      <c r="J864" s="17" t="inlineStr">
        <is>
          <t>kg</t>
        </is>
      </c>
      <c r="K864" s="19" t="n">
        <v>16181.81</v>
      </c>
      <c r="L864" s="20" t="n"/>
      <c r="M864" s="20" t="n"/>
      <c r="N864" s="43" t="n">
        <v>365.52</v>
      </c>
      <c r="O864" s="20" t="n">
        <v>5914775</v>
      </c>
      <c r="P864" s="43" t="n">
        <v>365.52</v>
      </c>
      <c r="Q864" s="20" t="n">
        <v>5914775</v>
      </c>
      <c r="R864" s="42">
        <f>+L864+N864-P864</f>
        <v/>
      </c>
      <c r="S864" s="42">
        <f>+M864+O864-Q864</f>
        <v/>
      </c>
    </row>
    <row r="865" ht="30" customHeight="1">
      <c r="A865" s="16" t="n">
        <v>45722</v>
      </c>
      <c r="B865" s="17" t="inlineStr">
        <is>
          <t>MH2503-17</t>
        </is>
      </c>
      <c r="C865" s="16" t="n">
        <v>45722</v>
      </c>
      <c r="D865" s="17" t="inlineStr">
        <is>
          <t>00000271</t>
        </is>
      </c>
      <c r="E865" s="16" t="n">
        <v>45722</v>
      </c>
      <c r="F865" s="16" t="inlineStr">
        <is>
          <t>XK2503-22</t>
        </is>
      </c>
      <c r="G865" s="16" t="n">
        <v>45722</v>
      </c>
      <c r="H865" s="17" t="inlineStr">
        <is>
          <t>CÔNG TY TNHH DỊCH VỤ - THƯƠNG MẠI THÉP THIÊN LONG</t>
        </is>
      </c>
      <c r="I865" s="17" t="inlineStr">
        <is>
          <t>Thép hình I150</t>
        </is>
      </c>
      <c r="J865" s="17" t="inlineStr">
        <is>
          <t>kg</t>
        </is>
      </c>
      <c r="K865" s="19" t="n">
        <v>16727.27</v>
      </c>
      <c r="L865" s="20" t="n"/>
      <c r="M865" s="20" t="n"/>
      <c r="N865" s="43" t="n">
        <v>672</v>
      </c>
      <c r="O865" s="20" t="n">
        <v>11240725</v>
      </c>
      <c r="P865" s="43" t="n">
        <v>672</v>
      </c>
      <c r="Q865" s="20" t="n">
        <v>11240725</v>
      </c>
      <c r="R865" s="42">
        <f>+L865+N865-P865</f>
        <v/>
      </c>
      <c r="S865" s="42">
        <f>+M865+O865-Q865</f>
        <v/>
      </c>
    </row>
    <row r="866" ht="30" customHeight="1">
      <c r="A866" s="16" t="n">
        <v>45722</v>
      </c>
      <c r="B866" s="17" t="inlineStr">
        <is>
          <t>MH2503-17</t>
        </is>
      </c>
      <c r="C866" s="16" t="n">
        <v>45722</v>
      </c>
      <c r="D866" s="17" t="inlineStr">
        <is>
          <t>00000272</t>
        </is>
      </c>
      <c r="E866" s="16" t="n">
        <v>45722</v>
      </c>
      <c r="F866" s="16" t="inlineStr">
        <is>
          <t>XK2503-23</t>
        </is>
      </c>
      <c r="G866" s="16" t="n">
        <v>45722</v>
      </c>
      <c r="H866" s="17" t="inlineStr">
        <is>
          <t>CÔNG TY TNHH DỊCH VỤ - THƯƠNG MẠI THÉP THIÊN LONG</t>
        </is>
      </c>
      <c r="I866" s="17" t="inlineStr">
        <is>
          <t>Thép góc V63</t>
        </is>
      </c>
      <c r="J866" s="17" t="inlineStr">
        <is>
          <t>kg</t>
        </is>
      </c>
      <c r="K866" s="19" t="n">
        <v>15181.81</v>
      </c>
      <c r="L866" s="20" t="n"/>
      <c r="M866" s="20" t="n"/>
      <c r="N866" s="43" t="n">
        <v>140</v>
      </c>
      <c r="O866" s="20" t="n">
        <v>2125453</v>
      </c>
      <c r="P866" s="43" t="n">
        <v>140</v>
      </c>
      <c r="Q866" s="20" t="n">
        <v>2125453</v>
      </c>
      <c r="R866" s="42">
        <f>+L866+N866-P866</f>
        <v/>
      </c>
      <c r="S866" s="42">
        <f>+M866+O866-Q866</f>
        <v/>
      </c>
    </row>
    <row r="867" ht="30" customHeight="1">
      <c r="A867" s="16" t="n">
        <v>45722</v>
      </c>
      <c r="B867" s="17" t="inlineStr">
        <is>
          <t>MH2503-17</t>
        </is>
      </c>
      <c r="C867" s="16" t="n">
        <v>45722</v>
      </c>
      <c r="D867" s="17" t="inlineStr">
        <is>
          <t>00000272</t>
        </is>
      </c>
      <c r="E867" s="16" t="n">
        <v>45722</v>
      </c>
      <c r="F867" s="16" t="inlineStr">
        <is>
          <t>XK2503-23</t>
        </is>
      </c>
      <c r="G867" s="16" t="n">
        <v>45722</v>
      </c>
      <c r="H867" s="17" t="inlineStr">
        <is>
          <t>CÔNG TY TNHH DỊCH VỤ - THƯƠNG MẠI THÉP THIÊN LONG</t>
        </is>
      </c>
      <c r="I867" s="17" t="inlineStr">
        <is>
          <t>Thép vuông 100</t>
        </is>
      </c>
      <c r="J867" s="17" t="inlineStr">
        <is>
          <t>kg</t>
        </is>
      </c>
      <c r="K867" s="19" t="n">
        <v>16181.81</v>
      </c>
      <c r="L867" s="20" t="n"/>
      <c r="M867" s="20" t="n"/>
      <c r="N867" s="43" t="n">
        <v>959.49</v>
      </c>
      <c r="O867" s="20" t="n">
        <v>15526285</v>
      </c>
      <c r="P867" s="43" t="n">
        <v>959.49</v>
      </c>
      <c r="Q867" s="20" t="n">
        <v>15526285</v>
      </c>
      <c r="R867" s="42">
        <f>+L867+N867-P867</f>
        <v/>
      </c>
      <c r="S867" s="42">
        <f>+M867+O867-Q867</f>
        <v/>
      </c>
    </row>
    <row r="868" ht="30" customHeight="1">
      <c r="A868" s="16" t="n">
        <v>45722</v>
      </c>
      <c r="B868" s="17" t="inlineStr">
        <is>
          <t>MH2503-17</t>
        </is>
      </c>
      <c r="C868" s="16" t="n">
        <v>45722</v>
      </c>
      <c r="D868" s="17" t="inlineStr">
        <is>
          <t>00000272</t>
        </is>
      </c>
      <c r="E868" s="16" t="n">
        <v>45722</v>
      </c>
      <c r="F868" s="16" t="inlineStr">
        <is>
          <t>XK2503-23</t>
        </is>
      </c>
      <c r="G868" s="16" t="n">
        <v>45722</v>
      </c>
      <c r="H868" s="17" t="inlineStr">
        <is>
          <t>CÔNG TY TNHH DỊCH VỤ - THƯƠNG MẠI THÉP THIÊN LONG</t>
        </is>
      </c>
      <c r="I868" s="17" t="inlineStr">
        <is>
          <t>Thép hình I150</t>
        </is>
      </c>
      <c r="J868" s="17" t="inlineStr">
        <is>
          <t>kg</t>
        </is>
      </c>
      <c r="K868" s="19" t="n">
        <v>16727.27</v>
      </c>
      <c r="L868" s="20" t="n"/>
      <c r="M868" s="20" t="n"/>
      <c r="N868" s="43" t="n">
        <v>4368</v>
      </c>
      <c r="O868" s="20" t="n">
        <v>73064737</v>
      </c>
      <c r="P868" s="43" t="n">
        <v>4368</v>
      </c>
      <c r="Q868" s="20" t="n">
        <v>73064737</v>
      </c>
      <c r="R868" s="42">
        <f>+L868+N868-P868</f>
        <v/>
      </c>
      <c r="S868" s="42">
        <f>+M868+O868-Q868</f>
        <v/>
      </c>
    </row>
    <row r="869" ht="30" customHeight="1">
      <c r="A869" s="16" t="n">
        <v>45722</v>
      </c>
      <c r="B869" s="17" t="inlineStr">
        <is>
          <t>MH2503-18</t>
        </is>
      </c>
      <c r="C869" s="16" t="n">
        <v>45722</v>
      </c>
      <c r="D869" s="17" t="inlineStr">
        <is>
          <t>00000273</t>
        </is>
      </c>
      <c r="E869" s="16" t="n">
        <v>45722</v>
      </c>
      <c r="F869" s="16" t="inlineStr">
        <is>
          <t>XK2503-24</t>
        </is>
      </c>
      <c r="G869" s="16" t="n">
        <v>45722</v>
      </c>
      <c r="H869" s="17" t="inlineStr">
        <is>
          <t>CÔNG TY TNHH DỊCH VỤ - THƯƠNG MẠI THÉP THIÊN LONG</t>
        </is>
      </c>
      <c r="I869" s="17" t="inlineStr">
        <is>
          <t>Thép góc V63</t>
        </is>
      </c>
      <c r="J869" s="17" t="inlineStr">
        <is>
          <t>kg</t>
        </is>
      </c>
      <c r="K869" s="19" t="n">
        <v>15181.81</v>
      </c>
      <c r="L869" s="20" t="n"/>
      <c r="M869" s="20" t="n"/>
      <c r="N869" s="43" t="n">
        <v>56</v>
      </c>
      <c r="O869" s="20" t="n">
        <v>850181</v>
      </c>
      <c r="P869" s="43" t="n">
        <v>56</v>
      </c>
      <c r="Q869" s="20" t="n">
        <v>850181</v>
      </c>
      <c r="R869" s="42">
        <f>+L869+N869-P869</f>
        <v/>
      </c>
      <c r="S869" s="42">
        <f>+M869+O869-Q869</f>
        <v/>
      </c>
    </row>
    <row r="870" ht="30" customHeight="1">
      <c r="A870" s="16" t="n">
        <v>45722</v>
      </c>
      <c r="B870" s="17" t="inlineStr">
        <is>
          <t>MH2503-18</t>
        </is>
      </c>
      <c r="C870" s="16" t="n">
        <v>45722</v>
      </c>
      <c r="D870" s="17" t="inlineStr">
        <is>
          <t>00000273</t>
        </is>
      </c>
      <c r="E870" s="16" t="n">
        <v>45722</v>
      </c>
      <c r="F870" s="16" t="inlineStr">
        <is>
          <t>XK2503-24</t>
        </is>
      </c>
      <c r="G870" s="16" t="n">
        <v>45722</v>
      </c>
      <c r="H870" s="17" t="inlineStr">
        <is>
          <t>CÔNG TY TNHH DỊCH VỤ - THƯƠNG MẠI THÉP THIÊN LONG</t>
        </is>
      </c>
      <c r="I870" s="17" t="inlineStr">
        <is>
          <t>Thép vuông 100</t>
        </is>
      </c>
      <c r="J870" s="17" t="inlineStr">
        <is>
          <t>kg</t>
        </is>
      </c>
      <c r="K870" s="19" t="n">
        <v>16181.81</v>
      </c>
      <c r="L870" s="20" t="n"/>
      <c r="M870" s="20" t="n"/>
      <c r="N870" s="43" t="n">
        <v>868.11</v>
      </c>
      <c r="O870" s="20" t="n">
        <v>14047591</v>
      </c>
      <c r="P870" s="43" t="n">
        <v>868.11</v>
      </c>
      <c r="Q870" s="20" t="n">
        <v>14047591</v>
      </c>
      <c r="R870" s="42">
        <f>+L870+N870-P870</f>
        <v/>
      </c>
      <c r="S870" s="42">
        <f>+M870+O870-Q870</f>
        <v/>
      </c>
    </row>
    <row r="871" ht="30" customHeight="1">
      <c r="A871" s="16" t="n">
        <v>45722</v>
      </c>
      <c r="B871" s="17" t="inlineStr">
        <is>
          <t>MH2503-18</t>
        </is>
      </c>
      <c r="C871" s="16" t="n">
        <v>45722</v>
      </c>
      <c r="D871" s="17" t="inlineStr">
        <is>
          <t>00000273</t>
        </is>
      </c>
      <c r="E871" s="16" t="n">
        <v>45722</v>
      </c>
      <c r="F871" s="16" t="inlineStr">
        <is>
          <t>XK2503-24</t>
        </is>
      </c>
      <c r="G871" s="16" t="n">
        <v>45722</v>
      </c>
      <c r="H871" s="17" t="inlineStr">
        <is>
          <t>CÔNG TY TNHH DỊCH VỤ - THƯƠNG MẠI THÉP THIÊN LONG</t>
        </is>
      </c>
      <c r="I871" s="17" t="inlineStr">
        <is>
          <t>Thép hình I150</t>
        </is>
      </c>
      <c r="J871" s="17" t="inlineStr">
        <is>
          <t>kg</t>
        </is>
      </c>
      <c r="K871" s="19" t="n">
        <v>16727.27</v>
      </c>
      <c r="L871" s="20" t="n"/>
      <c r="M871" s="20" t="n"/>
      <c r="N871" s="43" t="n">
        <v>168</v>
      </c>
      <c r="O871" s="20" t="n">
        <v>2810181</v>
      </c>
      <c r="P871" s="43" t="n">
        <v>168</v>
      </c>
      <c r="Q871" s="20" t="n">
        <v>2810181</v>
      </c>
      <c r="R871" s="42">
        <f>+L871+N871-P871</f>
        <v/>
      </c>
      <c r="S871" s="42">
        <f>+M871+O871-Q871</f>
        <v/>
      </c>
    </row>
    <row r="872" ht="30" customHeight="1">
      <c r="A872" s="16" t="n">
        <v>45722</v>
      </c>
      <c r="B872" s="17" t="inlineStr">
        <is>
          <t>MH2503-18</t>
        </is>
      </c>
      <c r="C872" s="16" t="n">
        <v>45722</v>
      </c>
      <c r="D872" s="17" t="inlineStr">
        <is>
          <t>00000273</t>
        </is>
      </c>
      <c r="E872" s="16" t="n">
        <v>45722</v>
      </c>
      <c r="F872" s="16" t="inlineStr">
        <is>
          <t>XK2503-24</t>
        </is>
      </c>
      <c r="G872" s="16" t="n">
        <v>45722</v>
      </c>
      <c r="H872" s="17" t="inlineStr">
        <is>
          <t>CÔNG TY TNHH DỊCH VỤ - THƯƠNG MẠI THÉP THIÊN LONG</t>
        </is>
      </c>
      <c r="I872" s="17" t="inlineStr">
        <is>
          <t>Thép ống đen 26.65</t>
        </is>
      </c>
      <c r="J872" s="17" t="inlineStr">
        <is>
          <t>kg</t>
        </is>
      </c>
      <c r="K872" s="19" t="n">
        <v>16454.54</v>
      </c>
      <c r="L872" s="20" t="n"/>
      <c r="M872" s="20" t="n"/>
      <c r="N872" s="43" t="n">
        <v>36.45</v>
      </c>
      <c r="O872" s="20" t="n">
        <v>599777</v>
      </c>
      <c r="P872" s="43" t="n">
        <v>36.45</v>
      </c>
      <c r="Q872" s="20" t="n">
        <v>599777</v>
      </c>
      <c r="R872" s="42">
        <f>+L872+N872-P872</f>
        <v/>
      </c>
      <c r="S872" s="42">
        <f>+M872+O872-Q872</f>
        <v/>
      </c>
    </row>
    <row r="873" ht="30" customHeight="1">
      <c r="A873" s="16" t="n">
        <v>45722</v>
      </c>
      <c r="B873" s="17" t="inlineStr">
        <is>
          <t>MH2503-18</t>
        </is>
      </c>
      <c r="C873" s="16" t="n">
        <v>45722</v>
      </c>
      <c r="D873" s="17" t="inlineStr">
        <is>
          <t>00000273</t>
        </is>
      </c>
      <c r="E873" s="16" t="n">
        <v>45722</v>
      </c>
      <c r="F873" s="16" t="inlineStr">
        <is>
          <t>XK2503-24</t>
        </is>
      </c>
      <c r="G873" s="16" t="n">
        <v>45722</v>
      </c>
      <c r="H873" s="17" t="inlineStr">
        <is>
          <t>CÔNG TY TNHH DỊCH VỤ - THƯƠNG MẠI THÉP THIÊN LONG</t>
        </is>
      </c>
      <c r="I873" s="17" t="inlineStr">
        <is>
          <t>Thép ống đen 42.2</t>
        </is>
      </c>
      <c r="J873" s="17" t="inlineStr">
        <is>
          <t>kg</t>
        </is>
      </c>
      <c r="K873" s="19" t="n">
        <v>16454.54</v>
      </c>
      <c r="L873" s="20" t="n"/>
      <c r="M873" s="20" t="n"/>
      <c r="N873" s="43" t="n">
        <v>87</v>
      </c>
      <c r="O873" s="20" t="n">
        <v>1431545</v>
      </c>
      <c r="P873" s="43" t="n">
        <v>87</v>
      </c>
      <c r="Q873" s="20" t="n">
        <v>1431545</v>
      </c>
      <c r="R873" s="42">
        <f>+L873+N873-P873</f>
        <v/>
      </c>
      <c r="S873" s="42">
        <f>+M873+O873-Q873</f>
        <v/>
      </c>
    </row>
    <row r="874" ht="30" customHeight="1">
      <c r="A874" s="16" t="n">
        <v>45722</v>
      </c>
      <c r="B874" s="17" t="inlineStr">
        <is>
          <t>MH2503-19</t>
        </is>
      </c>
      <c r="C874" s="16" t="n">
        <v>45722</v>
      </c>
      <c r="D874" s="17" t="inlineStr">
        <is>
          <t>00000274</t>
        </is>
      </c>
      <c r="E874" s="16" t="n">
        <v>45722</v>
      </c>
      <c r="F874" s="16" t="inlineStr">
        <is>
          <t>XK2503-25</t>
        </is>
      </c>
      <c r="G874" s="16" t="n">
        <v>45722</v>
      </c>
      <c r="H874" s="17" t="inlineStr">
        <is>
          <t>CÔNG TY TNHH DỊCH VỤ - THƯƠNG MẠI THÉP THIÊN LONG</t>
        </is>
      </c>
      <c r="I874" s="17" t="inlineStr">
        <is>
          <t>Thép tấm 5ly</t>
        </is>
      </c>
      <c r="J874" s="17" t="inlineStr">
        <is>
          <t>kg</t>
        </is>
      </c>
      <c r="K874" s="19" t="n">
        <v>14090.9</v>
      </c>
      <c r="L874" s="20" t="n"/>
      <c r="M874" s="20" t="n"/>
      <c r="N874" s="43" t="n">
        <v>20724</v>
      </c>
      <c r="O874" s="20" t="n">
        <v>292020000</v>
      </c>
      <c r="P874" s="43" t="n">
        <v>20724</v>
      </c>
      <c r="Q874" s="20" t="n">
        <v>292020000</v>
      </c>
      <c r="R874" s="42">
        <f>+L874+N874-P874</f>
        <v/>
      </c>
      <c r="S874" s="42">
        <f>+M874+O874-Q874</f>
        <v/>
      </c>
    </row>
    <row r="875" ht="30" customHeight="1">
      <c r="A875" s="16" t="n">
        <v>45722</v>
      </c>
      <c r="B875" s="17" t="inlineStr">
        <is>
          <t>MH2503-20</t>
        </is>
      </c>
      <c r="C875" s="16" t="n">
        <v>45722</v>
      </c>
      <c r="D875" s="17" t="inlineStr">
        <is>
          <t>00000275</t>
        </is>
      </c>
      <c r="E875" s="16" t="n">
        <v>45722</v>
      </c>
      <c r="F875" s="16" t="inlineStr">
        <is>
          <t>XK2503-26</t>
        </is>
      </c>
      <c r="G875" s="16" t="n">
        <v>45722</v>
      </c>
      <c r="H875" s="17" t="inlineStr">
        <is>
          <t>CÔNG TY TNHH DỊCH VỤ - THƯƠNG MẠI THÉP THIÊN LONG</t>
        </is>
      </c>
      <c r="I875" s="17" t="inlineStr">
        <is>
          <t>Thép tấm 4ly</t>
        </is>
      </c>
      <c r="J875" s="17" t="inlineStr">
        <is>
          <t>kg</t>
        </is>
      </c>
      <c r="K875" s="19" t="n">
        <v>14090.9</v>
      </c>
      <c r="L875" s="20" t="n"/>
      <c r="M875" s="20" t="n"/>
      <c r="N875" s="43" t="n">
        <v>5652</v>
      </c>
      <c r="O875" s="20" t="n">
        <v>79641818</v>
      </c>
      <c r="P875" s="43" t="n">
        <v>5652</v>
      </c>
      <c r="Q875" s="20" t="n">
        <v>79641818</v>
      </c>
      <c r="R875" s="42">
        <f>+L875+N875-P875</f>
        <v/>
      </c>
      <c r="S875" s="42">
        <f>+M875+O875-Q875</f>
        <v/>
      </c>
    </row>
    <row r="876" ht="30" customHeight="1">
      <c r="A876" s="16" t="n">
        <v>45722</v>
      </c>
      <c r="B876" s="17" t="inlineStr">
        <is>
          <t>MH2503-21</t>
        </is>
      </c>
      <c r="C876" s="16" t="n">
        <v>45722</v>
      </c>
      <c r="D876" s="17" t="inlineStr">
        <is>
          <t>00000276</t>
        </is>
      </c>
      <c r="E876" s="16" t="n">
        <v>45722</v>
      </c>
      <c r="F876" s="16" t="inlineStr">
        <is>
          <t>XK2503-27</t>
        </is>
      </c>
      <c r="G876" s="16" t="n">
        <v>45722</v>
      </c>
      <c r="H876" s="17" t="inlineStr">
        <is>
          <t>CÔNG TY TNHH DỊCH VỤ - THƯƠNG MẠI THÉP THIÊN LONG</t>
        </is>
      </c>
      <c r="I876" s="17" t="inlineStr">
        <is>
          <t>Thép tấm 30ly</t>
        </is>
      </c>
      <c r="J876" s="17" t="inlineStr">
        <is>
          <t>kg</t>
        </is>
      </c>
      <c r="K876" s="19" t="n">
        <v>14909.09</v>
      </c>
      <c r="L876" s="20" t="n"/>
      <c r="M876" s="20" t="n"/>
      <c r="N876" s="43" t="n">
        <v>5652</v>
      </c>
      <c r="O876" s="20" t="n">
        <v>84266187</v>
      </c>
      <c r="P876" s="43" t="n">
        <v>5652</v>
      </c>
      <c r="Q876" s="20" t="n">
        <v>84266187</v>
      </c>
      <c r="R876" s="42">
        <f>+L876+N876-P876</f>
        <v/>
      </c>
      <c r="S876" s="42">
        <f>+M876+O876-Q876</f>
        <v/>
      </c>
    </row>
    <row r="877" ht="30" customHeight="1">
      <c r="A877" s="16" t="n">
        <v>45722</v>
      </c>
      <c r="B877" s="17" t="inlineStr">
        <is>
          <t>MH2503-21</t>
        </is>
      </c>
      <c r="C877" s="16" t="n">
        <v>45722</v>
      </c>
      <c r="D877" s="17" t="inlineStr">
        <is>
          <t>00000276</t>
        </is>
      </c>
      <c r="E877" s="16" t="n">
        <v>45722</v>
      </c>
      <c r="F877" s="16" t="inlineStr">
        <is>
          <t>XK2503-27</t>
        </is>
      </c>
      <c r="G877" s="16" t="n">
        <v>45722</v>
      </c>
      <c r="H877" s="17" t="inlineStr">
        <is>
          <t>CÔNG TY TNHH DỊCH VỤ - THƯƠNG MẠI THÉP THIÊN LONG</t>
        </is>
      </c>
      <c r="I877" s="17" t="inlineStr">
        <is>
          <t>Thép tấm 20ly</t>
        </is>
      </c>
      <c r="J877" s="17" t="inlineStr">
        <is>
          <t>kg</t>
        </is>
      </c>
      <c r="K877" s="19" t="n">
        <v>14909.09</v>
      </c>
      <c r="L877" s="20" t="n"/>
      <c r="M877" s="20" t="n"/>
      <c r="N877" s="43" t="n">
        <v>5181</v>
      </c>
      <c r="O877" s="20" t="n">
        <v>77243995</v>
      </c>
      <c r="P877" s="43" t="n">
        <v>5181</v>
      </c>
      <c r="Q877" s="20" t="n">
        <v>77243995</v>
      </c>
      <c r="R877" s="42">
        <f>+L877+N877-P877</f>
        <v/>
      </c>
      <c r="S877" s="42">
        <f>+M877+O877-Q877</f>
        <v/>
      </c>
    </row>
    <row r="878" ht="30" customHeight="1">
      <c r="A878" s="16" t="n">
        <v>45722</v>
      </c>
      <c r="B878" s="17" t="inlineStr">
        <is>
          <t>MH2503-22</t>
        </is>
      </c>
      <c r="C878" s="16" t="n">
        <v>45722</v>
      </c>
      <c r="D878" s="17" t="inlineStr">
        <is>
          <t>00000277</t>
        </is>
      </c>
      <c r="E878" s="16" t="n">
        <v>45722</v>
      </c>
      <c r="F878" s="16" t="inlineStr">
        <is>
          <t>XK2503-28</t>
        </is>
      </c>
      <c r="G878" s="16" t="n">
        <v>45722</v>
      </c>
      <c r="H878" s="17" t="inlineStr">
        <is>
          <t>CÔNG TY TNHH DỊCH VỤ - THƯƠNG MẠI THÉP THIÊN LONG</t>
        </is>
      </c>
      <c r="I878" s="17" t="inlineStr">
        <is>
          <t>Thép tấm 5ly</t>
        </is>
      </c>
      <c r="J878" s="17" t="inlineStr">
        <is>
          <t>kg</t>
        </is>
      </c>
      <c r="K878" s="19" t="n">
        <v>14090.9</v>
      </c>
      <c r="L878" s="20" t="n"/>
      <c r="M878" s="20" t="n"/>
      <c r="N878" s="43" t="n">
        <v>20724</v>
      </c>
      <c r="O878" s="20" t="n">
        <v>292020000</v>
      </c>
      <c r="P878" s="43" t="n">
        <v>20724</v>
      </c>
      <c r="Q878" s="20" t="n">
        <v>292020000</v>
      </c>
      <c r="R878" s="42">
        <f>+L878+N878-P878</f>
        <v/>
      </c>
      <c r="S878" s="42">
        <f>+M878+O878-Q878</f>
        <v/>
      </c>
    </row>
    <row r="879" ht="15" customHeight="1">
      <c r="A879" s="16" t="n">
        <v>45723</v>
      </c>
      <c r="B879" s="17" t="inlineStr">
        <is>
          <t>MH2503-23</t>
        </is>
      </c>
      <c r="C879" s="16" t="n">
        <v>45723</v>
      </c>
      <c r="D879" s="17" t="inlineStr">
        <is>
          <t>00000660</t>
        </is>
      </c>
      <c r="E879" s="16" t="n">
        <v>45723</v>
      </c>
      <c r="F879" s="16" t="inlineStr">
        <is>
          <t>XK2503-29</t>
        </is>
      </c>
      <c r="G879" s="16" t="n">
        <v>45723</v>
      </c>
      <c r="H879" s="17" t="inlineStr">
        <is>
          <t>CÔNG TY TNHH TÂN MỸ HẠNH</t>
        </is>
      </c>
      <c r="I879" s="17" t="inlineStr">
        <is>
          <t>Thép dày mạ kẽm</t>
        </is>
      </c>
      <c r="J879" s="17" t="inlineStr">
        <is>
          <t>kg</t>
        </is>
      </c>
      <c r="K879" s="19" t="n">
        <v>22696</v>
      </c>
      <c r="L879" s="20" t="n"/>
      <c r="M879" s="20" t="n"/>
      <c r="N879" s="43" t="n">
        <v>221.8483</v>
      </c>
      <c r="O879" s="20" t="n">
        <v>5035069</v>
      </c>
      <c r="P879" s="43" t="n">
        <v>221.8483</v>
      </c>
      <c r="Q879" s="20" t="n">
        <v>5035069</v>
      </c>
      <c r="R879" s="42">
        <f>+L879+N879-P879</f>
        <v/>
      </c>
      <c r="S879" s="42">
        <f>+M879+O879-Q879</f>
        <v/>
      </c>
    </row>
    <row r="880" ht="15" customHeight="1">
      <c r="A880" s="16" t="n">
        <v>45723</v>
      </c>
      <c r="B880" s="17" t="inlineStr">
        <is>
          <t>MH2503-23</t>
        </is>
      </c>
      <c r="C880" s="16" t="n">
        <v>45723</v>
      </c>
      <c r="D880" s="17" t="inlineStr">
        <is>
          <t>00000660</t>
        </is>
      </c>
      <c r="E880" s="16" t="n">
        <v>45723</v>
      </c>
      <c r="F880" s="16" t="inlineStr">
        <is>
          <t>XK2503-29</t>
        </is>
      </c>
      <c r="G880" s="16" t="n">
        <v>45723</v>
      </c>
      <c r="H880" s="17" t="inlineStr">
        <is>
          <t>CÔNG TY TNHH TÂN MỸ HẠNH</t>
        </is>
      </c>
      <c r="I880" s="17" t="inlineStr">
        <is>
          <t>Xà gồ kẽm Z</t>
        </is>
      </c>
      <c r="J880" s="17" t="inlineStr">
        <is>
          <t>kg</t>
        </is>
      </c>
      <c r="K880" s="19" t="n">
        <v>18976</v>
      </c>
      <c r="L880" s="20" t="n"/>
      <c r="M880" s="20" t="n"/>
      <c r="N880" s="43" t="n">
        <v>1669.3096</v>
      </c>
      <c r="O880" s="20" t="n">
        <v>31676819</v>
      </c>
      <c r="P880" s="43" t="n">
        <v>1669.3096</v>
      </c>
      <c r="Q880" s="20" t="n">
        <v>31676819</v>
      </c>
      <c r="R880" s="42">
        <f>+L880+N880-P880</f>
        <v/>
      </c>
      <c r="S880" s="42">
        <f>+M880+O880-Q880</f>
        <v/>
      </c>
    </row>
    <row r="881" ht="15" customHeight="1">
      <c r="A881" s="16" t="n">
        <v>45723</v>
      </c>
      <c r="B881" s="17" t="inlineStr">
        <is>
          <t>MH2503-23</t>
        </is>
      </c>
      <c r="C881" s="16" t="n">
        <v>45723</v>
      </c>
      <c r="D881" s="17" t="inlineStr">
        <is>
          <t>00000661</t>
        </is>
      </c>
      <c r="E881" s="16" t="n">
        <v>45723</v>
      </c>
      <c r="F881" s="16" t="inlineStr">
        <is>
          <t>XK2503-30</t>
        </is>
      </c>
      <c r="G881" s="16" t="n">
        <v>45723</v>
      </c>
      <c r="H881" s="17" t="inlineStr">
        <is>
          <t>CÔNG TY TNHH TÂN MỸ HẠNH</t>
        </is>
      </c>
      <c r="I881" s="17" t="inlineStr">
        <is>
          <t>Thép dày mạ kẽm</t>
        </is>
      </c>
      <c r="J881" s="17" t="inlineStr">
        <is>
          <t>kg</t>
        </is>
      </c>
      <c r="K881" s="19" t="n">
        <v>22696</v>
      </c>
      <c r="L881" s="20" t="n"/>
      <c r="M881" s="20" t="n"/>
      <c r="N881" s="43" t="n">
        <v>245.2008</v>
      </c>
      <c r="O881" s="20" t="n">
        <v>5565077</v>
      </c>
      <c r="P881" s="43" t="n">
        <v>245.2008</v>
      </c>
      <c r="Q881" s="20" t="n">
        <v>5565077</v>
      </c>
      <c r="R881" s="42">
        <f>+L881+N881-P881</f>
        <v/>
      </c>
      <c r="S881" s="42">
        <f>+M881+O881-Q881</f>
        <v/>
      </c>
    </row>
    <row r="882" ht="15" customHeight="1">
      <c r="A882" s="16" t="n">
        <v>45723</v>
      </c>
      <c r="B882" s="17" t="inlineStr">
        <is>
          <t>MH2503-23</t>
        </is>
      </c>
      <c r="C882" s="16" t="n">
        <v>45723</v>
      </c>
      <c r="D882" s="17" t="inlineStr">
        <is>
          <t>00000661</t>
        </is>
      </c>
      <c r="E882" s="16" t="n">
        <v>45723</v>
      </c>
      <c r="F882" s="16" t="inlineStr">
        <is>
          <t>XK2503-30</t>
        </is>
      </c>
      <c r="G882" s="16" t="n">
        <v>45723</v>
      </c>
      <c r="H882" s="17" t="inlineStr">
        <is>
          <t>CÔNG TY TNHH TÂN MỸ HẠNH</t>
        </is>
      </c>
      <c r="I882" s="17" t="inlineStr">
        <is>
          <t>Xà gồ kẽm Z</t>
        </is>
      </c>
      <c r="J882" s="17" t="inlineStr">
        <is>
          <t>kg</t>
        </is>
      </c>
      <c r="K882" s="19" t="n">
        <v>18976</v>
      </c>
      <c r="L882" s="20" t="n"/>
      <c r="M882" s="20" t="n"/>
      <c r="N882" s="43" t="n">
        <v>1840.1646</v>
      </c>
      <c r="O882" s="20" t="n">
        <v>34918963</v>
      </c>
      <c r="P882" s="43" t="n">
        <v>1840.1646</v>
      </c>
      <c r="Q882" s="20" t="n">
        <v>34918963</v>
      </c>
      <c r="R882" s="42">
        <f>+L882+N882-P882</f>
        <v/>
      </c>
      <c r="S882" s="42">
        <f>+M882+O882-Q882</f>
        <v/>
      </c>
    </row>
    <row r="883" ht="15" customHeight="1">
      <c r="A883" s="16" t="n">
        <v>45723</v>
      </c>
      <c r="B883" s="17" t="inlineStr">
        <is>
          <t>MH2503-23</t>
        </is>
      </c>
      <c r="C883" s="16" t="n">
        <v>45723</v>
      </c>
      <c r="D883" s="17" t="inlineStr">
        <is>
          <t>00000662</t>
        </is>
      </c>
      <c r="E883" s="16" t="n">
        <v>45723</v>
      </c>
      <c r="F883" s="16" t="inlineStr">
        <is>
          <t>XK2503-31</t>
        </is>
      </c>
      <c r="G883" s="16" t="n">
        <v>45723</v>
      </c>
      <c r="H883" s="17" t="inlineStr">
        <is>
          <t>CÔNG TY TNHH TÂN MỸ HẠNH</t>
        </is>
      </c>
      <c r="I883" s="17" t="inlineStr">
        <is>
          <t>Thép dày mạ kẽm</t>
        </is>
      </c>
      <c r="J883" s="17" t="inlineStr">
        <is>
          <t>kg</t>
        </is>
      </c>
      <c r="K883" s="19" t="n">
        <v>22696</v>
      </c>
      <c r="L883" s="20" t="n"/>
      <c r="M883" s="20" t="n"/>
      <c r="N883" s="43" t="n">
        <v>210.1721</v>
      </c>
      <c r="O883" s="20" t="n">
        <v>4770066</v>
      </c>
      <c r="P883" s="43" t="n">
        <v>210.1721</v>
      </c>
      <c r="Q883" s="20" t="n">
        <v>4770066</v>
      </c>
      <c r="R883" s="42">
        <f>+L883+N883-P883</f>
        <v/>
      </c>
      <c r="S883" s="42">
        <f>+M883+O883-Q883</f>
        <v/>
      </c>
    </row>
    <row r="884" ht="15" customHeight="1">
      <c r="A884" s="16" t="n">
        <v>45723</v>
      </c>
      <c r="B884" s="17" t="inlineStr">
        <is>
          <t>MH2503-23</t>
        </is>
      </c>
      <c r="C884" s="16" t="n">
        <v>45723</v>
      </c>
      <c r="D884" s="17" t="inlineStr">
        <is>
          <t>00000662</t>
        </is>
      </c>
      <c r="E884" s="16" t="n">
        <v>45723</v>
      </c>
      <c r="F884" s="16" t="inlineStr">
        <is>
          <t>XK2503-31</t>
        </is>
      </c>
      <c r="G884" s="16" t="n">
        <v>45723</v>
      </c>
      <c r="H884" s="17" t="inlineStr">
        <is>
          <t>CÔNG TY TNHH TÂN MỸ HẠNH</t>
        </is>
      </c>
      <c r="I884" s="17" t="inlineStr">
        <is>
          <t>Xà gồ kẽm Z</t>
        </is>
      </c>
      <c r="J884" s="17" t="inlineStr">
        <is>
          <t>kg</t>
        </is>
      </c>
      <c r="K884" s="19" t="n">
        <v>18976</v>
      </c>
      <c r="L884" s="20" t="n"/>
      <c r="M884" s="20" t="n"/>
      <c r="N884" s="43" t="n">
        <v>1583.882</v>
      </c>
      <c r="O884" s="20" t="n">
        <v>30055745</v>
      </c>
      <c r="P884" s="43" t="n">
        <v>1583.882</v>
      </c>
      <c r="Q884" s="20" t="n">
        <v>30055745</v>
      </c>
      <c r="R884" s="42">
        <f>+L884+N884-P884</f>
        <v/>
      </c>
      <c r="S884" s="42">
        <f>+M884+O884-Q884</f>
        <v/>
      </c>
    </row>
    <row r="885" ht="15" customHeight="1">
      <c r="A885" s="16" t="n">
        <v>45723</v>
      </c>
      <c r="B885" s="17" t="inlineStr">
        <is>
          <t>MH2503-23</t>
        </is>
      </c>
      <c r="C885" s="16" t="n">
        <v>45723</v>
      </c>
      <c r="D885" s="17" t="inlineStr">
        <is>
          <t>00000663</t>
        </is>
      </c>
      <c r="E885" s="16" t="n">
        <v>45723</v>
      </c>
      <c r="F885" s="16" t="inlineStr">
        <is>
          <t>XK2503-32</t>
        </is>
      </c>
      <c r="G885" s="16" t="n">
        <v>45723</v>
      </c>
      <c r="H885" s="17" t="inlineStr">
        <is>
          <t>CÔNG TY TNHH TÂN MỸ HẠNH</t>
        </is>
      </c>
      <c r="I885" s="17" t="inlineStr">
        <is>
          <t>Thép dày mạ kẽm</t>
        </is>
      </c>
      <c r="J885" s="17" t="inlineStr">
        <is>
          <t>kg</t>
        </is>
      </c>
      <c r="K885" s="19" t="n">
        <v>22696</v>
      </c>
      <c r="L885" s="20" t="n"/>
      <c r="M885" s="20" t="n"/>
      <c r="N885" s="43" t="n">
        <v>233.5241</v>
      </c>
      <c r="O885" s="20" t="n">
        <v>5300063</v>
      </c>
      <c r="P885" s="43" t="n">
        <v>233.5241</v>
      </c>
      <c r="Q885" s="20" t="n">
        <v>5300063</v>
      </c>
      <c r="R885" s="42">
        <f>+L885+N885-P885</f>
        <v/>
      </c>
      <c r="S885" s="42">
        <f>+M885+O885-Q885</f>
        <v/>
      </c>
    </row>
    <row r="886" ht="15" customHeight="1">
      <c r="A886" s="16" t="n">
        <v>45723</v>
      </c>
      <c r="B886" s="17" t="inlineStr">
        <is>
          <t>MH2503-23</t>
        </is>
      </c>
      <c r="C886" s="16" t="n">
        <v>45723</v>
      </c>
      <c r="D886" s="17" t="inlineStr">
        <is>
          <t>00000663</t>
        </is>
      </c>
      <c r="E886" s="16" t="n">
        <v>45723</v>
      </c>
      <c r="F886" s="16" t="inlineStr">
        <is>
          <t>XK2503-32</t>
        </is>
      </c>
      <c r="G886" s="16" t="n">
        <v>45723</v>
      </c>
      <c r="H886" s="17" t="inlineStr">
        <is>
          <t>CÔNG TY TNHH TÂN MỸ HẠNH</t>
        </is>
      </c>
      <c r="I886" s="17" t="inlineStr">
        <is>
          <t>Xà gồ kẽm Z</t>
        </is>
      </c>
      <c r="J886" s="17" t="inlineStr">
        <is>
          <t>kg</t>
        </is>
      </c>
      <c r="K886" s="19" t="n">
        <v>18976</v>
      </c>
      <c r="L886" s="20" t="n"/>
      <c r="M886" s="20" t="n"/>
      <c r="N886" s="43" t="n">
        <v>1754.7376</v>
      </c>
      <c r="O886" s="20" t="n">
        <v>33297901</v>
      </c>
      <c r="P886" s="43" t="n">
        <v>1754.7376</v>
      </c>
      <c r="Q886" s="20" t="n">
        <v>33297901</v>
      </c>
      <c r="R886" s="42">
        <f>+L886+N886-P886</f>
        <v/>
      </c>
      <c r="S886" s="42">
        <f>+M886+O886-Q886</f>
        <v/>
      </c>
    </row>
    <row r="887" ht="15" customHeight="1">
      <c r="A887" s="16" t="n">
        <v>45723</v>
      </c>
      <c r="B887" s="17" t="inlineStr">
        <is>
          <t>MH2503-24</t>
        </is>
      </c>
      <c r="C887" s="16" t="n">
        <v>45723</v>
      </c>
      <c r="D887" s="17" t="inlineStr">
        <is>
          <t>00000664</t>
        </is>
      </c>
      <c r="E887" s="16" t="n">
        <v>45723</v>
      </c>
      <c r="F887" s="16" t="inlineStr">
        <is>
          <t>XK2503-33</t>
        </is>
      </c>
      <c r="G887" s="16" t="n">
        <v>45723</v>
      </c>
      <c r="H887" s="17" t="inlineStr">
        <is>
          <t>CÔNG TY TNHH TÂN MỸ HẠNH</t>
        </is>
      </c>
      <c r="I887" s="17" t="inlineStr">
        <is>
          <t>Thép dày mạ kẽm</t>
        </is>
      </c>
      <c r="J887" s="17" t="inlineStr">
        <is>
          <t>kg</t>
        </is>
      </c>
      <c r="K887" s="19" t="n">
        <v>22696</v>
      </c>
      <c r="L887" s="20" t="n"/>
      <c r="M887" s="20" t="n"/>
      <c r="N887" s="43" t="n">
        <v>15.3235</v>
      </c>
      <c r="O887" s="20" t="n">
        <v>347782</v>
      </c>
      <c r="P887" s="43" t="n">
        <v>15.3235</v>
      </c>
      <c r="Q887" s="20" t="n">
        <v>347782</v>
      </c>
      <c r="R887" s="42">
        <f>+L887+N887-P887</f>
        <v/>
      </c>
      <c r="S887" s="42">
        <f>+M887+O887-Q887</f>
        <v/>
      </c>
    </row>
    <row r="888" ht="15" customHeight="1">
      <c r="A888" s="16" t="n">
        <v>45723</v>
      </c>
      <c r="B888" s="17" t="inlineStr">
        <is>
          <t>MH2503-24</t>
        </is>
      </c>
      <c r="C888" s="16" t="n">
        <v>45723</v>
      </c>
      <c r="D888" s="17" t="inlineStr">
        <is>
          <t>00000664</t>
        </is>
      </c>
      <c r="E888" s="16" t="n">
        <v>45723</v>
      </c>
      <c r="F888" s="16" t="inlineStr">
        <is>
          <t>XK2503-33</t>
        </is>
      </c>
      <c r="G888" s="16" t="n">
        <v>45723</v>
      </c>
      <c r="H888" s="17" t="inlineStr">
        <is>
          <t>CÔNG TY TNHH TÂN MỸ HẠNH</t>
        </is>
      </c>
      <c r="I888" s="17" t="inlineStr">
        <is>
          <t>Xà gồ kẽm Z</t>
        </is>
      </c>
      <c r="J888" s="17" t="inlineStr">
        <is>
          <t>kg</t>
        </is>
      </c>
      <c r="K888" s="19" t="n">
        <v>18976</v>
      </c>
      <c r="L888" s="20" t="n"/>
      <c r="M888" s="20" t="n"/>
      <c r="N888" s="43" t="n">
        <v>242.9327</v>
      </c>
      <c r="O888" s="20" t="n">
        <v>4609891</v>
      </c>
      <c r="P888" s="43" t="n">
        <v>242.9327</v>
      </c>
      <c r="Q888" s="20" t="n">
        <v>4609891</v>
      </c>
      <c r="R888" s="42">
        <f>+L888+N888-P888</f>
        <v/>
      </c>
      <c r="S888" s="42">
        <f>+M888+O888-Q888</f>
        <v/>
      </c>
    </row>
    <row r="889" ht="15" customHeight="1">
      <c r="A889" s="16" t="n">
        <v>45723</v>
      </c>
      <c r="B889" s="17" t="inlineStr">
        <is>
          <t>MH2503-24</t>
        </is>
      </c>
      <c r="C889" s="16" t="n">
        <v>45723</v>
      </c>
      <c r="D889" s="17" t="inlineStr">
        <is>
          <t>00000665</t>
        </is>
      </c>
      <c r="E889" s="16" t="n">
        <v>45723</v>
      </c>
      <c r="F889" s="16" t="inlineStr">
        <is>
          <t>XK2503-34</t>
        </is>
      </c>
      <c r="G889" s="16" t="n">
        <v>45723</v>
      </c>
      <c r="H889" s="17" t="inlineStr">
        <is>
          <t>CÔNG TY TNHH TÂN MỸ HẠNH</t>
        </is>
      </c>
      <c r="I889" s="17" t="inlineStr">
        <is>
          <t>Thép dày mạ kẽm</t>
        </is>
      </c>
      <c r="J889" s="17" t="inlineStr">
        <is>
          <t>kg</t>
        </is>
      </c>
      <c r="K889" s="19" t="n">
        <v>22696</v>
      </c>
      <c r="L889" s="20" t="n"/>
      <c r="M889" s="20" t="n"/>
      <c r="N889" s="43" t="n">
        <v>15.3235</v>
      </c>
      <c r="O889" s="20" t="n">
        <v>347782</v>
      </c>
      <c r="P889" s="43" t="n">
        <v>15.3235</v>
      </c>
      <c r="Q889" s="20" t="n">
        <v>347782</v>
      </c>
      <c r="R889" s="42">
        <f>+L889+N889-P889</f>
        <v/>
      </c>
      <c r="S889" s="42">
        <f>+M889+O889-Q889</f>
        <v/>
      </c>
    </row>
    <row r="890" ht="15" customHeight="1">
      <c r="A890" s="16" t="n">
        <v>45723</v>
      </c>
      <c r="B890" s="17" t="inlineStr">
        <is>
          <t>MH2503-24</t>
        </is>
      </c>
      <c r="C890" s="16" t="n">
        <v>45723</v>
      </c>
      <c r="D890" s="17" t="inlineStr">
        <is>
          <t>00000665</t>
        </is>
      </c>
      <c r="E890" s="16" t="n">
        <v>45723</v>
      </c>
      <c r="F890" s="16" t="inlineStr">
        <is>
          <t>XK2503-34</t>
        </is>
      </c>
      <c r="G890" s="16" t="n">
        <v>45723</v>
      </c>
      <c r="H890" s="17" t="inlineStr">
        <is>
          <t>CÔNG TY TNHH TÂN MỸ HẠNH</t>
        </is>
      </c>
      <c r="I890" s="17" t="inlineStr">
        <is>
          <t>Xà gồ kẽm Z</t>
        </is>
      </c>
      <c r="J890" s="17" t="inlineStr">
        <is>
          <t>kg</t>
        </is>
      </c>
      <c r="K890" s="19" t="n">
        <v>18976</v>
      </c>
      <c r="L890" s="20" t="n"/>
      <c r="M890" s="20" t="n"/>
      <c r="N890" s="43" t="n">
        <v>242.9327</v>
      </c>
      <c r="O890" s="20" t="n">
        <v>4609891</v>
      </c>
      <c r="P890" s="43" t="n">
        <v>242.9327</v>
      </c>
      <c r="Q890" s="20" t="n">
        <v>4609891</v>
      </c>
      <c r="R890" s="42">
        <f>+L890+N890-P890</f>
        <v/>
      </c>
      <c r="S890" s="42">
        <f>+M890+O890-Q890</f>
        <v/>
      </c>
    </row>
    <row r="891" ht="30" customHeight="1">
      <c r="A891" s="16" t="n">
        <v>45724</v>
      </c>
      <c r="B891" s="17" t="inlineStr">
        <is>
          <t>MH2503-25A</t>
        </is>
      </c>
      <c r="C891" s="16" t="n">
        <v>45724</v>
      </c>
      <c r="D891" s="17" t="inlineStr">
        <is>
          <t>00000283</t>
        </is>
      </c>
      <c r="E891" s="16" t="n">
        <v>45723</v>
      </c>
      <c r="F891" s="16" t="inlineStr">
        <is>
          <t>XK2503-35</t>
        </is>
      </c>
      <c r="G891" s="16" t="n">
        <v>45724</v>
      </c>
      <c r="H891" s="17" t="inlineStr">
        <is>
          <t>CÔNG TY TNHH DỊCH VỤ - THƯƠNG MẠI THÉP THIÊN LONG</t>
        </is>
      </c>
      <c r="I891" s="17" t="inlineStr">
        <is>
          <t>Thép góc V63</t>
        </is>
      </c>
      <c r="J891" s="17" t="inlineStr">
        <is>
          <t>kg</t>
        </is>
      </c>
      <c r="K891" s="19" t="n">
        <v>15181.81</v>
      </c>
      <c r="L891" s="20" t="n"/>
      <c r="M891" s="20" t="n"/>
      <c r="N891" s="43" t="n">
        <v>8400</v>
      </c>
      <c r="O891" s="20" t="n">
        <v>127527367</v>
      </c>
      <c r="P891" s="43" t="n">
        <v>8400</v>
      </c>
      <c r="Q891" s="20" t="n">
        <v>127527367</v>
      </c>
      <c r="R891" s="42">
        <f>+L891+N891-P891</f>
        <v/>
      </c>
      <c r="S891" s="42">
        <f>+M891+O891-Q891</f>
        <v/>
      </c>
    </row>
    <row r="892" ht="30" customHeight="1">
      <c r="A892" s="16" t="n">
        <v>45724</v>
      </c>
      <c r="B892" s="17" t="inlineStr">
        <is>
          <t>MH2503-25A</t>
        </is>
      </c>
      <c r="C892" s="16" t="n">
        <v>45724</v>
      </c>
      <c r="D892" s="17" t="inlineStr">
        <is>
          <t>00000283</t>
        </is>
      </c>
      <c r="E892" s="16" t="n">
        <v>45723</v>
      </c>
      <c r="F892" s="16" t="inlineStr">
        <is>
          <t>XK2503-35</t>
        </is>
      </c>
      <c r="G892" s="16" t="n">
        <v>45724</v>
      </c>
      <c r="H892" s="17" t="inlineStr">
        <is>
          <t>CÔNG TY TNHH DỊCH VỤ - THƯƠNG MẠI THÉP THIÊN LONG</t>
        </is>
      </c>
      <c r="I892" s="17" t="inlineStr">
        <is>
          <t>Thép vuông 100</t>
        </is>
      </c>
      <c r="J892" s="17" t="inlineStr">
        <is>
          <t>kg</t>
        </is>
      </c>
      <c r="K892" s="19" t="n">
        <v>16181.81</v>
      </c>
      <c r="L892" s="20" t="n"/>
      <c r="M892" s="20" t="n"/>
      <c r="N892" s="43" t="n">
        <v>5852</v>
      </c>
      <c r="O892" s="20" t="n">
        <v>94695952</v>
      </c>
      <c r="P892" s="43" t="n">
        <v>5852</v>
      </c>
      <c r="Q892" s="20" t="n">
        <v>94695952</v>
      </c>
      <c r="R892" s="42">
        <f>+L892+N892-P892</f>
        <v/>
      </c>
      <c r="S892" s="42">
        <f>+M892+O892-Q892</f>
        <v/>
      </c>
    </row>
    <row r="893" ht="30" customHeight="1">
      <c r="A893" s="16" t="n">
        <v>45724</v>
      </c>
      <c r="B893" s="17" t="inlineStr">
        <is>
          <t>MH2503-25A</t>
        </is>
      </c>
      <c r="C893" s="16" t="n">
        <v>45724</v>
      </c>
      <c r="D893" s="17" t="inlineStr">
        <is>
          <t>00000283</t>
        </is>
      </c>
      <c r="E893" s="16" t="n">
        <v>45723</v>
      </c>
      <c r="F893" s="16" t="inlineStr">
        <is>
          <t>XK2503-35</t>
        </is>
      </c>
      <c r="G893" s="16" t="n">
        <v>45724</v>
      </c>
      <c r="H893" s="17" t="inlineStr">
        <is>
          <t>CÔNG TY TNHH DỊCH VỤ - THƯƠNG MẠI THÉP THIÊN LONG</t>
        </is>
      </c>
      <c r="I893" s="17" t="inlineStr">
        <is>
          <t>Thép hộp 50x100</t>
        </is>
      </c>
      <c r="J893" s="17" t="inlineStr">
        <is>
          <t>kg</t>
        </is>
      </c>
      <c r="K893" s="19" t="n">
        <v>16272.72</v>
      </c>
      <c r="L893" s="20" t="n"/>
      <c r="M893" s="20" t="n"/>
      <c r="N893" s="43" t="n">
        <v>6283.2</v>
      </c>
      <c r="O893" s="20" t="n">
        <v>102244754</v>
      </c>
      <c r="P893" s="43" t="n">
        <v>6283.2</v>
      </c>
      <c r="Q893" s="20" t="n">
        <v>102244754</v>
      </c>
      <c r="R893" s="42">
        <f>+L893+N893-P893</f>
        <v/>
      </c>
      <c r="S893" s="42">
        <f>+M893+O893-Q893</f>
        <v/>
      </c>
    </row>
    <row r="894" ht="30" customHeight="1">
      <c r="A894" s="16" t="n">
        <v>45724</v>
      </c>
      <c r="B894" s="17" t="inlineStr">
        <is>
          <t>MH2503-25A</t>
        </is>
      </c>
      <c r="C894" s="16" t="n">
        <v>45724</v>
      </c>
      <c r="D894" s="17" t="inlineStr">
        <is>
          <t>00000284</t>
        </is>
      </c>
      <c r="E894" s="16" t="n">
        <v>45723</v>
      </c>
      <c r="F894" s="16" t="inlineStr">
        <is>
          <t>XK2503-36</t>
        </is>
      </c>
      <c r="G894" s="16" t="n">
        <v>45724</v>
      </c>
      <c r="H894" s="17" t="inlineStr">
        <is>
          <t>CÔNG TY TNHH DỊCH VỤ - THƯƠNG MẠI THÉP THIÊN LONG</t>
        </is>
      </c>
      <c r="I894" s="17" t="inlineStr">
        <is>
          <t>Thép vuông 150</t>
        </is>
      </c>
      <c r="J894" s="17" t="inlineStr">
        <is>
          <t>kg</t>
        </is>
      </c>
      <c r="K894" s="19" t="n">
        <v>16545.45</v>
      </c>
      <c r="L894" s="20" t="n"/>
      <c r="M894" s="20" t="n"/>
      <c r="N894" s="43" t="n">
        <v>30644</v>
      </c>
      <c r="O894" s="20" t="n">
        <v>507018909</v>
      </c>
      <c r="P894" s="43" t="n">
        <v>30644</v>
      </c>
      <c r="Q894" s="20" t="n">
        <v>507018909</v>
      </c>
      <c r="R894" s="42">
        <f>+L894+N894-P894</f>
        <v/>
      </c>
      <c r="S894" s="42">
        <f>+M894+O894-Q894</f>
        <v/>
      </c>
    </row>
    <row r="895" ht="30" customHeight="1">
      <c r="A895" s="16" t="n">
        <v>45724</v>
      </c>
      <c r="B895" s="17" t="inlineStr">
        <is>
          <t>MH2503-25A</t>
        </is>
      </c>
      <c r="C895" s="16" t="n">
        <v>45724</v>
      </c>
      <c r="D895" s="17" t="inlineStr">
        <is>
          <t>00000286</t>
        </is>
      </c>
      <c r="E895" s="16" t="n">
        <v>45723</v>
      </c>
      <c r="F895" s="16" t="inlineStr">
        <is>
          <t>XK2503-36</t>
        </is>
      </c>
      <c r="G895" s="16" t="n">
        <v>45724</v>
      </c>
      <c r="H895" s="17" t="inlineStr">
        <is>
          <t>CÔNG TY TNHH DỊCH VỤ - THƯƠNG MẠI THÉP THIÊN LONG</t>
        </is>
      </c>
      <c r="I895" s="17" t="inlineStr">
        <is>
          <t>Thép hình I150</t>
        </is>
      </c>
      <c r="J895" s="17" t="inlineStr">
        <is>
          <t>kg</t>
        </is>
      </c>
      <c r="K895" s="19" t="n">
        <v>16727.27</v>
      </c>
      <c r="L895" s="20" t="n"/>
      <c r="M895" s="20" t="n"/>
      <c r="N895" s="43" t="n">
        <v>7896</v>
      </c>
      <c r="O895" s="20" t="n">
        <v>132078559</v>
      </c>
      <c r="P895" s="43" t="n">
        <v>7896</v>
      </c>
      <c r="Q895" s="20" t="n">
        <v>132078559</v>
      </c>
      <c r="R895" s="42">
        <f>+L895+N895-P895</f>
        <v/>
      </c>
      <c r="S895" s="42">
        <f>+M895+O895-Q895</f>
        <v/>
      </c>
    </row>
    <row r="896" ht="30" customHeight="1">
      <c r="A896" s="16" t="n">
        <v>45724</v>
      </c>
      <c r="B896" s="17" t="inlineStr">
        <is>
          <t>MH2503-25A</t>
        </is>
      </c>
      <c r="C896" s="16" t="n">
        <v>45724</v>
      </c>
      <c r="D896" s="17" t="inlineStr">
        <is>
          <t>00000286</t>
        </is>
      </c>
      <c r="E896" s="16" t="n">
        <v>45723</v>
      </c>
      <c r="F896" s="16" t="inlineStr">
        <is>
          <t>XK2503-36</t>
        </is>
      </c>
      <c r="G896" s="16" t="n">
        <v>45724</v>
      </c>
      <c r="H896" s="17" t="inlineStr">
        <is>
          <t>CÔNG TY TNHH DỊCH VỤ - THƯƠNG MẠI THÉP THIÊN LONG</t>
        </is>
      </c>
      <c r="I896" s="17" t="inlineStr">
        <is>
          <t>Thép góc V75</t>
        </is>
      </c>
      <c r="J896" s="17" t="inlineStr">
        <is>
          <t>kg</t>
        </is>
      </c>
      <c r="K896" s="19" t="n">
        <v>15272.72</v>
      </c>
      <c r="L896" s="20" t="n"/>
      <c r="M896" s="20" t="n"/>
      <c r="N896" s="43" t="n">
        <v>1845</v>
      </c>
      <c r="O896" s="20" t="n">
        <v>28178168</v>
      </c>
      <c r="P896" s="43" t="n">
        <v>1845</v>
      </c>
      <c r="Q896" s="20" t="n">
        <v>28178168</v>
      </c>
      <c r="R896" s="42">
        <f>+L896+N896-P896</f>
        <v/>
      </c>
      <c r="S896" s="42">
        <f>+M896+O896-Q896</f>
        <v/>
      </c>
    </row>
    <row r="897" ht="30" customHeight="1">
      <c r="A897" s="16" t="n">
        <v>45724</v>
      </c>
      <c r="B897" s="17" t="inlineStr">
        <is>
          <t>MH2503-25A</t>
        </is>
      </c>
      <c r="C897" s="16" t="n">
        <v>45724</v>
      </c>
      <c r="D897" s="17" t="inlineStr">
        <is>
          <t>00000287</t>
        </is>
      </c>
      <c r="E897" s="16" t="n">
        <v>45723</v>
      </c>
      <c r="F897" s="16" t="inlineStr">
        <is>
          <t>XK2503-37</t>
        </is>
      </c>
      <c r="G897" s="16" t="n">
        <v>45724</v>
      </c>
      <c r="H897" s="17" t="inlineStr">
        <is>
          <t>CÔNG TY TNHH DỊCH VỤ - THƯƠNG MẠI THÉP THIÊN LONG</t>
        </is>
      </c>
      <c r="I897" s="17" t="inlineStr">
        <is>
          <t>Thép hộp 50x100</t>
        </is>
      </c>
      <c r="J897" s="17" t="inlineStr">
        <is>
          <t>kg</t>
        </is>
      </c>
      <c r="K897" s="19" t="n">
        <v>16272.72</v>
      </c>
      <c r="L897" s="20" t="n"/>
      <c r="M897" s="20" t="n"/>
      <c r="N897" s="43" t="n">
        <v>30676.8</v>
      </c>
      <c r="O897" s="20" t="n">
        <v>499195200</v>
      </c>
      <c r="P897" s="43" t="n">
        <v>30676.8</v>
      </c>
      <c r="Q897" s="20" t="n">
        <v>499195200</v>
      </c>
      <c r="R897" s="42">
        <f>+L897+N897-P897</f>
        <v/>
      </c>
      <c r="S897" s="42">
        <f>+M897+O897-Q897</f>
        <v/>
      </c>
    </row>
    <row r="898" ht="30" customHeight="1">
      <c r="A898" s="16" t="n">
        <v>45724</v>
      </c>
      <c r="B898" s="17" t="inlineStr">
        <is>
          <t>MH2503-25B</t>
        </is>
      </c>
      <c r="C898" s="16" t="n">
        <v>45724</v>
      </c>
      <c r="D898" s="17" t="inlineStr">
        <is>
          <t>00000285</t>
        </is>
      </c>
      <c r="E898" s="16" t="n">
        <v>45723</v>
      </c>
      <c r="F898" s="16" t="inlineStr">
        <is>
          <t>XK2503-38</t>
        </is>
      </c>
      <c r="G898" s="16" t="n">
        <v>45724</v>
      </c>
      <c r="H898" s="17" t="inlineStr">
        <is>
          <t>CÔNG TY TNHH DỊCH VỤ - THƯƠNG MẠI THÉP THIÊN LONG</t>
        </is>
      </c>
      <c r="I898" s="17" t="inlineStr">
        <is>
          <t>Thép vuông 100</t>
        </is>
      </c>
      <c r="J898" s="17" t="inlineStr">
        <is>
          <t>kg</t>
        </is>
      </c>
      <c r="K898" s="19" t="n">
        <v>16181.81</v>
      </c>
      <c r="L898" s="20" t="n"/>
      <c r="M898" s="20" t="n"/>
      <c r="N898" s="43" t="n">
        <v>20482</v>
      </c>
      <c r="O898" s="20" t="n">
        <v>331436000</v>
      </c>
      <c r="P898" s="43" t="n">
        <v>20482</v>
      </c>
      <c r="Q898" s="20" t="n">
        <v>331436000</v>
      </c>
      <c r="R898" s="42">
        <f>+L898+N898-P898</f>
        <v/>
      </c>
      <c r="S898" s="42">
        <f>+M898+O898-Q898</f>
        <v/>
      </c>
    </row>
    <row r="899" ht="15" customHeight="1">
      <c r="A899" s="16" t="n">
        <v>45726</v>
      </c>
      <c r="B899" s="17" t="inlineStr">
        <is>
          <t>MH2503-26</t>
        </is>
      </c>
      <c r="C899" s="16" t="n">
        <v>45726</v>
      </c>
      <c r="D899" s="17" t="inlineStr">
        <is>
          <t>00002250</t>
        </is>
      </c>
      <c r="E899" s="16" t="n">
        <v>45726</v>
      </c>
      <c r="F899" s="16" t="inlineStr">
        <is>
          <t>XK2503-39</t>
        </is>
      </c>
      <c r="G899" s="16" t="n">
        <v>45726</v>
      </c>
      <c r="H899" s="17" t="inlineStr">
        <is>
          <t>CÔNG TY TNHH SƠN JOTUN VIỆT NAM</t>
        </is>
      </c>
      <c r="I899" s="17" t="inlineStr">
        <is>
          <t>SƠN JOTAMASTIC 70 GREY 18L</t>
        </is>
      </c>
      <c r="J899" s="17" t="inlineStr">
        <is>
          <t>Thùng</t>
        </is>
      </c>
      <c r="K899" s="19" t="n">
        <v>90000</v>
      </c>
      <c r="L899" s="20" t="n"/>
      <c r="M899" s="20" t="n"/>
      <c r="N899" s="43" t="n">
        <v>738</v>
      </c>
      <c r="O899" s="20" t="n">
        <v>66420000</v>
      </c>
      <c r="P899" s="43" t="n">
        <v>738</v>
      </c>
      <c r="Q899" s="20" t="n">
        <v>66420000</v>
      </c>
      <c r="R899" s="42">
        <f>+L899+N899-P899</f>
        <v/>
      </c>
      <c r="S899" s="42">
        <f>+M899+O899-Q899</f>
        <v/>
      </c>
    </row>
    <row r="900" ht="15" customHeight="1">
      <c r="A900" s="16" t="n">
        <v>45726</v>
      </c>
      <c r="B900" s="17" t="inlineStr">
        <is>
          <t>MH2503-26</t>
        </is>
      </c>
      <c r="C900" s="16" t="n">
        <v>45726</v>
      </c>
      <c r="D900" s="17" t="inlineStr">
        <is>
          <t>00002250</t>
        </is>
      </c>
      <c r="E900" s="16" t="n">
        <v>45726</v>
      </c>
      <c r="F900" s="16" t="inlineStr">
        <is>
          <t>XK2503-39</t>
        </is>
      </c>
      <c r="G900" s="16" t="n">
        <v>45726</v>
      </c>
      <c r="H900" s="17" t="inlineStr">
        <is>
          <t>CÔNG TY TNHH SƠN JOTUN VIỆT NAM</t>
        </is>
      </c>
      <c r="I900" s="17" t="inlineStr">
        <is>
          <t>DUNG MÔI JOTUN THINNER NO. 17 20L</t>
        </is>
      </c>
      <c r="J900" s="17" t="inlineStr">
        <is>
          <t>Thùng</t>
        </is>
      </c>
      <c r="K900" s="19" t="n">
        <v>60000</v>
      </c>
      <c r="L900" s="20" t="n"/>
      <c r="M900" s="20" t="n"/>
      <c r="N900" s="43" t="n">
        <v>100</v>
      </c>
      <c r="O900" s="20" t="n">
        <v>6000000</v>
      </c>
      <c r="P900" s="43" t="n">
        <v>100</v>
      </c>
      <c r="Q900" s="20" t="n">
        <v>6000000</v>
      </c>
      <c r="R900" s="42">
        <f>+L900+N900-P900</f>
        <v/>
      </c>
      <c r="S900" s="42">
        <f>+M900+O900-Q900</f>
        <v/>
      </c>
    </row>
    <row r="901" ht="15" customHeight="1">
      <c r="A901" s="16" t="n">
        <v>45726</v>
      </c>
      <c r="B901" s="17" t="inlineStr">
        <is>
          <t>MH2503-26</t>
        </is>
      </c>
      <c r="C901" s="16" t="n">
        <v>45726</v>
      </c>
      <c r="D901" s="17" t="inlineStr">
        <is>
          <t>00002250</t>
        </is>
      </c>
      <c r="E901" s="16" t="n">
        <v>45726</v>
      </c>
      <c r="F901" s="16" t="inlineStr">
        <is>
          <t>XK2503-39</t>
        </is>
      </c>
      <c r="G901" s="16" t="n">
        <v>45726</v>
      </c>
      <c r="H901" s="17" t="inlineStr">
        <is>
          <t>CÔNG TY TNHH SƠN JOTUN VIỆT NAM</t>
        </is>
      </c>
      <c r="I901" s="17" t="inlineStr">
        <is>
          <t>DUNG MÔI JOTUN THINNER NO. 17 5L</t>
        </is>
      </c>
      <c r="J901" s="17" t="inlineStr">
        <is>
          <t>Thùng</t>
        </is>
      </c>
      <c r="K901" s="19" t="n">
        <v>60000</v>
      </c>
      <c r="L901" s="20" t="n"/>
      <c r="M901" s="20" t="n"/>
      <c r="N901" s="43" t="n">
        <v>5</v>
      </c>
      <c r="O901" s="20" t="n">
        <v>300000</v>
      </c>
      <c r="P901" s="43" t="n">
        <v>5</v>
      </c>
      <c r="Q901" s="20" t="n">
        <v>300000</v>
      </c>
      <c r="R901" s="42">
        <f>+L901+N901-P901</f>
        <v/>
      </c>
      <c r="S901" s="42">
        <f>+M901+O901-Q901</f>
        <v/>
      </c>
    </row>
    <row r="902" ht="30" customHeight="1">
      <c r="A902" s="16" t="n">
        <v>45726</v>
      </c>
      <c r="B902" s="17" t="inlineStr">
        <is>
          <t>MH2503-28</t>
        </is>
      </c>
      <c r="C902" s="16" t="n">
        <v>45726</v>
      </c>
      <c r="D902" s="17" t="inlineStr">
        <is>
          <t>00000395</t>
        </is>
      </c>
      <c r="E902" s="16" t="n">
        <v>45726</v>
      </c>
      <c r="F902" s="16" t="inlineStr">
        <is>
          <t>XK2503-40</t>
        </is>
      </c>
      <c r="G902" s="16" t="n">
        <v>45726</v>
      </c>
      <c r="H902" s="17" t="inlineStr">
        <is>
          <t>CÔNG TY CỔ PHẦN SẢN XUẤT VẬT LIỆU CÁCH ÂM - CÁCH NHIỆT CÁT TƯỜNG</t>
        </is>
      </c>
      <c r="I902" s="17" t="inlineStr">
        <is>
          <t>Thép lá mạ kẽm</t>
        </is>
      </c>
      <c r="J902" s="17" t="inlineStr">
        <is>
          <t>m</t>
        </is>
      </c>
      <c r="K902" s="19" t="n">
        <v>4091</v>
      </c>
      <c r="L902" s="20" t="n"/>
      <c r="M902" s="20" t="n"/>
      <c r="N902" s="43" t="n">
        <v>11900</v>
      </c>
      <c r="O902" s="20" t="n">
        <v>48682900</v>
      </c>
      <c r="P902" s="43" t="n">
        <v>11900</v>
      </c>
      <c r="Q902" s="20" t="n">
        <v>48682900</v>
      </c>
      <c r="R902" s="42">
        <f>+L902+N902-P902</f>
        <v/>
      </c>
      <c r="S902" s="42">
        <f>+M902+O902-Q902</f>
        <v/>
      </c>
    </row>
    <row r="903" ht="30" customHeight="1">
      <c r="A903" s="16" t="n">
        <v>45726</v>
      </c>
      <c r="B903" s="17" t="inlineStr">
        <is>
          <t>MH2503-28</t>
        </is>
      </c>
      <c r="C903" s="16" t="n">
        <v>45726</v>
      </c>
      <c r="D903" s="17" t="inlineStr">
        <is>
          <t>00000395</t>
        </is>
      </c>
      <c r="E903" s="16" t="n">
        <v>45726</v>
      </c>
      <c r="F903" s="16" t="inlineStr">
        <is>
          <t>XK2503-40</t>
        </is>
      </c>
      <c r="G903" s="16" t="n">
        <v>45726</v>
      </c>
      <c r="H903" s="17" t="inlineStr">
        <is>
          <t>CÔNG TY CỔ PHẦN SẢN XUẤT VẬT LIỆU CÁCH ÂM - CÁCH NHIỆT CÁT TƯỜNG</t>
        </is>
      </c>
      <c r="I903" s="17" t="inlineStr">
        <is>
          <t>Lưới kẽm nhúng nóng</t>
        </is>
      </c>
      <c r="J903" s="17" t="inlineStr">
        <is>
          <t>m</t>
        </is>
      </c>
      <c r="K903" s="19" t="n">
        <v>7000</v>
      </c>
      <c r="L903" s="20" t="n"/>
      <c r="M903" s="20" t="n"/>
      <c r="N903" s="43" t="n">
        <v>17496</v>
      </c>
      <c r="O903" s="20" t="n">
        <v>122472000</v>
      </c>
      <c r="P903" s="43" t="n">
        <v>17496</v>
      </c>
      <c r="Q903" s="20" t="n">
        <v>122472000</v>
      </c>
      <c r="R903" s="42">
        <f>+L903+N903-P903</f>
        <v/>
      </c>
      <c r="S903" s="42">
        <f>+M903+O903-Q903</f>
        <v/>
      </c>
    </row>
    <row r="904" ht="30" customHeight="1">
      <c r="A904" s="16" t="n">
        <v>45726</v>
      </c>
      <c r="B904" s="17" t="inlineStr">
        <is>
          <t>MH2503-28</t>
        </is>
      </c>
      <c r="C904" s="16" t="n">
        <v>45726</v>
      </c>
      <c r="D904" s="17" t="inlineStr">
        <is>
          <t>00000396</t>
        </is>
      </c>
      <c r="E904" s="16" t="n">
        <v>45726</v>
      </c>
      <c r="F904" s="16" t="inlineStr">
        <is>
          <t>XK2503-41</t>
        </is>
      </c>
      <c r="G904" s="16" t="n">
        <v>45726</v>
      </c>
      <c r="H904" s="17" t="inlineStr">
        <is>
          <t>CÔNG TY CỔ PHẦN SẢN XUẤT VẬT LIỆU CÁCH ÂM - CÁCH NHIỆT CÁT TƯỜNG</t>
        </is>
      </c>
      <c r="I904" s="17" t="inlineStr">
        <is>
          <t>Băng keo 02 mặt</t>
        </is>
      </c>
      <c r="J904" s="17" t="inlineStr">
        <is>
          <t>cuộn</t>
        </is>
      </c>
      <c r="K904" s="19" t="n">
        <v>34545</v>
      </c>
      <c r="L904" s="20" t="n"/>
      <c r="M904" s="20" t="n"/>
      <c r="N904" s="43" t="n">
        <v>355</v>
      </c>
      <c r="O904" s="20" t="n">
        <v>12263475</v>
      </c>
      <c r="P904" s="43" t="n">
        <v>355</v>
      </c>
      <c r="Q904" s="20" t="n">
        <v>12263475</v>
      </c>
      <c r="R904" s="42">
        <f>+L904+N904-P904</f>
        <v/>
      </c>
      <c r="S904" s="42">
        <f>+M904+O904-Q904</f>
        <v/>
      </c>
    </row>
    <row r="905" ht="30" customHeight="1">
      <c r="A905" s="16" t="n">
        <v>45726</v>
      </c>
      <c r="B905" s="17" t="inlineStr">
        <is>
          <t>MH2503-28</t>
        </is>
      </c>
      <c r="C905" s="16" t="n">
        <v>45726</v>
      </c>
      <c r="D905" s="17" t="inlineStr">
        <is>
          <t>00000396</t>
        </is>
      </c>
      <c r="E905" s="16" t="n">
        <v>45726</v>
      </c>
      <c r="F905" s="16" t="inlineStr">
        <is>
          <t>XK2503-41</t>
        </is>
      </c>
      <c r="G905" s="16" t="n">
        <v>45726</v>
      </c>
      <c r="H905" s="17" t="inlineStr">
        <is>
          <t>CÔNG TY CỔ PHẦN SẢN XUẤT VẬT LIỆU CÁCH ÂM - CÁCH NHIỆT CÁT TƯỜNG</t>
        </is>
      </c>
      <c r="I905" s="17" t="inlineStr">
        <is>
          <t>Tấm cách nhiệt A2 Cát Tường</t>
        </is>
      </c>
      <c r="J905" s="17" t="inlineStr">
        <is>
          <t>m2</t>
        </is>
      </c>
      <c r="K905" s="19" t="n">
        <v>26000</v>
      </c>
      <c r="L905" s="20" t="n"/>
      <c r="M905" s="20" t="n"/>
      <c r="N905" s="43" t="n">
        <v>17298</v>
      </c>
      <c r="O905" s="20" t="n">
        <v>449748000</v>
      </c>
      <c r="P905" s="43" t="n">
        <v>17298</v>
      </c>
      <c r="Q905" s="20" t="n">
        <v>449748000</v>
      </c>
      <c r="R905" s="42">
        <f>+L905+N905-P905</f>
        <v/>
      </c>
      <c r="S905" s="42">
        <f>+M905+O905-Q905</f>
        <v/>
      </c>
    </row>
    <row r="906" ht="30" customHeight="1">
      <c r="A906" s="16" t="n">
        <v>45726</v>
      </c>
      <c r="B906" s="17" t="inlineStr">
        <is>
          <t>MH2503-29</t>
        </is>
      </c>
      <c r="C906" s="16" t="n">
        <v>45726</v>
      </c>
      <c r="D906" s="17" t="inlineStr">
        <is>
          <t>00000297</t>
        </is>
      </c>
      <c r="E906" s="16" t="n">
        <v>45726</v>
      </c>
      <c r="F906" s="16" t="inlineStr">
        <is>
          <t>XK2503-42</t>
        </is>
      </c>
      <c r="G906" s="16" t="n">
        <v>45726</v>
      </c>
      <c r="H906" s="17" t="inlineStr">
        <is>
          <t>CÔNG TY TNHH DỊCH VỤ - THƯƠNG MẠI THÉP THIÊN LONG</t>
        </is>
      </c>
      <c r="I906" s="17" t="inlineStr">
        <is>
          <t>Thép tấm 5ly</t>
        </is>
      </c>
      <c r="J906" s="17" t="inlineStr">
        <is>
          <t>kg</t>
        </is>
      </c>
      <c r="K906" s="19" t="n">
        <v>14092.72</v>
      </c>
      <c r="L906" s="20" t="n"/>
      <c r="M906" s="20" t="n"/>
      <c r="N906" s="43" t="n">
        <v>19782</v>
      </c>
      <c r="O906" s="20" t="n">
        <v>278782331</v>
      </c>
      <c r="P906" s="43" t="n">
        <v>19782</v>
      </c>
      <c r="Q906" s="20" t="n">
        <v>278782331</v>
      </c>
      <c r="R906" s="42">
        <f>+L906+N906-P906</f>
        <v/>
      </c>
      <c r="S906" s="42">
        <f>+M906+O906-Q906</f>
        <v/>
      </c>
    </row>
    <row r="907" ht="15" customHeight="1">
      <c r="A907" s="16" t="n">
        <v>45727</v>
      </c>
      <c r="B907" s="17" t="inlineStr">
        <is>
          <t>MH2503-30</t>
        </is>
      </c>
      <c r="C907" s="16" t="n">
        <v>45727</v>
      </c>
      <c r="D907" s="17" t="inlineStr">
        <is>
          <t>00000711</t>
        </is>
      </c>
      <c r="E907" s="16" t="n">
        <v>45727</v>
      </c>
      <c r="F907" s="16" t="inlineStr">
        <is>
          <t>XK2503-43</t>
        </is>
      </c>
      <c r="G907" s="16" t="n">
        <v>45727</v>
      </c>
      <c r="H907" s="17" t="inlineStr">
        <is>
          <t>CÔNG TY TNHH TÂN MỸ HẠNH</t>
        </is>
      </c>
      <c r="I907" s="17" t="inlineStr">
        <is>
          <t>Thép dày mạ kẽm</t>
        </is>
      </c>
      <c r="J907" s="17" t="inlineStr">
        <is>
          <t>kg</t>
        </is>
      </c>
      <c r="K907" s="19" t="n">
        <v>22696</v>
      </c>
      <c r="L907" s="20" t="n"/>
      <c r="M907" s="20" t="n"/>
      <c r="N907" s="43" t="n">
        <v>2358.5119</v>
      </c>
      <c r="O907" s="20" t="n">
        <v>53528786</v>
      </c>
      <c r="P907" s="43" t="n">
        <v>2358.5119</v>
      </c>
      <c r="Q907" s="20" t="n">
        <v>53528786</v>
      </c>
      <c r="R907" s="42">
        <f>+L907+N907-P907</f>
        <v/>
      </c>
      <c r="S907" s="42">
        <f>+M907+O907-Q907</f>
        <v/>
      </c>
    </row>
    <row r="908" ht="15" customHeight="1">
      <c r="A908" s="16" t="n">
        <v>45727</v>
      </c>
      <c r="B908" s="17" t="inlineStr">
        <is>
          <t>MH2503-30</t>
        </is>
      </c>
      <c r="C908" s="16" t="n">
        <v>45727</v>
      </c>
      <c r="D908" s="17" t="inlineStr">
        <is>
          <t>00000711</t>
        </is>
      </c>
      <c r="E908" s="16" t="n">
        <v>45727</v>
      </c>
      <c r="F908" s="16" t="inlineStr">
        <is>
          <t>XK2503-43</t>
        </is>
      </c>
      <c r="G908" s="16" t="n">
        <v>45727</v>
      </c>
      <c r="H908" s="17" t="inlineStr">
        <is>
          <t>CÔNG TY TNHH TÂN MỸ HẠNH</t>
        </is>
      </c>
      <c r="I908" s="17" t="inlineStr">
        <is>
          <t>Xà gồ kẽm Z</t>
        </is>
      </c>
      <c r="J908" s="17" t="inlineStr">
        <is>
          <t>kg</t>
        </is>
      </c>
      <c r="K908" s="19" t="n">
        <v>18976</v>
      </c>
      <c r="L908" s="20" t="n"/>
      <c r="M908" s="20" t="n"/>
      <c r="N908" s="43" t="n">
        <v>15374.4</v>
      </c>
      <c r="O908" s="20" t="n">
        <v>291744614</v>
      </c>
      <c r="P908" s="43" t="n">
        <v>15374.4</v>
      </c>
      <c r="Q908" s="20" t="n">
        <v>291744614</v>
      </c>
      <c r="R908" s="42">
        <f>+L908+N908-P908</f>
        <v/>
      </c>
      <c r="S908" s="42">
        <f>+M908+O908-Q908</f>
        <v/>
      </c>
    </row>
    <row r="909" ht="15" customHeight="1">
      <c r="A909" s="16" t="n">
        <v>45727</v>
      </c>
      <c r="B909" s="17" t="inlineStr">
        <is>
          <t>MH2503-30</t>
        </is>
      </c>
      <c r="C909" s="16" t="n">
        <v>45727</v>
      </c>
      <c r="D909" s="17" t="inlineStr">
        <is>
          <t>00000711</t>
        </is>
      </c>
      <c r="E909" s="16" t="n">
        <v>45727</v>
      </c>
      <c r="F909" s="16" t="inlineStr">
        <is>
          <t>XK2503-43</t>
        </is>
      </c>
      <c r="G909" s="16" t="n">
        <v>45727</v>
      </c>
      <c r="H909" s="17" t="inlineStr">
        <is>
          <t>CÔNG TY TNHH TÂN MỸ HẠNH</t>
        </is>
      </c>
      <c r="I909" s="17" t="inlineStr">
        <is>
          <t>Xà gồ kẽm C</t>
        </is>
      </c>
      <c r="J909" s="17" t="inlineStr">
        <is>
          <t>kg</t>
        </is>
      </c>
      <c r="K909" s="19" t="n">
        <v>18971</v>
      </c>
      <c r="L909" s="20" t="n"/>
      <c r="M909" s="20" t="n"/>
      <c r="N909" s="43" t="n">
        <v>1442.73</v>
      </c>
      <c r="O909" s="20" t="n">
        <v>27370031</v>
      </c>
      <c r="P909" s="43" t="n">
        <v>1442.73</v>
      </c>
      <c r="Q909" s="20" t="n">
        <v>27370031</v>
      </c>
      <c r="R909" s="42">
        <f>+L909+N909-P909</f>
        <v/>
      </c>
      <c r="S909" s="42">
        <f>+M909+O909-Q909</f>
        <v/>
      </c>
    </row>
    <row r="910" ht="15" customHeight="1">
      <c r="A910" s="16" t="n">
        <v>45727</v>
      </c>
      <c r="B910" s="17" t="inlineStr">
        <is>
          <t>MH2503-30</t>
        </is>
      </c>
      <c r="C910" s="16" t="n">
        <v>45727</v>
      </c>
      <c r="D910" s="17" t="inlineStr">
        <is>
          <t>00000711</t>
        </is>
      </c>
      <c r="E910" s="16" t="n">
        <v>45727</v>
      </c>
      <c r="F910" s="16" t="inlineStr">
        <is>
          <t>XK2503-43</t>
        </is>
      </c>
      <c r="G910" s="16" t="n">
        <v>45727</v>
      </c>
      <c r="H910" s="17" t="inlineStr">
        <is>
          <t>CÔNG TY TNHH TÂN MỸ HẠNH</t>
        </is>
      </c>
      <c r="I910" s="17" t="inlineStr">
        <is>
          <t>Tôn mạ kẽm</t>
        </is>
      </c>
      <c r="J910" s="17" t="inlineStr">
        <is>
          <t>kg</t>
        </is>
      </c>
      <c r="K910" s="19" t="n">
        <v>17445</v>
      </c>
      <c r="L910" s="20" t="n"/>
      <c r="M910" s="20" t="n"/>
      <c r="N910" s="43" t="n">
        <v>6519.3</v>
      </c>
      <c r="O910" s="20" t="n">
        <v>113729189</v>
      </c>
      <c r="P910" s="43" t="n">
        <v>6519.3</v>
      </c>
      <c r="Q910" s="20" t="n">
        <v>113729189</v>
      </c>
      <c r="R910" s="42">
        <f>+L910+N910-P910</f>
        <v/>
      </c>
      <c r="S910" s="42">
        <f>+M910+O910-Q910</f>
        <v/>
      </c>
    </row>
    <row r="911" ht="30" customHeight="1">
      <c r="A911" s="16" t="n">
        <v>45727</v>
      </c>
      <c r="B911" s="17" t="inlineStr">
        <is>
          <t>MH2503-32</t>
        </is>
      </c>
      <c r="C911" s="16" t="n">
        <v>45727</v>
      </c>
      <c r="D911" s="17" t="inlineStr">
        <is>
          <t>00000313</t>
        </is>
      </c>
      <c r="E911" s="16" t="n">
        <v>45727</v>
      </c>
      <c r="F911" s="16" t="inlineStr">
        <is>
          <t>XK2503-44</t>
        </is>
      </c>
      <c r="G911" s="16" t="n">
        <v>45727</v>
      </c>
      <c r="H911" s="17" t="inlineStr">
        <is>
          <t>CÔNG TY TNHH DỊCH VỤ - THƯƠNG MẠI THÉP THIÊN LONG</t>
        </is>
      </c>
      <c r="I911" s="17" t="inlineStr">
        <is>
          <t>Thép tấm 14ly</t>
        </is>
      </c>
      <c r="J911" s="17" t="inlineStr">
        <is>
          <t>kg</t>
        </is>
      </c>
      <c r="K911" s="19" t="n">
        <v>14909.09</v>
      </c>
      <c r="L911" s="20" t="n"/>
      <c r="M911" s="20" t="n"/>
      <c r="N911" s="43" t="n">
        <v>21100.8</v>
      </c>
      <c r="O911" s="20" t="n">
        <v>314593745</v>
      </c>
      <c r="P911" s="43" t="n">
        <v>21100.8</v>
      </c>
      <c r="Q911" s="20" t="n">
        <v>314593745</v>
      </c>
      <c r="R911" s="42">
        <f>+L911+N911-P911</f>
        <v/>
      </c>
      <c r="S911" s="42">
        <f>+M911+O911-Q911</f>
        <v/>
      </c>
    </row>
    <row r="912" ht="30" customHeight="1">
      <c r="A912" s="16" t="n">
        <v>45727</v>
      </c>
      <c r="B912" s="17" t="inlineStr">
        <is>
          <t>MH2503-32</t>
        </is>
      </c>
      <c r="C912" s="16" t="n">
        <v>45727</v>
      </c>
      <c r="D912" s="17" t="inlineStr">
        <is>
          <t>00000314</t>
        </is>
      </c>
      <c r="E912" s="16" t="n">
        <v>45727</v>
      </c>
      <c r="F912" s="16" t="inlineStr">
        <is>
          <t>XK2503-45</t>
        </is>
      </c>
      <c r="G912" s="16" t="n">
        <v>45727</v>
      </c>
      <c r="H912" s="17" t="inlineStr">
        <is>
          <t>CÔNG TY TNHH DỊCH VỤ - THƯƠNG MẠI THÉP THIÊN LONG</t>
        </is>
      </c>
      <c r="I912" s="17" t="inlineStr">
        <is>
          <t>Thép tấm 6ly</t>
        </is>
      </c>
      <c r="J912" s="17" t="inlineStr">
        <is>
          <t>kg</t>
        </is>
      </c>
      <c r="K912" s="19" t="n">
        <v>14090.9</v>
      </c>
      <c r="L912" s="20" t="n"/>
      <c r="M912" s="20" t="n"/>
      <c r="N912" s="43" t="n">
        <v>15825.6</v>
      </c>
      <c r="O912" s="20" t="n">
        <v>222997091</v>
      </c>
      <c r="P912" s="43" t="n">
        <v>15825.6</v>
      </c>
      <c r="Q912" s="20" t="n">
        <v>222997091</v>
      </c>
      <c r="R912" s="42">
        <f>+L912+N912-P912</f>
        <v/>
      </c>
      <c r="S912" s="42">
        <f>+M912+O912-Q912</f>
        <v/>
      </c>
    </row>
    <row r="913" ht="30" customHeight="1">
      <c r="A913" s="16" t="n">
        <v>45727</v>
      </c>
      <c r="B913" s="17" t="inlineStr">
        <is>
          <t>MH2503-33</t>
        </is>
      </c>
      <c r="C913" s="16" t="n">
        <v>45727</v>
      </c>
      <c r="D913" s="17" t="inlineStr">
        <is>
          <t>00000315</t>
        </is>
      </c>
      <c r="E913" s="16" t="n">
        <v>45727</v>
      </c>
      <c r="F913" s="16" t="inlineStr">
        <is>
          <t>XK2503-46</t>
        </is>
      </c>
      <c r="G913" s="16" t="n">
        <v>45727</v>
      </c>
      <c r="H913" s="17" t="inlineStr">
        <is>
          <t>CÔNG TY TNHH DỊCH VỤ - THƯƠNG MẠI THÉP THIÊN LONG</t>
        </is>
      </c>
      <c r="I913" s="17" t="inlineStr">
        <is>
          <t>Thép tấm 14ly</t>
        </is>
      </c>
      <c r="J913" s="17" t="inlineStr">
        <is>
          <t>kg</t>
        </is>
      </c>
      <c r="K913" s="19" t="n">
        <v>14909.09</v>
      </c>
      <c r="L913" s="20" t="n"/>
      <c r="M913" s="20" t="n"/>
      <c r="N913" s="43" t="n">
        <v>21100.8</v>
      </c>
      <c r="O913" s="20" t="n">
        <v>314593745</v>
      </c>
      <c r="P913" s="43" t="n">
        <v>21100.8</v>
      </c>
      <c r="Q913" s="20" t="n">
        <v>314593745</v>
      </c>
      <c r="R913" s="42">
        <f>+L913+N913-P913</f>
        <v/>
      </c>
      <c r="S913" s="42">
        <f>+M913+O913-Q913</f>
        <v/>
      </c>
    </row>
    <row r="914" ht="30" customHeight="1">
      <c r="A914" s="16" t="n">
        <v>45727</v>
      </c>
      <c r="B914" s="17" t="inlineStr">
        <is>
          <t>MH2503-33</t>
        </is>
      </c>
      <c r="C914" s="16" t="n">
        <v>45727</v>
      </c>
      <c r="D914" s="17" t="inlineStr">
        <is>
          <t>00000316</t>
        </is>
      </c>
      <c r="E914" s="16" t="n">
        <v>45727</v>
      </c>
      <c r="F914" s="16" t="inlineStr">
        <is>
          <t>XK2503-47</t>
        </is>
      </c>
      <c r="G914" s="16" t="n">
        <v>45727</v>
      </c>
      <c r="H914" s="17" t="inlineStr">
        <is>
          <t>CÔNG TY TNHH DỊCH VỤ - THƯƠNG MẠI THÉP THIÊN LONG</t>
        </is>
      </c>
      <c r="I914" s="17" t="inlineStr">
        <is>
          <t>Thép tấm 14ly</t>
        </is>
      </c>
      <c r="J914" s="17" t="inlineStr">
        <is>
          <t>kg</t>
        </is>
      </c>
      <c r="K914" s="19" t="n">
        <v>14909.09</v>
      </c>
      <c r="L914" s="20" t="n"/>
      <c r="M914" s="20" t="n"/>
      <c r="N914" s="43" t="n">
        <v>21100.8</v>
      </c>
      <c r="O914" s="20" t="n">
        <v>314593745</v>
      </c>
      <c r="P914" s="43" t="n">
        <v>21100.8</v>
      </c>
      <c r="Q914" s="20" t="n">
        <v>314593745</v>
      </c>
      <c r="R914" s="42">
        <f>+L914+N914-P914</f>
        <v/>
      </c>
      <c r="S914" s="42">
        <f>+M914+O914-Q914</f>
        <v/>
      </c>
    </row>
    <row r="915" ht="30" customHeight="1">
      <c r="A915" s="16" t="n">
        <v>45727</v>
      </c>
      <c r="B915" s="17" t="inlineStr">
        <is>
          <t>MH2503-33</t>
        </is>
      </c>
      <c r="C915" s="16" t="n">
        <v>45727</v>
      </c>
      <c r="D915" s="17" t="inlineStr">
        <is>
          <t>00000317</t>
        </is>
      </c>
      <c r="E915" s="16" t="n">
        <v>45727</v>
      </c>
      <c r="F915" s="16" t="inlineStr">
        <is>
          <t>XK2503-48</t>
        </is>
      </c>
      <c r="G915" s="16" t="n">
        <v>45727</v>
      </c>
      <c r="H915" s="17" t="inlineStr">
        <is>
          <t>CÔNG TY TNHH DỊCH VỤ - THƯƠNG MẠI THÉP THIÊN LONG</t>
        </is>
      </c>
      <c r="I915" s="17" t="inlineStr">
        <is>
          <t>Thép tấm 14ly</t>
        </is>
      </c>
      <c r="J915" s="17" t="inlineStr">
        <is>
          <t>kg</t>
        </is>
      </c>
      <c r="K915" s="19" t="n">
        <v>14909.09</v>
      </c>
      <c r="L915" s="20" t="n"/>
      <c r="M915" s="20" t="n"/>
      <c r="N915" s="43" t="n">
        <v>21100.8</v>
      </c>
      <c r="O915" s="20" t="n">
        <v>314593745</v>
      </c>
      <c r="P915" s="43" t="n">
        <v>21100.8</v>
      </c>
      <c r="Q915" s="20" t="n">
        <v>314593745</v>
      </c>
      <c r="R915" s="42">
        <f>+L915+N915-P915</f>
        <v/>
      </c>
      <c r="S915" s="42">
        <f>+M915+O915-Q915</f>
        <v/>
      </c>
    </row>
    <row r="916" ht="30" customHeight="1">
      <c r="A916" s="16" t="n">
        <v>45727</v>
      </c>
      <c r="B916" s="17" t="inlineStr">
        <is>
          <t>MH2503-33</t>
        </is>
      </c>
      <c r="C916" s="16" t="n">
        <v>45727</v>
      </c>
      <c r="D916" s="17" t="inlineStr">
        <is>
          <t>00000318</t>
        </is>
      </c>
      <c r="E916" s="16" t="n">
        <v>45727</v>
      </c>
      <c r="F916" s="16" t="inlineStr">
        <is>
          <t>XK2503-49</t>
        </is>
      </c>
      <c r="G916" s="16" t="n">
        <v>45727</v>
      </c>
      <c r="H916" s="17" t="inlineStr">
        <is>
          <t>CÔNG TY TNHH DỊCH VỤ - THƯƠNG MẠI THÉP THIÊN LONG</t>
        </is>
      </c>
      <c r="I916" s="17" t="inlineStr">
        <is>
          <t>Thép tấm 14ly</t>
        </is>
      </c>
      <c r="J916" s="17" t="inlineStr">
        <is>
          <t>kg</t>
        </is>
      </c>
      <c r="K916" s="19" t="n">
        <v>14909.09</v>
      </c>
      <c r="L916" s="20" t="n"/>
      <c r="M916" s="20" t="n"/>
      <c r="N916" s="43" t="n">
        <v>21100.8</v>
      </c>
      <c r="O916" s="20" t="n">
        <v>314593745</v>
      </c>
      <c r="P916" s="43" t="n">
        <v>21100.8</v>
      </c>
      <c r="Q916" s="20" t="n">
        <v>314593745</v>
      </c>
      <c r="R916" s="42">
        <f>+L916+N916-P916</f>
        <v/>
      </c>
      <c r="S916" s="42">
        <f>+M916+O916-Q916</f>
        <v/>
      </c>
    </row>
    <row r="917" ht="30" customHeight="1">
      <c r="A917" s="16" t="n">
        <v>45727</v>
      </c>
      <c r="B917" s="17" t="inlineStr">
        <is>
          <t>MH2503-34</t>
        </is>
      </c>
      <c r="C917" s="16" t="n">
        <v>45727</v>
      </c>
      <c r="D917" s="17" t="inlineStr">
        <is>
          <t>00000312</t>
        </is>
      </c>
      <c r="E917" s="16" t="n">
        <v>45727</v>
      </c>
      <c r="F917" s="16" t="inlineStr">
        <is>
          <t>XK2503-50</t>
        </is>
      </c>
      <c r="G917" s="16" t="n">
        <v>45727</v>
      </c>
      <c r="H917" s="17" t="inlineStr">
        <is>
          <t>CÔNG TY TNHH DỊCH VỤ - THƯƠNG MẠI THÉP THIÊN LONG</t>
        </is>
      </c>
      <c r="I917" s="17" t="inlineStr">
        <is>
          <t>Thép tấm 20ly</t>
        </is>
      </c>
      <c r="J917" s="17" t="inlineStr">
        <is>
          <t>kg</t>
        </is>
      </c>
      <c r="K917" s="19" t="n">
        <v>14909.09</v>
      </c>
      <c r="L917" s="20" t="n"/>
      <c r="M917" s="20" t="n"/>
      <c r="N917" s="43" t="n">
        <v>30144</v>
      </c>
      <c r="O917" s="20" t="n">
        <v>449419636</v>
      </c>
      <c r="P917" s="43" t="n">
        <v>30144</v>
      </c>
      <c r="Q917" s="20" t="n">
        <v>449419636</v>
      </c>
      <c r="R917" s="42">
        <f>+L917+N917-P917</f>
        <v/>
      </c>
      <c r="S917" s="42">
        <f>+M917+O917-Q917</f>
        <v/>
      </c>
    </row>
    <row r="918" ht="15" customHeight="1">
      <c r="A918" s="16" t="n">
        <v>45728</v>
      </c>
      <c r="B918" s="17" t="inlineStr">
        <is>
          <t>MH2503-35</t>
        </is>
      </c>
      <c r="C918" s="16" t="n">
        <v>45728</v>
      </c>
      <c r="D918" s="17" t="inlineStr">
        <is>
          <t>00002323</t>
        </is>
      </c>
      <c r="E918" s="16" t="n">
        <v>45728</v>
      </c>
      <c r="F918" s="16" t="inlineStr">
        <is>
          <t>XK2503-51</t>
        </is>
      </c>
      <c r="G918" s="16" t="n">
        <v>45728</v>
      </c>
      <c r="H918" s="17" t="inlineStr">
        <is>
          <t>CÔNG TY TNHH SƠN JOTUN VIỆT NAM</t>
        </is>
      </c>
      <c r="I918" s="17" t="inlineStr">
        <is>
          <t>SƠN FUTURA CLASSIC RAL5011 17.97L</t>
        </is>
      </c>
      <c r="J918" s="17" t="inlineStr">
        <is>
          <t>Thùng</t>
        </is>
      </c>
      <c r="K918" s="19" t="n">
        <v>155000</v>
      </c>
      <c r="L918" s="20" t="n"/>
      <c r="M918" s="20" t="n"/>
      <c r="N918" s="43" t="n">
        <v>99.84999999999999</v>
      </c>
      <c r="O918" s="20" t="n">
        <v>15476750</v>
      </c>
      <c r="P918" s="43" t="n">
        <v>99.84999999999999</v>
      </c>
      <c r="Q918" s="20" t="n">
        <v>15476750</v>
      </c>
      <c r="R918" s="42">
        <f>+L918+N918-P918</f>
        <v/>
      </c>
      <c r="S918" s="42">
        <f>+M918+O918-Q918</f>
        <v/>
      </c>
    </row>
    <row r="919" ht="15" customHeight="1">
      <c r="A919" s="16" t="n">
        <v>45728</v>
      </c>
      <c r="B919" s="17" t="inlineStr">
        <is>
          <t>MH2503-35</t>
        </is>
      </c>
      <c r="C919" s="16" t="n">
        <v>45728</v>
      </c>
      <c r="D919" s="17" t="inlineStr">
        <is>
          <t>00002325</t>
        </is>
      </c>
      <c r="E919" s="16" t="n">
        <v>45728</v>
      </c>
      <c r="F919" s="16" t="inlineStr">
        <is>
          <t>XK2503-52</t>
        </is>
      </c>
      <c r="G919" s="16" t="n">
        <v>45728</v>
      </c>
      <c r="H919" s="17" t="inlineStr">
        <is>
          <t>CÔNG TY TNHH SƠN JOTUN VIỆT NAM</t>
        </is>
      </c>
      <c r="I919" s="17" t="inlineStr">
        <is>
          <t>SƠN FUTURA CLASSIC RAL5011 19.97L</t>
        </is>
      </c>
      <c r="J919" s="17" t="inlineStr">
        <is>
          <t>Thùng</t>
        </is>
      </c>
      <c r="K919" s="19" t="n">
        <v>155000</v>
      </c>
      <c r="L919" s="20" t="n"/>
      <c r="M919" s="20" t="n"/>
      <c r="N919" s="43" t="n">
        <v>59.91</v>
      </c>
      <c r="O919" s="20" t="n">
        <v>9286050</v>
      </c>
      <c r="P919" s="43" t="n">
        <v>59.91</v>
      </c>
      <c r="Q919" s="20" t="n">
        <v>9286050</v>
      </c>
      <c r="R919" s="42">
        <f>+L919+N919-P919</f>
        <v/>
      </c>
      <c r="S919" s="42">
        <f>+M919+O919-Q919</f>
        <v/>
      </c>
    </row>
    <row r="920" ht="15" customHeight="1">
      <c r="A920" s="16" t="n">
        <v>45728</v>
      </c>
      <c r="B920" s="17" t="inlineStr">
        <is>
          <t>MH2503-36</t>
        </is>
      </c>
      <c r="C920" s="16" t="n">
        <v>45728</v>
      </c>
      <c r="D920" s="17" t="inlineStr">
        <is>
          <t>00002322</t>
        </is>
      </c>
      <c r="E920" s="16" t="n">
        <v>45728</v>
      </c>
      <c r="F920" s="16" t="inlineStr">
        <is>
          <t>XK2503-53</t>
        </is>
      </c>
      <c r="G920" s="16" t="n">
        <v>45728</v>
      </c>
      <c r="H920" s="17" t="inlineStr">
        <is>
          <t>CÔNG TY TNHH SƠN JOTUN VIỆT NAM</t>
        </is>
      </c>
      <c r="I920" s="17" t="inlineStr">
        <is>
          <t>SƠN JOTAMASTIC 70 GREY 18L</t>
        </is>
      </c>
      <c r="J920" s="17" t="inlineStr">
        <is>
          <t>Lít</t>
        </is>
      </c>
      <c r="K920" s="19" t="n">
        <v>90000</v>
      </c>
      <c r="L920" s="20" t="n"/>
      <c r="M920" s="20" t="n"/>
      <c r="N920" s="43" t="n">
        <v>918</v>
      </c>
      <c r="O920" s="20" t="n">
        <v>82620000</v>
      </c>
      <c r="P920" s="43" t="n">
        <v>918</v>
      </c>
      <c r="Q920" s="20" t="n">
        <v>82620000</v>
      </c>
      <c r="R920" s="42">
        <f>+L920+N920-P920</f>
        <v/>
      </c>
      <c r="S920" s="42">
        <f>+M920+O920-Q920</f>
        <v/>
      </c>
    </row>
    <row r="921" ht="15" customHeight="1">
      <c r="A921" s="16" t="n">
        <v>45728</v>
      </c>
      <c r="B921" s="17" t="inlineStr">
        <is>
          <t>MH2503-36</t>
        </is>
      </c>
      <c r="C921" s="16" t="n">
        <v>45728</v>
      </c>
      <c r="D921" s="17" t="inlineStr">
        <is>
          <t>00002322</t>
        </is>
      </c>
      <c r="E921" s="16" t="n">
        <v>45728</v>
      </c>
      <c r="F921" s="16" t="inlineStr">
        <is>
          <t>XK2503-53</t>
        </is>
      </c>
      <c r="G921" s="16" t="n">
        <v>45728</v>
      </c>
      <c r="H921" s="17" t="inlineStr">
        <is>
          <t>CÔNG TY TNHH SƠN JOTUN VIỆT NAM</t>
        </is>
      </c>
      <c r="I921" s="17" t="inlineStr">
        <is>
          <t>DUNG MÔI JOTUN THINNER NO. 17 20L</t>
        </is>
      </c>
      <c r="J921" s="17" t="inlineStr">
        <is>
          <t>Lít</t>
        </is>
      </c>
      <c r="K921" s="19" t="n">
        <v>60000</v>
      </c>
      <c r="L921" s="20" t="n"/>
      <c r="M921" s="20" t="n"/>
      <c r="N921" s="43" t="n">
        <v>140</v>
      </c>
      <c r="O921" s="20" t="n">
        <v>8400000</v>
      </c>
      <c r="P921" s="43" t="n">
        <v>140</v>
      </c>
      <c r="Q921" s="20" t="n">
        <v>8400000</v>
      </c>
      <c r="R921" s="42">
        <f>+L921+N921-P921</f>
        <v/>
      </c>
      <c r="S921" s="42">
        <f>+M921+O921-Q921</f>
        <v/>
      </c>
    </row>
    <row r="922" ht="30" customHeight="1">
      <c r="A922" s="16" t="n">
        <v>45729</v>
      </c>
      <c r="B922" s="17" t="inlineStr">
        <is>
          <t>MH2503-38</t>
        </is>
      </c>
      <c r="C922" s="16" t="n">
        <v>45729</v>
      </c>
      <c r="D922" s="17" t="inlineStr">
        <is>
          <t>00000348</t>
        </is>
      </c>
      <c r="E922" s="16" t="n">
        <v>45729</v>
      </c>
      <c r="F922" s="16" t="inlineStr">
        <is>
          <t>XK2503-54</t>
        </is>
      </c>
      <c r="G922" s="16" t="n">
        <v>45729</v>
      </c>
      <c r="H922" s="17" t="inlineStr">
        <is>
          <t>CÔNG TY TNHH DỊCH VỤ - THƯƠNG MẠI THÉP THIÊN LONG</t>
        </is>
      </c>
      <c r="I922" s="17" t="inlineStr">
        <is>
          <t>Thép tấm 25ly</t>
        </is>
      </c>
      <c r="J922" s="17" t="inlineStr">
        <is>
          <t>kg</t>
        </is>
      </c>
      <c r="K922" s="19" t="n">
        <v>14909.09</v>
      </c>
      <c r="L922" s="20" t="n"/>
      <c r="M922" s="20" t="n"/>
      <c r="N922" s="43" t="n">
        <v>23550</v>
      </c>
      <c r="O922" s="20" t="n">
        <v>351109070</v>
      </c>
      <c r="P922" s="43" t="n">
        <v>23550</v>
      </c>
      <c r="Q922" s="20" t="n">
        <v>351109070</v>
      </c>
      <c r="R922" s="42">
        <f>+L922+N922-P922</f>
        <v/>
      </c>
      <c r="S922" s="42">
        <f>+M922+O922-Q922</f>
        <v/>
      </c>
    </row>
    <row r="923" ht="30" customHeight="1">
      <c r="A923" s="16" t="n">
        <v>45729</v>
      </c>
      <c r="B923" s="17" t="inlineStr">
        <is>
          <t>MH2503-38</t>
        </is>
      </c>
      <c r="C923" s="16" t="n">
        <v>45729</v>
      </c>
      <c r="D923" s="17" t="inlineStr">
        <is>
          <t>00000348</t>
        </is>
      </c>
      <c r="E923" s="16" t="n">
        <v>45729</v>
      </c>
      <c r="F923" s="16" t="inlineStr">
        <is>
          <t>XK2503-54</t>
        </is>
      </c>
      <c r="G923" s="16" t="n">
        <v>45729</v>
      </c>
      <c r="H923" s="17" t="inlineStr">
        <is>
          <t>CÔNG TY TNHH DỊCH VỤ - THƯƠNG MẠI THÉP THIÊN LONG</t>
        </is>
      </c>
      <c r="I923" s="17" t="inlineStr">
        <is>
          <t>Thép tấm 20ly</t>
        </is>
      </c>
      <c r="J923" s="17" t="inlineStr">
        <is>
          <t>kg</t>
        </is>
      </c>
      <c r="K923" s="19" t="n">
        <v>14909.09</v>
      </c>
      <c r="L923" s="20" t="n"/>
      <c r="M923" s="20" t="n"/>
      <c r="N923" s="43" t="n">
        <v>16956</v>
      </c>
      <c r="O923" s="20" t="n">
        <v>252798566</v>
      </c>
      <c r="P923" s="43" t="n">
        <v>16956</v>
      </c>
      <c r="Q923" s="20" t="n">
        <v>252798566</v>
      </c>
      <c r="R923" s="42">
        <f>+L923+N923-P923</f>
        <v/>
      </c>
      <c r="S923" s="42">
        <f>+M923+O923-Q923</f>
        <v/>
      </c>
    </row>
    <row r="924" ht="30" customHeight="1">
      <c r="A924" s="16" t="n">
        <v>45729</v>
      </c>
      <c r="B924" s="17" t="inlineStr">
        <is>
          <t>MH2503-38</t>
        </is>
      </c>
      <c r="C924" s="16" t="n">
        <v>45729</v>
      </c>
      <c r="D924" s="17" t="inlineStr">
        <is>
          <t>00000350</t>
        </is>
      </c>
      <c r="E924" s="16" t="n">
        <v>45729</v>
      </c>
      <c r="F924" s="16" t="inlineStr">
        <is>
          <t>XK2503-55</t>
        </is>
      </c>
      <c r="G924" s="16" t="n">
        <v>45729</v>
      </c>
      <c r="H924" s="17" t="inlineStr">
        <is>
          <t>CÔNG TY TNHH DỊCH VỤ - THƯƠNG MẠI THÉP THIÊN LONG</t>
        </is>
      </c>
      <c r="I924" s="17" t="inlineStr">
        <is>
          <t>Thép tấm 20ly</t>
        </is>
      </c>
      <c r="J924" s="17" t="inlineStr">
        <is>
          <t>kg</t>
        </is>
      </c>
      <c r="K924" s="19" t="n">
        <v>14909.09</v>
      </c>
      <c r="L924" s="20" t="n"/>
      <c r="M924" s="20" t="n"/>
      <c r="N924" s="43" t="n">
        <v>30144</v>
      </c>
      <c r="O924" s="20" t="n">
        <v>449419636</v>
      </c>
      <c r="P924" s="43" t="n">
        <v>30144</v>
      </c>
      <c r="Q924" s="20" t="n">
        <v>449419636</v>
      </c>
      <c r="R924" s="42">
        <f>+L924+N924-P924</f>
        <v/>
      </c>
      <c r="S924" s="42">
        <f>+M924+O924-Q924</f>
        <v/>
      </c>
    </row>
    <row r="925" ht="30" customHeight="1">
      <c r="A925" s="16" t="n">
        <v>45729</v>
      </c>
      <c r="B925" s="17" t="inlineStr">
        <is>
          <t>MH2503-39</t>
        </is>
      </c>
      <c r="C925" s="16" t="n">
        <v>45729</v>
      </c>
      <c r="D925" s="17" t="inlineStr">
        <is>
          <t>00000347</t>
        </is>
      </c>
      <c r="E925" s="16" t="n">
        <v>45729</v>
      </c>
      <c r="F925" s="16" t="inlineStr">
        <is>
          <t>XK2503-56</t>
        </is>
      </c>
      <c r="G925" s="16" t="n">
        <v>45729</v>
      </c>
      <c r="H925" s="17" t="inlineStr">
        <is>
          <t>CÔNG TY TNHH DỊCH VỤ - THƯƠNG MẠI THÉP THIÊN LONG</t>
        </is>
      </c>
      <c r="I925" s="17" t="inlineStr">
        <is>
          <t>Thép tấm 6ly</t>
        </is>
      </c>
      <c r="J925" s="17" t="inlineStr">
        <is>
          <t>kg</t>
        </is>
      </c>
      <c r="K925" s="19" t="n">
        <v>14090.9</v>
      </c>
      <c r="L925" s="20" t="n"/>
      <c r="M925" s="20" t="n"/>
      <c r="N925" s="43" t="n">
        <v>14695.2</v>
      </c>
      <c r="O925" s="20" t="n">
        <v>207068727</v>
      </c>
      <c r="P925" s="43" t="n">
        <v>14695.2</v>
      </c>
      <c r="Q925" s="20" t="n">
        <v>207068727</v>
      </c>
      <c r="R925" s="42">
        <f>+L925+N925-P925</f>
        <v/>
      </c>
      <c r="S925" s="42">
        <f>+M925+O925-Q925</f>
        <v/>
      </c>
    </row>
    <row r="926" ht="30" customHeight="1">
      <c r="A926" s="16" t="n">
        <v>45729</v>
      </c>
      <c r="B926" s="17" t="inlineStr">
        <is>
          <t>MH2503-39</t>
        </is>
      </c>
      <c r="C926" s="16" t="n">
        <v>45729</v>
      </c>
      <c r="D926" s="17" t="inlineStr">
        <is>
          <t>00000349</t>
        </is>
      </c>
      <c r="E926" s="16" t="n">
        <v>45729</v>
      </c>
      <c r="F926" s="16" t="inlineStr">
        <is>
          <t>XK2503-57</t>
        </is>
      </c>
      <c r="G926" s="16" t="n">
        <v>45729</v>
      </c>
      <c r="H926" s="17" t="inlineStr">
        <is>
          <t>CÔNG TY TNHH DỊCH VỤ - THƯƠNG MẠI THÉP THIÊN LONG</t>
        </is>
      </c>
      <c r="I926" s="17" t="inlineStr">
        <is>
          <t>Thép tấm 10ly</t>
        </is>
      </c>
      <c r="J926" s="17" t="inlineStr">
        <is>
          <t>kg</t>
        </is>
      </c>
      <c r="K926" s="19" t="n">
        <v>14090.9</v>
      </c>
      <c r="L926" s="20" t="n"/>
      <c r="M926" s="20" t="n"/>
      <c r="N926" s="43" t="n">
        <v>16956</v>
      </c>
      <c r="O926" s="20" t="n">
        <v>238925475</v>
      </c>
      <c r="P926" s="43" t="n">
        <v>16956</v>
      </c>
      <c r="Q926" s="20" t="n">
        <v>238925475</v>
      </c>
      <c r="R926" s="42">
        <f>+L926+N926-P926</f>
        <v/>
      </c>
      <c r="S926" s="42">
        <f>+M926+O926-Q926</f>
        <v/>
      </c>
    </row>
    <row r="927" ht="30" customHeight="1">
      <c r="A927" s="16" t="n">
        <v>45729</v>
      </c>
      <c r="B927" s="17" t="inlineStr">
        <is>
          <t>MH2503-39</t>
        </is>
      </c>
      <c r="C927" s="16" t="n">
        <v>45729</v>
      </c>
      <c r="D927" s="17" t="inlineStr">
        <is>
          <t>00000349</t>
        </is>
      </c>
      <c r="E927" s="16" t="n">
        <v>45729</v>
      </c>
      <c r="F927" s="16" t="inlineStr">
        <is>
          <t>XK2503-57</t>
        </is>
      </c>
      <c r="G927" s="16" t="n">
        <v>45729</v>
      </c>
      <c r="H927" s="17" t="inlineStr">
        <is>
          <t>CÔNG TY TNHH DỊCH VỤ - THƯƠNG MẠI THÉP THIÊN LONG</t>
        </is>
      </c>
      <c r="I927" s="17" t="inlineStr">
        <is>
          <t>Thép tấm 25ly</t>
        </is>
      </c>
      <c r="J927" s="17" t="inlineStr">
        <is>
          <t>kg</t>
        </is>
      </c>
      <c r="K927" s="19" t="n">
        <v>14909.09</v>
      </c>
      <c r="L927" s="20" t="n"/>
      <c r="M927" s="20" t="n"/>
      <c r="N927" s="43" t="n">
        <v>23550</v>
      </c>
      <c r="O927" s="20" t="n">
        <v>351109070</v>
      </c>
      <c r="P927" s="43" t="n">
        <v>23550</v>
      </c>
      <c r="Q927" s="20" t="n">
        <v>351109070</v>
      </c>
      <c r="R927" s="42">
        <f>+L927+N927-P927</f>
        <v/>
      </c>
      <c r="S927" s="42">
        <f>+M927+O927-Q927</f>
        <v/>
      </c>
    </row>
    <row r="928" ht="30" customHeight="1">
      <c r="A928" s="16" t="n">
        <v>45729</v>
      </c>
      <c r="B928" s="17" t="inlineStr">
        <is>
          <t>MH2503-39</t>
        </is>
      </c>
      <c r="C928" s="16" t="n">
        <v>45729</v>
      </c>
      <c r="D928" s="17" t="inlineStr">
        <is>
          <t>00000351</t>
        </is>
      </c>
      <c r="E928" s="16" t="n">
        <v>45729</v>
      </c>
      <c r="F928" s="16" t="inlineStr">
        <is>
          <t>XK2503-58</t>
        </is>
      </c>
      <c r="G928" s="16" t="n">
        <v>45729</v>
      </c>
      <c r="H928" s="17" t="inlineStr">
        <is>
          <t>CÔNG TY TNHH DỊCH VỤ - THƯƠNG MẠI THÉP THIÊN LONG</t>
        </is>
      </c>
      <c r="I928" s="17" t="inlineStr">
        <is>
          <t>Thép tấm 20ly</t>
        </is>
      </c>
      <c r="J928" s="17" t="inlineStr">
        <is>
          <t>kg</t>
        </is>
      </c>
      <c r="K928" s="19" t="n">
        <v>14909.09</v>
      </c>
      <c r="L928" s="20" t="n"/>
      <c r="M928" s="20" t="n"/>
      <c r="N928" s="43" t="n">
        <v>30144</v>
      </c>
      <c r="O928" s="20" t="n">
        <v>449419636</v>
      </c>
      <c r="P928" s="43" t="n">
        <v>30144</v>
      </c>
      <c r="Q928" s="20" t="n">
        <v>449419636</v>
      </c>
      <c r="R928" s="42">
        <f>+L928+N928-P928</f>
        <v/>
      </c>
      <c r="S928" s="42">
        <f>+M928+O928-Q928</f>
        <v/>
      </c>
    </row>
    <row r="929" ht="30" customHeight="1">
      <c r="A929" s="16" t="n">
        <v>45729</v>
      </c>
      <c r="B929" s="17" t="inlineStr">
        <is>
          <t>MH2503-39</t>
        </is>
      </c>
      <c r="C929" s="16" t="n">
        <v>45729</v>
      </c>
      <c r="D929" s="17" t="inlineStr">
        <is>
          <t>00000352</t>
        </is>
      </c>
      <c r="E929" s="16" t="n">
        <v>45729</v>
      </c>
      <c r="F929" s="16" t="inlineStr">
        <is>
          <t>XK2503-59</t>
        </is>
      </c>
      <c r="G929" s="16" t="n">
        <v>45729</v>
      </c>
      <c r="H929" s="17" t="inlineStr">
        <is>
          <t>CÔNG TY TNHH DỊCH VỤ - THƯƠNG MẠI THÉP THIÊN LONG</t>
        </is>
      </c>
      <c r="I929" s="17" t="inlineStr">
        <is>
          <t>Thép tấm 20ly</t>
        </is>
      </c>
      <c r="J929" s="17" t="inlineStr">
        <is>
          <t>kg</t>
        </is>
      </c>
      <c r="K929" s="19" t="n">
        <v>14909.09</v>
      </c>
      <c r="L929" s="20" t="n"/>
      <c r="M929" s="20" t="n"/>
      <c r="N929" s="43" t="n">
        <v>30144</v>
      </c>
      <c r="O929" s="20" t="n">
        <v>449419636</v>
      </c>
      <c r="P929" s="43" t="n">
        <v>30144</v>
      </c>
      <c r="Q929" s="20" t="n">
        <v>449419636</v>
      </c>
      <c r="R929" s="42">
        <f>+L929+N929-P929</f>
        <v/>
      </c>
      <c r="S929" s="42">
        <f>+M929+O929-Q929</f>
        <v/>
      </c>
    </row>
    <row r="930" ht="30" customHeight="1">
      <c r="A930" s="16" t="n">
        <v>45729</v>
      </c>
      <c r="B930" s="17" t="inlineStr">
        <is>
          <t>MH2503-39</t>
        </is>
      </c>
      <c r="C930" s="16" t="n">
        <v>45729</v>
      </c>
      <c r="D930" s="17" t="inlineStr">
        <is>
          <t>00000353</t>
        </is>
      </c>
      <c r="E930" s="16" t="n">
        <v>45729</v>
      </c>
      <c r="F930" s="16" t="inlineStr">
        <is>
          <t>XK2503-60</t>
        </is>
      </c>
      <c r="G930" s="16" t="n">
        <v>45729</v>
      </c>
      <c r="H930" s="17" t="inlineStr">
        <is>
          <t>CÔNG TY TNHH DỊCH VỤ - THƯƠNG MẠI THÉP THIÊN LONG</t>
        </is>
      </c>
      <c r="I930" s="17" t="inlineStr">
        <is>
          <t>Thép tấm 12ly</t>
        </is>
      </c>
      <c r="J930" s="17" t="inlineStr">
        <is>
          <t>kg</t>
        </is>
      </c>
      <c r="K930" s="19" t="n">
        <v>14090.9</v>
      </c>
      <c r="L930" s="20" t="n"/>
      <c r="M930" s="20" t="n"/>
      <c r="N930" s="43" t="n">
        <v>31651.2</v>
      </c>
      <c r="O930" s="20" t="n">
        <v>445994182</v>
      </c>
      <c r="P930" s="43" t="n">
        <v>31651.2</v>
      </c>
      <c r="Q930" s="20" t="n">
        <v>445994182</v>
      </c>
      <c r="R930" s="42">
        <f>+L930+N930-P930</f>
        <v/>
      </c>
      <c r="S930" s="42">
        <f>+M930+O930-Q930</f>
        <v/>
      </c>
    </row>
    <row r="931" ht="30" customHeight="1">
      <c r="A931" s="16" t="n">
        <v>45729</v>
      </c>
      <c r="B931" s="17" t="inlineStr">
        <is>
          <t>MH2503-39</t>
        </is>
      </c>
      <c r="C931" s="16" t="n">
        <v>45729</v>
      </c>
      <c r="D931" s="17" t="inlineStr">
        <is>
          <t>00000354</t>
        </is>
      </c>
      <c r="E931" s="16" t="n">
        <v>45729</v>
      </c>
      <c r="F931" s="16" t="inlineStr">
        <is>
          <t>XK2503-61</t>
        </is>
      </c>
      <c r="G931" s="16" t="n">
        <v>45729</v>
      </c>
      <c r="H931" s="17" t="inlineStr">
        <is>
          <t>CÔNG TY TNHH DỊCH VỤ - THƯƠNG MẠI THÉP THIÊN LONG</t>
        </is>
      </c>
      <c r="I931" s="17" t="inlineStr">
        <is>
          <t>Thép tấm 12ly</t>
        </is>
      </c>
      <c r="J931" s="17" t="inlineStr">
        <is>
          <t>kg</t>
        </is>
      </c>
      <c r="K931" s="19" t="n">
        <v>14090.9</v>
      </c>
      <c r="L931" s="20" t="n"/>
      <c r="M931" s="20" t="n"/>
      <c r="N931" s="43" t="n">
        <v>29390.4</v>
      </c>
      <c r="O931" s="20" t="n">
        <v>414137455</v>
      </c>
      <c r="P931" s="43" t="n">
        <v>29390.4</v>
      </c>
      <c r="Q931" s="20" t="n">
        <v>414137455</v>
      </c>
      <c r="R931" s="42">
        <f>+L931+N931-P931</f>
        <v/>
      </c>
      <c r="S931" s="42">
        <f>+M931+O931-Q931</f>
        <v/>
      </c>
    </row>
    <row r="932" ht="15" customHeight="1">
      <c r="A932" s="16" t="n">
        <v>45729</v>
      </c>
      <c r="B932" s="17" t="inlineStr">
        <is>
          <t>MH2503-40</t>
        </is>
      </c>
      <c r="C932" s="16" t="n">
        <v>45729</v>
      </c>
      <c r="D932" s="17" t="inlineStr">
        <is>
          <t>570</t>
        </is>
      </c>
      <c r="E932" s="16" t="n">
        <v>45729</v>
      </c>
      <c r="F932" s="16" t="inlineStr">
        <is>
          <t>XK2503-62</t>
        </is>
      </c>
      <c r="G932" s="16" t="n">
        <v>45729</v>
      </c>
      <c r="H932" s="17" t="inlineStr">
        <is>
          <t>CÔNG TY TNHH THÉP IPC SÀI GÒN</t>
        </is>
      </c>
      <c r="I932" s="17" t="inlineStr">
        <is>
          <t>Thép tấm 18x2000x12000</t>
        </is>
      </c>
      <c r="J932" s="17" t="inlineStr">
        <is>
          <t>kg</t>
        </is>
      </c>
      <c r="K932" s="19" t="n">
        <v>14863.64</v>
      </c>
      <c r="L932" s="20" t="n"/>
      <c r="M932" s="20" t="n"/>
      <c r="N932" s="43" t="n">
        <v>16956</v>
      </c>
      <c r="O932" s="20" t="n">
        <v>252027880</v>
      </c>
      <c r="P932" s="43" t="n">
        <v>16956</v>
      </c>
      <c r="Q932" s="20" t="n">
        <v>252027880</v>
      </c>
      <c r="R932" s="42">
        <f>+L932+N932-P932</f>
        <v/>
      </c>
      <c r="S932" s="42">
        <f>+M932+O932-Q932</f>
        <v/>
      </c>
    </row>
    <row r="933" ht="15" customHeight="1">
      <c r="A933" s="16" t="n">
        <v>45729</v>
      </c>
      <c r="B933" s="17" t="inlineStr">
        <is>
          <t>MH2503-40</t>
        </is>
      </c>
      <c r="C933" s="16" t="n">
        <v>45729</v>
      </c>
      <c r="D933" s="17" t="inlineStr">
        <is>
          <t>570</t>
        </is>
      </c>
      <c r="E933" s="16" t="n">
        <v>45729</v>
      </c>
      <c r="F933" s="16" t="inlineStr">
        <is>
          <t>XK2503-62</t>
        </is>
      </c>
      <c r="G933" s="16" t="n">
        <v>45729</v>
      </c>
      <c r="H933" s="17" t="inlineStr">
        <is>
          <t>CÔNG TY TNHH THÉP IPC SÀI GÒN</t>
        </is>
      </c>
      <c r="I933" s="17" t="inlineStr">
        <is>
          <t>Thép tấm 30x2000x12000</t>
        </is>
      </c>
      <c r="J933" s="17" t="inlineStr">
        <is>
          <t>kg</t>
        </is>
      </c>
      <c r="K933" s="19" t="n">
        <v>14863.64</v>
      </c>
      <c r="L933" s="20" t="n"/>
      <c r="M933" s="20" t="n"/>
      <c r="N933" s="43" t="n">
        <v>50868</v>
      </c>
      <c r="O933" s="20" t="n">
        <v>756083640</v>
      </c>
      <c r="P933" s="43" t="n">
        <v>50868</v>
      </c>
      <c r="Q933" s="20" t="n">
        <v>756083640</v>
      </c>
      <c r="R933" s="42">
        <f>+L933+N933-P933</f>
        <v/>
      </c>
      <c r="S933" s="42">
        <f>+M933+O933-Q933</f>
        <v/>
      </c>
    </row>
    <row r="934" ht="15" customHeight="1">
      <c r="A934" s="16" t="n">
        <v>45730</v>
      </c>
      <c r="B934" s="17" t="inlineStr">
        <is>
          <t>MH2503-41</t>
        </is>
      </c>
      <c r="C934" s="16" t="n">
        <v>45730</v>
      </c>
      <c r="D934" s="17" t="inlineStr">
        <is>
          <t>00002430</t>
        </is>
      </c>
      <c r="E934" s="16" t="n">
        <v>45730</v>
      </c>
      <c r="F934" s="16" t="inlineStr">
        <is>
          <t>XK2503-63</t>
        </is>
      </c>
      <c r="G934" s="16" t="n">
        <v>45730</v>
      </c>
      <c r="H934" s="17" t="inlineStr">
        <is>
          <t>CÔNG TY TNHH SƠN JOTUN VIỆT NAM</t>
        </is>
      </c>
      <c r="I934" s="17" t="inlineStr">
        <is>
          <t>SƠN FUTURA CLASSIC RAL9010 18.22L</t>
        </is>
      </c>
      <c r="J934" s="17" t="inlineStr">
        <is>
          <t>Thùng</t>
        </is>
      </c>
      <c r="K934" s="19" t="n">
        <v>155000</v>
      </c>
      <c r="L934" s="20" t="n"/>
      <c r="M934" s="20" t="n"/>
      <c r="N934" s="43" t="n">
        <v>145.76</v>
      </c>
      <c r="O934" s="20" t="n">
        <v>22592800</v>
      </c>
      <c r="P934" s="43" t="n">
        <v>145.76</v>
      </c>
      <c r="Q934" s="20" t="n">
        <v>22592800</v>
      </c>
      <c r="R934" s="42">
        <f>+L934+N934-P934</f>
        <v/>
      </c>
      <c r="S934" s="42">
        <f>+M934+O934-Q934</f>
        <v/>
      </c>
    </row>
    <row r="935" ht="30" customHeight="1">
      <c r="A935" s="16" t="n">
        <v>45731</v>
      </c>
      <c r="B935" s="17" t="inlineStr">
        <is>
          <t>MH2503-42</t>
        </is>
      </c>
      <c r="C935" s="16" t="n">
        <v>45731</v>
      </c>
      <c r="D935" s="17" t="inlineStr">
        <is>
          <t>00000790</t>
        </is>
      </c>
      <c r="E935" s="16" t="n">
        <v>45731</v>
      </c>
      <c r="F935" s="16" t="inlineStr">
        <is>
          <t>XK2503-64</t>
        </is>
      </c>
      <c r="G935" s="16" t="n">
        <v>45731</v>
      </c>
      <c r="H935" s="17" t="inlineStr">
        <is>
          <t>CÔNG TY CỔ PHẦN CÔNG NGHIỆP VÀ THƯƠNG MẠI CƯỜNG THỊNH</t>
        </is>
      </c>
      <c r="I935" s="17" t="inlineStr">
        <is>
          <t>Long đền thường ZP M16B30D2</t>
        </is>
      </c>
      <c r="J935" s="17" t="inlineStr">
        <is>
          <t>Cái</t>
        </is>
      </c>
      <c r="K935" s="19" t="n">
        <v>330</v>
      </c>
      <c r="L935" s="20" t="n"/>
      <c r="M935" s="20" t="n"/>
      <c r="N935" s="43" t="n">
        <v>300</v>
      </c>
      <c r="O935" s="20" t="n">
        <v>99000</v>
      </c>
      <c r="P935" s="43" t="n">
        <v>300</v>
      </c>
      <c r="Q935" s="20" t="n">
        <v>99000</v>
      </c>
      <c r="R935" s="42">
        <f>+L935+N935-P935</f>
        <v/>
      </c>
      <c r="S935" s="42">
        <f>+M935+O935-Q935</f>
        <v/>
      </c>
    </row>
    <row r="936" ht="30" customHeight="1">
      <c r="A936" s="16" t="n">
        <v>45731</v>
      </c>
      <c r="B936" s="17" t="inlineStr">
        <is>
          <t>MH2503-42</t>
        </is>
      </c>
      <c r="C936" s="16" t="n">
        <v>45731</v>
      </c>
      <c r="D936" s="17" t="inlineStr">
        <is>
          <t>00000790</t>
        </is>
      </c>
      <c r="E936" s="16" t="n">
        <v>45731</v>
      </c>
      <c r="F936" s="16" t="inlineStr">
        <is>
          <t>XK2503-64</t>
        </is>
      </c>
      <c r="G936" s="16" t="n">
        <v>45731</v>
      </c>
      <c r="H936" s="17" t="inlineStr">
        <is>
          <t>CÔNG TY CỔ PHẦN CÔNG NGHIỆP VÀ THƯƠNG MẠI CƯỜNG THỊNH</t>
        </is>
      </c>
      <c r="I936" s="17" t="inlineStr">
        <is>
          <t>Bulong neo I 4.6 ZP M16x385</t>
        </is>
      </c>
      <c r="J936" s="17" t="inlineStr">
        <is>
          <t>Cái</t>
        </is>
      </c>
      <c r="K936" s="19" t="n">
        <v>19240</v>
      </c>
      <c r="L936" s="20" t="n"/>
      <c r="M936" s="20" t="n"/>
      <c r="N936" s="43" t="n">
        <v>300</v>
      </c>
      <c r="O936" s="20" t="n">
        <v>5772000</v>
      </c>
      <c r="P936" s="43" t="n">
        <v>300</v>
      </c>
      <c r="Q936" s="20" t="n">
        <v>5772000</v>
      </c>
      <c r="R936" s="42">
        <f>+L936+N936-P936</f>
        <v/>
      </c>
      <c r="S936" s="42">
        <f>+M936+O936-Q936</f>
        <v/>
      </c>
    </row>
    <row r="937" ht="30" customHeight="1">
      <c r="A937" s="16" t="n">
        <v>45731</v>
      </c>
      <c r="B937" s="17" t="inlineStr">
        <is>
          <t>MH2503-42</t>
        </is>
      </c>
      <c r="C937" s="16" t="n">
        <v>45731</v>
      </c>
      <c r="D937" s="17" t="inlineStr">
        <is>
          <t>00000790</t>
        </is>
      </c>
      <c r="E937" s="16" t="n">
        <v>45731</v>
      </c>
      <c r="F937" s="16" t="inlineStr">
        <is>
          <t>XK2503-64</t>
        </is>
      </c>
      <c r="G937" s="16" t="n">
        <v>45731</v>
      </c>
      <c r="H937" s="17" t="inlineStr">
        <is>
          <t>CÔNG TY CỔ PHẦN CÔNG NGHIỆP VÀ THƯƠNG MẠI CƯỜNG THỊNH</t>
        </is>
      </c>
      <c r="I937" s="17" t="inlineStr">
        <is>
          <t>Đai ốc Din 934 5 ZP M16</t>
        </is>
      </c>
      <c r="J937" s="17" t="inlineStr">
        <is>
          <t>Cái</t>
        </is>
      </c>
      <c r="K937" s="19" t="n">
        <v>860</v>
      </c>
      <c r="L937" s="20" t="n"/>
      <c r="M937" s="20" t="n"/>
      <c r="N937" s="43" t="n">
        <v>1200</v>
      </c>
      <c r="O937" s="20" t="n">
        <v>1032000</v>
      </c>
      <c r="P937" s="43" t="n">
        <v>1200</v>
      </c>
      <c r="Q937" s="20" t="n">
        <v>1032000</v>
      </c>
      <c r="R937" s="42">
        <f>+L937+N937-P937</f>
        <v/>
      </c>
      <c r="S937" s="42">
        <f>+M937+O937-Q937</f>
        <v/>
      </c>
    </row>
    <row r="938" ht="30" customHeight="1">
      <c r="A938" s="16" t="n">
        <v>45731</v>
      </c>
      <c r="B938" s="17" t="inlineStr">
        <is>
          <t>MH2503-42</t>
        </is>
      </c>
      <c r="C938" s="16" t="n">
        <v>45731</v>
      </c>
      <c r="D938" s="17" t="inlineStr">
        <is>
          <t>00000790</t>
        </is>
      </c>
      <c r="E938" s="16" t="n">
        <v>45731</v>
      </c>
      <c r="F938" s="16" t="inlineStr">
        <is>
          <t>XK2503-64</t>
        </is>
      </c>
      <c r="G938" s="16" t="n">
        <v>45731</v>
      </c>
      <c r="H938" s="17" t="inlineStr">
        <is>
          <t>CÔNG TY CỔ PHẦN CÔNG NGHIỆP VÀ THƯƠNG MẠI CƯỜNG THỊNH</t>
        </is>
      </c>
      <c r="I938" s="17" t="inlineStr">
        <is>
          <t>Bulong neo I 4.6 ZP M20x445</t>
        </is>
      </c>
      <c r="J938" s="17" t="inlineStr">
        <is>
          <t>Cái</t>
        </is>
      </c>
      <c r="K938" s="19" t="n">
        <v>29920</v>
      </c>
      <c r="L938" s="20" t="n"/>
      <c r="M938" s="20" t="n"/>
      <c r="N938" s="43" t="n">
        <v>500</v>
      </c>
      <c r="O938" s="20" t="n">
        <v>14960000</v>
      </c>
      <c r="P938" s="43" t="n">
        <v>500</v>
      </c>
      <c r="Q938" s="20" t="n">
        <v>14960000</v>
      </c>
      <c r="R938" s="42">
        <f>+L938+N938-P938</f>
        <v/>
      </c>
      <c r="S938" s="42">
        <f>+M938+O938-Q938</f>
        <v/>
      </c>
    </row>
    <row r="939" ht="30" customHeight="1">
      <c r="A939" s="16" t="n">
        <v>45731</v>
      </c>
      <c r="B939" s="17" t="inlineStr">
        <is>
          <t>MH2503-42</t>
        </is>
      </c>
      <c r="C939" s="16" t="n">
        <v>45731</v>
      </c>
      <c r="D939" s="17" t="inlineStr">
        <is>
          <t>00000790</t>
        </is>
      </c>
      <c r="E939" s="16" t="n">
        <v>45731</v>
      </c>
      <c r="F939" s="16" t="inlineStr">
        <is>
          <t>XK2503-64</t>
        </is>
      </c>
      <c r="G939" s="16" t="n">
        <v>45731</v>
      </c>
      <c r="H939" s="17" t="inlineStr">
        <is>
          <t>CÔNG TY CỔ PHẦN CÔNG NGHIỆP VÀ THƯƠNG MẠI CƯỜNG THỊNH</t>
        </is>
      </c>
      <c r="I939" s="17" t="inlineStr">
        <is>
          <t>Đai ốc Din 934 5 ZP M20</t>
        </is>
      </c>
      <c r="J939" s="17" t="inlineStr">
        <is>
          <t>Cái</t>
        </is>
      </c>
      <c r="K939" s="19" t="n">
        <v>1550</v>
      </c>
      <c r="L939" s="20" t="n"/>
      <c r="M939" s="20" t="n"/>
      <c r="N939" s="43" t="n">
        <v>2000</v>
      </c>
      <c r="O939" s="20" t="n">
        <v>3100000</v>
      </c>
      <c r="P939" s="43" t="n">
        <v>2000</v>
      </c>
      <c r="Q939" s="20" t="n">
        <v>3100000</v>
      </c>
      <c r="R939" s="42">
        <f>+L939+N939-P939</f>
        <v/>
      </c>
      <c r="S939" s="42">
        <f>+M939+O939-Q939</f>
        <v/>
      </c>
    </row>
    <row r="940" ht="30" customHeight="1">
      <c r="A940" s="16" t="n">
        <v>45731</v>
      </c>
      <c r="B940" s="17" t="inlineStr">
        <is>
          <t>MH2503-42</t>
        </is>
      </c>
      <c r="C940" s="16" t="n">
        <v>45731</v>
      </c>
      <c r="D940" s="17" t="inlineStr">
        <is>
          <t>00000790</t>
        </is>
      </c>
      <c r="E940" s="16" t="n">
        <v>45731</v>
      </c>
      <c r="F940" s="16" t="inlineStr">
        <is>
          <t>XK2503-64</t>
        </is>
      </c>
      <c r="G940" s="16" t="n">
        <v>45731</v>
      </c>
      <c r="H940" s="17" t="inlineStr">
        <is>
          <t>CÔNG TY CỔ PHẦN CÔNG NGHIỆP VÀ THƯƠNG MẠI CƯỜNG THỊNH</t>
        </is>
      </c>
      <c r="I940" s="17" t="inlineStr">
        <is>
          <t>Long đền thường ZP M20B35D2</t>
        </is>
      </c>
      <c r="J940" s="17" t="inlineStr">
        <is>
          <t>Cái</t>
        </is>
      </c>
      <c r="K940" s="19" t="n">
        <v>380</v>
      </c>
      <c r="L940" s="20" t="n"/>
      <c r="M940" s="20" t="n"/>
      <c r="N940" s="43" t="n">
        <v>500</v>
      </c>
      <c r="O940" s="20" t="n">
        <v>190000</v>
      </c>
      <c r="P940" s="43" t="n">
        <v>500</v>
      </c>
      <c r="Q940" s="20" t="n">
        <v>190000</v>
      </c>
      <c r="R940" s="42">
        <f>+L940+N940-P940</f>
        <v/>
      </c>
      <c r="S940" s="42">
        <f>+M940+O940-Q940</f>
        <v/>
      </c>
    </row>
    <row r="941" ht="30" customHeight="1">
      <c r="A941" s="16" t="n">
        <v>45731</v>
      </c>
      <c r="B941" s="17" t="inlineStr">
        <is>
          <t>MH2503-42</t>
        </is>
      </c>
      <c r="C941" s="16" t="n">
        <v>45731</v>
      </c>
      <c r="D941" s="17" t="inlineStr">
        <is>
          <t>00000790</t>
        </is>
      </c>
      <c r="E941" s="16" t="n">
        <v>45731</v>
      </c>
      <c r="F941" s="16" t="inlineStr">
        <is>
          <t>XK2503-64</t>
        </is>
      </c>
      <c r="G941" s="16" t="n">
        <v>45731</v>
      </c>
      <c r="H941" s="17" t="inlineStr">
        <is>
          <t>CÔNG TY CỔ PHẦN CÔNG NGHIỆP VÀ THƯƠNG MẠI CƯỜNG THỊNH</t>
        </is>
      </c>
      <c r="I941" s="17" t="inlineStr">
        <is>
          <t>Bulong neo I 5.6 ZP M24x530</t>
        </is>
      </c>
      <c r="J941" s="17" t="inlineStr">
        <is>
          <t>Cái</t>
        </is>
      </c>
      <c r="K941" s="19" t="n">
        <v>48020</v>
      </c>
      <c r="L941" s="20" t="n"/>
      <c r="M941" s="20" t="n"/>
      <c r="N941" s="43" t="n">
        <v>700</v>
      </c>
      <c r="O941" s="20" t="n">
        <v>33614000</v>
      </c>
      <c r="P941" s="43" t="n">
        <v>700</v>
      </c>
      <c r="Q941" s="20" t="n">
        <v>33614000</v>
      </c>
      <c r="R941" s="42">
        <f>+L941+N941-P941</f>
        <v/>
      </c>
      <c r="S941" s="42">
        <f>+M941+O941-Q941</f>
        <v/>
      </c>
    </row>
    <row r="942" ht="30" customHeight="1">
      <c r="A942" s="16" t="n">
        <v>45731</v>
      </c>
      <c r="B942" s="17" t="inlineStr">
        <is>
          <t>MH2503-42</t>
        </is>
      </c>
      <c r="C942" s="16" t="n">
        <v>45731</v>
      </c>
      <c r="D942" s="17" t="inlineStr">
        <is>
          <t>00000790</t>
        </is>
      </c>
      <c r="E942" s="16" t="n">
        <v>45731</v>
      </c>
      <c r="F942" s="16" t="inlineStr">
        <is>
          <t>XK2503-64</t>
        </is>
      </c>
      <c r="G942" s="16" t="n">
        <v>45731</v>
      </c>
      <c r="H942" s="17" t="inlineStr">
        <is>
          <t>CÔNG TY CỔ PHẦN CÔNG NGHIỆP VÀ THƯƠNG MẠI CƯỜNG THỊNH</t>
        </is>
      </c>
      <c r="I942" s="17" t="inlineStr">
        <is>
          <t>Đai ốc Din 934 5 ZP M24</t>
        </is>
      </c>
      <c r="J942" s="17" t="inlineStr">
        <is>
          <t>Cái</t>
        </is>
      </c>
      <c r="K942" s="19" t="n">
        <v>2590</v>
      </c>
      <c r="L942" s="20" t="n"/>
      <c r="M942" s="20" t="n"/>
      <c r="N942" s="43" t="n">
        <v>2800</v>
      </c>
      <c r="O942" s="20" t="n">
        <v>7252000</v>
      </c>
      <c r="P942" s="43" t="n">
        <v>2800</v>
      </c>
      <c r="Q942" s="20" t="n">
        <v>7252000</v>
      </c>
      <c r="R942" s="42">
        <f>+L942+N942-P942</f>
        <v/>
      </c>
      <c r="S942" s="42">
        <f>+M942+O942-Q942</f>
        <v/>
      </c>
    </row>
    <row r="943" ht="30" customHeight="1">
      <c r="A943" s="16" t="n">
        <v>45731</v>
      </c>
      <c r="B943" s="17" t="inlineStr">
        <is>
          <t>MH2503-42</t>
        </is>
      </c>
      <c r="C943" s="16" t="n">
        <v>45731</v>
      </c>
      <c r="D943" s="17" t="inlineStr">
        <is>
          <t>00000790</t>
        </is>
      </c>
      <c r="E943" s="16" t="n">
        <v>45731</v>
      </c>
      <c r="F943" s="16" t="inlineStr">
        <is>
          <t>XK2503-64</t>
        </is>
      </c>
      <c r="G943" s="16" t="n">
        <v>45731</v>
      </c>
      <c r="H943" s="17" t="inlineStr">
        <is>
          <t>CÔNG TY CỔ PHẦN CÔNG NGHIỆP VÀ THƯƠNG MẠI CƯỜNG THỊNH</t>
        </is>
      </c>
      <c r="I943" s="17" t="inlineStr">
        <is>
          <t>Long đền thường ZP M24B42D2</t>
        </is>
      </c>
      <c r="J943" s="17" t="inlineStr">
        <is>
          <t>Cái</t>
        </is>
      </c>
      <c r="K943" s="19" t="n">
        <v>660</v>
      </c>
      <c r="L943" s="20" t="n"/>
      <c r="M943" s="20" t="n"/>
      <c r="N943" s="43" t="n">
        <v>700</v>
      </c>
      <c r="O943" s="20" t="n">
        <v>462000</v>
      </c>
      <c r="P943" s="43" t="n">
        <v>700</v>
      </c>
      <c r="Q943" s="20" t="n">
        <v>462000</v>
      </c>
      <c r="R943" s="42">
        <f>+L943+N943-P943</f>
        <v/>
      </c>
      <c r="S943" s="42">
        <f>+M943+O943-Q943</f>
        <v/>
      </c>
    </row>
    <row r="944" ht="15" customHeight="1">
      <c r="A944" s="16" t="n">
        <v>45733</v>
      </c>
      <c r="B944" s="17" t="inlineStr">
        <is>
          <t>MH2503-43</t>
        </is>
      </c>
      <c r="C944" s="16" t="n">
        <v>45733</v>
      </c>
      <c r="D944" s="17" t="inlineStr">
        <is>
          <t>611</t>
        </is>
      </c>
      <c r="E944" s="16" t="n">
        <v>45733</v>
      </c>
      <c r="F944" s="16" t="inlineStr">
        <is>
          <t>XK2503-65</t>
        </is>
      </c>
      <c r="G944" s="16" t="n">
        <v>45733</v>
      </c>
      <c r="H944" s="17" t="inlineStr">
        <is>
          <t>CÔNG TY TNHH THÉP IPC SÀI GÒN</t>
        </is>
      </c>
      <c r="I944" s="17" t="inlineStr">
        <is>
          <t>Thép tấm 45x2000x12000</t>
        </is>
      </c>
      <c r="J944" s="17" t="inlineStr">
        <is>
          <t>kg</t>
        </is>
      </c>
      <c r="K944" s="19" t="n">
        <v>16636.36</v>
      </c>
      <c r="L944" s="20" t="n"/>
      <c r="M944" s="20" t="n"/>
      <c r="N944" s="43" t="n">
        <v>33912</v>
      </c>
      <c r="O944" s="20" t="n">
        <v>564172240</v>
      </c>
      <c r="P944" s="43" t="n">
        <v>33912</v>
      </c>
      <c r="Q944" s="20" t="n">
        <v>564172240</v>
      </c>
      <c r="R944" s="42">
        <f>+L944+N944-P944</f>
        <v/>
      </c>
      <c r="S944" s="42">
        <f>+M944+O944-Q944</f>
        <v/>
      </c>
    </row>
    <row r="945" ht="30" customHeight="1">
      <c r="A945" s="16" t="n">
        <v>45734</v>
      </c>
      <c r="B945" s="17" t="inlineStr">
        <is>
          <t>MH2503-44</t>
        </is>
      </c>
      <c r="C945" s="16" t="n">
        <v>45734</v>
      </c>
      <c r="D945" s="17" t="inlineStr">
        <is>
          <t>509</t>
        </is>
      </c>
      <c r="E945" s="16" t="n">
        <v>45734</v>
      </c>
      <c r="F945" s="16" t="inlineStr">
        <is>
          <t>XK2503-66</t>
        </is>
      </c>
      <c r="G945" s="16" t="n">
        <v>45734</v>
      </c>
      <c r="H945" s="17" t="inlineStr">
        <is>
          <t>CÔNG TY TNHH THƯƠNG MẠI THÉP TOÀN THẮNG</t>
        </is>
      </c>
      <c r="I945" s="17" t="inlineStr">
        <is>
          <t>Thép tấm 45x2000x12000mm</t>
        </is>
      </c>
      <c r="J945" s="17" t="inlineStr">
        <is>
          <t>kg</t>
        </is>
      </c>
      <c r="K945" s="19" t="n">
        <v>15637</v>
      </c>
      <c r="L945" s="20" t="n"/>
      <c r="M945" s="20" t="n"/>
      <c r="N945" s="43" t="n">
        <v>25434</v>
      </c>
      <c r="O945" s="20" t="n">
        <v>397711458</v>
      </c>
      <c r="P945" s="43" t="n">
        <v>25434</v>
      </c>
      <c r="Q945" s="20" t="n">
        <v>397711458</v>
      </c>
      <c r="R945" s="42">
        <f>+L945+N945-P945</f>
        <v/>
      </c>
      <c r="S945" s="42">
        <f>+M945+O945-Q945</f>
        <v/>
      </c>
    </row>
    <row r="946" ht="30" customHeight="1">
      <c r="A946" s="16" t="n">
        <v>45734</v>
      </c>
      <c r="B946" s="17" t="inlineStr">
        <is>
          <t>MH2503-44</t>
        </is>
      </c>
      <c r="C946" s="16" t="n">
        <v>45734</v>
      </c>
      <c r="D946" s="17" t="inlineStr">
        <is>
          <t>509</t>
        </is>
      </c>
      <c r="E946" s="16" t="n">
        <v>45734</v>
      </c>
      <c r="F946" s="16" t="inlineStr">
        <is>
          <t>XK2503-66</t>
        </is>
      </c>
      <c r="G946" s="16" t="n">
        <v>45734</v>
      </c>
      <c r="H946" s="17" t="inlineStr">
        <is>
          <t>CÔNG TY TNHH THƯƠNG MẠI THÉP TOÀN THẮNG</t>
        </is>
      </c>
      <c r="I946" s="17" t="inlineStr">
        <is>
          <t>Thép tấm 50x2000x12000mm</t>
        </is>
      </c>
      <c r="J946" s="17" t="inlineStr">
        <is>
          <t>kg</t>
        </is>
      </c>
      <c r="K946" s="19" t="n">
        <v>15637</v>
      </c>
      <c r="L946" s="20" t="n"/>
      <c r="M946" s="20" t="n"/>
      <c r="N946" s="43" t="n">
        <v>9420</v>
      </c>
      <c r="O946" s="20" t="n">
        <v>147300540</v>
      </c>
      <c r="P946" s="43" t="n">
        <v>9420</v>
      </c>
      <c r="Q946" s="20" t="n">
        <v>147300540</v>
      </c>
      <c r="R946" s="42">
        <f>+L946+N946-P946</f>
        <v/>
      </c>
      <c r="S946" s="42">
        <f>+M946+O946-Q946</f>
        <v/>
      </c>
    </row>
    <row r="947" ht="30" customHeight="1">
      <c r="A947" s="16" t="n">
        <v>45734</v>
      </c>
      <c r="B947" s="17" t="inlineStr">
        <is>
          <t>MH2503-45</t>
        </is>
      </c>
      <c r="C947" s="16" t="n">
        <v>45734</v>
      </c>
      <c r="D947" s="17" t="inlineStr">
        <is>
          <t>510</t>
        </is>
      </c>
      <c r="E947" s="16" t="n">
        <v>45734</v>
      </c>
      <c r="F947" s="16" t="inlineStr">
        <is>
          <t>XK2503-67</t>
        </is>
      </c>
      <c r="G947" s="16" t="n">
        <v>45734</v>
      </c>
      <c r="H947" s="17" t="inlineStr">
        <is>
          <t>CÔNG TY TNHH THƯƠNG MẠI THÉP TOÀN THẮNG</t>
        </is>
      </c>
      <c r="I947" s="17" t="inlineStr">
        <is>
          <t>Thép tấm 14x2000x12000mm</t>
        </is>
      </c>
      <c r="J947" s="17" t="inlineStr">
        <is>
          <t>kg</t>
        </is>
      </c>
      <c r="K947" s="19" t="n">
        <v>14819</v>
      </c>
      <c r="L947" s="20" t="n"/>
      <c r="M947" s="20" t="n"/>
      <c r="N947" s="43" t="n">
        <v>15825.6</v>
      </c>
      <c r="O947" s="20" t="n">
        <v>234519566</v>
      </c>
      <c r="P947" s="43" t="n">
        <v>15825.6</v>
      </c>
      <c r="Q947" s="20" t="n">
        <v>234519566</v>
      </c>
      <c r="R947" s="42">
        <f>+L947+N947-P947</f>
        <v/>
      </c>
      <c r="S947" s="42">
        <f>+M947+O947-Q947</f>
        <v/>
      </c>
    </row>
    <row r="948" ht="30" customHeight="1">
      <c r="A948" s="16" t="n">
        <v>45734</v>
      </c>
      <c r="B948" s="17" t="inlineStr">
        <is>
          <t>MH2503-45</t>
        </is>
      </c>
      <c r="C948" s="16" t="n">
        <v>45734</v>
      </c>
      <c r="D948" s="17" t="inlineStr">
        <is>
          <t>510</t>
        </is>
      </c>
      <c r="E948" s="16" t="n">
        <v>45734</v>
      </c>
      <c r="F948" s="16" t="inlineStr">
        <is>
          <t>XK2503-67</t>
        </is>
      </c>
      <c r="G948" s="16" t="n">
        <v>45734</v>
      </c>
      <c r="H948" s="17" t="inlineStr">
        <is>
          <t>CÔNG TY TNHH THƯƠNG MẠI THÉP TOÀN THẮNG</t>
        </is>
      </c>
      <c r="I948" s="17" t="inlineStr">
        <is>
          <t>Thép tấm 16x2000x12000mm</t>
        </is>
      </c>
      <c r="J948" s="17" t="inlineStr">
        <is>
          <t>kg</t>
        </is>
      </c>
      <c r="K948" s="19" t="n">
        <v>14819</v>
      </c>
      <c r="L948" s="20" t="n"/>
      <c r="M948" s="20" t="n"/>
      <c r="N948" s="43" t="n">
        <v>9043.200000000001</v>
      </c>
      <c r="O948" s="20" t="n">
        <v>134011181</v>
      </c>
      <c r="P948" s="43" t="n">
        <v>9043.200000000001</v>
      </c>
      <c r="Q948" s="20" t="n">
        <v>134011181</v>
      </c>
      <c r="R948" s="42">
        <f>+L948+N948-P948</f>
        <v/>
      </c>
      <c r="S948" s="42">
        <f>+M948+O948-Q948</f>
        <v/>
      </c>
    </row>
    <row r="949" ht="30" customHeight="1">
      <c r="A949" s="16" t="n">
        <v>45734</v>
      </c>
      <c r="B949" s="17" t="inlineStr">
        <is>
          <t>MH2503-46</t>
        </is>
      </c>
      <c r="C949" s="16" t="n">
        <v>45734</v>
      </c>
      <c r="D949" s="17" t="inlineStr">
        <is>
          <t>00000251</t>
        </is>
      </c>
      <c r="E949" s="16" t="n">
        <v>45734</v>
      </c>
      <c r="F949" s="16" t="inlineStr">
        <is>
          <t>XK2503-68</t>
        </is>
      </c>
      <c r="G949" s="16" t="n">
        <v>45734</v>
      </c>
      <c r="H949" s="17" t="inlineStr">
        <is>
          <t>CÔNG TY TNHH XUẤT NHẬP KHẨU THƯƠNG MẠI KIÊN HOÀNG</t>
        </is>
      </c>
      <c r="I949" s="17" t="inlineStr">
        <is>
          <t>Thép tấm (70x335x9348mm)</t>
        </is>
      </c>
      <c r="J949" s="17" t="inlineStr">
        <is>
          <t>kg</t>
        </is>
      </c>
      <c r="K949" s="19" t="n">
        <v>18181.82</v>
      </c>
      <c r="L949" s="20" t="n"/>
      <c r="M949" s="20" t="n"/>
      <c r="N949" s="43" t="n">
        <v>13766.43</v>
      </c>
      <c r="O949" s="20" t="n">
        <v>250298752</v>
      </c>
      <c r="P949" s="43" t="n">
        <v>13766.43</v>
      </c>
      <c r="Q949" s="20" t="n">
        <v>250298752</v>
      </c>
      <c r="R949" s="42">
        <f>+L949+N949-P949</f>
        <v/>
      </c>
      <c r="S949" s="42">
        <f>+M949+O949-Q949</f>
        <v/>
      </c>
    </row>
    <row r="950" ht="30" customHeight="1">
      <c r="A950" s="16" t="n">
        <v>45734</v>
      </c>
      <c r="B950" s="17" t="inlineStr">
        <is>
          <t>MH2503-46</t>
        </is>
      </c>
      <c r="C950" s="16" t="n">
        <v>45734</v>
      </c>
      <c r="D950" s="17" t="inlineStr">
        <is>
          <t>00000251</t>
        </is>
      </c>
      <c r="E950" s="16" t="n">
        <v>45734</v>
      </c>
      <c r="F950" s="16" t="inlineStr">
        <is>
          <t>XK2503-68</t>
        </is>
      </c>
      <c r="G950" s="16" t="n">
        <v>45734</v>
      </c>
      <c r="H950" s="17" t="inlineStr">
        <is>
          <t>CÔNG TY TNHH XUẤT NHẬP KHẨU THƯƠNG MẠI KIÊN HOÀNG</t>
        </is>
      </c>
      <c r="I950" s="17" t="inlineStr">
        <is>
          <t>Thép tấm (70x330x9262mm)</t>
        </is>
      </c>
      <c r="J950" s="17" t="inlineStr">
        <is>
          <t>kg</t>
        </is>
      </c>
      <c r="K950" s="19" t="n">
        <v>18181.82</v>
      </c>
      <c r="L950" s="20" t="n"/>
      <c r="M950" s="20" t="n"/>
      <c r="N950" s="43" t="n">
        <v>1679.52</v>
      </c>
      <c r="O950" s="20" t="n">
        <v>30536730</v>
      </c>
      <c r="P950" s="43" t="n">
        <v>1679.52</v>
      </c>
      <c r="Q950" s="20" t="n">
        <v>30536730</v>
      </c>
      <c r="R950" s="42">
        <f>+L950+N950-P950</f>
        <v/>
      </c>
      <c r="S950" s="42">
        <f>+M950+O950-Q950</f>
        <v/>
      </c>
    </row>
    <row r="951" ht="30" customHeight="1">
      <c r="A951" s="16" t="n">
        <v>45734</v>
      </c>
      <c r="B951" s="17" t="inlineStr">
        <is>
          <t>MH2503-46</t>
        </is>
      </c>
      <c r="C951" s="16" t="n">
        <v>45734</v>
      </c>
      <c r="D951" s="17" t="inlineStr">
        <is>
          <t>00000251</t>
        </is>
      </c>
      <c r="E951" s="16" t="n">
        <v>45734</v>
      </c>
      <c r="F951" s="16" t="inlineStr">
        <is>
          <t>XK2503-68</t>
        </is>
      </c>
      <c r="G951" s="16" t="n">
        <v>45734</v>
      </c>
      <c r="H951" s="17" t="inlineStr">
        <is>
          <t>CÔNG TY TNHH XUẤT NHẬP KHẨU THƯƠNG MẠI KIÊN HOÀNG</t>
        </is>
      </c>
      <c r="I951" s="17" t="inlineStr">
        <is>
          <t>Thép tấm (70x335x9254mm)</t>
        </is>
      </c>
      <c r="J951" s="17" t="inlineStr">
        <is>
          <t>kg</t>
        </is>
      </c>
      <c r="K951" s="19" t="n">
        <v>18181.82</v>
      </c>
      <c r="L951" s="20" t="n"/>
      <c r="M951" s="20" t="n"/>
      <c r="N951" s="43" t="n">
        <v>3407</v>
      </c>
      <c r="O951" s="20" t="n">
        <v>61945461</v>
      </c>
      <c r="P951" s="43" t="n">
        <v>3407</v>
      </c>
      <c r="Q951" s="20" t="n">
        <v>61945461</v>
      </c>
      <c r="R951" s="42">
        <f>+L951+N951-P951</f>
        <v/>
      </c>
      <c r="S951" s="42">
        <f>+M951+O951-Q951</f>
        <v/>
      </c>
    </row>
    <row r="952" ht="30" customHeight="1">
      <c r="A952" s="16" t="n">
        <v>45734</v>
      </c>
      <c r="B952" s="17" t="inlineStr">
        <is>
          <t>MH2503-46</t>
        </is>
      </c>
      <c r="C952" s="16" t="n">
        <v>45734</v>
      </c>
      <c r="D952" s="17" t="inlineStr">
        <is>
          <t>00000251</t>
        </is>
      </c>
      <c r="E952" s="16" t="n">
        <v>45734</v>
      </c>
      <c r="F952" s="16" t="inlineStr">
        <is>
          <t>XK2503-68</t>
        </is>
      </c>
      <c r="G952" s="16" t="n">
        <v>45734</v>
      </c>
      <c r="H952" s="17" t="inlineStr">
        <is>
          <t>CÔNG TY TNHH XUẤT NHẬP KHẨU THƯƠNG MẠI KIÊN HOÀNG</t>
        </is>
      </c>
      <c r="I952" s="17" t="inlineStr">
        <is>
          <t>Thép tấm (90x450x9598mm)</t>
        </is>
      </c>
      <c r="J952" s="17" t="inlineStr">
        <is>
          <t>kg</t>
        </is>
      </c>
      <c r="K952" s="19" t="n">
        <v>18181.82</v>
      </c>
      <c r="L952" s="20" t="n"/>
      <c r="M952" s="20" t="n"/>
      <c r="N952" s="43" t="n">
        <v>12205.78</v>
      </c>
      <c r="O952" s="20" t="n">
        <v>221923295</v>
      </c>
      <c r="P952" s="43" t="n">
        <v>12205.78</v>
      </c>
      <c r="Q952" s="20" t="n">
        <v>221923295</v>
      </c>
      <c r="R952" s="42">
        <f>+L952+N952-P952</f>
        <v/>
      </c>
      <c r="S952" s="42">
        <f>+M952+O952-Q952</f>
        <v/>
      </c>
    </row>
    <row r="953" ht="30" customHeight="1">
      <c r="A953" s="16" t="n">
        <v>45734</v>
      </c>
      <c r="B953" s="17" t="inlineStr">
        <is>
          <t>MHDV2503-18</t>
        </is>
      </c>
      <c r="C953" s="16" t="n">
        <v>45734</v>
      </c>
      <c r="D953" s="17" t="inlineStr">
        <is>
          <t>00000252</t>
        </is>
      </c>
      <c r="E953" s="16" t="n">
        <v>45734</v>
      </c>
      <c r="F953" s="16" t="inlineStr">
        <is>
          <t>XK2503-69</t>
        </is>
      </c>
      <c r="G953" s="16" t="n">
        <v>45734</v>
      </c>
      <c r="H953" s="17" t="inlineStr">
        <is>
          <t>CÔNG TY TNHH XUẤT NHẬP KHẨU THƯƠNG MẠI KIÊN HOÀNG</t>
        </is>
      </c>
      <c r="I953" s="17" t="inlineStr">
        <is>
          <t>Vận chuyển</t>
        </is>
      </c>
      <c r="J953" s="17" t="inlineStr">
        <is>
          <t>Chuyến</t>
        </is>
      </c>
      <c r="K953" s="19" t="n">
        <v>5751617</v>
      </c>
      <c r="L953" s="20" t="n"/>
      <c r="M953" s="20" t="n"/>
      <c r="N953" s="43" t="n">
        <v>1</v>
      </c>
      <c r="O953" s="20" t="n">
        <v>5751617</v>
      </c>
      <c r="P953" s="43" t="n">
        <v>1</v>
      </c>
      <c r="Q953" s="20" t="n">
        <v>5751617</v>
      </c>
      <c r="R953" s="42">
        <f>+L953+N953-P953</f>
        <v/>
      </c>
      <c r="S953" s="42">
        <f>+M953+O953-Q953</f>
        <v/>
      </c>
    </row>
    <row r="954" ht="30" customHeight="1">
      <c r="A954" s="16" t="n">
        <v>45735</v>
      </c>
      <c r="B954" s="17" t="inlineStr">
        <is>
          <t>MH2503-47</t>
        </is>
      </c>
      <c r="C954" s="16" t="n">
        <v>45735</v>
      </c>
      <c r="D954" s="17" t="inlineStr">
        <is>
          <t>00000385</t>
        </is>
      </c>
      <c r="E954" s="16" t="n">
        <v>45735</v>
      </c>
      <c r="F954" s="16" t="inlineStr">
        <is>
          <t>XK2503-70</t>
        </is>
      </c>
      <c r="G954" s="16" t="n">
        <v>45735</v>
      </c>
      <c r="H954" s="17" t="inlineStr">
        <is>
          <t>CÔNG TY TNHH DỊCH VỤ - THƯƠNG MẠI THÉP THIÊN LONG</t>
        </is>
      </c>
      <c r="I954" s="17" t="inlineStr">
        <is>
          <t>Thép tấm 18ly</t>
        </is>
      </c>
      <c r="J954" s="17" t="inlineStr">
        <is>
          <t>kg</t>
        </is>
      </c>
      <c r="K954" s="19" t="n">
        <v>14909.09</v>
      </c>
      <c r="L954" s="20" t="n"/>
      <c r="M954" s="20" t="n"/>
      <c r="N954" s="43" t="n">
        <v>16956</v>
      </c>
      <c r="O954" s="20" t="n">
        <v>252798545</v>
      </c>
      <c r="P954" s="43" t="n">
        <v>16956</v>
      </c>
      <c r="Q954" s="20" t="n">
        <v>252798545</v>
      </c>
      <c r="R954" s="42">
        <f>+L954+N954-P954</f>
        <v/>
      </c>
      <c r="S954" s="42">
        <f>+M954+O954-Q954</f>
        <v/>
      </c>
    </row>
    <row r="955" ht="30" customHeight="1">
      <c r="A955" s="16" t="n">
        <v>45735</v>
      </c>
      <c r="B955" s="17" t="inlineStr">
        <is>
          <t>MH2503-48</t>
        </is>
      </c>
      <c r="C955" s="16" t="n">
        <v>45735</v>
      </c>
      <c r="D955" s="17" t="inlineStr">
        <is>
          <t>00000386</t>
        </is>
      </c>
      <c r="E955" s="16" t="n">
        <v>45735</v>
      </c>
      <c r="F955" s="16" t="inlineStr">
        <is>
          <t>XK2503-71</t>
        </is>
      </c>
      <c r="G955" s="16" t="n">
        <v>45735</v>
      </c>
      <c r="H955" s="17" t="inlineStr">
        <is>
          <t>CÔNG TY TNHH DỊCH VỤ - THƯƠNG MẠI THÉP THIÊN LONG</t>
        </is>
      </c>
      <c r="I955" s="17" t="inlineStr">
        <is>
          <t>Thép hình H200</t>
        </is>
      </c>
      <c r="J955" s="17" t="inlineStr">
        <is>
          <t>kg</t>
        </is>
      </c>
      <c r="K955" s="19" t="n">
        <v>17000</v>
      </c>
      <c r="L955" s="20" t="n"/>
      <c r="M955" s="20" t="n"/>
      <c r="N955" s="43" t="n">
        <v>4191.6</v>
      </c>
      <c r="O955" s="20" t="n">
        <v>71257200</v>
      </c>
      <c r="P955" s="43" t="n">
        <v>4191.6</v>
      </c>
      <c r="Q955" s="20" t="n">
        <v>71257200</v>
      </c>
      <c r="R955" s="42">
        <f>+L955+N955-P955</f>
        <v/>
      </c>
      <c r="S955" s="42">
        <f>+M955+O955-Q955</f>
        <v/>
      </c>
    </row>
    <row r="956" ht="30" customHeight="1">
      <c r="A956" s="16" t="n">
        <v>45735</v>
      </c>
      <c r="B956" s="17" t="inlineStr">
        <is>
          <t>MH2503-49</t>
        </is>
      </c>
      <c r="C956" s="16" t="n">
        <v>45735</v>
      </c>
      <c r="D956" s="17" t="inlineStr">
        <is>
          <t>00000257</t>
        </is>
      </c>
      <c r="E956" s="16" t="n">
        <v>45735</v>
      </c>
      <c r="F956" s="16" t="inlineStr">
        <is>
          <t>XK2503-72</t>
        </is>
      </c>
      <c r="G956" s="16" t="n">
        <v>45735</v>
      </c>
      <c r="H956" s="17" t="inlineStr">
        <is>
          <t>CÔNG TY TNHH XUẤT NHẬP KHẨU THƯƠNG MẠI KIÊN HOÀNG</t>
        </is>
      </c>
      <c r="I956" s="17" t="inlineStr">
        <is>
          <t>Thép tấm (70x335x9348mm)</t>
        </is>
      </c>
      <c r="J956" s="17" t="inlineStr">
        <is>
          <t>kg</t>
        </is>
      </c>
      <c r="K956" s="19" t="n">
        <v>18181.82</v>
      </c>
      <c r="L956" s="20" t="n"/>
      <c r="M956" s="20" t="n"/>
      <c r="N956" s="43" t="n">
        <v>5162.41</v>
      </c>
      <c r="O956" s="20" t="n">
        <v>93862009</v>
      </c>
      <c r="P956" s="43" t="n">
        <v>5162.41</v>
      </c>
      <c r="Q956" s="20" t="n">
        <v>93862009</v>
      </c>
      <c r="R956" s="42">
        <f>+L956+N956-P956</f>
        <v/>
      </c>
      <c r="S956" s="42">
        <f>+M956+O956-Q956</f>
        <v/>
      </c>
    </row>
    <row r="957" ht="30" customHeight="1">
      <c r="A957" s="16" t="n">
        <v>45735</v>
      </c>
      <c r="B957" s="17" t="inlineStr">
        <is>
          <t>MH2503-49</t>
        </is>
      </c>
      <c r="C957" s="16" t="n">
        <v>45735</v>
      </c>
      <c r="D957" s="17" t="inlineStr">
        <is>
          <t>00000257</t>
        </is>
      </c>
      <c r="E957" s="16" t="n">
        <v>45735</v>
      </c>
      <c r="F957" s="16" t="inlineStr">
        <is>
          <t>XK2503-72</t>
        </is>
      </c>
      <c r="G957" s="16" t="n">
        <v>45735</v>
      </c>
      <c r="H957" s="17" t="inlineStr">
        <is>
          <t>CÔNG TY TNHH XUẤT NHẬP KHẨU THƯƠNG MẠI KIÊN HOÀNG</t>
        </is>
      </c>
      <c r="I957" s="17" t="inlineStr">
        <is>
          <t>Thép tấm (70x335x9598mm)</t>
        </is>
      </c>
      <c r="J957" s="17" t="inlineStr">
        <is>
          <t>kg</t>
        </is>
      </c>
      <c r="K957" s="19" t="n">
        <v>18181.82</v>
      </c>
      <c r="L957" s="20" t="n"/>
      <c r="M957" s="20" t="n"/>
      <c r="N957" s="43" t="n">
        <v>1766.83</v>
      </c>
      <c r="O957" s="20" t="n">
        <v>32124185</v>
      </c>
      <c r="P957" s="43" t="n">
        <v>1766.83</v>
      </c>
      <c r="Q957" s="20" t="n">
        <v>32124185</v>
      </c>
      <c r="R957" s="42">
        <f>+L957+N957-P957</f>
        <v/>
      </c>
      <c r="S957" s="42">
        <f>+M957+O957-Q957</f>
        <v/>
      </c>
    </row>
    <row r="958" ht="30" customHeight="1">
      <c r="A958" s="16" t="n">
        <v>45735</v>
      </c>
      <c r="B958" s="17" t="inlineStr">
        <is>
          <t>MH2503-49</t>
        </is>
      </c>
      <c r="C958" s="16" t="n">
        <v>45735</v>
      </c>
      <c r="D958" s="17" t="inlineStr">
        <is>
          <t>00000257</t>
        </is>
      </c>
      <c r="E958" s="16" t="n">
        <v>45735</v>
      </c>
      <c r="F958" s="16" t="inlineStr">
        <is>
          <t>XK2503-72</t>
        </is>
      </c>
      <c r="G958" s="16" t="n">
        <v>45735</v>
      </c>
      <c r="H958" s="17" t="inlineStr">
        <is>
          <t>CÔNG TY TNHH XUẤT NHẬP KHẨU THƯƠNG MẠI KIÊN HOÀNG</t>
        </is>
      </c>
      <c r="I958" s="17" t="inlineStr">
        <is>
          <t>Thép tấm (70x515x530mm)</t>
        </is>
      </c>
      <c r="J958" s="17" t="inlineStr">
        <is>
          <t>kg</t>
        </is>
      </c>
      <c r="K958" s="19" t="n">
        <v>18181.82</v>
      </c>
      <c r="L958" s="20" t="n"/>
      <c r="M958" s="20" t="n"/>
      <c r="N958" s="43" t="n">
        <v>4499.58</v>
      </c>
      <c r="O958" s="20" t="n">
        <v>81810554</v>
      </c>
      <c r="P958" s="43" t="n">
        <v>4499.58</v>
      </c>
      <c r="Q958" s="20" t="n">
        <v>81810554</v>
      </c>
      <c r="R958" s="42">
        <f>+L958+N958-P958</f>
        <v/>
      </c>
      <c r="S958" s="42">
        <f>+M958+O958-Q958</f>
        <v/>
      </c>
    </row>
    <row r="959" ht="30" customHeight="1">
      <c r="A959" s="16" t="n">
        <v>45735</v>
      </c>
      <c r="B959" s="17" t="inlineStr">
        <is>
          <t>MH2503-49</t>
        </is>
      </c>
      <c r="C959" s="16" t="n">
        <v>45735</v>
      </c>
      <c r="D959" s="17" t="inlineStr">
        <is>
          <t>00000257</t>
        </is>
      </c>
      <c r="E959" s="16" t="n">
        <v>45735</v>
      </c>
      <c r="F959" s="16" t="inlineStr">
        <is>
          <t>XK2503-72</t>
        </is>
      </c>
      <c r="G959" s="16" t="n">
        <v>45735</v>
      </c>
      <c r="H959" s="17" t="inlineStr">
        <is>
          <t>CÔNG TY TNHH XUẤT NHẬP KHẨU THƯƠNG MẠI KIÊN HOÀNG</t>
        </is>
      </c>
      <c r="I959" s="17" t="inlineStr">
        <is>
          <t>Thép tấm (70x335x907mm)</t>
        </is>
      </c>
      <c r="J959" s="17" t="inlineStr">
        <is>
          <t>kg</t>
        </is>
      </c>
      <c r="K959" s="19" t="n">
        <v>18181.82</v>
      </c>
      <c r="L959" s="20" t="n"/>
      <c r="M959" s="20" t="n"/>
      <c r="N959" s="43" t="n">
        <v>1669.63</v>
      </c>
      <c r="O959" s="20" t="n">
        <v>30356912</v>
      </c>
      <c r="P959" s="43" t="n">
        <v>1669.63</v>
      </c>
      <c r="Q959" s="20" t="n">
        <v>30356912</v>
      </c>
      <c r="R959" s="42">
        <f>+L959+N959-P959</f>
        <v/>
      </c>
      <c r="S959" s="42">
        <f>+M959+O959-Q959</f>
        <v/>
      </c>
    </row>
    <row r="960" ht="30" customHeight="1">
      <c r="A960" s="16" t="n">
        <v>45735</v>
      </c>
      <c r="B960" s="17" t="inlineStr">
        <is>
          <t>MH2503-49</t>
        </is>
      </c>
      <c r="C960" s="16" t="n">
        <v>45735</v>
      </c>
      <c r="D960" s="17" t="inlineStr">
        <is>
          <t>00000257</t>
        </is>
      </c>
      <c r="E960" s="16" t="n">
        <v>45735</v>
      </c>
      <c r="F960" s="16" t="inlineStr">
        <is>
          <t>XK2503-72</t>
        </is>
      </c>
      <c r="G960" s="16" t="n">
        <v>45735</v>
      </c>
      <c r="H960" s="17" t="inlineStr">
        <is>
          <t>CÔNG TY TNHH XUẤT NHẬP KHẨU THƯƠNG MẠI KIÊN HOÀNG</t>
        </is>
      </c>
      <c r="I960" s="17" t="inlineStr">
        <is>
          <t>Thép tấm (90x450x9348mm)</t>
        </is>
      </c>
      <c r="J960" s="17" t="inlineStr">
        <is>
          <t>kg</t>
        </is>
      </c>
      <c r="K960" s="19" t="n">
        <v>18181.82</v>
      </c>
      <c r="L960" s="20" t="n"/>
      <c r="M960" s="20" t="n"/>
      <c r="N960" s="43" t="n">
        <v>2971.96</v>
      </c>
      <c r="O960" s="20" t="n">
        <v>54035642</v>
      </c>
      <c r="P960" s="43" t="n">
        <v>2971.96</v>
      </c>
      <c r="Q960" s="20" t="n">
        <v>54035642</v>
      </c>
      <c r="R960" s="42">
        <f>+L960+N960-P960</f>
        <v/>
      </c>
      <c r="S960" s="42">
        <f>+M960+O960-Q960</f>
        <v/>
      </c>
    </row>
    <row r="961" ht="30" customHeight="1">
      <c r="A961" s="16" t="n">
        <v>45735</v>
      </c>
      <c r="B961" s="17" t="inlineStr">
        <is>
          <t>MH2503-49</t>
        </is>
      </c>
      <c r="C961" s="16" t="n">
        <v>45735</v>
      </c>
      <c r="D961" s="17" t="inlineStr">
        <is>
          <t>00000257</t>
        </is>
      </c>
      <c r="E961" s="16" t="n">
        <v>45735</v>
      </c>
      <c r="F961" s="16" t="inlineStr">
        <is>
          <t>XK2503-72</t>
        </is>
      </c>
      <c r="G961" s="16" t="n">
        <v>45735</v>
      </c>
      <c r="H961" s="17" t="inlineStr">
        <is>
          <t>CÔNG TY TNHH XUẤT NHẬP KHẨU THƯƠNG MẠI KIÊN HOÀNG</t>
        </is>
      </c>
      <c r="I961" s="17" t="inlineStr">
        <is>
          <t>Thép tấm (90x450x9599mm)</t>
        </is>
      </c>
      <c r="J961" s="17" t="inlineStr">
        <is>
          <t>kg</t>
        </is>
      </c>
      <c r="K961" s="19" t="n">
        <v>18181.82</v>
      </c>
      <c r="L961" s="20" t="n"/>
      <c r="M961" s="20" t="n"/>
      <c r="N961" s="43" t="n">
        <v>3051.76</v>
      </c>
      <c r="O961" s="20" t="n">
        <v>55486551</v>
      </c>
      <c r="P961" s="43" t="n">
        <v>3051.76</v>
      </c>
      <c r="Q961" s="20" t="n">
        <v>55486551</v>
      </c>
      <c r="R961" s="42">
        <f>+L961+N961-P961</f>
        <v/>
      </c>
      <c r="S961" s="42">
        <f>+M961+O961-Q961</f>
        <v/>
      </c>
    </row>
    <row r="962" ht="30" customHeight="1">
      <c r="A962" s="16" t="n">
        <v>45735</v>
      </c>
      <c r="B962" s="17" t="inlineStr">
        <is>
          <t>MH2503-49</t>
        </is>
      </c>
      <c r="C962" s="16" t="n">
        <v>45735</v>
      </c>
      <c r="D962" s="17" t="inlineStr">
        <is>
          <t>00000257</t>
        </is>
      </c>
      <c r="E962" s="16" t="n">
        <v>45735</v>
      </c>
      <c r="F962" s="16" t="inlineStr">
        <is>
          <t>XK2503-72</t>
        </is>
      </c>
      <c r="G962" s="16" t="n">
        <v>45735</v>
      </c>
      <c r="H962" s="17" t="inlineStr">
        <is>
          <t>CÔNG TY TNHH XUẤT NHẬP KHẨU THƯƠNG MẠI KIÊN HOÀNG</t>
        </is>
      </c>
      <c r="I962" s="17" t="inlineStr">
        <is>
          <t>Thép tấm (90x450x9603mm)</t>
        </is>
      </c>
      <c r="J962" s="17" t="inlineStr">
        <is>
          <t>kg</t>
        </is>
      </c>
      <c r="K962" s="19" t="n">
        <v>18181.82</v>
      </c>
      <c r="L962" s="20" t="n"/>
      <c r="M962" s="20" t="n"/>
      <c r="N962" s="43" t="n">
        <v>9159.1</v>
      </c>
      <c r="O962" s="20" t="n">
        <v>166529108</v>
      </c>
      <c r="P962" s="43" t="n">
        <v>9159.1</v>
      </c>
      <c r="Q962" s="20" t="n">
        <v>166529108</v>
      </c>
      <c r="R962" s="42">
        <f>+L962+N962-P962</f>
        <v/>
      </c>
      <c r="S962" s="42">
        <f>+M962+O962-Q962</f>
        <v/>
      </c>
    </row>
    <row r="963" ht="30" customHeight="1">
      <c r="A963" s="16" t="n">
        <v>45735</v>
      </c>
      <c r="B963" s="17" t="inlineStr">
        <is>
          <t>MH2503-49</t>
        </is>
      </c>
      <c r="C963" s="16" t="n">
        <v>45735</v>
      </c>
      <c r="D963" s="17" t="inlineStr">
        <is>
          <t>00000257</t>
        </is>
      </c>
      <c r="E963" s="16" t="n">
        <v>45735</v>
      </c>
      <c r="F963" s="16" t="inlineStr">
        <is>
          <t>XK2503-72</t>
        </is>
      </c>
      <c r="G963" s="16" t="n">
        <v>45735</v>
      </c>
      <c r="H963" s="17" t="inlineStr">
        <is>
          <t>CÔNG TY TNHH XUẤT NHẬP KHẨU THƯƠNG MẠI KIÊN HOÀNG</t>
        </is>
      </c>
      <c r="I963" s="17" t="inlineStr">
        <is>
          <t>Thép tấm (90x450x9598mm)</t>
        </is>
      </c>
      <c r="J963" s="17" t="inlineStr">
        <is>
          <t>kg</t>
        </is>
      </c>
      <c r="K963" s="19" t="n">
        <v>18181.82</v>
      </c>
      <c r="L963" s="20" t="n"/>
      <c r="M963" s="20" t="n"/>
      <c r="N963" s="43" t="n">
        <v>3051.44</v>
      </c>
      <c r="O963" s="20" t="n">
        <v>55480733</v>
      </c>
      <c r="P963" s="43" t="n">
        <v>3051.44</v>
      </c>
      <c r="Q963" s="20" t="n">
        <v>55480733</v>
      </c>
      <c r="R963" s="42">
        <f>+L963+N963-P963</f>
        <v/>
      </c>
      <c r="S963" s="42">
        <f>+M963+O963-Q963</f>
        <v/>
      </c>
    </row>
    <row r="964" ht="30" customHeight="1">
      <c r="A964" s="16" t="n">
        <v>45735</v>
      </c>
      <c r="B964" s="17" t="inlineStr">
        <is>
          <t>MHDV2503-19</t>
        </is>
      </c>
      <c r="C964" s="16" t="n">
        <v>45735</v>
      </c>
      <c r="D964" s="17" t="inlineStr">
        <is>
          <t>00000258</t>
        </is>
      </c>
      <c r="E964" s="16" t="n">
        <v>45735</v>
      </c>
      <c r="F964" s="16" t="inlineStr">
        <is>
          <t>XK2503-73</t>
        </is>
      </c>
      <c r="G964" s="16" t="n">
        <v>45735</v>
      </c>
      <c r="H964" s="17" t="inlineStr">
        <is>
          <t>CÔNG TY TNHH XUẤT NHẬP KHẨU THƯƠNG MẠI KIÊN HOÀNG</t>
        </is>
      </c>
      <c r="I964" s="17" t="inlineStr">
        <is>
          <t>Vận chuyển</t>
        </is>
      </c>
      <c r="J964" s="17" t="inlineStr">
        <is>
          <t>Lần</t>
        </is>
      </c>
      <c r="K964" s="19" t="n">
        <v>5802354</v>
      </c>
      <c r="L964" s="20" t="n"/>
      <c r="M964" s="20" t="n"/>
      <c r="N964" s="43" t="n">
        <v>1</v>
      </c>
      <c r="O964" s="20" t="n">
        <v>5802354</v>
      </c>
      <c r="P964" s="43" t="n">
        <v>1</v>
      </c>
      <c r="Q964" s="20" t="n">
        <v>5802354</v>
      </c>
      <c r="R964" s="42">
        <f>+L964+N964-P964</f>
        <v/>
      </c>
      <c r="S964" s="42">
        <f>+M964+O964-Q964</f>
        <v/>
      </c>
    </row>
    <row r="965" ht="15" customHeight="1">
      <c r="A965" s="16" t="n">
        <v>45736</v>
      </c>
      <c r="B965" s="17" t="inlineStr">
        <is>
          <t>MH2503-51</t>
        </is>
      </c>
      <c r="C965" s="16" t="n">
        <v>45736</v>
      </c>
      <c r="D965" s="17" t="inlineStr">
        <is>
          <t>00002641</t>
        </is>
      </c>
      <c r="E965" s="16" t="n">
        <v>45736</v>
      </c>
      <c r="F965" s="16" t="inlineStr">
        <is>
          <t>XK2503-74</t>
        </is>
      </c>
      <c r="G965" s="16" t="n">
        <v>45736</v>
      </c>
      <c r="H965" s="17" t="inlineStr">
        <is>
          <t>CÔNG TY TNHH SƠN JOTUN VIỆT NAM</t>
        </is>
      </c>
      <c r="I965" s="17" t="inlineStr">
        <is>
          <t>SƠN JOTAMASTIC 70 GREY 18L</t>
        </is>
      </c>
      <c r="J965" s="17" t="inlineStr">
        <is>
          <t>Lít</t>
        </is>
      </c>
      <c r="K965" s="19" t="n">
        <v>90000</v>
      </c>
      <c r="L965" s="20" t="n"/>
      <c r="M965" s="20" t="n"/>
      <c r="N965" s="43" t="n">
        <v>108</v>
      </c>
      <c r="O965" s="20" t="n">
        <v>9720000</v>
      </c>
      <c r="P965" s="43" t="n">
        <v>108</v>
      </c>
      <c r="Q965" s="20" t="n">
        <v>9720000</v>
      </c>
      <c r="R965" s="42">
        <f>+L965+N965-P965</f>
        <v/>
      </c>
      <c r="S965" s="42">
        <f>+M965+O965-Q965</f>
        <v/>
      </c>
    </row>
    <row r="966" ht="15" customHeight="1">
      <c r="A966" s="16" t="n">
        <v>45736</v>
      </c>
      <c r="B966" s="17" t="inlineStr">
        <is>
          <t>MH2503-51</t>
        </is>
      </c>
      <c r="C966" s="16" t="n">
        <v>45736</v>
      </c>
      <c r="D966" s="17" t="inlineStr">
        <is>
          <t>00002641</t>
        </is>
      </c>
      <c r="E966" s="16" t="n">
        <v>45736</v>
      </c>
      <c r="F966" s="16" t="inlineStr">
        <is>
          <t>XK2503-74</t>
        </is>
      </c>
      <c r="G966" s="16" t="n">
        <v>45736</v>
      </c>
      <c r="H966" s="17" t="inlineStr">
        <is>
          <t>CÔNG TY TNHH SƠN JOTUN VIỆT NAM</t>
        </is>
      </c>
      <c r="I966" s="17" t="inlineStr">
        <is>
          <t>DUNG MÔI JOTUN THINNER NO. 17 20L</t>
        </is>
      </c>
      <c r="J966" s="17" t="inlineStr">
        <is>
          <t>Lít</t>
        </is>
      </c>
      <c r="K966" s="19" t="n">
        <v>60000</v>
      </c>
      <c r="L966" s="20" t="n"/>
      <c r="M966" s="20" t="n"/>
      <c r="N966" s="43" t="n">
        <v>20</v>
      </c>
      <c r="O966" s="20" t="n">
        <v>1200000</v>
      </c>
      <c r="P966" s="43" t="n">
        <v>20</v>
      </c>
      <c r="Q966" s="20" t="n">
        <v>1200000</v>
      </c>
      <c r="R966" s="42">
        <f>+L966+N966-P966</f>
        <v/>
      </c>
      <c r="S966" s="42">
        <f>+M966+O966-Q966</f>
        <v/>
      </c>
    </row>
    <row r="967" ht="30" customHeight="1">
      <c r="A967" s="16" t="n">
        <v>45736</v>
      </c>
      <c r="B967" s="17" t="inlineStr">
        <is>
          <t>MH2503-52</t>
        </is>
      </c>
      <c r="C967" s="16" t="n">
        <v>45736</v>
      </c>
      <c r="D967" s="17" t="inlineStr">
        <is>
          <t>00000402</t>
        </is>
      </c>
      <c r="E967" s="16" t="n">
        <v>45736</v>
      </c>
      <c r="F967" s="16" t="inlineStr">
        <is>
          <t>XK2503-75</t>
        </is>
      </c>
      <c r="G967" s="16" t="n">
        <v>45736</v>
      </c>
      <c r="H967" s="17" t="inlineStr">
        <is>
          <t>CÔNG TY TNHH DỊCH VỤ - THƯƠNG MẠI THÉP THIÊN LONG</t>
        </is>
      </c>
      <c r="I967" s="17" t="inlineStr">
        <is>
          <t>Thép tấm 22ly</t>
        </is>
      </c>
      <c r="J967" s="17" t="inlineStr">
        <is>
          <t>kg</t>
        </is>
      </c>
      <c r="K967" s="19" t="n">
        <v>14909.09</v>
      </c>
      <c r="L967" s="20" t="n"/>
      <c r="M967" s="20" t="n"/>
      <c r="N967" s="43" t="n">
        <v>29013.6</v>
      </c>
      <c r="O967" s="20" t="n">
        <v>432566581</v>
      </c>
      <c r="P967" s="43" t="n">
        <v>29013.6</v>
      </c>
      <c r="Q967" s="20" t="n">
        <v>432566581</v>
      </c>
      <c r="R967" s="42">
        <f>+L967+N967-P967</f>
        <v/>
      </c>
      <c r="S967" s="42">
        <f>+M967+O967-Q967</f>
        <v/>
      </c>
    </row>
    <row r="968" ht="30" customHeight="1">
      <c r="A968" s="16" t="n">
        <v>45736</v>
      </c>
      <c r="B968" s="17" t="inlineStr">
        <is>
          <t>MH2503-52</t>
        </is>
      </c>
      <c r="C968" s="16" t="n">
        <v>45736</v>
      </c>
      <c r="D968" s="17" t="inlineStr">
        <is>
          <t>00000402</t>
        </is>
      </c>
      <c r="E968" s="16" t="n">
        <v>45736</v>
      </c>
      <c r="F968" s="16" t="inlineStr">
        <is>
          <t>XK2503-75</t>
        </is>
      </c>
      <c r="G968" s="16" t="n">
        <v>45736</v>
      </c>
      <c r="H968" s="17" t="inlineStr">
        <is>
          <t>CÔNG TY TNHH DỊCH VỤ - THƯƠNG MẠI THÉP THIÊN LONG</t>
        </is>
      </c>
      <c r="I968" s="17" t="inlineStr">
        <is>
          <t>Thép tấm 28ly</t>
        </is>
      </c>
      <c r="J968" s="17" t="inlineStr">
        <is>
          <t>kg</t>
        </is>
      </c>
      <c r="K968" s="19" t="n">
        <v>15072.72</v>
      </c>
      <c r="L968" s="20" t="n"/>
      <c r="M968" s="20" t="n"/>
      <c r="N968" s="43" t="n">
        <v>126604.8</v>
      </c>
      <c r="O968" s="20" t="n">
        <v>1908278908</v>
      </c>
      <c r="P968" s="43" t="n">
        <v>126604.8</v>
      </c>
      <c r="Q968" s="20" t="n">
        <v>1908278908</v>
      </c>
      <c r="R968" s="42">
        <f>+L968+N968-P968</f>
        <v/>
      </c>
      <c r="S968" s="42">
        <f>+M968+O968-Q968</f>
        <v/>
      </c>
    </row>
    <row r="969" ht="30" customHeight="1">
      <c r="A969" s="16" t="n">
        <v>45736</v>
      </c>
      <c r="B969" s="17" t="inlineStr">
        <is>
          <t>MH2503-52</t>
        </is>
      </c>
      <c r="C969" s="16" t="n">
        <v>45736</v>
      </c>
      <c r="D969" s="17" t="inlineStr">
        <is>
          <t>00000402</t>
        </is>
      </c>
      <c r="E969" s="16" t="n">
        <v>45736</v>
      </c>
      <c r="F969" s="16" t="inlineStr">
        <is>
          <t>XK2503-75</t>
        </is>
      </c>
      <c r="G969" s="16" t="n">
        <v>45736</v>
      </c>
      <c r="H969" s="17" t="inlineStr">
        <is>
          <t>CÔNG TY TNHH DỊCH VỤ - THƯƠNG MẠI THÉP THIÊN LONG</t>
        </is>
      </c>
      <c r="I969" s="17" t="inlineStr">
        <is>
          <t>Thép tấm 30ly</t>
        </is>
      </c>
      <c r="J969" s="17" t="inlineStr">
        <is>
          <t>kg</t>
        </is>
      </c>
      <c r="K969" s="19" t="n">
        <v>14909.09</v>
      </c>
      <c r="L969" s="20" t="n"/>
      <c r="M969" s="20" t="n"/>
      <c r="N969" s="43" t="n">
        <v>39564</v>
      </c>
      <c r="O969" s="20" t="n">
        <v>589863444</v>
      </c>
      <c r="P969" s="43" t="n">
        <v>39564</v>
      </c>
      <c r="Q969" s="20" t="n">
        <v>589863444</v>
      </c>
      <c r="R969" s="42">
        <f>+L969+N969-P969</f>
        <v/>
      </c>
      <c r="S969" s="42">
        <f>+M969+O969-Q969</f>
        <v/>
      </c>
    </row>
    <row r="970" ht="30" customHeight="1">
      <c r="A970" s="16" t="n">
        <v>45736</v>
      </c>
      <c r="B970" s="17" t="inlineStr">
        <is>
          <t>MH2503-52</t>
        </is>
      </c>
      <c r="C970" s="16" t="n">
        <v>45736</v>
      </c>
      <c r="D970" s="17" t="inlineStr">
        <is>
          <t>00000402</t>
        </is>
      </c>
      <c r="E970" s="16" t="n">
        <v>45736</v>
      </c>
      <c r="F970" s="16" t="inlineStr">
        <is>
          <t>XK2503-75</t>
        </is>
      </c>
      <c r="G970" s="16" t="n">
        <v>45736</v>
      </c>
      <c r="H970" s="17" t="inlineStr">
        <is>
          <t>CÔNG TY TNHH DỊCH VỤ - THƯƠNG MẠI THÉP THIÊN LONG</t>
        </is>
      </c>
      <c r="I970" s="17" t="inlineStr">
        <is>
          <t>Thép tấm 35ly</t>
        </is>
      </c>
      <c r="J970" s="17" t="inlineStr">
        <is>
          <t>kg</t>
        </is>
      </c>
      <c r="K970" s="19" t="n">
        <v>14909.09</v>
      </c>
      <c r="L970" s="20" t="n"/>
      <c r="M970" s="20" t="n"/>
      <c r="N970" s="43" t="n">
        <v>39564</v>
      </c>
      <c r="O970" s="20" t="n">
        <v>589863444</v>
      </c>
      <c r="P970" s="43" t="n">
        <v>39564</v>
      </c>
      <c r="Q970" s="20" t="n">
        <v>589863444</v>
      </c>
      <c r="R970" s="42">
        <f>+L970+N970-P970</f>
        <v/>
      </c>
      <c r="S970" s="42">
        <f>+M970+O970-Q970</f>
        <v/>
      </c>
    </row>
    <row r="971" ht="30" customHeight="1">
      <c r="A971" s="16" t="n">
        <v>45736</v>
      </c>
      <c r="B971" s="17" t="inlineStr">
        <is>
          <t>MH2503-52</t>
        </is>
      </c>
      <c r="C971" s="16" t="n">
        <v>45736</v>
      </c>
      <c r="D971" s="17" t="inlineStr">
        <is>
          <t>00000402</t>
        </is>
      </c>
      <c r="E971" s="16" t="n">
        <v>45736</v>
      </c>
      <c r="F971" s="16" t="inlineStr">
        <is>
          <t>XK2503-75</t>
        </is>
      </c>
      <c r="G971" s="16" t="n">
        <v>45736</v>
      </c>
      <c r="H971" s="17" t="inlineStr">
        <is>
          <t>CÔNG TY TNHH DỊCH VỤ - THƯƠNG MẠI THÉP THIÊN LONG</t>
        </is>
      </c>
      <c r="I971" s="17" t="inlineStr">
        <is>
          <t>Thép tấm 40ly</t>
        </is>
      </c>
      <c r="J971" s="17" t="inlineStr">
        <is>
          <t>kg</t>
        </is>
      </c>
      <c r="K971" s="19" t="n">
        <v>14909.09</v>
      </c>
      <c r="L971" s="20" t="n"/>
      <c r="M971" s="20" t="n"/>
      <c r="N971" s="43" t="n">
        <v>22608</v>
      </c>
      <c r="O971" s="20" t="n">
        <v>337064918</v>
      </c>
      <c r="P971" s="43" t="n">
        <v>22608</v>
      </c>
      <c r="Q971" s="20" t="n">
        <v>337064918</v>
      </c>
      <c r="R971" s="42">
        <f>+L971+N971-P971</f>
        <v/>
      </c>
      <c r="S971" s="42">
        <f>+M971+O971-Q971</f>
        <v/>
      </c>
    </row>
    <row r="972" ht="30" customHeight="1">
      <c r="A972" s="16" t="n">
        <v>45736</v>
      </c>
      <c r="B972" s="17" t="inlineStr">
        <is>
          <t>MH2503-53</t>
        </is>
      </c>
      <c r="C972" s="16" t="n">
        <v>45736</v>
      </c>
      <c r="D972" s="17" t="inlineStr">
        <is>
          <t>00000403</t>
        </is>
      </c>
      <c r="E972" s="16" t="n">
        <v>45736</v>
      </c>
      <c r="F972" s="16" t="inlineStr">
        <is>
          <t>XK2503-75</t>
        </is>
      </c>
      <c r="G972" s="16" t="n">
        <v>45736</v>
      </c>
      <c r="H972" s="17" t="inlineStr">
        <is>
          <t>CÔNG TY TNHH DỊCH VỤ - THƯƠNG MẠI THÉP THIÊN LONG</t>
        </is>
      </c>
      <c r="I972" s="17" t="inlineStr">
        <is>
          <t>Thép tấm 10ly</t>
        </is>
      </c>
      <c r="J972" s="17" t="inlineStr">
        <is>
          <t>kg</t>
        </is>
      </c>
      <c r="K972" s="19" t="n">
        <v>14090.9</v>
      </c>
      <c r="L972" s="20" t="n"/>
      <c r="M972" s="20" t="n"/>
      <c r="N972" s="43" t="n">
        <v>23217.3</v>
      </c>
      <c r="O972" s="20" t="n">
        <v>327152784</v>
      </c>
      <c r="P972" s="43" t="n">
        <v>23217.3</v>
      </c>
      <c r="Q972" s="20" t="n">
        <v>327152784</v>
      </c>
      <c r="R972" s="42">
        <f>+L972+N972-P972</f>
        <v/>
      </c>
      <c r="S972" s="42">
        <f>+M972+O972-Q972</f>
        <v/>
      </c>
    </row>
    <row r="973" ht="30" customHeight="1">
      <c r="A973" s="16" t="n">
        <v>45736</v>
      </c>
      <c r="B973" s="17" t="inlineStr">
        <is>
          <t>MH2503-53</t>
        </is>
      </c>
      <c r="C973" s="16" t="n">
        <v>45736</v>
      </c>
      <c r="D973" s="17" t="inlineStr">
        <is>
          <t>00000404</t>
        </is>
      </c>
      <c r="E973" s="16" t="n">
        <v>45736</v>
      </c>
      <c r="F973" s="16" t="inlineStr">
        <is>
          <t>XK2503-75</t>
        </is>
      </c>
      <c r="G973" s="16" t="n">
        <v>45736</v>
      </c>
      <c r="H973" s="17" t="inlineStr">
        <is>
          <t>CÔNG TY TNHH DỊCH VỤ - THƯƠNG MẠI THÉP THIÊN LONG</t>
        </is>
      </c>
      <c r="I973" s="17" t="inlineStr">
        <is>
          <t>Thép tấm 4ly</t>
        </is>
      </c>
      <c r="J973" s="17" t="inlineStr">
        <is>
          <t>kg</t>
        </is>
      </c>
      <c r="K973" s="19" t="n">
        <v>14090.9</v>
      </c>
      <c r="L973" s="20" t="n"/>
      <c r="M973" s="20" t="n"/>
      <c r="N973" s="43" t="n">
        <v>5652</v>
      </c>
      <c r="O973" s="20" t="n">
        <v>79648279</v>
      </c>
      <c r="P973" s="43" t="n">
        <v>5652</v>
      </c>
      <c r="Q973" s="20" t="n">
        <v>79648279</v>
      </c>
      <c r="R973" s="42">
        <f>+L973+N973-P973</f>
        <v/>
      </c>
      <c r="S973" s="42">
        <f>+M973+O973-Q973</f>
        <v/>
      </c>
    </row>
    <row r="974" ht="30" customHeight="1">
      <c r="A974" s="16" t="n">
        <v>45736</v>
      </c>
      <c r="B974" s="17" t="inlineStr">
        <is>
          <t>MH2503-53</t>
        </is>
      </c>
      <c r="C974" s="16" t="n">
        <v>45736</v>
      </c>
      <c r="D974" s="17" t="inlineStr">
        <is>
          <t>00000405</t>
        </is>
      </c>
      <c r="E974" s="16" t="n">
        <v>45736</v>
      </c>
      <c r="F974" s="16" t="inlineStr">
        <is>
          <t>XK2503-75</t>
        </is>
      </c>
      <c r="G974" s="16" t="n">
        <v>45736</v>
      </c>
      <c r="H974" s="17" t="inlineStr">
        <is>
          <t>CÔNG TY TNHH DỊCH VỤ - THƯƠNG MẠI THÉP THIÊN LONG</t>
        </is>
      </c>
      <c r="I974" s="17" t="inlineStr">
        <is>
          <t>Thép tấm 12ly</t>
        </is>
      </c>
      <c r="J974" s="17" t="inlineStr">
        <is>
          <t>kg</t>
        </is>
      </c>
      <c r="K974" s="19" t="n">
        <v>14090.9</v>
      </c>
      <c r="L974" s="20" t="n"/>
      <c r="M974" s="20" t="n"/>
      <c r="N974" s="43" t="n">
        <v>29390.4</v>
      </c>
      <c r="O974" s="20" t="n">
        <v>414137455</v>
      </c>
      <c r="P974" s="43" t="n">
        <v>29390.4</v>
      </c>
      <c r="Q974" s="20" t="n">
        <v>414137455</v>
      </c>
      <c r="R974" s="42">
        <f>+L974+N974-P974</f>
        <v/>
      </c>
      <c r="S974" s="42">
        <f>+M974+O974-Q974</f>
        <v/>
      </c>
    </row>
    <row r="975" ht="30" customHeight="1">
      <c r="A975" s="16" t="n">
        <v>45736</v>
      </c>
      <c r="B975" s="17" t="inlineStr">
        <is>
          <t>MH2503-53</t>
        </is>
      </c>
      <c r="C975" s="16" t="n">
        <v>45736</v>
      </c>
      <c r="D975" s="17" t="inlineStr">
        <is>
          <t>00000406</t>
        </is>
      </c>
      <c r="E975" s="16" t="n">
        <v>45736</v>
      </c>
      <c r="F975" s="16" t="inlineStr">
        <is>
          <t>XK2503-75</t>
        </is>
      </c>
      <c r="G975" s="16" t="n">
        <v>45736</v>
      </c>
      <c r="H975" s="17" t="inlineStr">
        <is>
          <t>CÔNG TY TNHH DỊCH VỤ - THƯƠNG MẠI THÉP THIÊN LONG</t>
        </is>
      </c>
      <c r="I975" s="17" t="inlineStr">
        <is>
          <t>Thép tấm 6ly</t>
        </is>
      </c>
      <c r="J975" s="17" t="inlineStr">
        <is>
          <t>kg</t>
        </is>
      </c>
      <c r="K975" s="19" t="n">
        <v>14090.9</v>
      </c>
      <c r="L975" s="20" t="n"/>
      <c r="M975" s="20" t="n"/>
      <c r="N975" s="43" t="n">
        <v>15825.6</v>
      </c>
      <c r="O975" s="20" t="n">
        <v>222997091</v>
      </c>
      <c r="P975" s="43" t="n">
        <v>15825.6</v>
      </c>
      <c r="Q975" s="20" t="n">
        <v>222997091</v>
      </c>
      <c r="R975" s="42">
        <f>+L975+N975-P975</f>
        <v/>
      </c>
      <c r="S975" s="42">
        <f>+M975+O975-Q975</f>
        <v/>
      </c>
    </row>
    <row r="976" ht="30" customHeight="1">
      <c r="A976" s="16" t="n">
        <v>45736</v>
      </c>
      <c r="B976" s="17" t="inlineStr">
        <is>
          <t>MH2503-53</t>
        </is>
      </c>
      <c r="C976" s="16" t="n">
        <v>45736</v>
      </c>
      <c r="D976" s="17" t="inlineStr">
        <is>
          <t>00000407</t>
        </is>
      </c>
      <c r="E976" s="16" t="n">
        <v>45736</v>
      </c>
      <c r="F976" s="16" t="inlineStr">
        <is>
          <t>XK2503-75</t>
        </is>
      </c>
      <c r="G976" s="16" t="n">
        <v>45736</v>
      </c>
      <c r="H976" s="17" t="inlineStr">
        <is>
          <t>CÔNG TY TNHH DỊCH VỤ - THƯƠNG MẠI THÉP THIÊN LONG</t>
        </is>
      </c>
      <c r="I976" s="17" t="inlineStr">
        <is>
          <t>Thép tấm 6ly</t>
        </is>
      </c>
      <c r="J976" s="17" t="inlineStr">
        <is>
          <t>kg</t>
        </is>
      </c>
      <c r="K976" s="19" t="n">
        <v>14090.9</v>
      </c>
      <c r="L976" s="20" t="n"/>
      <c r="M976" s="20" t="n"/>
      <c r="N976" s="43" t="n">
        <v>15825.6</v>
      </c>
      <c r="O976" s="20" t="n">
        <v>222997091</v>
      </c>
      <c r="P976" s="43" t="n">
        <v>15825.6</v>
      </c>
      <c r="Q976" s="20" t="n">
        <v>222997091</v>
      </c>
      <c r="R976" s="42">
        <f>+L976+N976-P976</f>
        <v/>
      </c>
      <c r="S976" s="42">
        <f>+M976+O976-Q976</f>
        <v/>
      </c>
    </row>
    <row r="977" ht="30" customHeight="1">
      <c r="A977" s="16" t="n">
        <v>45736</v>
      </c>
      <c r="B977" s="17" t="inlineStr">
        <is>
          <t>MH2503-53</t>
        </is>
      </c>
      <c r="C977" s="16" t="n">
        <v>45736</v>
      </c>
      <c r="D977" s="17" t="inlineStr">
        <is>
          <t>00000408</t>
        </is>
      </c>
      <c r="E977" s="16" t="n">
        <v>45736</v>
      </c>
      <c r="F977" s="16" t="inlineStr">
        <is>
          <t>XK2503-75</t>
        </is>
      </c>
      <c r="G977" s="16" t="n">
        <v>45736</v>
      </c>
      <c r="H977" s="17" t="inlineStr">
        <is>
          <t>CÔNG TY TNHH DỊCH VỤ - THƯƠNG MẠI THÉP THIÊN LONG</t>
        </is>
      </c>
      <c r="I977" s="17" t="inlineStr">
        <is>
          <t>Thép tấm 5ly</t>
        </is>
      </c>
      <c r="J977" s="17" t="inlineStr">
        <is>
          <t>kg</t>
        </is>
      </c>
      <c r="K977" s="19" t="n">
        <v>14090.9</v>
      </c>
      <c r="L977" s="20" t="n"/>
      <c r="M977" s="20" t="n"/>
      <c r="N977" s="43" t="n">
        <v>4710</v>
      </c>
      <c r="O977" s="20" t="n">
        <v>66368388</v>
      </c>
      <c r="P977" s="43" t="n">
        <v>4710</v>
      </c>
      <c r="Q977" s="20" t="n">
        <v>66368388</v>
      </c>
      <c r="R977" s="42">
        <f>+L977+N977-P977</f>
        <v/>
      </c>
      <c r="S977" s="42">
        <f>+M977+O977-Q977</f>
        <v/>
      </c>
    </row>
    <row r="978" ht="30" customHeight="1">
      <c r="A978" s="16" t="n">
        <v>45736</v>
      </c>
      <c r="B978" s="17" t="inlineStr">
        <is>
          <t>MH2503-53</t>
        </is>
      </c>
      <c r="C978" s="16" t="n">
        <v>45736</v>
      </c>
      <c r="D978" s="17" t="inlineStr">
        <is>
          <t>00000408</t>
        </is>
      </c>
      <c r="E978" s="16" t="n">
        <v>45736</v>
      </c>
      <c r="F978" s="16" t="inlineStr">
        <is>
          <t>XK2503-75</t>
        </is>
      </c>
      <c r="G978" s="16" t="n">
        <v>45736</v>
      </c>
      <c r="H978" s="17" t="inlineStr">
        <is>
          <t>CÔNG TY TNHH DỊCH VỤ - THƯƠNG MẠI THÉP THIÊN LONG</t>
        </is>
      </c>
      <c r="I978" s="17" t="inlineStr">
        <is>
          <t>Thép tấm 10ly</t>
        </is>
      </c>
      <c r="J978" s="17" t="inlineStr">
        <is>
          <t>kg</t>
        </is>
      </c>
      <c r="K978" s="19" t="n">
        <v>14090.9</v>
      </c>
      <c r="L978" s="20" t="n"/>
      <c r="M978" s="20" t="n"/>
      <c r="N978" s="43" t="n">
        <v>22608</v>
      </c>
      <c r="O978" s="20" t="n">
        <v>318567067</v>
      </c>
      <c r="P978" s="43" t="n">
        <v>22608</v>
      </c>
      <c r="Q978" s="20" t="n">
        <v>318567067</v>
      </c>
      <c r="R978" s="42">
        <f>+L978+N978-P978</f>
        <v/>
      </c>
      <c r="S978" s="42">
        <f>+M978+O978-Q978</f>
        <v/>
      </c>
    </row>
    <row r="979" ht="30" customHeight="1">
      <c r="A979" s="16" t="n">
        <v>45736</v>
      </c>
      <c r="B979" s="17" t="inlineStr">
        <is>
          <t>MH2503-53</t>
        </is>
      </c>
      <c r="C979" s="16" t="n">
        <v>45736</v>
      </c>
      <c r="D979" s="17" t="inlineStr">
        <is>
          <t>00000409</t>
        </is>
      </c>
      <c r="E979" s="16" t="n">
        <v>45736</v>
      </c>
      <c r="F979" s="16" t="inlineStr">
        <is>
          <t>XK2503-75</t>
        </is>
      </c>
      <c r="G979" s="16" t="n">
        <v>45736</v>
      </c>
      <c r="H979" s="17" t="inlineStr">
        <is>
          <t>CÔNG TY TNHH DỊCH VỤ - THƯƠNG MẠI THÉP THIÊN LONG</t>
        </is>
      </c>
      <c r="I979" s="17" t="inlineStr">
        <is>
          <t>Thép tấm 10ly</t>
        </is>
      </c>
      <c r="J979" s="17" t="inlineStr">
        <is>
          <t>kg</t>
        </is>
      </c>
      <c r="K979" s="19" t="n">
        <v>14090.9</v>
      </c>
      <c r="L979" s="20" t="n"/>
      <c r="M979" s="20" t="n"/>
      <c r="N979" s="43" t="n">
        <v>16346.7</v>
      </c>
      <c r="O979" s="20" t="n">
        <v>230339943</v>
      </c>
      <c r="P979" s="43" t="n">
        <v>16346.7</v>
      </c>
      <c r="Q979" s="20" t="n">
        <v>230339943</v>
      </c>
      <c r="R979" s="42">
        <f>+L979+N979-P979</f>
        <v/>
      </c>
      <c r="S979" s="42">
        <f>+M979+O979-Q979</f>
        <v/>
      </c>
    </row>
    <row r="980" ht="30" customHeight="1">
      <c r="A980" s="16" t="n">
        <v>45736</v>
      </c>
      <c r="B980" s="17" t="inlineStr">
        <is>
          <t>MH2503-54</t>
        </is>
      </c>
      <c r="C980" s="16" t="n">
        <v>45736</v>
      </c>
      <c r="D980" s="17" t="inlineStr">
        <is>
          <t>00000264</t>
        </is>
      </c>
      <c r="E980" s="16" t="n">
        <v>45736</v>
      </c>
      <c r="F980" s="16" t="inlineStr">
        <is>
          <t>XK2503-76</t>
        </is>
      </c>
      <c r="G980" s="16" t="n">
        <v>45736</v>
      </c>
      <c r="H980" s="17" t="inlineStr">
        <is>
          <t>CÔNG TY TNHH XUẤT NHẬP KHẨU THƯƠNG MẠI KIÊN HOÀNG</t>
        </is>
      </c>
      <c r="I980" s="17" t="inlineStr">
        <is>
          <t>Thép tấm (90x900x900mm)</t>
        </is>
      </c>
      <c r="J980" s="17" t="inlineStr">
        <is>
          <t>kg</t>
        </is>
      </c>
      <c r="K980" s="19" t="n">
        <v>23829</v>
      </c>
      <c r="L980" s="20" t="n"/>
      <c r="M980" s="20" t="n"/>
      <c r="N980" s="43" t="n">
        <v>1144.53</v>
      </c>
      <c r="O980" s="20" t="n">
        <v>20809638</v>
      </c>
      <c r="P980" s="43" t="n">
        <v>1144.53</v>
      </c>
      <c r="Q980" s="20" t="n">
        <v>20809638</v>
      </c>
      <c r="R980" s="42">
        <f>+L980+N980-P980</f>
        <v/>
      </c>
      <c r="S980" s="42">
        <f>+M980+O980-Q980</f>
        <v/>
      </c>
    </row>
    <row r="981" ht="30" customHeight="1">
      <c r="A981" s="16" t="n">
        <v>45736</v>
      </c>
      <c r="B981" s="17" t="inlineStr">
        <is>
          <t>MH2503-54</t>
        </is>
      </c>
      <c r="C981" s="16" t="n">
        <v>45736</v>
      </c>
      <c r="D981" s="17" t="inlineStr">
        <is>
          <t>00000264</t>
        </is>
      </c>
      <c r="E981" s="16" t="n">
        <v>45736</v>
      </c>
      <c r="F981" s="16" t="inlineStr">
        <is>
          <t>XK2503-76</t>
        </is>
      </c>
      <c r="G981" s="16" t="n">
        <v>45736</v>
      </c>
      <c r="H981" s="17" t="inlineStr">
        <is>
          <t>CÔNG TY TNHH XUẤT NHẬP KHẨU THƯƠNG MẠI KIÊN HOÀNG</t>
        </is>
      </c>
      <c r="I981" s="17" t="inlineStr">
        <is>
          <t>Thép tấm (90x450x9348mm)</t>
        </is>
      </c>
      <c r="J981" s="17" t="inlineStr">
        <is>
          <t>kg</t>
        </is>
      </c>
      <c r="K981" s="19" t="n">
        <v>23829</v>
      </c>
      <c r="L981" s="20" t="n"/>
      <c r="M981" s="20" t="n"/>
      <c r="N981" s="43" t="n">
        <v>14859.82</v>
      </c>
      <c r="O981" s="20" t="n">
        <v>270178572</v>
      </c>
      <c r="P981" s="43" t="n">
        <v>14859.82</v>
      </c>
      <c r="Q981" s="20" t="n">
        <v>270178572</v>
      </c>
      <c r="R981" s="42">
        <f>+L981+N981-P981</f>
        <v/>
      </c>
      <c r="S981" s="42">
        <f>+M981+O981-Q981</f>
        <v/>
      </c>
    </row>
    <row r="982" ht="30" customHeight="1">
      <c r="A982" s="16" t="n">
        <v>45736</v>
      </c>
      <c r="B982" s="17" t="inlineStr">
        <is>
          <t>MH2503-54</t>
        </is>
      </c>
      <c r="C982" s="16" t="n">
        <v>45736</v>
      </c>
      <c r="D982" s="17" t="inlineStr">
        <is>
          <t>00000264</t>
        </is>
      </c>
      <c r="E982" s="16" t="n">
        <v>45736</v>
      </c>
      <c r="F982" s="16" t="inlineStr">
        <is>
          <t>XK2503-76</t>
        </is>
      </c>
      <c r="G982" s="16" t="n">
        <v>45736</v>
      </c>
      <c r="H982" s="17" t="inlineStr">
        <is>
          <t>CÔNG TY TNHH XUẤT NHẬP KHẨU THƯƠNG MẠI KIÊN HOÀNG</t>
        </is>
      </c>
      <c r="I982" s="17" t="inlineStr">
        <is>
          <t>Thép tấm (100x460x9299mm)</t>
        </is>
      </c>
      <c r="J982" s="17" t="inlineStr">
        <is>
          <t>kg</t>
        </is>
      </c>
      <c r="K982" s="19" t="n">
        <v>23829</v>
      </c>
      <c r="L982" s="20" t="n"/>
      <c r="M982" s="20" t="n"/>
      <c r="N982" s="43" t="n">
        <v>13431.48</v>
      </c>
      <c r="O982" s="20" t="n">
        <v>244208752</v>
      </c>
      <c r="P982" s="43" t="n">
        <v>13431.48</v>
      </c>
      <c r="Q982" s="20" t="n">
        <v>244208752</v>
      </c>
      <c r="R982" s="42">
        <f>+L982+N982-P982</f>
        <v/>
      </c>
      <c r="S982" s="42">
        <f>+M982+O982-Q982</f>
        <v/>
      </c>
    </row>
    <row r="983" ht="30" customHeight="1">
      <c r="A983" s="16" t="n">
        <v>45736</v>
      </c>
      <c r="B983" s="17" t="inlineStr">
        <is>
          <t>MH2503-54</t>
        </is>
      </c>
      <c r="C983" s="16" t="n">
        <v>45736</v>
      </c>
      <c r="D983" s="17" t="inlineStr">
        <is>
          <t>00000266</t>
        </is>
      </c>
      <c r="E983" s="16" t="n">
        <v>45736</v>
      </c>
      <c r="F983" s="16" t="inlineStr">
        <is>
          <t>XK2503-76</t>
        </is>
      </c>
      <c r="G983" s="16" t="n">
        <v>45736</v>
      </c>
      <c r="H983" s="17" t="inlineStr">
        <is>
          <t>CÔNG TY TNHH XUẤT NHẬP KHẨU THƯƠNG MẠI KIÊN HOÀNG</t>
        </is>
      </c>
      <c r="I983" s="17" t="inlineStr">
        <is>
          <t>Thép tấm (70x335x9603mm)</t>
        </is>
      </c>
      <c r="J983" s="17" t="inlineStr">
        <is>
          <t>kg</t>
        </is>
      </c>
      <c r="K983" s="19" t="n">
        <v>23829</v>
      </c>
      <c r="L983" s="20" t="n"/>
      <c r="M983" s="20" t="n"/>
      <c r="N983" s="43" t="n">
        <v>3539.49</v>
      </c>
      <c r="O983" s="20" t="n">
        <v>64354370</v>
      </c>
      <c r="P983" s="43" t="n">
        <v>3539.49</v>
      </c>
      <c r="Q983" s="20" t="n">
        <v>64354370</v>
      </c>
      <c r="R983" s="42">
        <f>+L983+N983-P983</f>
        <v/>
      </c>
      <c r="S983" s="42">
        <f>+M983+O983-Q983</f>
        <v/>
      </c>
    </row>
    <row r="984" ht="30" customHeight="1">
      <c r="A984" s="16" t="n">
        <v>45736</v>
      </c>
      <c r="B984" s="17" t="inlineStr">
        <is>
          <t>MH2503-54</t>
        </is>
      </c>
      <c r="C984" s="16" t="n">
        <v>45736</v>
      </c>
      <c r="D984" s="17" t="inlineStr">
        <is>
          <t>00000266</t>
        </is>
      </c>
      <c r="E984" s="16" t="n">
        <v>45736</v>
      </c>
      <c r="F984" s="16" t="inlineStr">
        <is>
          <t>XK2503-76</t>
        </is>
      </c>
      <c r="G984" s="16" t="n">
        <v>45736</v>
      </c>
      <c r="H984" s="17" t="inlineStr">
        <is>
          <t>CÔNG TY TNHH XUẤT NHẬP KHẨU THƯƠNG MẠI KIÊN HOÀNG</t>
        </is>
      </c>
      <c r="I984" s="17" t="inlineStr">
        <is>
          <t>Thép tấm (70x515x530mm)</t>
        </is>
      </c>
      <c r="J984" s="17" t="inlineStr">
        <is>
          <t>kg</t>
        </is>
      </c>
      <c r="K984" s="19" t="n">
        <v>23829</v>
      </c>
      <c r="L984" s="20" t="n"/>
      <c r="M984" s="20" t="n"/>
      <c r="N984" s="43" t="n">
        <v>3149.71</v>
      </c>
      <c r="O984" s="20" t="n">
        <v>57267460</v>
      </c>
      <c r="P984" s="43" t="n">
        <v>3149.71</v>
      </c>
      <c r="Q984" s="20" t="n">
        <v>57267460</v>
      </c>
      <c r="R984" s="42">
        <f>+L984+N984-P984</f>
        <v/>
      </c>
      <c r="S984" s="42">
        <f>+M984+O984-Q984</f>
        <v/>
      </c>
    </row>
    <row r="985" ht="30" customHeight="1">
      <c r="A985" s="16" t="n">
        <v>45736</v>
      </c>
      <c r="B985" s="17" t="inlineStr">
        <is>
          <t>MH2503-54</t>
        </is>
      </c>
      <c r="C985" s="16" t="n">
        <v>45736</v>
      </c>
      <c r="D985" s="17" t="inlineStr">
        <is>
          <t>00000266</t>
        </is>
      </c>
      <c r="E985" s="16" t="n">
        <v>45736</v>
      </c>
      <c r="F985" s="16" t="inlineStr">
        <is>
          <t>XK2503-76</t>
        </is>
      </c>
      <c r="G985" s="16" t="n">
        <v>45736</v>
      </c>
      <c r="H985" s="17" t="inlineStr">
        <is>
          <t>CÔNG TY TNHH XUẤT NHẬP KHẨU THƯƠNG MẠI KIÊN HOÀNG</t>
        </is>
      </c>
      <c r="I985" s="17" t="inlineStr">
        <is>
          <t>Thép tấm (70x530x530mm)</t>
        </is>
      </c>
      <c r="J985" s="17" t="inlineStr">
        <is>
          <t>kg</t>
        </is>
      </c>
      <c r="K985" s="19" t="n">
        <v>23829</v>
      </c>
      <c r="L985" s="20" t="n"/>
      <c r="M985" s="20" t="n"/>
      <c r="N985" s="43" t="n">
        <v>308.71</v>
      </c>
      <c r="O985" s="20" t="n">
        <v>5612910</v>
      </c>
      <c r="P985" s="43" t="n">
        <v>308.71</v>
      </c>
      <c r="Q985" s="20" t="n">
        <v>5612910</v>
      </c>
      <c r="R985" s="42">
        <f>+L985+N985-P985</f>
        <v/>
      </c>
      <c r="S985" s="42">
        <f>+M985+O985-Q985</f>
        <v/>
      </c>
    </row>
    <row r="986" ht="30" customHeight="1">
      <c r="A986" s="16" t="n">
        <v>45736</v>
      </c>
      <c r="B986" s="17" t="inlineStr">
        <is>
          <t>MH2503-54</t>
        </is>
      </c>
      <c r="C986" s="16" t="n">
        <v>45736</v>
      </c>
      <c r="D986" s="17" t="inlineStr">
        <is>
          <t>00000266</t>
        </is>
      </c>
      <c r="E986" s="16" t="n">
        <v>45736</v>
      </c>
      <c r="F986" s="16" t="inlineStr">
        <is>
          <t>XK2503-76</t>
        </is>
      </c>
      <c r="G986" s="16" t="n">
        <v>45736</v>
      </c>
      <c r="H986" s="17" t="inlineStr">
        <is>
          <t>CÔNG TY TNHH XUẤT NHẬP KHẨU THƯƠNG MẠI KIÊN HOÀNG</t>
        </is>
      </c>
      <c r="I986" s="17" t="inlineStr">
        <is>
          <t>Thép tấm (70x530x570mm)</t>
        </is>
      </c>
      <c r="J986" s="17" t="inlineStr">
        <is>
          <t>kg</t>
        </is>
      </c>
      <c r="K986" s="19" t="n">
        <v>23829</v>
      </c>
      <c r="L986" s="20" t="n"/>
      <c r="M986" s="20" t="n"/>
      <c r="N986" s="43" t="n">
        <v>332.01</v>
      </c>
      <c r="O986" s="20" t="n">
        <v>6036546</v>
      </c>
      <c r="P986" s="43" t="n">
        <v>332.01</v>
      </c>
      <c r="Q986" s="20" t="n">
        <v>6036546</v>
      </c>
      <c r="R986" s="42">
        <f>+L986+N986-P986</f>
        <v/>
      </c>
      <c r="S986" s="42">
        <f>+M986+O986-Q986</f>
        <v/>
      </c>
    </row>
    <row r="987" ht="30" customHeight="1">
      <c r="A987" s="16" t="n">
        <v>45736</v>
      </c>
      <c r="B987" s="17" t="inlineStr">
        <is>
          <t>MH2503-54</t>
        </is>
      </c>
      <c r="C987" s="16" t="n">
        <v>45736</v>
      </c>
      <c r="D987" s="17" t="inlineStr">
        <is>
          <t>00000266</t>
        </is>
      </c>
      <c r="E987" s="16" t="n">
        <v>45736</v>
      </c>
      <c r="F987" s="16" t="inlineStr">
        <is>
          <t>XK2503-76</t>
        </is>
      </c>
      <c r="G987" s="16" t="n">
        <v>45736</v>
      </c>
      <c r="H987" s="17" t="inlineStr">
        <is>
          <t>CÔNG TY TNHH XUẤT NHẬP KHẨU THƯƠNG MẠI KIÊN HOÀNG</t>
        </is>
      </c>
      <c r="I987" s="17" t="inlineStr">
        <is>
          <t>Thép tấm (70x335x907mm)</t>
        </is>
      </c>
      <c r="J987" s="17" t="inlineStr">
        <is>
          <t>kg</t>
        </is>
      </c>
      <c r="K987" s="19" t="n">
        <v>23829</v>
      </c>
      <c r="L987" s="20" t="n"/>
      <c r="M987" s="20" t="n"/>
      <c r="N987" s="43" t="n">
        <v>333.92</v>
      </c>
      <c r="O987" s="20" t="n">
        <v>6071273</v>
      </c>
      <c r="P987" s="43" t="n">
        <v>333.92</v>
      </c>
      <c r="Q987" s="20" t="n">
        <v>6071273</v>
      </c>
      <c r="R987" s="42">
        <f>+L987+N987-P987</f>
        <v/>
      </c>
      <c r="S987" s="42">
        <f>+M987+O987-Q987</f>
        <v/>
      </c>
    </row>
    <row r="988" ht="30" customHeight="1">
      <c r="A988" s="16" t="n">
        <v>45736</v>
      </c>
      <c r="B988" s="17" t="inlineStr">
        <is>
          <t>MH2503-54</t>
        </is>
      </c>
      <c r="C988" s="16" t="n">
        <v>45736</v>
      </c>
      <c r="D988" s="17" t="inlineStr">
        <is>
          <t>00000266</t>
        </is>
      </c>
      <c r="E988" s="16" t="n">
        <v>45736</v>
      </c>
      <c r="F988" s="16" t="inlineStr">
        <is>
          <t>XK2503-76</t>
        </is>
      </c>
      <c r="G988" s="16" t="n">
        <v>45736</v>
      </c>
      <c r="H988" s="17" t="inlineStr">
        <is>
          <t>CÔNG TY TNHH XUẤT NHẬP KHẨU THƯƠNG MẠI KIÊN HOÀNG</t>
        </is>
      </c>
      <c r="I988" s="17" t="inlineStr">
        <is>
          <t>Thép tấm (70x335x1191mm)</t>
        </is>
      </c>
      <c r="J988" s="17" t="inlineStr">
        <is>
          <t>kg</t>
        </is>
      </c>
      <c r="K988" s="19" t="n">
        <v>23829</v>
      </c>
      <c r="L988" s="20" t="n"/>
      <c r="M988" s="20" t="n"/>
      <c r="N988" s="43" t="n">
        <v>876.97</v>
      </c>
      <c r="O988" s="20" t="n">
        <v>15944911</v>
      </c>
      <c r="P988" s="43" t="n">
        <v>876.97</v>
      </c>
      <c r="Q988" s="20" t="n">
        <v>15944911</v>
      </c>
      <c r="R988" s="42">
        <f>+L988+N988-P988</f>
        <v/>
      </c>
      <c r="S988" s="42">
        <f>+M988+O988-Q988</f>
        <v/>
      </c>
    </row>
    <row r="989" ht="30" customHeight="1">
      <c r="A989" s="16" t="n">
        <v>45736</v>
      </c>
      <c r="B989" s="17" t="inlineStr">
        <is>
          <t>MH2503-54</t>
        </is>
      </c>
      <c r="C989" s="16" t="n">
        <v>45736</v>
      </c>
      <c r="D989" s="17" t="inlineStr">
        <is>
          <t>00000266</t>
        </is>
      </c>
      <c r="E989" s="16" t="n">
        <v>45736</v>
      </c>
      <c r="F989" s="16" t="inlineStr">
        <is>
          <t>XK2503-76</t>
        </is>
      </c>
      <c r="G989" s="16" t="n">
        <v>45736</v>
      </c>
      <c r="H989" s="17" t="inlineStr">
        <is>
          <t>CÔNG TY TNHH XUẤT NHẬP KHẨU THƯƠNG MẠI KIÊN HOÀNG</t>
        </is>
      </c>
      <c r="I989" s="17" t="inlineStr">
        <is>
          <t>Thép tấm (70x180x335mm)</t>
        </is>
      </c>
      <c r="J989" s="17" t="inlineStr">
        <is>
          <t>kg</t>
        </is>
      </c>
      <c r="K989" s="19" t="n">
        <v>23829</v>
      </c>
      <c r="L989" s="20" t="n"/>
      <c r="M989" s="20" t="n"/>
      <c r="N989" s="43" t="n">
        <v>33.13</v>
      </c>
      <c r="O989" s="20" t="n">
        <v>602364</v>
      </c>
      <c r="P989" s="43" t="n">
        <v>33.13</v>
      </c>
      <c r="Q989" s="20" t="n">
        <v>602364</v>
      </c>
      <c r="R989" s="42">
        <f>+L989+N989-P989</f>
        <v/>
      </c>
      <c r="S989" s="42">
        <f>+M989+O989-Q989</f>
        <v/>
      </c>
    </row>
    <row r="990" ht="30" customHeight="1">
      <c r="A990" s="16" t="n">
        <v>45736</v>
      </c>
      <c r="B990" s="17" t="inlineStr">
        <is>
          <t>MH2503-54</t>
        </is>
      </c>
      <c r="C990" s="16" t="n">
        <v>45736</v>
      </c>
      <c r="D990" s="17" t="inlineStr">
        <is>
          <t>00000266</t>
        </is>
      </c>
      <c r="E990" s="16" t="n">
        <v>45736</v>
      </c>
      <c r="F990" s="16" t="inlineStr">
        <is>
          <t>XK2503-76</t>
        </is>
      </c>
      <c r="G990" s="16" t="n">
        <v>45736</v>
      </c>
      <c r="H990" s="17" t="inlineStr">
        <is>
          <t>CÔNG TY TNHH XUẤT NHẬP KHẨU THƯƠNG MẠI KIÊN HOÀNG</t>
        </is>
      </c>
      <c r="I990" s="17" t="inlineStr">
        <is>
          <t>Thép tấm (80x900x900mm)</t>
        </is>
      </c>
      <c r="J990" s="17" t="inlineStr">
        <is>
          <t>kg</t>
        </is>
      </c>
      <c r="K990" s="19" t="n">
        <v>23829</v>
      </c>
      <c r="L990" s="20" t="n"/>
      <c r="M990" s="20" t="n"/>
      <c r="N990" s="43" t="n">
        <v>20855.88</v>
      </c>
      <c r="O990" s="20" t="n">
        <v>379197856</v>
      </c>
      <c r="P990" s="43" t="n">
        <v>20855.88</v>
      </c>
      <c r="Q990" s="20" t="n">
        <v>379197856</v>
      </c>
      <c r="R990" s="42">
        <f>+L990+N990-P990</f>
        <v/>
      </c>
      <c r="S990" s="42">
        <f>+M990+O990-Q990</f>
        <v/>
      </c>
    </row>
    <row r="991" ht="30" customHeight="1">
      <c r="A991" s="16" t="n">
        <v>45736</v>
      </c>
      <c r="B991" s="17" t="inlineStr">
        <is>
          <t>MH2503-54</t>
        </is>
      </c>
      <c r="C991" s="16" t="n">
        <v>45736</v>
      </c>
      <c r="D991" s="17" t="inlineStr">
        <is>
          <t>00000266</t>
        </is>
      </c>
      <c r="E991" s="16" t="n">
        <v>45736</v>
      </c>
      <c r="F991" s="16" t="inlineStr">
        <is>
          <t>XK2503-76</t>
        </is>
      </c>
      <c r="G991" s="16" t="n">
        <v>45736</v>
      </c>
      <c r="H991" s="17" t="inlineStr">
        <is>
          <t>CÔNG TY TNHH XUẤT NHẬP KHẨU THƯƠNG MẠI KIÊN HOÀNG</t>
        </is>
      </c>
      <c r="I991" s="17" t="inlineStr">
        <is>
          <t>Thép tấm (80x330x9348mm)</t>
        </is>
      </c>
      <c r="J991" s="17" t="inlineStr">
        <is>
          <t>kg</t>
        </is>
      </c>
      <c r="K991" s="19" t="n">
        <v>23829</v>
      </c>
      <c r="L991" s="20" t="n"/>
      <c r="M991" s="20" t="n"/>
      <c r="N991" s="43" t="n">
        <v>3874.56</v>
      </c>
      <c r="O991" s="20" t="n">
        <v>70446552</v>
      </c>
      <c r="P991" s="43" t="n">
        <v>3874.56</v>
      </c>
      <c r="Q991" s="20" t="n">
        <v>70446552</v>
      </c>
      <c r="R991" s="42">
        <f>+L991+N991-P991</f>
        <v/>
      </c>
      <c r="S991" s="42">
        <f>+M991+O991-Q991</f>
        <v/>
      </c>
    </row>
    <row r="992" ht="30" customHeight="1">
      <c r="A992" s="16" t="n">
        <v>45736</v>
      </c>
      <c r="B992" s="17" t="inlineStr">
        <is>
          <t>MH2503-54</t>
        </is>
      </c>
      <c r="C992" s="16" t="n">
        <v>45736</v>
      </c>
      <c r="D992" s="17" t="inlineStr">
        <is>
          <t>00000266</t>
        </is>
      </c>
      <c r="E992" s="16" t="n">
        <v>45736</v>
      </c>
      <c r="F992" s="16" t="inlineStr">
        <is>
          <t>XK2503-76</t>
        </is>
      </c>
      <c r="G992" s="16" t="n">
        <v>45736</v>
      </c>
      <c r="H992" s="17" t="inlineStr">
        <is>
          <t>CÔNG TY TNHH XUẤT NHẬP KHẨU THƯƠNG MẠI KIÊN HOÀNG</t>
        </is>
      </c>
      <c r="I992" s="17" t="inlineStr">
        <is>
          <t>Thép tấm (90x900x900mm)</t>
        </is>
      </c>
      <c r="J992" s="17" t="inlineStr">
        <is>
          <t>kg</t>
        </is>
      </c>
      <c r="K992" s="19" t="n">
        <v>23829</v>
      </c>
      <c r="L992" s="20" t="n"/>
      <c r="M992" s="20" t="n"/>
      <c r="N992" s="43" t="n">
        <v>5722.65</v>
      </c>
      <c r="O992" s="20" t="n">
        <v>104048192</v>
      </c>
      <c r="P992" s="43" t="n">
        <v>5722.65</v>
      </c>
      <c r="Q992" s="20" t="n">
        <v>104048192</v>
      </c>
      <c r="R992" s="42">
        <f>+L992+N992-P992</f>
        <v/>
      </c>
      <c r="S992" s="42">
        <f>+M992+O992-Q992</f>
        <v/>
      </c>
    </row>
    <row r="993" ht="30" customHeight="1">
      <c r="A993" s="16" t="n">
        <v>45736</v>
      </c>
      <c r="B993" s="17" t="inlineStr">
        <is>
          <t>MH2503-54</t>
        </is>
      </c>
      <c r="C993" s="16" t="n">
        <v>45736</v>
      </c>
      <c r="D993" s="17" t="inlineStr">
        <is>
          <t>00000266</t>
        </is>
      </c>
      <c r="E993" s="16" t="n">
        <v>45736</v>
      </c>
      <c r="F993" s="16" t="inlineStr">
        <is>
          <t>XK2503-76</t>
        </is>
      </c>
      <c r="G993" s="16" t="n">
        <v>45736</v>
      </c>
      <c r="H993" s="17" t="inlineStr">
        <is>
          <t>CÔNG TY TNHH XUẤT NHẬP KHẨU THƯƠNG MẠI KIÊN HOÀNG</t>
        </is>
      </c>
      <c r="I993" s="17" t="inlineStr">
        <is>
          <t>Thép tấm (70x335x9598mm)</t>
        </is>
      </c>
      <c r="J993" s="17" t="inlineStr">
        <is>
          <t>kg</t>
        </is>
      </c>
      <c r="K993" s="19" t="n">
        <v>23829</v>
      </c>
      <c r="L993" s="20" t="n"/>
      <c r="M993" s="20" t="n"/>
      <c r="N993" s="43" t="n">
        <v>10600.94</v>
      </c>
      <c r="O993" s="20" t="n">
        <v>192744383</v>
      </c>
      <c r="P993" s="43" t="n">
        <v>10600.94</v>
      </c>
      <c r="Q993" s="20" t="n">
        <v>192744383</v>
      </c>
      <c r="R993" s="42">
        <f>+L993+N993-P993</f>
        <v/>
      </c>
      <c r="S993" s="42">
        <f>+M993+O993-Q993</f>
        <v/>
      </c>
    </row>
    <row r="994" ht="30" customHeight="1">
      <c r="A994" s="16" t="n">
        <v>45736</v>
      </c>
      <c r="B994" s="17" t="inlineStr">
        <is>
          <t>MHDV2503-24</t>
        </is>
      </c>
      <c r="C994" s="16" t="n">
        <v>45736</v>
      </c>
      <c r="D994" s="17" t="inlineStr">
        <is>
          <t>00000265</t>
        </is>
      </c>
      <c r="E994" s="16" t="n">
        <v>45736</v>
      </c>
      <c r="F994" s="16" t="inlineStr">
        <is>
          <t>XK2503-76</t>
        </is>
      </c>
      <c r="G994" s="16" t="n">
        <v>45736</v>
      </c>
      <c r="H994" s="17" t="inlineStr">
        <is>
          <t>CÔNG TY TNHH XUẤT NHẬP KHẨU THƯƠNG MẠI KIÊN HOÀNG</t>
        </is>
      </c>
      <c r="I994" s="17" t="inlineStr">
        <is>
          <t>Vận chuyển</t>
        </is>
      </c>
      <c r="J994" s="17" t="inlineStr">
        <is>
          <t>Chuyến</t>
        </is>
      </c>
      <c r="K994" s="19" t="n">
        <v>5451080</v>
      </c>
      <c r="L994" s="20" t="n"/>
      <c r="M994" s="20" t="n"/>
      <c r="N994" s="43" t="n">
        <v>1</v>
      </c>
      <c r="O994" s="20" t="n">
        <v>5451080</v>
      </c>
      <c r="P994" s="43" t="n">
        <v>1</v>
      </c>
      <c r="Q994" s="20" t="n">
        <v>5451080</v>
      </c>
      <c r="R994" s="42">
        <f>+L994+N994-P994</f>
        <v/>
      </c>
      <c r="S994" s="42">
        <f>+M994+O994-Q994</f>
        <v/>
      </c>
    </row>
    <row r="995" ht="30" customHeight="1">
      <c r="A995" s="16" t="n">
        <v>45736</v>
      </c>
      <c r="B995" s="17" t="inlineStr">
        <is>
          <t>MHDV2503-24</t>
        </is>
      </c>
      <c r="C995" s="16" t="n">
        <v>45736</v>
      </c>
      <c r="D995" s="17" t="inlineStr">
        <is>
          <t>00000267</t>
        </is>
      </c>
      <c r="E995" s="16" t="n">
        <v>45736</v>
      </c>
      <c r="F995" s="16" t="inlineStr">
        <is>
          <t>XK2503-76</t>
        </is>
      </c>
      <c r="G995" s="16" t="n">
        <v>45736</v>
      </c>
      <c r="H995" s="17" t="inlineStr">
        <is>
          <t>CÔNG TY TNHH XUẤT NHẬP KHẨU THƯƠNG MẠI KIÊN HOÀNG</t>
        </is>
      </c>
      <c r="I995" s="17" t="inlineStr">
        <is>
          <t>Vận chuyển</t>
        </is>
      </c>
      <c r="J995" s="17" t="inlineStr">
        <is>
          <t>Chuyến</t>
        </is>
      </c>
      <c r="K995" s="19" t="n">
        <v>9190365</v>
      </c>
      <c r="L995" s="20" t="n"/>
      <c r="M995" s="20" t="n"/>
      <c r="N995" s="43" t="n">
        <v>1</v>
      </c>
      <c r="O995" s="20" t="n">
        <v>9190365</v>
      </c>
      <c r="P995" s="43" t="n">
        <v>1</v>
      </c>
      <c r="Q995" s="20" t="n">
        <v>9190365</v>
      </c>
      <c r="R995" s="42">
        <f>+L995+N995-P995</f>
        <v/>
      </c>
      <c r="S995" s="42">
        <f>+M995+O995-Q995</f>
        <v/>
      </c>
    </row>
    <row r="996" ht="15" customHeight="1">
      <c r="A996" s="16" t="n">
        <v>45741</v>
      </c>
      <c r="B996" s="17" t="inlineStr">
        <is>
          <t>MH2503-56</t>
        </is>
      </c>
      <c r="C996" s="16" t="n">
        <v>45741</v>
      </c>
      <c r="D996" s="17" t="inlineStr">
        <is>
          <t>00002769</t>
        </is>
      </c>
      <c r="E996" s="16" t="n">
        <v>45741</v>
      </c>
      <c r="F996" s="16" t="inlineStr">
        <is>
          <t>XK2503-77</t>
        </is>
      </c>
      <c r="G996" s="16" t="n">
        <v>45741</v>
      </c>
      <c r="H996" s="17" t="inlineStr">
        <is>
          <t>CÔNG TY TNHH SƠN JOTUN VIỆT NAM</t>
        </is>
      </c>
      <c r="I996" s="17" t="inlineStr">
        <is>
          <t>SƠN JOTAMASTIC 70 GREY 18L</t>
        </is>
      </c>
      <c r="J996" s="17" t="inlineStr">
        <is>
          <t>Lít</t>
        </is>
      </c>
      <c r="K996" s="19" t="n">
        <v>90000</v>
      </c>
      <c r="L996" s="20" t="n"/>
      <c r="M996" s="20" t="n"/>
      <c r="N996" s="43" t="n">
        <v>882</v>
      </c>
      <c r="O996" s="20" t="n">
        <v>79380000</v>
      </c>
      <c r="P996" s="43" t="n">
        <v>882</v>
      </c>
      <c r="Q996" s="20" t="n">
        <v>79380000</v>
      </c>
      <c r="R996" s="42">
        <f>+L996+N996-P996</f>
        <v/>
      </c>
      <c r="S996" s="42">
        <f>+M996+O996-Q996</f>
        <v/>
      </c>
    </row>
    <row r="997" ht="15" customHeight="1">
      <c r="A997" s="16" t="n">
        <v>45741</v>
      </c>
      <c r="B997" s="17" t="inlineStr">
        <is>
          <t>MH2503-56</t>
        </is>
      </c>
      <c r="C997" s="16" t="n">
        <v>45741</v>
      </c>
      <c r="D997" s="17" t="inlineStr">
        <is>
          <t>00002769</t>
        </is>
      </c>
      <c r="E997" s="16" t="n">
        <v>45741</v>
      </c>
      <c r="F997" s="16" t="inlineStr">
        <is>
          <t>XK2503-77</t>
        </is>
      </c>
      <c r="G997" s="16" t="n">
        <v>45741</v>
      </c>
      <c r="H997" s="17" t="inlineStr">
        <is>
          <t>CÔNG TY TNHH SƠN JOTUN VIỆT NAM</t>
        </is>
      </c>
      <c r="I997" s="17" t="inlineStr">
        <is>
          <t>SƠN HARDTOP XPL RAL9016 18.21L</t>
        </is>
      </c>
      <c r="J997" s="17" t="inlineStr">
        <is>
          <t>Thùng</t>
        </is>
      </c>
      <c r="K997" s="19" t="n">
        <v>180000</v>
      </c>
      <c r="L997" s="20" t="n"/>
      <c r="M997" s="20" t="n"/>
      <c r="N997" s="43" t="n">
        <v>72.84</v>
      </c>
      <c r="O997" s="20" t="n">
        <v>13111200</v>
      </c>
      <c r="P997" s="43" t="n">
        <v>72.84</v>
      </c>
      <c r="Q997" s="20" t="n">
        <v>13111200</v>
      </c>
      <c r="R997" s="42">
        <f>+L997+N997-P997</f>
        <v/>
      </c>
      <c r="S997" s="42">
        <f>+M997+O997-Q997</f>
        <v/>
      </c>
    </row>
    <row r="998" ht="15" customHeight="1">
      <c r="A998" s="16" t="n">
        <v>45741</v>
      </c>
      <c r="B998" s="17" t="inlineStr">
        <is>
          <t>MH2503-56</t>
        </is>
      </c>
      <c r="C998" s="16" t="n">
        <v>45741</v>
      </c>
      <c r="D998" s="17" t="inlineStr">
        <is>
          <t>00002769</t>
        </is>
      </c>
      <c r="E998" s="16" t="n">
        <v>45741</v>
      </c>
      <c r="F998" s="16" t="inlineStr">
        <is>
          <t>XK2503-77</t>
        </is>
      </c>
      <c r="G998" s="16" t="n">
        <v>45741</v>
      </c>
      <c r="H998" s="17" t="inlineStr">
        <is>
          <t>CÔNG TY TNHH SƠN JOTUN VIỆT NAM</t>
        </is>
      </c>
      <c r="I998" s="17" t="inlineStr">
        <is>
          <t>SƠN HARDTOP XPL RAL9017 19.19L</t>
        </is>
      </c>
      <c r="J998" s="17" t="inlineStr">
        <is>
          <t>Thùng</t>
        </is>
      </c>
      <c r="K998" s="19" t="n">
        <v>180000</v>
      </c>
      <c r="L998" s="20" t="n"/>
      <c r="M998" s="20" t="n"/>
      <c r="N998" s="43" t="n">
        <v>805.98</v>
      </c>
      <c r="O998" s="20" t="n">
        <v>145076400</v>
      </c>
      <c r="P998" s="43" t="n">
        <v>805.98</v>
      </c>
      <c r="Q998" s="20" t="n">
        <v>145076400</v>
      </c>
      <c r="R998" s="42">
        <f>+L998+N998-P998</f>
        <v/>
      </c>
      <c r="S998" s="42">
        <f>+M998+O998-Q998</f>
        <v/>
      </c>
    </row>
    <row r="999" ht="15" customHeight="1">
      <c r="A999" s="16" t="n">
        <v>45741</v>
      </c>
      <c r="B999" s="17" t="inlineStr">
        <is>
          <t>MH2503-56</t>
        </is>
      </c>
      <c r="C999" s="16" t="n">
        <v>45741</v>
      </c>
      <c r="D999" s="17" t="inlineStr">
        <is>
          <t>00002769</t>
        </is>
      </c>
      <c r="E999" s="16" t="n">
        <v>45741</v>
      </c>
      <c r="F999" s="16" t="inlineStr">
        <is>
          <t>XK2503-77</t>
        </is>
      </c>
      <c r="G999" s="16" t="n">
        <v>45741</v>
      </c>
      <c r="H999" s="17" t="inlineStr">
        <is>
          <t>CÔNG TY TNHH SƠN JOTUN VIỆT NAM</t>
        </is>
      </c>
      <c r="I999" s="17" t="inlineStr">
        <is>
          <t>DUNG MÔI JOTUN THINNER NO. 17 20L</t>
        </is>
      </c>
      <c r="J999" s="17" t="inlineStr">
        <is>
          <t>Lít</t>
        </is>
      </c>
      <c r="K999" s="19" t="n">
        <v>60000</v>
      </c>
      <c r="L999" s="20" t="n"/>
      <c r="M999" s="20" t="n"/>
      <c r="N999" s="43" t="n">
        <v>120</v>
      </c>
      <c r="O999" s="20" t="n">
        <v>7200000</v>
      </c>
      <c r="P999" s="43" t="n">
        <v>120</v>
      </c>
      <c r="Q999" s="20" t="n">
        <v>7200000</v>
      </c>
      <c r="R999" s="42">
        <f>+L999+N999-P999</f>
        <v/>
      </c>
      <c r="S999" s="42">
        <f>+M999+O999-Q999</f>
        <v/>
      </c>
    </row>
    <row r="1000" ht="15" customHeight="1">
      <c r="A1000" s="16" t="n">
        <v>45741</v>
      </c>
      <c r="B1000" s="17" t="inlineStr">
        <is>
          <t>MH2503-56</t>
        </is>
      </c>
      <c r="C1000" s="16" t="n">
        <v>45741</v>
      </c>
      <c r="D1000" s="17" t="inlineStr">
        <is>
          <t>00002769</t>
        </is>
      </c>
      <c r="E1000" s="16" t="n">
        <v>45741</v>
      </c>
      <c r="F1000" s="16" t="inlineStr">
        <is>
          <t>XK2503-77</t>
        </is>
      </c>
      <c r="G1000" s="16" t="n">
        <v>45741</v>
      </c>
      <c r="H1000" s="17" t="inlineStr">
        <is>
          <t>CÔNG TY TNHH SƠN JOTUN VIỆT NAM</t>
        </is>
      </c>
      <c r="I1000" s="17" t="inlineStr">
        <is>
          <t>DUNG MÔI JOTUN THINNER NO. 17 5L</t>
        </is>
      </c>
      <c r="J1000" s="17" t="inlineStr">
        <is>
          <t>Lít</t>
        </is>
      </c>
      <c r="K1000" s="19" t="n">
        <v>60000</v>
      </c>
      <c r="L1000" s="20" t="n"/>
      <c r="M1000" s="20" t="n"/>
      <c r="N1000" s="43" t="n">
        <v>10</v>
      </c>
      <c r="O1000" s="20" t="n">
        <v>600000</v>
      </c>
      <c r="P1000" s="43" t="n">
        <v>10</v>
      </c>
      <c r="Q1000" s="20" t="n">
        <v>600000</v>
      </c>
      <c r="R1000" s="42">
        <f>+L1000+N1000-P1000</f>
        <v/>
      </c>
      <c r="S1000" s="42">
        <f>+M1000+O1000-Q1000</f>
        <v/>
      </c>
    </row>
    <row r="1001" ht="15" customHeight="1">
      <c r="A1001" s="16" t="n">
        <v>45741</v>
      </c>
      <c r="B1001" s="17" t="inlineStr">
        <is>
          <t>MH2503-56</t>
        </is>
      </c>
      <c r="C1001" s="16" t="n">
        <v>45741</v>
      </c>
      <c r="D1001" s="17" t="inlineStr">
        <is>
          <t>00002769</t>
        </is>
      </c>
      <c r="E1001" s="16" t="n">
        <v>45741</v>
      </c>
      <c r="F1001" s="16" t="inlineStr">
        <is>
          <t>XK2503-77</t>
        </is>
      </c>
      <c r="G1001" s="16" t="n">
        <v>45741</v>
      </c>
      <c r="H1001" s="17" t="inlineStr">
        <is>
          <t>CÔNG TY TNHH SƠN JOTUN VIỆT NAM</t>
        </is>
      </c>
      <c r="I1001" s="17" t="inlineStr">
        <is>
          <t>DUNG MÔI JOTUN THINNER NO. 10 20L</t>
        </is>
      </c>
      <c r="J1001" s="17" t="inlineStr">
        <is>
          <t>Thùng</t>
        </is>
      </c>
      <c r="K1001" s="19" t="n">
        <v>60000</v>
      </c>
      <c r="L1001" s="20" t="n"/>
      <c r="M1001" s="20" t="n"/>
      <c r="N1001" s="43" t="n">
        <v>120</v>
      </c>
      <c r="O1001" s="20" t="n">
        <v>7200000</v>
      </c>
      <c r="P1001" s="43" t="n">
        <v>120</v>
      </c>
      <c r="Q1001" s="20" t="n">
        <v>7200000</v>
      </c>
      <c r="R1001" s="42">
        <f>+L1001+N1001-P1001</f>
        <v/>
      </c>
      <c r="S1001" s="42">
        <f>+M1001+O1001-Q1001</f>
        <v/>
      </c>
    </row>
    <row r="1002" ht="15" customHeight="1">
      <c r="A1002" s="16" t="n">
        <v>45741</v>
      </c>
      <c r="B1002" s="17" t="inlineStr">
        <is>
          <t>MH2503-56</t>
        </is>
      </c>
      <c r="C1002" s="16" t="n">
        <v>45741</v>
      </c>
      <c r="D1002" s="17" t="inlineStr">
        <is>
          <t>00002769</t>
        </is>
      </c>
      <c r="E1002" s="16" t="n">
        <v>45741</v>
      </c>
      <c r="F1002" s="16" t="inlineStr">
        <is>
          <t>XK2503-77</t>
        </is>
      </c>
      <c r="G1002" s="16" t="n">
        <v>45741</v>
      </c>
      <c r="H1002" s="17" t="inlineStr">
        <is>
          <t>CÔNG TY TNHH SƠN JOTUN VIỆT NAM</t>
        </is>
      </c>
      <c r="I1002" s="17" t="inlineStr">
        <is>
          <t>DUNG MÔI JOTUN THINNER NO. 10 5L</t>
        </is>
      </c>
      <c r="J1002" s="17" t="inlineStr">
        <is>
          <t>Thùng</t>
        </is>
      </c>
      <c r="K1002" s="19" t="n">
        <v>60000</v>
      </c>
      <c r="L1002" s="20" t="n"/>
      <c r="M1002" s="20" t="n"/>
      <c r="N1002" s="43" t="n">
        <v>10</v>
      </c>
      <c r="O1002" s="20" t="n">
        <v>600000</v>
      </c>
      <c r="P1002" s="43" t="n">
        <v>10</v>
      </c>
      <c r="Q1002" s="20" t="n">
        <v>600000</v>
      </c>
      <c r="R1002" s="42">
        <f>+L1002+N1002-P1002</f>
        <v/>
      </c>
      <c r="S1002" s="42">
        <f>+M1002+O1002-Q1002</f>
        <v/>
      </c>
    </row>
    <row r="1003" ht="15" customHeight="1">
      <c r="A1003" s="16" t="n">
        <v>45741</v>
      </c>
      <c r="B1003" s="17" t="inlineStr">
        <is>
          <t>MH2503-57</t>
        </is>
      </c>
      <c r="C1003" s="16" t="n">
        <v>45741</v>
      </c>
      <c r="D1003" s="17" t="inlineStr">
        <is>
          <t>00002795</t>
        </is>
      </c>
      <c r="E1003" s="16" t="n">
        <v>45741</v>
      </c>
      <c r="F1003" s="16" t="inlineStr">
        <is>
          <t>XK2503-77</t>
        </is>
      </c>
      <c r="G1003" s="16" t="n">
        <v>45741</v>
      </c>
      <c r="H1003" s="17" t="inlineStr">
        <is>
          <t>CÔNG TY TNHH SƠN JOTUN VIỆT NAM</t>
        </is>
      </c>
      <c r="I1003" s="17" t="inlineStr">
        <is>
          <t>SƠN JOTAMASTIC 70 RED 18L</t>
        </is>
      </c>
      <c r="J1003" s="17" t="inlineStr">
        <is>
          <t>Thùng</t>
        </is>
      </c>
      <c r="K1003" s="19" t="n">
        <v>90000</v>
      </c>
      <c r="L1003" s="20" t="n"/>
      <c r="M1003" s="20" t="n"/>
      <c r="N1003" s="43" t="n">
        <v>72</v>
      </c>
      <c r="O1003" s="20" t="n">
        <v>6480000</v>
      </c>
      <c r="P1003" s="43" t="n">
        <v>72</v>
      </c>
      <c r="Q1003" s="20" t="n">
        <v>6480000</v>
      </c>
      <c r="R1003" s="42">
        <f>+L1003+N1003-P1003</f>
        <v/>
      </c>
      <c r="S1003" s="42">
        <f>+M1003+O1003-Q1003</f>
        <v/>
      </c>
    </row>
    <row r="1004" ht="15" customHeight="1">
      <c r="A1004" s="16" t="n">
        <v>45741</v>
      </c>
      <c r="B1004" s="17" t="inlineStr">
        <is>
          <t>MH2503-57</t>
        </is>
      </c>
      <c r="C1004" s="16" t="n">
        <v>45741</v>
      </c>
      <c r="D1004" s="17" t="inlineStr">
        <is>
          <t>00002795</t>
        </is>
      </c>
      <c r="E1004" s="16" t="n">
        <v>45741</v>
      </c>
      <c r="F1004" s="16" t="inlineStr">
        <is>
          <t>XK2503-77</t>
        </is>
      </c>
      <c r="G1004" s="16" t="n">
        <v>45741</v>
      </c>
      <c r="H1004" s="17" t="inlineStr">
        <is>
          <t>CÔNG TY TNHH SƠN JOTUN VIỆT NAM</t>
        </is>
      </c>
      <c r="I1004" s="17" t="inlineStr">
        <is>
          <t>DUNG MÔI JOTUN THINNER NO. 17 5L</t>
        </is>
      </c>
      <c r="J1004" s="17" t="inlineStr">
        <is>
          <t>Lít</t>
        </is>
      </c>
      <c r="K1004" s="19" t="n">
        <v>60000</v>
      </c>
      <c r="L1004" s="20" t="n"/>
      <c r="M1004" s="20" t="n"/>
      <c r="N1004" s="43" t="n">
        <v>10</v>
      </c>
      <c r="O1004" s="20" t="n">
        <v>600000</v>
      </c>
      <c r="P1004" s="43" t="n">
        <v>10</v>
      </c>
      <c r="Q1004" s="20" t="n">
        <v>600000</v>
      </c>
      <c r="R1004" s="42">
        <f>+L1004+N1004-P1004</f>
        <v/>
      </c>
      <c r="S1004" s="42">
        <f>+M1004+O1004-Q1004</f>
        <v/>
      </c>
    </row>
    <row r="1005" ht="15" customHeight="1">
      <c r="A1005" s="16" t="n">
        <v>45741</v>
      </c>
      <c r="B1005" s="17" t="inlineStr">
        <is>
          <t>MH2503-58</t>
        </is>
      </c>
      <c r="C1005" s="16" t="n">
        <v>45741</v>
      </c>
      <c r="D1005" s="17" t="inlineStr">
        <is>
          <t>329</t>
        </is>
      </c>
      <c r="E1005" s="16" t="n">
        <v>45741</v>
      </c>
      <c r="F1005" s="16" t="inlineStr">
        <is>
          <t>XK2503-78</t>
        </is>
      </c>
      <c r="G1005" s="16" t="n">
        <v>45741</v>
      </c>
      <c r="H1005" s="17" t="inlineStr">
        <is>
          <t>CÔNG TY TNHH THƯƠNG MẠI LAM HỒNG</t>
        </is>
      </c>
      <c r="I1005" s="17" t="inlineStr">
        <is>
          <t>Sơn Carbothane 138 ,Orange 4444</t>
        </is>
      </c>
      <c r="J1005" s="17" t="inlineStr">
        <is>
          <t>Thùng</t>
        </is>
      </c>
      <c r="K1005" s="19" t="n">
        <v>195000</v>
      </c>
      <c r="L1005" s="20" t="n"/>
      <c r="M1005" s="20" t="n"/>
      <c r="N1005" s="43" t="n">
        <v>54</v>
      </c>
      <c r="O1005" s="20" t="n">
        <v>10530000</v>
      </c>
      <c r="P1005" s="43" t="n">
        <v>54</v>
      </c>
      <c r="Q1005" s="20" t="n">
        <v>10530000</v>
      </c>
      <c r="R1005" s="42">
        <f>+L1005+N1005-P1005</f>
        <v/>
      </c>
      <c r="S1005" s="42">
        <f>+M1005+O1005-Q1005</f>
        <v/>
      </c>
    </row>
    <row r="1006" ht="15" customHeight="1">
      <c r="A1006" s="16" t="n">
        <v>45743</v>
      </c>
      <c r="B1006" s="17" t="inlineStr">
        <is>
          <t>MH2503-59</t>
        </is>
      </c>
      <c r="C1006" s="16" t="n">
        <v>45743</v>
      </c>
      <c r="D1006" s="17" t="inlineStr">
        <is>
          <t>742</t>
        </is>
      </c>
      <c r="E1006" s="16" t="n">
        <v>45743</v>
      </c>
      <c r="F1006" s="16" t="inlineStr">
        <is>
          <t>XK2503-79</t>
        </is>
      </c>
      <c r="G1006" s="16" t="n">
        <v>45743</v>
      </c>
      <c r="H1006" s="17" t="inlineStr">
        <is>
          <t>CÔNG TY TNHH THÉP IPC SÀI GÒN</t>
        </is>
      </c>
      <c r="I1006" s="17" t="inlineStr">
        <is>
          <t>Thép tấm 45x2000x12000</t>
        </is>
      </c>
      <c r="J1006" s="17" t="inlineStr">
        <is>
          <t>kg</t>
        </is>
      </c>
      <c r="K1006" s="19" t="n">
        <v>16636.36</v>
      </c>
      <c r="L1006" s="20" t="n"/>
      <c r="M1006" s="20" t="n"/>
      <c r="N1006" s="43" t="n">
        <v>110214</v>
      </c>
      <c r="O1006" s="20" t="n">
        <v>1833559781</v>
      </c>
      <c r="P1006" s="43" t="n">
        <v>110214</v>
      </c>
      <c r="Q1006" s="20" t="n">
        <v>1833559781</v>
      </c>
      <c r="R1006" s="42">
        <f>+L1006+N1006-P1006</f>
        <v/>
      </c>
      <c r="S1006" s="42">
        <f>+M1006+O1006-Q1006</f>
        <v/>
      </c>
    </row>
    <row r="1007" ht="30" customHeight="1">
      <c r="A1007" s="16" t="n">
        <v>45744</v>
      </c>
      <c r="B1007" s="17" t="inlineStr">
        <is>
          <t>MH2503-60</t>
        </is>
      </c>
      <c r="C1007" s="16" t="n">
        <v>45744</v>
      </c>
      <c r="D1007" s="17" t="inlineStr">
        <is>
          <t>00001020</t>
        </is>
      </c>
      <c r="E1007" s="16" t="n">
        <v>45744</v>
      </c>
      <c r="F1007" s="16" t="inlineStr">
        <is>
          <t>XK2503-80</t>
        </is>
      </c>
      <c r="G1007" s="16" t="n">
        <v>45744</v>
      </c>
      <c r="H1007" s="17" t="inlineStr">
        <is>
          <t>CÔNG TY CỔ PHẦN CÔNG NGHIỆP VÀ THƯƠNG MẠI CƯỜNG THỊNH</t>
        </is>
      </c>
      <c r="I1007" s="17" t="inlineStr">
        <is>
          <t>Long đền móng ngựa ZP M20</t>
        </is>
      </c>
      <c r="J1007" s="17" t="inlineStr">
        <is>
          <t>Cái</t>
        </is>
      </c>
      <c r="K1007" s="19" t="n">
        <v>16900</v>
      </c>
      <c r="L1007" s="20" t="n"/>
      <c r="M1007" s="20" t="n"/>
      <c r="N1007" s="43" t="n">
        <v>12</v>
      </c>
      <c r="O1007" s="20" t="n">
        <v>202800</v>
      </c>
      <c r="P1007" s="43" t="n">
        <v>12</v>
      </c>
      <c r="Q1007" s="20" t="n">
        <v>202800</v>
      </c>
      <c r="R1007" s="42">
        <f>+L1007+N1007-P1007</f>
        <v/>
      </c>
      <c r="S1007" s="42">
        <f>+M1007+O1007-Q1007</f>
        <v/>
      </c>
    </row>
    <row r="1008" ht="30" customHeight="1">
      <c r="A1008" s="16" t="n">
        <v>45744</v>
      </c>
      <c r="B1008" s="17" t="inlineStr">
        <is>
          <t>MH2503-60</t>
        </is>
      </c>
      <c r="C1008" s="16" t="n">
        <v>45744</v>
      </c>
      <c r="D1008" s="17" t="inlineStr">
        <is>
          <t>00001021</t>
        </is>
      </c>
      <c r="E1008" s="16" t="n">
        <v>45744</v>
      </c>
      <c r="F1008" s="16" t="inlineStr">
        <is>
          <t>XK2503-80</t>
        </is>
      </c>
      <c r="G1008" s="16" t="n">
        <v>45744</v>
      </c>
      <c r="H1008" s="17" t="inlineStr">
        <is>
          <t>CÔNG TY CỔ PHẦN CÔNG NGHIỆP VÀ THƯƠNG MẠI CƯỜNG THỊNH</t>
        </is>
      </c>
      <c r="I1008" s="17" t="inlineStr">
        <is>
          <t>Anchor Bolt I 5.6 ZP M16x540</t>
        </is>
      </c>
      <c r="J1008" s="17" t="inlineStr">
        <is>
          <t>Cái</t>
        </is>
      </c>
      <c r="K1008" s="19" t="n">
        <v>27400</v>
      </c>
      <c r="L1008" s="20" t="n"/>
      <c r="M1008" s="20" t="n"/>
      <c r="N1008" s="43" t="n">
        <v>96</v>
      </c>
      <c r="O1008" s="20" t="n">
        <v>2630400</v>
      </c>
      <c r="P1008" s="43" t="n">
        <v>96</v>
      </c>
      <c r="Q1008" s="20" t="n">
        <v>2630400</v>
      </c>
      <c r="R1008" s="42">
        <f>+L1008+N1008-P1008</f>
        <v/>
      </c>
      <c r="S1008" s="42">
        <f>+M1008+O1008-Q1008</f>
        <v/>
      </c>
    </row>
    <row r="1009" ht="30" customHeight="1">
      <c r="A1009" s="16" t="n">
        <v>45744</v>
      </c>
      <c r="B1009" s="17" t="inlineStr">
        <is>
          <t>MH2503-60</t>
        </is>
      </c>
      <c r="C1009" s="16" t="n">
        <v>45744</v>
      </c>
      <c r="D1009" s="17" t="inlineStr">
        <is>
          <t>00001021</t>
        </is>
      </c>
      <c r="E1009" s="16" t="n">
        <v>45744</v>
      </c>
      <c r="F1009" s="16" t="inlineStr">
        <is>
          <t>XK2503-80</t>
        </is>
      </c>
      <c r="G1009" s="16" t="n">
        <v>45744</v>
      </c>
      <c r="H1009" s="17" t="inlineStr">
        <is>
          <t>CÔNG TY CỔ PHẦN CÔNG NGHIỆP VÀ THƯƠNG MẠI CƯỜNG THỊNH</t>
        </is>
      </c>
      <c r="I1009" s="17" t="inlineStr">
        <is>
          <t>Đai ốc Din 934 5 ZP M16</t>
        </is>
      </c>
      <c r="J1009" s="17" t="inlineStr">
        <is>
          <t>Cái</t>
        </is>
      </c>
      <c r="K1009" s="19" t="n">
        <v>990</v>
      </c>
      <c r="L1009" s="20" t="n"/>
      <c r="M1009" s="20" t="n"/>
      <c r="N1009" s="43" t="n">
        <v>288</v>
      </c>
      <c r="O1009" s="20" t="n">
        <v>285120</v>
      </c>
      <c r="P1009" s="43" t="n">
        <v>288</v>
      </c>
      <c r="Q1009" s="20" t="n">
        <v>285120</v>
      </c>
      <c r="R1009" s="42">
        <f>+L1009+N1009-P1009</f>
        <v/>
      </c>
      <c r="S1009" s="42">
        <f>+M1009+O1009-Q1009</f>
        <v/>
      </c>
    </row>
    <row r="1010" ht="30" customHeight="1">
      <c r="A1010" s="16" t="n">
        <v>45744</v>
      </c>
      <c r="B1010" s="17" t="inlineStr">
        <is>
          <t>MH2503-60</t>
        </is>
      </c>
      <c r="C1010" s="16" t="n">
        <v>45744</v>
      </c>
      <c r="D1010" s="17" t="inlineStr">
        <is>
          <t>00001021</t>
        </is>
      </c>
      <c r="E1010" s="16" t="n">
        <v>45744</v>
      </c>
      <c r="F1010" s="16" t="inlineStr">
        <is>
          <t>XK2503-80</t>
        </is>
      </c>
      <c r="G1010" s="16" t="n">
        <v>45744</v>
      </c>
      <c r="H1010" s="17" t="inlineStr">
        <is>
          <t>CÔNG TY CỔ PHẦN CÔNG NGHIỆP VÀ THƯƠNG MẠI CƯỜNG THỊNH</t>
        </is>
      </c>
      <c r="I1010" s="17" t="inlineStr">
        <is>
          <t>Long đền vuông ZP M18B64x64D10</t>
        </is>
      </c>
      <c r="J1010" s="17" t="inlineStr">
        <is>
          <t>Cái</t>
        </is>
      </c>
      <c r="K1010" s="19" t="n">
        <v>8840</v>
      </c>
      <c r="L1010" s="20" t="n"/>
      <c r="M1010" s="20" t="n"/>
      <c r="N1010" s="43" t="n">
        <v>96</v>
      </c>
      <c r="O1010" s="20" t="n">
        <v>848640</v>
      </c>
      <c r="P1010" s="43" t="n">
        <v>96</v>
      </c>
      <c r="Q1010" s="20" t="n">
        <v>848640</v>
      </c>
      <c r="R1010" s="42">
        <f>+L1010+N1010-P1010</f>
        <v/>
      </c>
      <c r="S1010" s="42">
        <f>+M1010+O1010-Q1010</f>
        <v/>
      </c>
    </row>
    <row r="1011" ht="30" customHeight="1">
      <c r="A1011" s="16" t="n">
        <v>45744</v>
      </c>
      <c r="B1011" s="17" t="inlineStr">
        <is>
          <t>MH2503-60</t>
        </is>
      </c>
      <c r="C1011" s="16" t="n">
        <v>45744</v>
      </c>
      <c r="D1011" s="17" t="inlineStr">
        <is>
          <t>00001021</t>
        </is>
      </c>
      <c r="E1011" s="16" t="n">
        <v>45744</v>
      </c>
      <c r="F1011" s="16" t="inlineStr">
        <is>
          <t>XK2503-80</t>
        </is>
      </c>
      <c r="G1011" s="16" t="n">
        <v>45744</v>
      </c>
      <c r="H1011" s="17" t="inlineStr">
        <is>
          <t>CÔNG TY CỔ PHẦN CÔNG NGHIỆP VÀ THƯƠNG MẠI CƯỜNG THỊNH</t>
        </is>
      </c>
      <c r="I1011" s="17" t="inlineStr">
        <is>
          <t>Long đền vuông ZP M22B64x64D10</t>
        </is>
      </c>
      <c r="J1011" s="17" t="inlineStr">
        <is>
          <t>Cái</t>
        </is>
      </c>
      <c r="K1011" s="19" t="n">
        <v>8840</v>
      </c>
      <c r="L1011" s="20" t="n"/>
      <c r="M1011" s="20" t="n"/>
      <c r="N1011" s="43" t="n">
        <v>496</v>
      </c>
      <c r="O1011" s="20" t="n">
        <v>4384640</v>
      </c>
      <c r="P1011" s="43" t="n">
        <v>496</v>
      </c>
      <c r="Q1011" s="20" t="n">
        <v>4384640</v>
      </c>
      <c r="R1011" s="42">
        <f>+L1011+N1011-P1011</f>
        <v/>
      </c>
      <c r="S1011" s="42">
        <f>+M1011+O1011-Q1011</f>
        <v/>
      </c>
    </row>
    <row r="1012" ht="30" customHeight="1">
      <c r="A1012" s="16" t="n">
        <v>45744</v>
      </c>
      <c r="B1012" s="17" t="inlineStr">
        <is>
          <t>MH2503-60</t>
        </is>
      </c>
      <c r="C1012" s="16" t="n">
        <v>45744</v>
      </c>
      <c r="D1012" s="17" t="inlineStr">
        <is>
          <t>00001021</t>
        </is>
      </c>
      <c r="E1012" s="16" t="n">
        <v>45744</v>
      </c>
      <c r="F1012" s="16" t="inlineStr">
        <is>
          <t>XK2503-80</t>
        </is>
      </c>
      <c r="G1012" s="16" t="n">
        <v>45744</v>
      </c>
      <c r="H1012" s="17" t="inlineStr">
        <is>
          <t>CÔNG TY CỔ PHẦN CÔNG NGHIỆP VÀ THƯƠNG MẠI CƯỜNG THỊNH</t>
        </is>
      </c>
      <c r="I1012" s="17" t="inlineStr">
        <is>
          <t>Anchor Bolt I 5.6 ZP M20x560</t>
        </is>
      </c>
      <c r="J1012" s="17" t="inlineStr">
        <is>
          <t>Cái</t>
        </is>
      </c>
      <c r="K1012" s="19" t="n">
        <v>40510</v>
      </c>
      <c r="L1012" s="20" t="n"/>
      <c r="M1012" s="20" t="n"/>
      <c r="N1012" s="43" t="n">
        <v>496</v>
      </c>
      <c r="O1012" s="20" t="n">
        <v>20092960</v>
      </c>
      <c r="P1012" s="43" t="n">
        <v>496</v>
      </c>
      <c r="Q1012" s="20" t="n">
        <v>20092960</v>
      </c>
      <c r="R1012" s="42">
        <f>+L1012+N1012-P1012</f>
        <v/>
      </c>
      <c r="S1012" s="42">
        <f>+M1012+O1012-Q1012</f>
        <v/>
      </c>
    </row>
    <row r="1013" ht="30" customHeight="1">
      <c r="A1013" s="16" t="n">
        <v>45744</v>
      </c>
      <c r="B1013" s="17" t="inlineStr">
        <is>
          <t>MH2503-60</t>
        </is>
      </c>
      <c r="C1013" s="16" t="n">
        <v>45744</v>
      </c>
      <c r="D1013" s="17" t="inlineStr">
        <is>
          <t>00001021</t>
        </is>
      </c>
      <c r="E1013" s="16" t="n">
        <v>45744</v>
      </c>
      <c r="F1013" s="16" t="inlineStr">
        <is>
          <t>XK2503-80</t>
        </is>
      </c>
      <c r="G1013" s="16" t="n">
        <v>45744</v>
      </c>
      <c r="H1013" s="17" t="inlineStr">
        <is>
          <t>CÔNG TY CỔ PHẦN CÔNG NGHIỆP VÀ THƯƠNG MẠI CƯỜNG THỊNH</t>
        </is>
      </c>
      <c r="I1013" s="17" t="inlineStr">
        <is>
          <t>Đai ốc Din 934 5 ZP M20</t>
        </is>
      </c>
      <c r="J1013" s="17" t="inlineStr">
        <is>
          <t>Cái</t>
        </is>
      </c>
      <c r="K1013" s="19" t="n">
        <v>1850</v>
      </c>
      <c r="L1013" s="20" t="n"/>
      <c r="M1013" s="20" t="n"/>
      <c r="N1013" s="43" t="n">
        <v>1488</v>
      </c>
      <c r="O1013" s="20" t="n">
        <v>2752800</v>
      </c>
      <c r="P1013" s="43" t="n">
        <v>1488</v>
      </c>
      <c r="Q1013" s="20" t="n">
        <v>2752800</v>
      </c>
      <c r="R1013" s="42">
        <f>+L1013+N1013-P1013</f>
        <v/>
      </c>
      <c r="S1013" s="42">
        <f>+M1013+O1013-Q1013</f>
        <v/>
      </c>
    </row>
    <row r="1014" ht="30" customHeight="1">
      <c r="A1014" s="16" t="n">
        <v>45744</v>
      </c>
      <c r="B1014" s="17" t="inlineStr">
        <is>
          <t>MH2503-60</t>
        </is>
      </c>
      <c r="C1014" s="16" t="n">
        <v>45744</v>
      </c>
      <c r="D1014" s="17" t="inlineStr">
        <is>
          <t>00001021</t>
        </is>
      </c>
      <c r="E1014" s="16" t="n">
        <v>45744</v>
      </c>
      <c r="F1014" s="16" t="inlineStr">
        <is>
          <t>XK2503-80</t>
        </is>
      </c>
      <c r="G1014" s="16" t="n">
        <v>45744</v>
      </c>
      <c r="H1014" s="17" t="inlineStr">
        <is>
          <t>CÔNG TY CỔ PHẦN CÔNG NGHIỆP VÀ THƯƠNG MẠI CƯỜNG THỊNH</t>
        </is>
      </c>
      <c r="I1014" s="17" t="inlineStr">
        <is>
          <t>Anchor Bolt I 5.6 ZP M22x670</t>
        </is>
      </c>
      <c r="J1014" s="17" t="inlineStr">
        <is>
          <t>Cái</t>
        </is>
      </c>
      <c r="K1014" s="19" t="n">
        <v>56150</v>
      </c>
      <c r="L1014" s="20" t="n"/>
      <c r="M1014" s="20" t="n"/>
      <c r="N1014" s="43" t="n">
        <v>256</v>
      </c>
      <c r="O1014" s="20" t="n">
        <v>14374400</v>
      </c>
      <c r="P1014" s="43" t="n">
        <v>256</v>
      </c>
      <c r="Q1014" s="20" t="n">
        <v>14374400</v>
      </c>
      <c r="R1014" s="42">
        <f>+L1014+N1014-P1014</f>
        <v/>
      </c>
      <c r="S1014" s="42">
        <f>+M1014+O1014-Q1014</f>
        <v/>
      </c>
    </row>
    <row r="1015" ht="30" customHeight="1">
      <c r="A1015" s="16" t="n">
        <v>45744</v>
      </c>
      <c r="B1015" s="17" t="inlineStr">
        <is>
          <t>MH2503-60</t>
        </is>
      </c>
      <c r="C1015" s="16" t="n">
        <v>45744</v>
      </c>
      <c r="D1015" s="17" t="inlineStr">
        <is>
          <t>00001021</t>
        </is>
      </c>
      <c r="E1015" s="16" t="n">
        <v>45744</v>
      </c>
      <c r="F1015" s="16" t="inlineStr">
        <is>
          <t>XK2503-80</t>
        </is>
      </c>
      <c r="G1015" s="16" t="n">
        <v>45744</v>
      </c>
      <c r="H1015" s="17" t="inlineStr">
        <is>
          <t>CÔNG TY CỔ PHẦN CÔNG NGHIỆP VÀ THƯƠNG MẠI CƯỜNG THỊNH</t>
        </is>
      </c>
      <c r="I1015" s="17" t="inlineStr">
        <is>
          <t>Đai ốc Din 934 5 ZP M22</t>
        </is>
      </c>
      <c r="J1015" s="17" t="inlineStr">
        <is>
          <t>Cái</t>
        </is>
      </c>
      <c r="K1015" s="19" t="n">
        <v>2320</v>
      </c>
      <c r="L1015" s="20" t="n"/>
      <c r="M1015" s="20" t="n"/>
      <c r="N1015" s="43" t="n">
        <v>768</v>
      </c>
      <c r="O1015" s="20" t="n">
        <v>1781760</v>
      </c>
      <c r="P1015" s="43" t="n">
        <v>768</v>
      </c>
      <c r="Q1015" s="20" t="n">
        <v>1781760</v>
      </c>
      <c r="R1015" s="42">
        <f>+L1015+N1015-P1015</f>
        <v/>
      </c>
      <c r="S1015" s="42">
        <f>+M1015+O1015-Q1015</f>
        <v/>
      </c>
    </row>
    <row r="1016" ht="30" customHeight="1">
      <c r="A1016" s="16" t="n">
        <v>45744</v>
      </c>
      <c r="B1016" s="17" t="inlineStr">
        <is>
          <t>MH2503-60</t>
        </is>
      </c>
      <c r="C1016" s="16" t="n">
        <v>45744</v>
      </c>
      <c r="D1016" s="17" t="inlineStr">
        <is>
          <t>00001021</t>
        </is>
      </c>
      <c r="E1016" s="16" t="n">
        <v>45744</v>
      </c>
      <c r="F1016" s="16" t="inlineStr">
        <is>
          <t>XK2503-80</t>
        </is>
      </c>
      <c r="G1016" s="16" t="n">
        <v>45744</v>
      </c>
      <c r="H1016" s="17" t="inlineStr">
        <is>
          <t>CÔNG TY CỔ PHẦN CÔNG NGHIỆP VÀ THƯƠNG MẠI CƯỜNG THỊNH</t>
        </is>
      </c>
      <c r="I1016" s="17" t="inlineStr">
        <is>
          <t>Long đền vuông ZP M24B64x64D10</t>
        </is>
      </c>
      <c r="J1016" s="17" t="inlineStr">
        <is>
          <t>Cái</t>
        </is>
      </c>
      <c r="K1016" s="19" t="n">
        <v>8840</v>
      </c>
      <c r="L1016" s="20" t="n"/>
      <c r="M1016" s="20" t="n"/>
      <c r="N1016" s="43" t="n">
        <v>256</v>
      </c>
      <c r="O1016" s="20" t="n">
        <v>2263040</v>
      </c>
      <c r="P1016" s="43" t="n">
        <v>256</v>
      </c>
      <c r="Q1016" s="20" t="n">
        <v>2263040</v>
      </c>
      <c r="R1016" s="42">
        <f>+L1016+N1016-P1016</f>
        <v/>
      </c>
      <c r="S1016" s="42">
        <f>+M1016+O1016-Q1016</f>
        <v/>
      </c>
    </row>
    <row r="1017" ht="30" customHeight="1">
      <c r="A1017" s="16" t="n">
        <v>45744</v>
      </c>
      <c r="B1017" s="17" t="inlineStr">
        <is>
          <t>MH2503-60</t>
        </is>
      </c>
      <c r="C1017" s="16" t="n">
        <v>45744</v>
      </c>
      <c r="D1017" s="17" t="inlineStr">
        <is>
          <t>00001021</t>
        </is>
      </c>
      <c r="E1017" s="16" t="n">
        <v>45744</v>
      </c>
      <c r="F1017" s="16" t="inlineStr">
        <is>
          <t>XK2503-80</t>
        </is>
      </c>
      <c r="G1017" s="16" t="n">
        <v>45744</v>
      </c>
      <c r="H1017" s="17" t="inlineStr">
        <is>
          <t>CÔNG TY CỔ PHẦN CÔNG NGHIỆP VÀ THƯƠNG MẠI CƯỜNG THỊNH</t>
        </is>
      </c>
      <c r="I1017" s="17" t="inlineStr">
        <is>
          <t>Anchor Bolt I 5.6 ZP M25x740</t>
        </is>
      </c>
      <c r="J1017" s="17" t="inlineStr">
        <is>
          <t>Cái</t>
        </is>
      </c>
      <c r="K1017" s="19" t="n">
        <v>79920</v>
      </c>
      <c r="L1017" s="20" t="n"/>
      <c r="M1017" s="20" t="n"/>
      <c r="N1017" s="43" t="n">
        <v>168</v>
      </c>
      <c r="O1017" s="20" t="n">
        <v>13426560</v>
      </c>
      <c r="P1017" s="43" t="n">
        <v>168</v>
      </c>
      <c r="Q1017" s="20" t="n">
        <v>13426560</v>
      </c>
      <c r="R1017" s="42">
        <f>+L1017+N1017-P1017</f>
        <v/>
      </c>
      <c r="S1017" s="42">
        <f>+M1017+O1017-Q1017</f>
        <v/>
      </c>
    </row>
    <row r="1018" ht="30" customHeight="1">
      <c r="A1018" s="16" t="n">
        <v>45744</v>
      </c>
      <c r="B1018" s="17" t="inlineStr">
        <is>
          <t>MH2503-60</t>
        </is>
      </c>
      <c r="C1018" s="16" t="n">
        <v>45744</v>
      </c>
      <c r="D1018" s="17" t="inlineStr">
        <is>
          <t>00001021</t>
        </is>
      </c>
      <c r="E1018" s="16" t="n">
        <v>45744</v>
      </c>
      <c r="F1018" s="16" t="inlineStr">
        <is>
          <t>XK2503-80</t>
        </is>
      </c>
      <c r="G1018" s="16" t="n">
        <v>45744</v>
      </c>
      <c r="H1018" s="17" t="inlineStr">
        <is>
          <t>CÔNG TY CỔ PHẦN CÔNG NGHIỆP VÀ THƯƠNG MẠI CƯỜNG THỊNH</t>
        </is>
      </c>
      <c r="I1018" s="17" t="inlineStr">
        <is>
          <t>Đai ốc Din 934 5 ZP M24</t>
        </is>
      </c>
      <c r="J1018" s="17" t="inlineStr">
        <is>
          <t>Cái</t>
        </is>
      </c>
      <c r="K1018" s="19" t="n">
        <v>2980</v>
      </c>
      <c r="L1018" s="20" t="n"/>
      <c r="M1018" s="20" t="n"/>
      <c r="N1018" s="43" t="n">
        <v>504</v>
      </c>
      <c r="O1018" s="20" t="n">
        <v>1501920</v>
      </c>
      <c r="P1018" s="43" t="n">
        <v>504</v>
      </c>
      <c r="Q1018" s="20" t="n">
        <v>1501920</v>
      </c>
      <c r="R1018" s="42">
        <f>+L1018+N1018-P1018</f>
        <v/>
      </c>
      <c r="S1018" s="42">
        <f>+M1018+O1018-Q1018</f>
        <v/>
      </c>
    </row>
    <row r="1019" ht="30" customHeight="1">
      <c r="A1019" s="16" t="n">
        <v>45744</v>
      </c>
      <c r="B1019" s="17" t="inlineStr">
        <is>
          <t>MH2503-60</t>
        </is>
      </c>
      <c r="C1019" s="16" t="n">
        <v>45744</v>
      </c>
      <c r="D1019" s="17" t="inlineStr">
        <is>
          <t>00001021</t>
        </is>
      </c>
      <c r="E1019" s="16" t="n">
        <v>45744</v>
      </c>
      <c r="F1019" s="16" t="inlineStr">
        <is>
          <t>XK2503-80</t>
        </is>
      </c>
      <c r="G1019" s="16" t="n">
        <v>45744</v>
      </c>
      <c r="H1019" s="17" t="inlineStr">
        <is>
          <t>CÔNG TY CỔ PHẦN CÔNG NGHIỆP VÀ THƯƠNG MẠI CƯỜNG THỊNH</t>
        </is>
      </c>
      <c r="I1019" s="17" t="inlineStr">
        <is>
          <t>Long đền vuông ZP M27B64x64x10</t>
        </is>
      </c>
      <c r="J1019" s="17" t="inlineStr">
        <is>
          <t>Cái</t>
        </is>
      </c>
      <c r="K1019" s="19" t="n">
        <v>8840</v>
      </c>
      <c r="L1019" s="20" t="n"/>
      <c r="M1019" s="20" t="n"/>
      <c r="N1019" s="43" t="n">
        <v>168</v>
      </c>
      <c r="O1019" s="20" t="n">
        <v>1485120</v>
      </c>
      <c r="P1019" s="43" t="n">
        <v>168</v>
      </c>
      <c r="Q1019" s="20" t="n">
        <v>1485120</v>
      </c>
      <c r="R1019" s="42">
        <f>+L1019+N1019-P1019</f>
        <v/>
      </c>
      <c r="S1019" s="42">
        <f>+M1019+O1019-Q1019</f>
        <v/>
      </c>
    </row>
    <row r="1020" ht="30" customHeight="1">
      <c r="A1020" s="16" t="n">
        <v>45744</v>
      </c>
      <c r="B1020" s="17" t="inlineStr">
        <is>
          <t>MH2503-60</t>
        </is>
      </c>
      <c r="C1020" s="16" t="n">
        <v>45744</v>
      </c>
      <c r="D1020" s="17" t="inlineStr">
        <is>
          <t>00001021</t>
        </is>
      </c>
      <c r="E1020" s="16" t="n">
        <v>45744</v>
      </c>
      <c r="F1020" s="16" t="inlineStr">
        <is>
          <t>XK2503-80</t>
        </is>
      </c>
      <c r="G1020" s="16" t="n">
        <v>45744</v>
      </c>
      <c r="H1020" s="17" t="inlineStr">
        <is>
          <t>CÔNG TY CỔ PHẦN CÔNG NGHIỆP VÀ THƯƠNG MẠI CƯỜNG THỊNH</t>
        </is>
      </c>
      <c r="I1020" s="17" t="inlineStr">
        <is>
          <t>Anchor Bolt I 5.6 ZP M25x840</t>
        </is>
      </c>
      <c r="J1020" s="17" t="inlineStr">
        <is>
          <t>Cái</t>
        </is>
      </c>
      <c r="K1020" s="19" t="n">
        <v>89450</v>
      </c>
      <c r="L1020" s="20" t="n"/>
      <c r="M1020" s="20" t="n"/>
      <c r="N1020" s="43" t="n">
        <v>300</v>
      </c>
      <c r="O1020" s="20" t="n">
        <v>26835000</v>
      </c>
      <c r="P1020" s="43" t="n">
        <v>300</v>
      </c>
      <c r="Q1020" s="20" t="n">
        <v>26835000</v>
      </c>
      <c r="R1020" s="42">
        <f>+L1020+N1020-P1020</f>
        <v/>
      </c>
      <c r="S1020" s="42">
        <f>+M1020+O1020-Q1020</f>
        <v/>
      </c>
    </row>
    <row r="1021" ht="30" customHeight="1">
      <c r="A1021" s="16" t="n">
        <v>45744</v>
      </c>
      <c r="B1021" s="17" t="inlineStr">
        <is>
          <t>MH2503-60</t>
        </is>
      </c>
      <c r="C1021" s="16" t="n">
        <v>45744</v>
      </c>
      <c r="D1021" s="17" t="inlineStr">
        <is>
          <t>00001021</t>
        </is>
      </c>
      <c r="E1021" s="16" t="n">
        <v>45744</v>
      </c>
      <c r="F1021" s="16" t="inlineStr">
        <is>
          <t>XK2503-80</t>
        </is>
      </c>
      <c r="G1021" s="16" t="n">
        <v>45744</v>
      </c>
      <c r="H1021" s="17" t="inlineStr">
        <is>
          <t>CÔNG TY CỔ PHẦN CÔNG NGHIỆP VÀ THƯƠNG MẠI CƯỜNG THỊNH</t>
        </is>
      </c>
      <c r="I1021" s="17" t="inlineStr">
        <is>
          <t>Đai ốc Din 934 5 ZP M24</t>
        </is>
      </c>
      <c r="J1021" s="17" t="inlineStr">
        <is>
          <t>Cái</t>
        </is>
      </c>
      <c r="K1021" s="19" t="n">
        <v>2980</v>
      </c>
      <c r="L1021" s="20" t="n"/>
      <c r="M1021" s="20" t="n"/>
      <c r="N1021" s="43" t="n">
        <v>900</v>
      </c>
      <c r="O1021" s="20" t="n">
        <v>2682000</v>
      </c>
      <c r="P1021" s="43" t="n">
        <v>900</v>
      </c>
      <c r="Q1021" s="20" t="n">
        <v>2682000</v>
      </c>
      <c r="R1021" s="42">
        <f>+L1021+N1021-P1021</f>
        <v/>
      </c>
      <c r="S1021" s="42">
        <f>+M1021+O1021-Q1021</f>
        <v/>
      </c>
    </row>
    <row r="1022" ht="30" customHeight="1">
      <c r="A1022" s="16" t="n">
        <v>45744</v>
      </c>
      <c r="B1022" s="17" t="inlineStr">
        <is>
          <t>MH2503-60</t>
        </is>
      </c>
      <c r="C1022" s="16" t="n">
        <v>45744</v>
      </c>
      <c r="D1022" s="17" t="inlineStr">
        <is>
          <t>00001021</t>
        </is>
      </c>
      <c r="E1022" s="16" t="n">
        <v>45744</v>
      </c>
      <c r="F1022" s="16" t="inlineStr">
        <is>
          <t>XK2503-80</t>
        </is>
      </c>
      <c r="G1022" s="16" t="n">
        <v>45744</v>
      </c>
      <c r="H1022" s="17" t="inlineStr">
        <is>
          <t>CÔNG TY CỔ PHẦN CÔNG NGHIỆP VÀ THƯƠNG MẠI CƯỜNG THỊNH</t>
        </is>
      </c>
      <c r="I1022" s="17" t="inlineStr">
        <is>
          <t>Long đền vuông ZP M27B64x64x10</t>
        </is>
      </c>
      <c r="J1022" s="17" t="inlineStr">
        <is>
          <t>Cái</t>
        </is>
      </c>
      <c r="K1022" s="19" t="n">
        <v>8840</v>
      </c>
      <c r="L1022" s="20" t="n"/>
      <c r="M1022" s="20" t="n"/>
      <c r="N1022" s="43" t="n">
        <v>300</v>
      </c>
      <c r="O1022" s="20" t="n">
        <v>2652000</v>
      </c>
      <c r="P1022" s="43" t="n">
        <v>300</v>
      </c>
      <c r="Q1022" s="20" t="n">
        <v>2652000</v>
      </c>
      <c r="R1022" s="42">
        <f>+L1022+N1022-P1022</f>
        <v/>
      </c>
      <c r="S1022" s="42">
        <f>+M1022+O1022-Q1022</f>
        <v/>
      </c>
    </row>
    <row r="1023" ht="30" customHeight="1">
      <c r="A1023" s="16" t="n">
        <v>45744</v>
      </c>
      <c r="B1023" s="17" t="inlineStr">
        <is>
          <t>MH2503-60</t>
        </is>
      </c>
      <c r="C1023" s="16" t="n">
        <v>45744</v>
      </c>
      <c r="D1023" s="17" t="inlineStr">
        <is>
          <t>00001021</t>
        </is>
      </c>
      <c r="E1023" s="16" t="n">
        <v>45744</v>
      </c>
      <c r="F1023" s="16" t="inlineStr">
        <is>
          <t>XK2503-80</t>
        </is>
      </c>
      <c r="G1023" s="16" t="n">
        <v>45744</v>
      </c>
      <c r="H1023" s="17" t="inlineStr">
        <is>
          <t>CÔNG TY CỔ PHẦN CÔNG NGHIỆP VÀ THƯƠNG MẠI CƯỜNG THỊNH</t>
        </is>
      </c>
      <c r="I1023" s="17" t="inlineStr">
        <is>
          <t>Anchor Bolt I 5.6 ZP M38x820</t>
        </is>
      </c>
      <c r="J1023" s="17" t="inlineStr">
        <is>
          <t>Cái</t>
        </is>
      </c>
      <c r="K1023" s="19" t="n">
        <v>236660</v>
      </c>
      <c r="L1023" s="20" t="n"/>
      <c r="M1023" s="20" t="n"/>
      <c r="N1023" s="43" t="n">
        <v>96</v>
      </c>
      <c r="O1023" s="20" t="n">
        <v>22719360</v>
      </c>
      <c r="P1023" s="43" t="n">
        <v>96</v>
      </c>
      <c r="Q1023" s="20" t="n">
        <v>22719360</v>
      </c>
      <c r="R1023" s="42">
        <f>+L1023+N1023-P1023</f>
        <v/>
      </c>
      <c r="S1023" s="42">
        <f>+M1023+O1023-Q1023</f>
        <v/>
      </c>
    </row>
    <row r="1024" ht="30" customHeight="1">
      <c r="A1024" s="16" t="n">
        <v>45744</v>
      </c>
      <c r="B1024" s="17" t="inlineStr">
        <is>
          <t>MH2503-60</t>
        </is>
      </c>
      <c r="C1024" s="16" t="n">
        <v>45744</v>
      </c>
      <c r="D1024" s="17" t="inlineStr">
        <is>
          <t>00001021</t>
        </is>
      </c>
      <c r="E1024" s="16" t="n">
        <v>45744</v>
      </c>
      <c r="F1024" s="16" t="inlineStr">
        <is>
          <t>XK2503-80</t>
        </is>
      </c>
      <c r="G1024" s="16" t="n">
        <v>45744</v>
      </c>
      <c r="H1024" s="17" t="inlineStr">
        <is>
          <t>CÔNG TY CỔ PHẦN CÔNG NGHIỆP VÀ THƯƠNG MẠI CƯỜNG THỊNH</t>
        </is>
      </c>
      <c r="I1024" s="17" t="inlineStr">
        <is>
          <t>Đai ốc Din 934 5 ZP M39</t>
        </is>
      </c>
      <c r="J1024" s="17" t="inlineStr">
        <is>
          <t>Cái</t>
        </is>
      </c>
      <c r="K1024" s="19" t="n">
        <v>29370</v>
      </c>
      <c r="L1024" s="20" t="n"/>
      <c r="M1024" s="20" t="n"/>
      <c r="N1024" s="43" t="n">
        <v>288</v>
      </c>
      <c r="O1024" s="20" t="n">
        <v>8458560</v>
      </c>
      <c r="P1024" s="43" t="n">
        <v>288</v>
      </c>
      <c r="Q1024" s="20" t="n">
        <v>8458560</v>
      </c>
      <c r="R1024" s="42">
        <f>+L1024+N1024-P1024</f>
        <v/>
      </c>
      <c r="S1024" s="42">
        <f>+M1024+O1024-Q1024</f>
        <v/>
      </c>
    </row>
    <row r="1025" ht="30" customHeight="1">
      <c r="A1025" s="16" t="n">
        <v>45744</v>
      </c>
      <c r="B1025" s="17" t="inlineStr">
        <is>
          <t>MH2503-60</t>
        </is>
      </c>
      <c r="C1025" s="16" t="n">
        <v>45744</v>
      </c>
      <c r="D1025" s="17" t="inlineStr">
        <is>
          <t>00001021</t>
        </is>
      </c>
      <c r="E1025" s="16" t="n">
        <v>45744</v>
      </c>
      <c r="F1025" s="16" t="inlineStr">
        <is>
          <t>XK2503-80</t>
        </is>
      </c>
      <c r="G1025" s="16" t="n">
        <v>45744</v>
      </c>
      <c r="H1025" s="17" t="inlineStr">
        <is>
          <t>CÔNG TY CỔ PHẦN CÔNG NGHIỆP VÀ THƯƠNG MẠI CƯỜNG THỊNH</t>
        </is>
      </c>
      <c r="I1025" s="17" t="inlineStr">
        <is>
          <t>Long đền vuông ZP M41B64x64x10</t>
        </is>
      </c>
      <c r="J1025" s="17" t="inlineStr">
        <is>
          <t>Cái</t>
        </is>
      </c>
      <c r="K1025" s="19" t="n">
        <v>8840</v>
      </c>
      <c r="L1025" s="20" t="n"/>
      <c r="M1025" s="20" t="n"/>
      <c r="N1025" s="43" t="n">
        <v>96</v>
      </c>
      <c r="O1025" s="20" t="n">
        <v>848640</v>
      </c>
      <c r="P1025" s="43" t="n">
        <v>96</v>
      </c>
      <c r="Q1025" s="20" t="n">
        <v>848640</v>
      </c>
      <c r="R1025" s="42">
        <f>+L1025+N1025-P1025</f>
        <v/>
      </c>
      <c r="S1025" s="42">
        <f>+M1025+O1025-Q1025</f>
        <v/>
      </c>
    </row>
    <row r="1026" ht="15" customHeight="1">
      <c r="A1026" s="16" t="n">
        <v>45747</v>
      </c>
      <c r="B1026" s="17" t="inlineStr">
        <is>
          <t>MH2503-61</t>
        </is>
      </c>
      <c r="C1026" s="16" t="n">
        <v>45747</v>
      </c>
      <c r="D1026" s="17" t="inlineStr">
        <is>
          <t>00000071</t>
        </is>
      </c>
      <c r="E1026" s="16" t="n">
        <v>45747</v>
      </c>
      <c r="F1026" s="16" t="inlineStr">
        <is>
          <t>XK2503-81</t>
        </is>
      </c>
      <c r="G1026" s="16" t="n">
        <v>45747</v>
      </c>
      <c r="H1026" s="17" t="inlineStr">
        <is>
          <t>CÔNG TY TNHH XNK THÉP KIM NAM</t>
        </is>
      </c>
      <c r="I1026" s="17" t="inlineStr">
        <is>
          <t>Thép tấm Q355/A572 80lyx500x500</t>
        </is>
      </c>
      <c r="J1026" s="17" t="inlineStr">
        <is>
          <t>kg</t>
        </is>
      </c>
      <c r="K1026" s="19" t="n">
        <v>23829</v>
      </c>
      <c r="L1026" s="20" t="n"/>
      <c r="M1026" s="20" t="n"/>
      <c r="N1026" s="43" t="n">
        <v>157</v>
      </c>
      <c r="O1026" s="20" t="n">
        <v>2723236</v>
      </c>
      <c r="P1026" s="43" t="n">
        <v>157</v>
      </c>
      <c r="Q1026" s="20" t="n">
        <v>2723236</v>
      </c>
      <c r="R1026" s="42">
        <f>+L1026+N1026-P1026</f>
        <v/>
      </c>
      <c r="S1026" s="42">
        <f>+M1026+O1026-Q1026</f>
        <v/>
      </c>
    </row>
    <row r="1027" ht="15" customHeight="1">
      <c r="A1027" s="16" t="n">
        <v>45747</v>
      </c>
      <c r="B1027" s="17" t="inlineStr">
        <is>
          <t>MH2503-61</t>
        </is>
      </c>
      <c r="C1027" s="16" t="n">
        <v>45747</v>
      </c>
      <c r="D1027" s="17" t="inlineStr">
        <is>
          <t>00000072</t>
        </is>
      </c>
      <c r="E1027" s="16" t="n">
        <v>45747</v>
      </c>
      <c r="F1027" s="16" t="inlineStr">
        <is>
          <t>XK2503-81</t>
        </is>
      </c>
      <c r="G1027" s="16" t="n">
        <v>45747</v>
      </c>
      <c r="H1027" s="17" t="inlineStr">
        <is>
          <t>CÔNG TY TNHH XNK THÉP KIM NAM</t>
        </is>
      </c>
      <c r="I1027" s="17" t="inlineStr">
        <is>
          <t>Thép tấm Q355/A572 70lyx530x515</t>
        </is>
      </c>
      <c r="J1027" s="17" t="inlineStr">
        <is>
          <t>kg</t>
        </is>
      </c>
      <c r="K1027" s="19" t="n">
        <v>23829</v>
      </c>
      <c r="L1027" s="20" t="n"/>
      <c r="M1027" s="20" t="n"/>
      <c r="N1027" s="43" t="n">
        <v>3899.64</v>
      </c>
      <c r="O1027" s="20" t="n">
        <v>67641028</v>
      </c>
      <c r="P1027" s="43" t="n">
        <v>3899.64</v>
      </c>
      <c r="Q1027" s="20" t="n">
        <v>67641028</v>
      </c>
      <c r="R1027" s="42">
        <f>+L1027+N1027-P1027</f>
        <v/>
      </c>
      <c r="S1027" s="42">
        <f>+M1027+O1027-Q1027</f>
        <v/>
      </c>
    </row>
    <row r="1028" ht="15" customHeight="1">
      <c r="A1028" s="16" t="n">
        <v>45747</v>
      </c>
      <c r="B1028" s="17" t="inlineStr">
        <is>
          <t>MH2503-61</t>
        </is>
      </c>
      <c r="C1028" s="16" t="n">
        <v>45747</v>
      </c>
      <c r="D1028" s="17" t="inlineStr">
        <is>
          <t>00000072</t>
        </is>
      </c>
      <c r="E1028" s="16" t="n">
        <v>45747</v>
      </c>
      <c r="F1028" s="16" t="inlineStr">
        <is>
          <t>XK2503-81</t>
        </is>
      </c>
      <c r="G1028" s="16" t="n">
        <v>45747</v>
      </c>
      <c r="H1028" s="17" t="inlineStr">
        <is>
          <t>CÔNG TY TNHH XNK THÉP KIM NAM</t>
        </is>
      </c>
      <c r="I1028" s="17" t="inlineStr">
        <is>
          <t>Thép tấm Q355/A572 70lyx530x570</t>
        </is>
      </c>
      <c r="J1028" s="17" t="inlineStr">
        <is>
          <t>kg</t>
        </is>
      </c>
      <c r="K1028" s="19" t="n">
        <v>23829</v>
      </c>
      <c r="L1028" s="20" t="n"/>
      <c r="M1028" s="20" t="n"/>
      <c r="N1028" s="43" t="n">
        <v>332.01</v>
      </c>
      <c r="O1028" s="20" t="n">
        <v>5758864</v>
      </c>
      <c r="P1028" s="43" t="n">
        <v>332.01</v>
      </c>
      <c r="Q1028" s="20" t="n">
        <v>5758864</v>
      </c>
      <c r="R1028" s="42">
        <f>+L1028+N1028-P1028</f>
        <v/>
      </c>
      <c r="S1028" s="42">
        <f>+M1028+O1028-Q1028</f>
        <v/>
      </c>
    </row>
    <row r="1029" ht="15" customHeight="1">
      <c r="A1029" s="16" t="n">
        <v>45747</v>
      </c>
      <c r="B1029" s="17" t="inlineStr">
        <is>
          <t>MH2503-61</t>
        </is>
      </c>
      <c r="C1029" s="16" t="n">
        <v>45747</v>
      </c>
      <c r="D1029" s="17" t="inlineStr">
        <is>
          <t>00000072</t>
        </is>
      </c>
      <c r="E1029" s="16" t="n">
        <v>45747</v>
      </c>
      <c r="F1029" s="16" t="inlineStr">
        <is>
          <t>XK2503-81</t>
        </is>
      </c>
      <c r="G1029" s="16" t="n">
        <v>45747</v>
      </c>
      <c r="H1029" s="17" t="inlineStr">
        <is>
          <t>CÔNG TY TNHH XNK THÉP KIM NAM</t>
        </is>
      </c>
      <c r="I1029" s="17" t="inlineStr">
        <is>
          <t>Thép tấm Q355/A572 70lyx180x335</t>
        </is>
      </c>
      <c r="J1029" s="17" t="inlineStr">
        <is>
          <t>kg</t>
        </is>
      </c>
      <c r="K1029" s="19" t="n">
        <v>17345.46</v>
      </c>
      <c r="L1029" s="20" t="n"/>
      <c r="M1029" s="20" t="n"/>
      <c r="N1029" s="43" t="n">
        <v>265.08</v>
      </c>
      <c r="O1029" s="20" t="n">
        <v>4597933</v>
      </c>
      <c r="P1029" s="43" t="n">
        <v>265.08</v>
      </c>
      <c r="Q1029" s="20" t="n">
        <v>4597933</v>
      </c>
      <c r="R1029" s="42">
        <f>+L1029+N1029-P1029</f>
        <v/>
      </c>
      <c r="S1029" s="42">
        <f>+M1029+O1029-Q1029</f>
        <v/>
      </c>
    </row>
    <row r="1030" ht="15" customHeight="1">
      <c r="A1030" s="16" t="n">
        <v>45747</v>
      </c>
      <c r="B1030" s="17" t="inlineStr">
        <is>
          <t>MH2503-61</t>
        </is>
      </c>
      <c r="C1030" s="16" t="n">
        <v>45747</v>
      </c>
      <c r="D1030" s="17" t="inlineStr">
        <is>
          <t>00000072</t>
        </is>
      </c>
      <c r="E1030" s="16" t="n">
        <v>45747</v>
      </c>
      <c r="F1030" s="16" t="inlineStr">
        <is>
          <t>XK2503-81</t>
        </is>
      </c>
      <c r="G1030" s="16" t="n">
        <v>45747</v>
      </c>
      <c r="H1030" s="17" t="inlineStr">
        <is>
          <t>CÔNG TY TNHH XNK THÉP KIM NAM</t>
        </is>
      </c>
      <c r="I1030" s="17" t="inlineStr">
        <is>
          <t>Thép tấm Q355/A572 70lyx332x914</t>
        </is>
      </c>
      <c r="J1030" s="17" t="inlineStr">
        <is>
          <t>kg</t>
        </is>
      </c>
      <c r="K1030" s="19" t="n">
        <v>23829</v>
      </c>
      <c r="L1030" s="20" t="n"/>
      <c r="M1030" s="20" t="n"/>
      <c r="N1030" s="43" t="n">
        <v>1333.96</v>
      </c>
      <c r="O1030" s="20" t="n">
        <v>23138143</v>
      </c>
      <c r="P1030" s="43" t="n">
        <v>1333.96</v>
      </c>
      <c r="Q1030" s="20" t="n">
        <v>23138143</v>
      </c>
      <c r="R1030" s="42">
        <f>+L1030+N1030-P1030</f>
        <v/>
      </c>
      <c r="S1030" s="42">
        <f>+M1030+O1030-Q1030</f>
        <v/>
      </c>
    </row>
    <row r="1031" ht="15" customHeight="1">
      <c r="A1031" s="16" t="n">
        <v>45747</v>
      </c>
      <c r="B1031" s="17" t="inlineStr">
        <is>
          <t>MH2503-61</t>
        </is>
      </c>
      <c r="C1031" s="16" t="n">
        <v>45747</v>
      </c>
      <c r="D1031" s="17" t="inlineStr">
        <is>
          <t>00000072</t>
        </is>
      </c>
      <c r="E1031" s="16" t="n">
        <v>45747</v>
      </c>
      <c r="F1031" s="16" t="inlineStr">
        <is>
          <t>XK2503-81</t>
        </is>
      </c>
      <c r="G1031" s="16" t="n">
        <v>45747</v>
      </c>
      <c r="H1031" s="17" t="inlineStr">
        <is>
          <t>CÔNG TY TNHH XNK THÉP KIM NAM</t>
        </is>
      </c>
      <c r="I1031" s="17" t="inlineStr">
        <is>
          <t>Thép tấm Q355/A572 70lyx337x907</t>
        </is>
      </c>
      <c r="J1031" s="17" t="inlineStr">
        <is>
          <t>kg</t>
        </is>
      </c>
      <c r="K1031" s="19" t="n">
        <v>23829</v>
      </c>
      <c r="L1031" s="20" t="n"/>
      <c r="M1031" s="20" t="n"/>
      <c r="N1031" s="43" t="n">
        <v>335.92</v>
      </c>
      <c r="O1031" s="20" t="n">
        <v>5826685</v>
      </c>
      <c r="P1031" s="43" t="n">
        <v>335.92</v>
      </c>
      <c r="Q1031" s="20" t="n">
        <v>5826685</v>
      </c>
      <c r="R1031" s="42">
        <f>+L1031+N1031-P1031</f>
        <v/>
      </c>
      <c r="S1031" s="42">
        <f>+M1031+O1031-Q1031</f>
        <v/>
      </c>
    </row>
    <row r="1032" ht="15" customHeight="1">
      <c r="A1032" s="16" t="n">
        <v>45747</v>
      </c>
      <c r="B1032" s="17" t="inlineStr">
        <is>
          <t>MH2503-61</t>
        </is>
      </c>
      <c r="C1032" s="16" t="n">
        <v>45747</v>
      </c>
      <c r="D1032" s="17" t="inlineStr">
        <is>
          <t>00000072</t>
        </is>
      </c>
      <c r="E1032" s="16" t="n">
        <v>45747</v>
      </c>
      <c r="F1032" s="16" t="inlineStr">
        <is>
          <t>XK2503-81</t>
        </is>
      </c>
      <c r="G1032" s="16" t="n">
        <v>45747</v>
      </c>
      <c r="H1032" s="17" t="inlineStr">
        <is>
          <t>CÔNG TY TNHH XNK THÉP KIM NAM</t>
        </is>
      </c>
      <c r="I1032" s="17" t="inlineStr">
        <is>
          <t>Thép tấm Q355/A572 70lyx337x911</t>
        </is>
      </c>
      <c r="J1032" s="17" t="inlineStr">
        <is>
          <t>kg</t>
        </is>
      </c>
      <c r="K1032" s="19" t="n">
        <v>23829</v>
      </c>
      <c r="L1032" s="20" t="n"/>
      <c r="M1032" s="20" t="n"/>
      <c r="N1032" s="43" t="n">
        <v>4386.21</v>
      </c>
      <c r="O1032" s="20" t="n">
        <v>76080806</v>
      </c>
      <c r="P1032" s="43" t="n">
        <v>4386.21</v>
      </c>
      <c r="Q1032" s="20" t="n">
        <v>76080806</v>
      </c>
      <c r="R1032" s="42">
        <f>+L1032+N1032-P1032</f>
        <v/>
      </c>
      <c r="S1032" s="42">
        <f>+M1032+O1032-Q1032</f>
        <v/>
      </c>
    </row>
    <row r="1033" ht="15" customHeight="1">
      <c r="A1033" s="16" t="n">
        <v>45747</v>
      </c>
      <c r="B1033" s="17" t="inlineStr">
        <is>
          <t>MH2503-61</t>
        </is>
      </c>
      <c r="C1033" s="16" t="n">
        <v>45747</v>
      </c>
      <c r="D1033" s="17" t="inlineStr">
        <is>
          <t>00000072</t>
        </is>
      </c>
      <c r="E1033" s="16" t="n">
        <v>45747</v>
      </c>
      <c r="F1033" s="16" t="inlineStr">
        <is>
          <t>XK2503-81</t>
        </is>
      </c>
      <c r="G1033" s="16" t="n">
        <v>45747</v>
      </c>
      <c r="H1033" s="17" t="inlineStr">
        <is>
          <t>CÔNG TY TNHH XNK THÉP KIM NAM</t>
        </is>
      </c>
      <c r="I1033" s="17" t="inlineStr">
        <is>
          <t>Thép tấm Q355/A572 70lyx337x916</t>
        </is>
      </c>
      <c r="J1033" s="17" t="inlineStr">
        <is>
          <t>kg</t>
        </is>
      </c>
      <c r="K1033" s="19" t="n">
        <v>23829</v>
      </c>
      <c r="L1033" s="20" t="n"/>
      <c r="M1033" s="20" t="n"/>
      <c r="N1033" s="43" t="n">
        <v>678.51</v>
      </c>
      <c r="O1033" s="20" t="n">
        <v>11769064</v>
      </c>
      <c r="P1033" s="43" t="n">
        <v>678.51</v>
      </c>
      <c r="Q1033" s="20" t="n">
        <v>11769064</v>
      </c>
      <c r="R1033" s="42">
        <f>+L1033+N1033-P1033</f>
        <v/>
      </c>
      <c r="S1033" s="42">
        <f>+M1033+O1033-Q1033</f>
        <v/>
      </c>
    </row>
    <row r="1034" ht="15" customHeight="1">
      <c r="A1034" s="16" t="n">
        <v>45747</v>
      </c>
      <c r="B1034" s="17" t="inlineStr">
        <is>
          <t>MH2503-61</t>
        </is>
      </c>
      <c r="C1034" s="16" t="n">
        <v>45747</v>
      </c>
      <c r="D1034" s="17" t="inlineStr">
        <is>
          <t>00000072</t>
        </is>
      </c>
      <c r="E1034" s="16" t="n">
        <v>45747</v>
      </c>
      <c r="F1034" s="16" t="inlineStr">
        <is>
          <t>XK2503-81</t>
        </is>
      </c>
      <c r="G1034" s="16" t="n">
        <v>45747</v>
      </c>
      <c r="H1034" s="17" t="inlineStr">
        <is>
          <t>CÔNG TY TNHH XNK THÉP KIM NAM</t>
        </is>
      </c>
      <c r="I1034" s="17" t="inlineStr">
        <is>
          <t>Thép tấm Q355/A572 70lyx335x2742</t>
        </is>
      </c>
      <c r="J1034" s="17" t="inlineStr">
        <is>
          <t>kg</t>
        </is>
      </c>
      <c r="K1034" s="19" t="n">
        <v>23829</v>
      </c>
      <c r="L1034" s="20" t="n"/>
      <c r="M1034" s="20" t="n"/>
      <c r="N1034" s="43" t="n">
        <v>2523.77</v>
      </c>
      <c r="O1034" s="20" t="n">
        <v>43775938</v>
      </c>
      <c r="P1034" s="43" t="n">
        <v>2523.77</v>
      </c>
      <c r="Q1034" s="20" t="n">
        <v>43775938</v>
      </c>
      <c r="R1034" s="42">
        <f>+L1034+N1034-P1034</f>
        <v/>
      </c>
      <c r="S1034" s="42">
        <f>+M1034+O1034-Q1034</f>
        <v/>
      </c>
    </row>
    <row r="1035" ht="15" customHeight="1">
      <c r="A1035" s="16" t="n">
        <v>45747</v>
      </c>
      <c r="B1035" s="17" t="inlineStr">
        <is>
          <t>MH2503-61</t>
        </is>
      </c>
      <c r="C1035" s="16" t="n">
        <v>45747</v>
      </c>
      <c r="D1035" s="17" t="inlineStr">
        <is>
          <t>00000072</t>
        </is>
      </c>
      <c r="E1035" s="16" t="n">
        <v>45747</v>
      </c>
      <c r="F1035" s="16" t="inlineStr">
        <is>
          <t>XK2503-81</t>
        </is>
      </c>
      <c r="G1035" s="16" t="n">
        <v>45747</v>
      </c>
      <c r="H1035" s="17" t="inlineStr">
        <is>
          <t>CÔNG TY TNHH XNK THÉP KIM NAM</t>
        </is>
      </c>
      <c r="I1035" s="17" t="inlineStr">
        <is>
          <t>Thép tấm Q355/A572 70lyx335x2492</t>
        </is>
      </c>
      <c r="J1035" s="17" t="inlineStr">
        <is>
          <t>kg</t>
        </is>
      </c>
      <c r="K1035" s="19" t="n">
        <v>23829</v>
      </c>
      <c r="L1035" s="20" t="n"/>
      <c r="M1035" s="20" t="n"/>
      <c r="N1035" s="43" t="n">
        <v>4128.6</v>
      </c>
      <c r="O1035" s="20" t="n">
        <v>71612444</v>
      </c>
      <c r="P1035" s="43" t="n">
        <v>4128.6</v>
      </c>
      <c r="Q1035" s="20" t="n">
        <v>71612444</v>
      </c>
      <c r="R1035" s="42">
        <f>+L1035+N1035-P1035</f>
        <v/>
      </c>
      <c r="S1035" s="42">
        <f>+M1035+O1035-Q1035</f>
        <v/>
      </c>
    </row>
    <row r="1036" ht="15" customHeight="1">
      <c r="A1036" s="16" t="n">
        <v>45747</v>
      </c>
      <c r="B1036" s="17" t="inlineStr">
        <is>
          <t>MH2503-61</t>
        </is>
      </c>
      <c r="C1036" s="16" t="n">
        <v>45747</v>
      </c>
      <c r="D1036" s="17" t="inlineStr">
        <is>
          <t>00000072</t>
        </is>
      </c>
      <c r="E1036" s="16" t="n">
        <v>45747</v>
      </c>
      <c r="F1036" s="16" t="inlineStr">
        <is>
          <t>XK2503-81</t>
        </is>
      </c>
      <c r="G1036" s="16" t="n">
        <v>45747</v>
      </c>
      <c r="H1036" s="17" t="inlineStr">
        <is>
          <t>CÔNG TY TNHH XNK THÉP KIM NAM</t>
        </is>
      </c>
      <c r="I1036" s="17" t="inlineStr">
        <is>
          <t>Thép tấm Q355/A572 70lyx335x5032</t>
        </is>
      </c>
      <c r="J1036" s="17" t="inlineStr">
        <is>
          <t>kg</t>
        </is>
      </c>
      <c r="K1036" s="19" t="n">
        <v>23829</v>
      </c>
      <c r="L1036" s="20" t="n"/>
      <c r="M1036" s="20" t="n"/>
      <c r="N1036" s="43" t="n">
        <v>4631.52</v>
      </c>
      <c r="O1036" s="20" t="n">
        <v>80335820</v>
      </c>
      <c r="P1036" s="43" t="n">
        <v>4631.52</v>
      </c>
      <c r="Q1036" s="20" t="n">
        <v>80335820</v>
      </c>
      <c r="R1036" s="42">
        <f>+L1036+N1036-P1036</f>
        <v/>
      </c>
      <c r="S1036" s="42">
        <f>+M1036+O1036-Q1036</f>
        <v/>
      </c>
    </row>
    <row r="1037" ht="15" customHeight="1">
      <c r="A1037" s="16" t="n">
        <v>45747</v>
      </c>
      <c r="B1037" s="17" t="inlineStr">
        <is>
          <t>MH2503-61</t>
        </is>
      </c>
      <c r="C1037" s="16" t="n">
        <v>45747</v>
      </c>
      <c r="D1037" s="17" t="inlineStr">
        <is>
          <t>00000072</t>
        </is>
      </c>
      <c r="E1037" s="16" t="n">
        <v>45747</v>
      </c>
      <c r="F1037" s="16" t="inlineStr">
        <is>
          <t>XK2503-81</t>
        </is>
      </c>
      <c r="G1037" s="16" t="n">
        <v>45747</v>
      </c>
      <c r="H1037" s="17" t="inlineStr">
        <is>
          <t>CÔNG TY TNHH XNK THÉP KIM NAM</t>
        </is>
      </c>
      <c r="I1037" s="17" t="inlineStr">
        <is>
          <t>Thép tấm Q355/A572 70lyx335x2740</t>
        </is>
      </c>
      <c r="J1037" s="17" t="inlineStr">
        <is>
          <t>kg</t>
        </is>
      </c>
      <c r="K1037" s="19" t="n">
        <v>23829</v>
      </c>
      <c r="L1037" s="20" t="n"/>
      <c r="M1037" s="20" t="n"/>
      <c r="N1037" s="43" t="n">
        <v>504.39</v>
      </c>
      <c r="O1037" s="20" t="n">
        <v>8748874</v>
      </c>
      <c r="P1037" s="43" t="n">
        <v>504.39</v>
      </c>
      <c r="Q1037" s="20" t="n">
        <v>8748874</v>
      </c>
      <c r="R1037" s="42">
        <f>+L1037+N1037-P1037</f>
        <v/>
      </c>
      <c r="S1037" s="42">
        <f>+M1037+O1037-Q1037</f>
        <v/>
      </c>
    </row>
    <row r="1038" ht="15" customHeight="1">
      <c r="A1038" s="16" t="n">
        <v>45747</v>
      </c>
      <c r="B1038" s="17" t="inlineStr">
        <is>
          <t>MH2503-61</t>
        </is>
      </c>
      <c r="C1038" s="16" t="n">
        <v>45747</v>
      </c>
      <c r="D1038" s="17" t="inlineStr">
        <is>
          <t>00000072</t>
        </is>
      </c>
      <c r="E1038" s="16" t="n">
        <v>45747</v>
      </c>
      <c r="F1038" s="16" t="inlineStr">
        <is>
          <t>XK2503-81</t>
        </is>
      </c>
      <c r="G1038" s="16" t="n">
        <v>45747</v>
      </c>
      <c r="H1038" s="17" t="inlineStr">
        <is>
          <t>CÔNG TY TNHH XNK THÉP KIM NAM</t>
        </is>
      </c>
      <c r="I1038" s="17" t="inlineStr">
        <is>
          <t>Thép tấm Q355/A572 70lyx335x3482</t>
        </is>
      </c>
      <c r="J1038" s="17" t="inlineStr">
        <is>
          <t>kg</t>
        </is>
      </c>
      <c r="K1038" s="19" t="n">
        <v>23829</v>
      </c>
      <c r="L1038" s="20" t="n"/>
      <c r="M1038" s="20" t="n"/>
      <c r="N1038" s="43" t="n">
        <v>1922.93</v>
      </c>
      <c r="O1038" s="20" t="n">
        <v>33354095</v>
      </c>
      <c r="P1038" s="43" t="n">
        <v>1922.93</v>
      </c>
      <c r="Q1038" s="20" t="n">
        <v>33354095</v>
      </c>
      <c r="R1038" s="42">
        <f>+L1038+N1038-P1038</f>
        <v/>
      </c>
      <c r="S1038" s="42">
        <f>+M1038+O1038-Q1038</f>
        <v/>
      </c>
    </row>
    <row r="1039" ht="15" customHeight="1">
      <c r="A1039" s="16" t="n">
        <v>45747</v>
      </c>
      <c r="B1039" s="17" t="inlineStr">
        <is>
          <t>MH2503-61</t>
        </is>
      </c>
      <c r="C1039" s="16" t="n">
        <v>45747</v>
      </c>
      <c r="D1039" s="17" t="inlineStr">
        <is>
          <t>00000072</t>
        </is>
      </c>
      <c r="E1039" s="16" t="n">
        <v>45747</v>
      </c>
      <c r="F1039" s="16" t="inlineStr">
        <is>
          <t>XK2503-81</t>
        </is>
      </c>
      <c r="G1039" s="16" t="n">
        <v>45747</v>
      </c>
      <c r="H1039" s="17" t="inlineStr">
        <is>
          <t>CÔNG TY TNHH XNK THÉP KIM NAM</t>
        </is>
      </c>
      <c r="I1039" s="17" t="inlineStr">
        <is>
          <t>Thép tấm Q355/A572 70lyx335x3232</t>
        </is>
      </c>
      <c r="J1039" s="17" t="inlineStr">
        <is>
          <t>kg</t>
        </is>
      </c>
      <c r="K1039" s="19" t="n">
        <v>23829</v>
      </c>
      <c r="L1039" s="20" t="n"/>
      <c r="M1039" s="20" t="n"/>
      <c r="N1039" s="43" t="n">
        <v>594.96</v>
      </c>
      <c r="O1039" s="20" t="n">
        <v>10319852</v>
      </c>
      <c r="P1039" s="43" t="n">
        <v>594.96</v>
      </c>
      <c r="Q1039" s="20" t="n">
        <v>10319852</v>
      </c>
      <c r="R1039" s="42">
        <f>+L1039+N1039-P1039</f>
        <v/>
      </c>
      <c r="S1039" s="42">
        <f>+M1039+O1039-Q1039</f>
        <v/>
      </c>
    </row>
    <row r="1040" ht="15" customHeight="1">
      <c r="A1040" s="16" t="n">
        <v>45747</v>
      </c>
      <c r="B1040" s="17" t="inlineStr">
        <is>
          <t>MH2503-61</t>
        </is>
      </c>
      <c r="C1040" s="16" t="n">
        <v>45747</v>
      </c>
      <c r="D1040" s="17" t="inlineStr">
        <is>
          <t>00000072</t>
        </is>
      </c>
      <c r="E1040" s="16" t="n">
        <v>45747</v>
      </c>
      <c r="F1040" s="16" t="inlineStr">
        <is>
          <t>XK2503-81</t>
        </is>
      </c>
      <c r="G1040" s="16" t="n">
        <v>45747</v>
      </c>
      <c r="H1040" s="17" t="inlineStr">
        <is>
          <t>CÔNG TY TNHH XNK THÉP KIM NAM</t>
        </is>
      </c>
      <c r="I1040" s="17" t="inlineStr">
        <is>
          <t>Thép tấm Q355/A572 70lyx335x4782</t>
        </is>
      </c>
      <c r="J1040" s="17" t="inlineStr">
        <is>
          <t>kg</t>
        </is>
      </c>
      <c r="K1040" s="19" t="n">
        <v>23829</v>
      </c>
      <c r="L1040" s="20" t="n"/>
      <c r="M1040" s="20" t="n"/>
      <c r="N1040" s="43" t="n">
        <v>880.28</v>
      </c>
      <c r="O1040" s="20" t="n">
        <v>15268857</v>
      </c>
      <c r="P1040" s="43" t="n">
        <v>880.28</v>
      </c>
      <c r="Q1040" s="20" t="n">
        <v>15268857</v>
      </c>
      <c r="R1040" s="42">
        <f>+L1040+N1040-P1040</f>
        <v/>
      </c>
      <c r="S1040" s="42">
        <f>+M1040+O1040-Q1040</f>
        <v/>
      </c>
    </row>
    <row r="1041" ht="15" customHeight="1">
      <c r="A1041" s="16" t="n">
        <v>45747</v>
      </c>
      <c r="B1041" s="17" t="inlineStr">
        <is>
          <t>MH2503-61</t>
        </is>
      </c>
      <c r="C1041" s="16" t="n">
        <v>45747</v>
      </c>
      <c r="D1041" s="17" t="inlineStr">
        <is>
          <t>00000072</t>
        </is>
      </c>
      <c r="E1041" s="16" t="n">
        <v>45747</v>
      </c>
      <c r="F1041" s="16" t="inlineStr">
        <is>
          <t>XK2503-81</t>
        </is>
      </c>
      <c r="G1041" s="16" t="n">
        <v>45747</v>
      </c>
      <c r="H1041" s="17" t="inlineStr">
        <is>
          <t>CÔNG TY TNHH XNK THÉP KIM NAM</t>
        </is>
      </c>
      <c r="I1041" s="17" t="inlineStr">
        <is>
          <t>Thép tấm Q355/A572 70lyx335x2490</t>
        </is>
      </c>
      <c r="J1041" s="17" t="inlineStr">
        <is>
          <t>kg</t>
        </is>
      </c>
      <c r="K1041" s="19" t="n">
        <v>23829</v>
      </c>
      <c r="L1041" s="20" t="n"/>
      <c r="M1041" s="20" t="n"/>
      <c r="N1041" s="43" t="n">
        <v>458.37</v>
      </c>
      <c r="O1041" s="20" t="n">
        <v>7950636</v>
      </c>
      <c r="P1041" s="43" t="n">
        <v>458.37</v>
      </c>
      <c r="Q1041" s="20" t="n">
        <v>7950636</v>
      </c>
      <c r="R1041" s="42">
        <f>+L1041+N1041-P1041</f>
        <v/>
      </c>
      <c r="S1041" s="42">
        <f>+M1041+O1041-Q1041</f>
        <v/>
      </c>
    </row>
    <row r="1042" ht="15" customHeight="1">
      <c r="A1042" s="16" t="n">
        <v>45747</v>
      </c>
      <c r="B1042" s="17" t="inlineStr">
        <is>
          <t>MH2503-61</t>
        </is>
      </c>
      <c r="C1042" s="16" t="n">
        <v>45747</v>
      </c>
      <c r="D1042" s="17" t="inlineStr">
        <is>
          <t>00000072</t>
        </is>
      </c>
      <c r="E1042" s="16" t="n">
        <v>45747</v>
      </c>
      <c r="F1042" s="16" t="inlineStr">
        <is>
          <t>XK2503-81</t>
        </is>
      </c>
      <c r="G1042" s="16" t="n">
        <v>45747</v>
      </c>
      <c r="H1042" s="17" t="inlineStr">
        <is>
          <t>CÔNG TY TNHH XNK THÉP KIM NAM</t>
        </is>
      </c>
      <c r="I1042" s="17" t="inlineStr">
        <is>
          <t>Thép tấm Q355/A572 80lyx330x3482</t>
        </is>
      </c>
      <c r="J1042" s="17" t="inlineStr">
        <is>
          <t>kg</t>
        </is>
      </c>
      <c r="K1042" s="19" t="n">
        <v>23829</v>
      </c>
      <c r="L1042" s="20" t="n"/>
      <c r="M1042" s="20" t="n"/>
      <c r="N1042" s="43" t="n">
        <v>1443.22</v>
      </c>
      <c r="O1042" s="20" t="n">
        <v>25033307</v>
      </c>
      <c r="P1042" s="43" t="n">
        <v>1443.22</v>
      </c>
      <c r="Q1042" s="20" t="n">
        <v>25033307</v>
      </c>
      <c r="R1042" s="42">
        <f>+L1042+N1042-P1042</f>
        <v/>
      </c>
      <c r="S1042" s="42">
        <f>+M1042+O1042-Q1042</f>
        <v/>
      </c>
    </row>
    <row r="1043" ht="15" customHeight="1">
      <c r="A1043" s="16" t="n">
        <v>45747</v>
      </c>
      <c r="B1043" s="17" t="inlineStr">
        <is>
          <t>MH2503-61</t>
        </is>
      </c>
      <c r="C1043" s="16" t="n">
        <v>45747</v>
      </c>
      <c r="D1043" s="17" t="inlineStr">
        <is>
          <t>00000072</t>
        </is>
      </c>
      <c r="E1043" s="16" t="n">
        <v>45747</v>
      </c>
      <c r="F1043" s="16" t="inlineStr">
        <is>
          <t>XK2503-81</t>
        </is>
      </c>
      <c r="G1043" s="16" t="n">
        <v>45747</v>
      </c>
      <c r="H1043" s="17" t="inlineStr">
        <is>
          <t>CÔNG TY TNHH XNK THÉP KIM NAM</t>
        </is>
      </c>
      <c r="I1043" s="17" t="inlineStr">
        <is>
          <t>Thép tấm Q355/A572 90lyx450x2742</t>
        </is>
      </c>
      <c r="J1043" s="17" t="inlineStr">
        <is>
          <t>kg</t>
        </is>
      </c>
      <c r="K1043" s="19" t="n">
        <v>23829</v>
      </c>
      <c r="L1043" s="20" t="n"/>
      <c r="M1043" s="20" t="n"/>
      <c r="N1043" s="43" t="n">
        <v>8717.5</v>
      </c>
      <c r="O1043" s="20" t="n">
        <v>148831500</v>
      </c>
      <c r="P1043" s="43" t="n">
        <v>8717.5</v>
      </c>
      <c r="Q1043" s="20" t="n">
        <v>148831500</v>
      </c>
      <c r="R1043" s="42">
        <f>+L1043+N1043-P1043</f>
        <v/>
      </c>
      <c r="S1043" s="42">
        <f>+M1043+O1043-Q1043</f>
        <v/>
      </c>
    </row>
    <row r="1044" ht="15" customHeight="1">
      <c r="A1044" s="16" t="n">
        <v>45747</v>
      </c>
      <c r="B1044" s="17" t="inlineStr">
        <is>
          <t>MH2503-61</t>
        </is>
      </c>
      <c r="C1044" s="16" t="n">
        <v>45747</v>
      </c>
      <c r="D1044" s="17" t="inlineStr">
        <is>
          <t>00000072</t>
        </is>
      </c>
      <c r="E1044" s="16" t="n">
        <v>45747</v>
      </c>
      <c r="F1044" s="16" t="inlineStr">
        <is>
          <t>XK2503-81</t>
        </is>
      </c>
      <c r="G1044" s="16" t="n">
        <v>45747</v>
      </c>
      <c r="H1044" s="17" t="inlineStr">
        <is>
          <t>CÔNG TY TNHH XNK THÉP KIM NAM</t>
        </is>
      </c>
      <c r="I1044" s="17" t="inlineStr">
        <is>
          <t>Thép tấm Q355/A572 90lyx450x3482</t>
        </is>
      </c>
      <c r="J1044" s="17" t="inlineStr">
        <is>
          <t>kg</t>
        </is>
      </c>
      <c r="K1044" s="19" t="n">
        <v>23829</v>
      </c>
      <c r="L1044" s="20" t="n"/>
      <c r="M1044" s="20" t="n"/>
      <c r="N1044" s="43" t="n">
        <v>3321.05</v>
      </c>
      <c r="O1044" s="20" t="n">
        <v>56699381</v>
      </c>
      <c r="P1044" s="43" t="n">
        <v>3321.05</v>
      </c>
      <c r="Q1044" s="20" t="n">
        <v>56699381</v>
      </c>
      <c r="R1044" s="42">
        <f>+L1044+N1044-P1044</f>
        <v/>
      </c>
      <c r="S1044" s="42">
        <f>+M1044+O1044-Q1044</f>
        <v/>
      </c>
    </row>
    <row r="1045" ht="15" customHeight="1">
      <c r="A1045" s="16" t="n">
        <v>45747</v>
      </c>
      <c r="B1045" s="17" t="inlineStr">
        <is>
          <t>MH2503-61</t>
        </is>
      </c>
      <c r="C1045" s="16" t="n">
        <v>45747</v>
      </c>
      <c r="D1045" s="17" t="inlineStr">
        <is>
          <t>00000072</t>
        </is>
      </c>
      <c r="E1045" s="16" t="n">
        <v>45747</v>
      </c>
      <c r="F1045" s="16" t="inlineStr">
        <is>
          <t>XK2503-81</t>
        </is>
      </c>
      <c r="G1045" s="16" t="n">
        <v>45747</v>
      </c>
      <c r="H1045" s="17" t="inlineStr">
        <is>
          <t>CÔNG TY TNHH XNK THÉP KIM NAM</t>
        </is>
      </c>
      <c r="I1045" s="17" t="inlineStr">
        <is>
          <t>Thép tấm Q355/A572 90lyx450x2492</t>
        </is>
      </c>
      <c r="J1045" s="17" t="inlineStr">
        <is>
          <t>kg</t>
        </is>
      </c>
      <c r="K1045" s="19" t="n">
        <v>23829</v>
      </c>
      <c r="L1045" s="20" t="n"/>
      <c r="M1045" s="20" t="n"/>
      <c r="N1045" s="43" t="n">
        <v>14260.84</v>
      </c>
      <c r="O1045" s="20" t="n">
        <v>243471432</v>
      </c>
      <c r="P1045" s="43" t="n">
        <v>14260.84</v>
      </c>
      <c r="Q1045" s="20" t="n">
        <v>243471432</v>
      </c>
      <c r="R1045" s="42">
        <f>+L1045+N1045-P1045</f>
        <v/>
      </c>
      <c r="S1045" s="42">
        <f>+M1045+O1045-Q1045</f>
        <v/>
      </c>
    </row>
    <row r="1046" ht="15" customHeight="1">
      <c r="A1046" s="16" t="n">
        <v>45747</v>
      </c>
      <c r="B1046" s="17" t="inlineStr">
        <is>
          <t>MH2503-61</t>
        </is>
      </c>
      <c r="C1046" s="16" t="n">
        <v>45747</v>
      </c>
      <c r="D1046" s="17" t="inlineStr">
        <is>
          <t>00000072</t>
        </is>
      </c>
      <c r="E1046" s="16" t="n">
        <v>45747</v>
      </c>
      <c r="F1046" s="16" t="inlineStr">
        <is>
          <t>XK2503-81</t>
        </is>
      </c>
      <c r="G1046" s="16" t="n">
        <v>45747</v>
      </c>
      <c r="H1046" s="17" t="inlineStr">
        <is>
          <t>CÔNG TY TNHH XNK THÉP KIM NAM</t>
        </is>
      </c>
      <c r="I1046" s="17" t="inlineStr">
        <is>
          <t>Thép tấm Q355/A572 90lyx450x3232</t>
        </is>
      </c>
      <c r="J1046" s="17" t="inlineStr">
        <is>
          <t>kg</t>
        </is>
      </c>
      <c r="K1046" s="19" t="n">
        <v>23829</v>
      </c>
      <c r="L1046" s="20" t="n"/>
      <c r="M1046" s="20" t="n"/>
      <c r="N1046" s="43" t="n">
        <v>1027.53</v>
      </c>
      <c r="O1046" s="20" t="n">
        <v>17542739</v>
      </c>
      <c r="P1046" s="43" t="n">
        <v>1027.53</v>
      </c>
      <c r="Q1046" s="20" t="n">
        <v>17542739</v>
      </c>
      <c r="R1046" s="42">
        <f>+L1046+N1046-P1046</f>
        <v/>
      </c>
      <c r="S1046" s="42">
        <f>+M1046+O1046-Q1046</f>
        <v/>
      </c>
    </row>
    <row r="1047" ht="15" customHeight="1">
      <c r="A1047" s="16" t="n">
        <v>45747</v>
      </c>
      <c r="B1047" s="17" t="inlineStr">
        <is>
          <t>MH2503-61</t>
        </is>
      </c>
      <c r="C1047" s="16" t="n">
        <v>45747</v>
      </c>
      <c r="D1047" s="17" t="inlineStr">
        <is>
          <t>00000072</t>
        </is>
      </c>
      <c r="E1047" s="16" t="n">
        <v>45747</v>
      </c>
      <c r="F1047" s="16" t="inlineStr">
        <is>
          <t>XK2503-81</t>
        </is>
      </c>
      <c r="G1047" s="16" t="n">
        <v>45747</v>
      </c>
      <c r="H1047" s="17" t="inlineStr">
        <is>
          <t>CÔNG TY TNHH XNK THÉP KIM NAM</t>
        </is>
      </c>
      <c r="I1047" s="17" t="inlineStr">
        <is>
          <t>Thép tấm Q355/A572 90lyx450x5032</t>
        </is>
      </c>
      <c r="J1047" s="17" t="inlineStr">
        <is>
          <t>kg</t>
        </is>
      </c>
      <c r="K1047" s="19" t="n">
        <v>23829</v>
      </c>
      <c r="L1047" s="20" t="n"/>
      <c r="M1047" s="20" t="n"/>
      <c r="N1047" s="43" t="n">
        <v>6399.19</v>
      </c>
      <c r="O1047" s="20" t="n">
        <v>109251626</v>
      </c>
      <c r="P1047" s="43" t="n">
        <v>6399.19</v>
      </c>
      <c r="Q1047" s="20" t="n">
        <v>109251626</v>
      </c>
      <c r="R1047" s="42">
        <f>+L1047+N1047-P1047</f>
        <v/>
      </c>
      <c r="S1047" s="42">
        <f>+M1047+O1047-Q1047</f>
        <v/>
      </c>
    </row>
    <row r="1048" ht="15" customHeight="1">
      <c r="A1048" s="16" t="n">
        <v>45747</v>
      </c>
      <c r="B1048" s="17" t="inlineStr">
        <is>
          <t>MH2503-61</t>
        </is>
      </c>
      <c r="C1048" s="16" t="n">
        <v>45747</v>
      </c>
      <c r="D1048" s="17" t="inlineStr">
        <is>
          <t>00000072</t>
        </is>
      </c>
      <c r="E1048" s="16" t="n">
        <v>45747</v>
      </c>
      <c r="F1048" s="16" t="inlineStr">
        <is>
          <t>XK2503-81</t>
        </is>
      </c>
      <c r="G1048" s="16" t="n">
        <v>45747</v>
      </c>
      <c r="H1048" s="17" t="inlineStr">
        <is>
          <t>CÔNG TY TNHH XNK THÉP KIM NAM</t>
        </is>
      </c>
      <c r="I1048" s="17" t="inlineStr">
        <is>
          <t>Thép tấm Q355/A572 90lyx450x5032</t>
        </is>
      </c>
      <c r="J1048" s="17" t="inlineStr">
        <is>
          <t>kg</t>
        </is>
      </c>
      <c r="K1048" s="19" t="n">
        <v>23829</v>
      </c>
      <c r="L1048" s="20" t="n"/>
      <c r="M1048" s="20" t="n"/>
      <c r="N1048" s="43" t="n">
        <v>6399.19</v>
      </c>
      <c r="O1048" s="20" t="n">
        <v>109251626</v>
      </c>
      <c r="P1048" s="43" t="n">
        <v>6399.19</v>
      </c>
      <c r="Q1048" s="20" t="n">
        <v>109251626</v>
      </c>
      <c r="R1048" s="42">
        <f>+L1048+N1048-P1048</f>
        <v/>
      </c>
      <c r="S1048" s="42">
        <f>+M1048+O1048-Q1048</f>
        <v/>
      </c>
    </row>
    <row r="1049" ht="15" customHeight="1">
      <c r="A1049" s="16" t="n">
        <v>45747</v>
      </c>
      <c r="B1049" s="17" t="inlineStr">
        <is>
          <t>MH2503-61</t>
        </is>
      </c>
      <c r="C1049" s="16" t="n">
        <v>45747</v>
      </c>
      <c r="D1049" s="17" t="inlineStr">
        <is>
          <t>00000072</t>
        </is>
      </c>
      <c r="E1049" s="16" t="n">
        <v>45747</v>
      </c>
      <c r="F1049" s="16" t="inlineStr">
        <is>
          <t>XK2503-81</t>
        </is>
      </c>
      <c r="G1049" s="16" t="n">
        <v>45747</v>
      </c>
      <c r="H1049" s="17" t="inlineStr">
        <is>
          <t>CÔNG TY TNHH XNK THÉP KIM NAM</t>
        </is>
      </c>
      <c r="I1049" s="17" t="inlineStr">
        <is>
          <t>Thép tấm Q355/A572 90lyx450x2740</t>
        </is>
      </c>
      <c r="J1049" s="17" t="inlineStr">
        <is>
          <t>kg</t>
        </is>
      </c>
      <c r="K1049" s="19" t="n">
        <v>23829</v>
      </c>
      <c r="L1049" s="20" t="n"/>
      <c r="M1049" s="20" t="n"/>
      <c r="N1049" s="43" t="n">
        <v>1742.23</v>
      </c>
      <c r="O1049" s="20" t="n">
        <v>29744618</v>
      </c>
      <c r="P1049" s="43" t="n">
        <v>1742.23</v>
      </c>
      <c r="Q1049" s="20" t="n">
        <v>29744618</v>
      </c>
      <c r="R1049" s="42">
        <f>+L1049+N1049-P1049</f>
        <v/>
      </c>
      <c r="S1049" s="42">
        <f>+M1049+O1049-Q1049</f>
        <v/>
      </c>
    </row>
    <row r="1050" ht="15" customHeight="1">
      <c r="A1050" s="16" t="n">
        <v>45747</v>
      </c>
      <c r="B1050" s="17" t="inlineStr">
        <is>
          <t>MH2503-61</t>
        </is>
      </c>
      <c r="C1050" s="16" t="n">
        <v>45747</v>
      </c>
      <c r="D1050" s="17" t="inlineStr">
        <is>
          <t>00000072</t>
        </is>
      </c>
      <c r="E1050" s="16" t="n">
        <v>45747</v>
      </c>
      <c r="F1050" s="16" t="inlineStr">
        <is>
          <t>XK2503-81</t>
        </is>
      </c>
      <c r="G1050" s="16" t="n">
        <v>45747</v>
      </c>
      <c r="H1050" s="17" t="inlineStr">
        <is>
          <t>CÔNG TY TNHH XNK THÉP KIM NAM</t>
        </is>
      </c>
      <c r="I1050" s="17" t="inlineStr">
        <is>
          <t>Thép tấm Q355/A572 90lyx450x3482</t>
        </is>
      </c>
      <c r="J1050" s="17" t="inlineStr">
        <is>
          <t>kg</t>
        </is>
      </c>
      <c r="K1050" s="19" t="n">
        <v>23829</v>
      </c>
      <c r="L1050" s="20" t="n"/>
      <c r="M1050" s="20" t="n"/>
      <c r="N1050" s="43" t="n">
        <v>3321.05</v>
      </c>
      <c r="O1050" s="20" t="n">
        <v>56699381</v>
      </c>
      <c r="P1050" s="43" t="n">
        <v>3321.05</v>
      </c>
      <c r="Q1050" s="20" t="n">
        <v>56699381</v>
      </c>
      <c r="R1050" s="42">
        <f>+L1050+N1050-P1050</f>
        <v/>
      </c>
      <c r="S1050" s="42">
        <f>+M1050+O1050-Q1050</f>
        <v/>
      </c>
    </row>
    <row r="1051" ht="15" customHeight="1">
      <c r="A1051" s="16" t="n">
        <v>45747</v>
      </c>
      <c r="B1051" s="17" t="inlineStr">
        <is>
          <t>MH2503-61</t>
        </is>
      </c>
      <c r="C1051" s="16" t="n">
        <v>45747</v>
      </c>
      <c r="D1051" s="17" t="inlineStr">
        <is>
          <t>00000072</t>
        </is>
      </c>
      <c r="E1051" s="16" t="n">
        <v>45747</v>
      </c>
      <c r="F1051" s="16" t="inlineStr">
        <is>
          <t>XK2503-81</t>
        </is>
      </c>
      <c r="G1051" s="16" t="n">
        <v>45747</v>
      </c>
      <c r="H1051" s="17" t="inlineStr">
        <is>
          <t>CÔNG TY TNHH XNK THÉP KIM NAM</t>
        </is>
      </c>
      <c r="I1051" s="17" t="inlineStr">
        <is>
          <t>Thép tấm Q355/A572 90lyx450x3232</t>
        </is>
      </c>
      <c r="J1051" s="17" t="inlineStr">
        <is>
          <t>kg</t>
        </is>
      </c>
      <c r="K1051" s="19" t="n">
        <v>23829</v>
      </c>
      <c r="L1051" s="20" t="n"/>
      <c r="M1051" s="20" t="n"/>
      <c r="N1051" s="43" t="n">
        <v>1027.53</v>
      </c>
      <c r="O1051" s="20" t="n">
        <v>17542739</v>
      </c>
      <c r="P1051" s="43" t="n">
        <v>1027.53</v>
      </c>
      <c r="Q1051" s="20" t="n">
        <v>17542739</v>
      </c>
      <c r="R1051" s="42">
        <f>+L1051+N1051-P1051</f>
        <v/>
      </c>
      <c r="S1051" s="42">
        <f>+M1051+O1051-Q1051</f>
        <v/>
      </c>
    </row>
    <row r="1052" ht="15" customHeight="1">
      <c r="A1052" s="16" t="n">
        <v>45747</v>
      </c>
      <c r="B1052" s="17" t="inlineStr">
        <is>
          <t>MH2503-61</t>
        </is>
      </c>
      <c r="C1052" s="16" t="n">
        <v>45747</v>
      </c>
      <c r="D1052" s="17" t="inlineStr">
        <is>
          <t>00000072</t>
        </is>
      </c>
      <c r="E1052" s="16" t="n">
        <v>45747</v>
      </c>
      <c r="F1052" s="16" t="inlineStr">
        <is>
          <t>XK2503-81</t>
        </is>
      </c>
      <c r="G1052" s="16" t="n">
        <v>45747</v>
      </c>
      <c r="H1052" s="17" t="inlineStr">
        <is>
          <t>CÔNG TY TNHH XNK THÉP KIM NAM</t>
        </is>
      </c>
      <c r="I1052" s="17" t="inlineStr">
        <is>
          <t>Thép tấm Q355/A572 90lyx450x4782</t>
        </is>
      </c>
      <c r="J1052" s="17" t="inlineStr">
        <is>
          <t>kg</t>
        </is>
      </c>
      <c r="K1052" s="19" t="n">
        <v>23829</v>
      </c>
      <c r="L1052" s="20" t="n"/>
      <c r="M1052" s="20" t="n"/>
      <c r="N1052" s="43" t="n">
        <v>1520.32</v>
      </c>
      <c r="O1052" s="20" t="n">
        <v>25956009</v>
      </c>
      <c r="P1052" s="43" t="n">
        <v>1520.32</v>
      </c>
      <c r="Q1052" s="20" t="n">
        <v>25956009</v>
      </c>
      <c r="R1052" s="42">
        <f>+L1052+N1052-P1052</f>
        <v/>
      </c>
      <c r="S1052" s="42">
        <f>+M1052+O1052-Q1052</f>
        <v/>
      </c>
    </row>
    <row r="1053" ht="15" customHeight="1">
      <c r="A1053" s="16" t="n">
        <v>45747</v>
      </c>
      <c r="B1053" s="17" t="inlineStr">
        <is>
          <t>MH2503-61</t>
        </is>
      </c>
      <c r="C1053" s="16" t="n">
        <v>45747</v>
      </c>
      <c r="D1053" s="17" t="inlineStr">
        <is>
          <t>00000072</t>
        </is>
      </c>
      <c r="E1053" s="16" t="n">
        <v>45747</v>
      </c>
      <c r="F1053" s="16" t="inlineStr">
        <is>
          <t>XK2503-81</t>
        </is>
      </c>
      <c r="G1053" s="16" t="n">
        <v>45747</v>
      </c>
      <c r="H1053" s="17" t="inlineStr">
        <is>
          <t>CÔNG TY TNHH XNK THÉP KIM NAM</t>
        </is>
      </c>
      <c r="I1053" s="17" t="inlineStr">
        <is>
          <t>Thép tấm Q355/A572 90lyx450x2490</t>
        </is>
      </c>
      <c r="J1053" s="17" t="inlineStr">
        <is>
          <t>kg</t>
        </is>
      </c>
      <c r="K1053" s="19" t="n">
        <v>23829</v>
      </c>
      <c r="L1053" s="20" t="n"/>
      <c r="M1053" s="20" t="n"/>
      <c r="N1053" s="43" t="n">
        <v>1583.27</v>
      </c>
      <c r="O1053" s="20" t="n">
        <v>27030737</v>
      </c>
      <c r="P1053" s="43" t="n">
        <v>1583.27</v>
      </c>
      <c r="Q1053" s="20" t="n">
        <v>27030737</v>
      </c>
      <c r="R1053" s="42">
        <f>+L1053+N1053-P1053</f>
        <v/>
      </c>
      <c r="S1053" s="42">
        <f>+M1053+O1053-Q1053</f>
        <v/>
      </c>
    </row>
    <row r="1054" ht="15" customHeight="1">
      <c r="A1054" s="16" t="n">
        <v>45747</v>
      </c>
      <c r="B1054" s="17" t="inlineStr">
        <is>
          <t>MH2503-61</t>
        </is>
      </c>
      <c r="C1054" s="16" t="n">
        <v>45747</v>
      </c>
      <c r="D1054" s="17" t="inlineStr">
        <is>
          <t>00000072</t>
        </is>
      </c>
      <c r="E1054" s="16" t="n">
        <v>45747</v>
      </c>
      <c r="F1054" s="16" t="inlineStr">
        <is>
          <t>XK2503-81</t>
        </is>
      </c>
      <c r="G1054" s="16" t="n">
        <v>45747</v>
      </c>
      <c r="H1054" s="17" t="inlineStr">
        <is>
          <t>CÔNG TY TNHH XNK THÉP KIM NAM</t>
        </is>
      </c>
      <c r="I1054" s="17" t="inlineStr">
        <is>
          <t>Thép tấm Q355/A572 90lyx450x5032</t>
        </is>
      </c>
      <c r="J1054" s="17" t="inlineStr">
        <is>
          <t>kg</t>
        </is>
      </c>
      <c r="K1054" s="19" t="n">
        <v>23829</v>
      </c>
      <c r="L1054" s="20" t="n"/>
      <c r="M1054" s="20" t="n"/>
      <c r="N1054" s="43" t="n">
        <v>1599.8</v>
      </c>
      <c r="O1054" s="20" t="n">
        <v>27312949</v>
      </c>
      <c r="P1054" s="43" t="n">
        <v>1599.8</v>
      </c>
      <c r="Q1054" s="20" t="n">
        <v>27312949</v>
      </c>
      <c r="R1054" s="42">
        <f>+L1054+N1054-P1054</f>
        <v/>
      </c>
      <c r="S1054" s="42">
        <f>+M1054+O1054-Q1054</f>
        <v/>
      </c>
    </row>
    <row r="1055" ht="15" customHeight="1">
      <c r="A1055" s="16" t="n">
        <v>45747</v>
      </c>
      <c r="B1055" s="17" t="inlineStr">
        <is>
          <t>MH2503-61</t>
        </is>
      </c>
      <c r="C1055" s="16" t="n">
        <v>45747</v>
      </c>
      <c r="D1055" s="17" t="inlineStr">
        <is>
          <t>00000072</t>
        </is>
      </c>
      <c r="E1055" s="16" t="n">
        <v>45747</v>
      </c>
      <c r="F1055" s="16" t="inlineStr">
        <is>
          <t>XK2503-81</t>
        </is>
      </c>
      <c r="G1055" s="16" t="n">
        <v>45747</v>
      </c>
      <c r="H1055" s="17" t="inlineStr">
        <is>
          <t>CÔNG TY TNHH XNK THÉP KIM NAM</t>
        </is>
      </c>
      <c r="I1055" s="17" t="inlineStr">
        <is>
          <t>Thép tấm Q355/A572 90lyx450x5032</t>
        </is>
      </c>
      <c r="J1055" s="17" t="inlineStr">
        <is>
          <t>kg</t>
        </is>
      </c>
      <c r="K1055" s="19" t="n">
        <v>23829</v>
      </c>
      <c r="L1055" s="20" t="n"/>
      <c r="M1055" s="20" t="n"/>
      <c r="N1055" s="43" t="n">
        <v>1599.8</v>
      </c>
      <c r="O1055" s="20" t="n">
        <v>27312949</v>
      </c>
      <c r="P1055" s="43" t="n">
        <v>1599.8</v>
      </c>
      <c r="Q1055" s="20" t="n">
        <v>27312949</v>
      </c>
      <c r="R1055" s="42">
        <f>+L1055+N1055-P1055</f>
        <v/>
      </c>
      <c r="S1055" s="42">
        <f>+M1055+O1055-Q1055</f>
        <v/>
      </c>
    </row>
    <row r="1056" ht="15" customHeight="1">
      <c r="A1056" s="16" t="n">
        <v>45747</v>
      </c>
      <c r="B1056" s="17" t="inlineStr">
        <is>
          <t>MH2503-61</t>
        </is>
      </c>
      <c r="C1056" s="16" t="n">
        <v>45747</v>
      </c>
      <c r="D1056" s="17" t="inlineStr">
        <is>
          <t>00000072</t>
        </is>
      </c>
      <c r="E1056" s="16" t="n">
        <v>45747</v>
      </c>
      <c r="F1056" s="16" t="inlineStr">
        <is>
          <t>XK2503-81</t>
        </is>
      </c>
      <c r="G1056" s="16" t="n">
        <v>45747</v>
      </c>
      <c r="H1056" s="17" t="inlineStr">
        <is>
          <t>CÔNG TY TNHH XNK THÉP KIM NAM</t>
        </is>
      </c>
      <c r="I1056" s="17" t="inlineStr">
        <is>
          <t>Thép tấm Q355/A572 90lyx450x4782</t>
        </is>
      </c>
      <c r="J1056" s="17" t="inlineStr">
        <is>
          <t>kg</t>
        </is>
      </c>
      <c r="K1056" s="19" t="n">
        <v>23829</v>
      </c>
      <c r="L1056" s="20" t="n"/>
      <c r="M1056" s="20" t="n"/>
      <c r="N1056" s="43" t="n">
        <v>1520.32</v>
      </c>
      <c r="O1056" s="20" t="n">
        <v>25956009</v>
      </c>
      <c r="P1056" s="43" t="n">
        <v>1520.32</v>
      </c>
      <c r="Q1056" s="20" t="n">
        <v>25956009</v>
      </c>
      <c r="R1056" s="42">
        <f>+L1056+N1056-P1056</f>
        <v/>
      </c>
      <c r="S1056" s="42">
        <f>+M1056+O1056-Q1056</f>
        <v/>
      </c>
    </row>
    <row r="1057" ht="30" customHeight="1">
      <c r="A1057" s="16" t="n">
        <v>45747</v>
      </c>
      <c r="B1057" s="17" t="inlineStr">
        <is>
          <t>MH2503-63</t>
        </is>
      </c>
      <c r="C1057" s="16" t="n">
        <v>45747</v>
      </c>
      <c r="D1057" s="17" t="inlineStr">
        <is>
          <t>00000303</t>
        </is>
      </c>
      <c r="E1057" s="16" t="n">
        <v>45747</v>
      </c>
      <c r="F1057" s="16" t="inlineStr">
        <is>
          <t>XK2503-82</t>
        </is>
      </c>
      <c r="G1057" s="16" t="n">
        <v>45747</v>
      </c>
      <c r="H1057" s="17" t="inlineStr">
        <is>
          <t>CÔNG TY TNHH XUẤT NHẬP KHẨU THƯƠNG MẠI KIÊN HOÀNG</t>
        </is>
      </c>
      <c r="I1057" s="17" t="inlineStr">
        <is>
          <t>Thép tấm (120x467x9400mm)</t>
        </is>
      </c>
      <c r="J1057" s="17" t="inlineStr">
        <is>
          <t>kg</t>
        </is>
      </c>
      <c r="K1057" s="19" t="n">
        <v>20000</v>
      </c>
      <c r="L1057" s="20" t="n"/>
      <c r="M1057" s="20" t="n"/>
      <c r="N1057" s="43" t="n">
        <v>16540.8</v>
      </c>
      <c r="O1057" s="20" t="n">
        <v>330816000</v>
      </c>
      <c r="P1057" s="43" t="n">
        <v>16540.8</v>
      </c>
      <c r="Q1057" s="20" t="n">
        <v>330816000</v>
      </c>
      <c r="R1057" s="42">
        <f>+L1057+N1057-P1057</f>
        <v/>
      </c>
      <c r="S1057" s="42">
        <f>+M1057+O1057-Q1057</f>
        <v/>
      </c>
    </row>
    <row r="1058" ht="30" customHeight="1">
      <c r="A1058" s="16" t="n">
        <v>45747</v>
      </c>
      <c r="B1058" s="17" t="inlineStr">
        <is>
          <t>MH2503-63</t>
        </is>
      </c>
      <c r="C1058" s="16" t="n">
        <v>45747</v>
      </c>
      <c r="D1058" s="17" t="inlineStr">
        <is>
          <t>00000303</t>
        </is>
      </c>
      <c r="E1058" s="16" t="n">
        <v>45747</v>
      </c>
      <c r="F1058" s="16" t="inlineStr">
        <is>
          <t>XK2503-82</t>
        </is>
      </c>
      <c r="G1058" s="16" t="n">
        <v>45747</v>
      </c>
      <c r="H1058" s="17" t="inlineStr">
        <is>
          <t>CÔNG TY TNHH XUẤT NHẬP KHẨU THƯƠNG MẠI KIÊN HOÀNG</t>
        </is>
      </c>
      <c r="I1058" s="17" t="inlineStr">
        <is>
          <t>Thép tấm (120x467x3482mm)</t>
        </is>
      </c>
      <c r="J1058" s="17" t="inlineStr">
        <is>
          <t>kg</t>
        </is>
      </c>
      <c r="K1058" s="19" t="n">
        <v>20000</v>
      </c>
      <c r="L1058" s="20" t="n"/>
      <c r="M1058" s="20" t="n"/>
      <c r="N1058" s="43" t="n">
        <v>6127.1</v>
      </c>
      <c r="O1058" s="20" t="n">
        <v>122542000</v>
      </c>
      <c r="P1058" s="43" t="n">
        <v>6127.1</v>
      </c>
      <c r="Q1058" s="20" t="n">
        <v>122542000</v>
      </c>
      <c r="R1058" s="42">
        <f>+L1058+N1058-P1058</f>
        <v/>
      </c>
      <c r="S1058" s="42">
        <f>+M1058+O1058-Q1058</f>
        <v/>
      </c>
    </row>
    <row r="1059" ht="30" customHeight="1">
      <c r="A1059" s="16" t="n">
        <v>45747</v>
      </c>
      <c r="B1059" s="17" t="inlineStr">
        <is>
          <t>MH2503-63</t>
        </is>
      </c>
      <c r="C1059" s="16" t="n">
        <v>45747</v>
      </c>
      <c r="D1059" s="17" t="inlineStr">
        <is>
          <t>00000303</t>
        </is>
      </c>
      <c r="E1059" s="16" t="n">
        <v>45747</v>
      </c>
      <c r="F1059" s="16" t="inlineStr">
        <is>
          <t>XK2503-82</t>
        </is>
      </c>
      <c r="G1059" s="16" t="n">
        <v>45747</v>
      </c>
      <c r="H1059" s="17" t="inlineStr">
        <is>
          <t>CÔNG TY TNHH XUẤT NHẬP KHẨU THƯƠNG MẠI KIÊN HOÀNG</t>
        </is>
      </c>
      <c r="I1059" s="17" t="inlineStr">
        <is>
          <t>Thép tấm (120x900x900mm)</t>
        </is>
      </c>
      <c r="J1059" s="17" t="inlineStr">
        <is>
          <t>kg</t>
        </is>
      </c>
      <c r="K1059" s="19" t="n">
        <v>20000</v>
      </c>
      <c r="L1059" s="20" t="n"/>
      <c r="M1059" s="20" t="n"/>
      <c r="N1059" s="43" t="n">
        <v>1526</v>
      </c>
      <c r="O1059" s="20" t="n">
        <v>30520000</v>
      </c>
      <c r="P1059" s="43" t="n">
        <v>1526</v>
      </c>
      <c r="Q1059" s="20" t="n">
        <v>30520000</v>
      </c>
      <c r="R1059" s="42">
        <f>+L1059+N1059-P1059</f>
        <v/>
      </c>
      <c r="S1059" s="42">
        <f>+M1059+O1059-Q1059</f>
        <v/>
      </c>
    </row>
    <row r="1060" ht="30" customHeight="1">
      <c r="A1060" s="16" t="n">
        <v>45749</v>
      </c>
      <c r="B1060" s="17" t="inlineStr">
        <is>
          <t>MH2504-02</t>
        </is>
      </c>
      <c r="C1060" s="16" t="n">
        <v>45749</v>
      </c>
      <c r="D1060" s="17" t="inlineStr">
        <is>
          <t>00000309</t>
        </is>
      </c>
      <c r="E1060" s="16" t="n">
        <v>45749</v>
      </c>
      <c r="F1060" s="16" t="inlineStr">
        <is>
          <t>XK2504-01</t>
        </is>
      </c>
      <c r="G1060" s="16" t="n">
        <v>45749</v>
      </c>
      <c r="H1060" s="17" t="inlineStr">
        <is>
          <t>CÔNG TY TNHH XUẤT NHẬP KHẨU THƯƠNG MẠI KIÊN HOÀNG</t>
        </is>
      </c>
      <c r="I1060" s="17" t="inlineStr">
        <is>
          <t>Thép tấm (55x2000x9000mm)</t>
        </is>
      </c>
      <c r="J1060" s="17" t="inlineStr">
        <is>
          <t>kg</t>
        </is>
      </c>
      <c r="K1060" s="19" t="n">
        <v>16636</v>
      </c>
      <c r="L1060" s="21" t="n"/>
      <c r="M1060" s="22" t="n"/>
      <c r="N1060" s="22" t="n">
        <v>7771.5</v>
      </c>
      <c r="O1060" s="22" t="n">
        <v>129286674</v>
      </c>
      <c r="P1060" s="22" t="n">
        <v>7771.5</v>
      </c>
      <c r="Q1060" s="22" t="n">
        <v>129286674</v>
      </c>
      <c r="R1060" s="42">
        <f>+L1060+N1060-P1060</f>
        <v/>
      </c>
      <c r="S1060" s="42">
        <f>+M1060+O1060-Q1060</f>
        <v/>
      </c>
    </row>
    <row r="1061" ht="30" customHeight="1">
      <c r="A1061" s="16" t="n">
        <v>45749</v>
      </c>
      <c r="B1061" s="17" t="inlineStr">
        <is>
          <t>MH2504-02</t>
        </is>
      </c>
      <c r="C1061" s="16" t="n">
        <v>45749</v>
      </c>
      <c r="D1061" s="17" t="inlineStr">
        <is>
          <t>00000309</t>
        </is>
      </c>
      <c r="E1061" s="16" t="n">
        <v>45749</v>
      </c>
      <c r="F1061" s="16" t="inlineStr">
        <is>
          <t>XK2504-01</t>
        </is>
      </c>
      <c r="G1061" s="16" t="n">
        <v>45749</v>
      </c>
      <c r="H1061" s="17" t="inlineStr">
        <is>
          <t>CÔNG TY TNHH XUẤT NHẬP KHẨU THƯƠNG MẠI KIÊN HOÀNG</t>
        </is>
      </c>
      <c r="I1061" s="17" t="inlineStr">
        <is>
          <t>Thép tấm (55x2000x3000mm)</t>
        </is>
      </c>
      <c r="J1061" s="17" t="inlineStr">
        <is>
          <t>kg</t>
        </is>
      </c>
      <c r="K1061" s="19" t="n">
        <v>16636</v>
      </c>
      <c r="L1061" s="21" t="n"/>
      <c r="M1061" s="22" t="n"/>
      <c r="N1061" s="22" t="n">
        <v>2590.5</v>
      </c>
      <c r="O1061" s="22" t="n">
        <v>43095558</v>
      </c>
      <c r="P1061" s="22" t="n">
        <v>2590.5</v>
      </c>
      <c r="Q1061" s="22" t="n">
        <v>43095558</v>
      </c>
      <c r="R1061" s="42">
        <f>+L1061+N1061-P1061</f>
        <v/>
      </c>
      <c r="S1061" s="42">
        <f>+M1061+O1061-Q1061</f>
        <v/>
      </c>
    </row>
    <row r="1062" ht="15" customHeight="1">
      <c r="A1062" s="16" t="n">
        <v>45750</v>
      </c>
      <c r="B1062" s="17" t="inlineStr">
        <is>
          <t>MH2504-04</t>
        </is>
      </c>
      <c r="C1062" s="16" t="n">
        <v>45750</v>
      </c>
      <c r="D1062" s="17" t="inlineStr">
        <is>
          <t>00003102</t>
        </is>
      </c>
      <c r="E1062" s="16" t="n">
        <v>45750</v>
      </c>
      <c r="F1062" s="16" t="inlineStr">
        <is>
          <t>XK2504-02</t>
        </is>
      </c>
      <c r="G1062" s="16" t="n">
        <v>45750</v>
      </c>
      <c r="H1062" s="17" t="inlineStr">
        <is>
          <t>CÔNG TY TNHH SƠN JOTUN VIỆT NAM</t>
        </is>
      </c>
      <c r="I1062" s="17" t="inlineStr">
        <is>
          <t>SƠN JOTAMASTIC 70 RED 18L</t>
        </is>
      </c>
      <c r="J1062" s="17" t="inlineStr">
        <is>
          <t>Lít</t>
        </is>
      </c>
      <c r="K1062" s="19" t="n">
        <v>90000</v>
      </c>
      <c r="L1062" s="21" t="n"/>
      <c r="M1062" s="22" t="n"/>
      <c r="N1062" s="22" t="n">
        <v>774</v>
      </c>
      <c r="O1062" s="22" t="n">
        <v>69660000</v>
      </c>
      <c r="P1062" s="22" t="n">
        <v>774</v>
      </c>
      <c r="Q1062" s="22" t="n">
        <v>69660000</v>
      </c>
      <c r="R1062" s="42">
        <f>+L1062+N1062-P1062</f>
        <v/>
      </c>
      <c r="S1062" s="42">
        <f>+M1062+O1062-Q1062</f>
        <v/>
      </c>
    </row>
    <row r="1063" ht="15" customHeight="1">
      <c r="A1063" s="16" t="n">
        <v>45750</v>
      </c>
      <c r="B1063" s="17" t="inlineStr">
        <is>
          <t>MH2504-04</t>
        </is>
      </c>
      <c r="C1063" s="16" t="n">
        <v>45750</v>
      </c>
      <c r="D1063" s="17" t="inlineStr">
        <is>
          <t>00003102</t>
        </is>
      </c>
      <c r="E1063" s="16" t="n">
        <v>45750</v>
      </c>
      <c r="F1063" s="16" t="inlineStr">
        <is>
          <t>XK2504-02</t>
        </is>
      </c>
      <c r="G1063" s="16" t="n">
        <v>45750</v>
      </c>
      <c r="H1063" s="17" t="inlineStr">
        <is>
          <t>CÔNG TY TNHH SƠN JOTUN VIỆT NAM</t>
        </is>
      </c>
      <c r="I1063" s="17" t="inlineStr">
        <is>
          <t>SƠN JOTAMASTIC 70 GREY 18L</t>
        </is>
      </c>
      <c r="J1063" s="17" t="inlineStr">
        <is>
          <t>Lít</t>
        </is>
      </c>
      <c r="K1063" s="19" t="n">
        <v>90000</v>
      </c>
      <c r="L1063" s="21" t="n"/>
      <c r="M1063" s="22" t="n"/>
      <c r="N1063" s="22" t="n">
        <v>774</v>
      </c>
      <c r="O1063" s="22" t="n">
        <v>69660000</v>
      </c>
      <c r="P1063" s="22" t="n">
        <v>774</v>
      </c>
      <c r="Q1063" s="22" t="n">
        <v>69660000</v>
      </c>
      <c r="R1063" s="42">
        <f>+L1063+N1063-P1063</f>
        <v/>
      </c>
      <c r="S1063" s="42">
        <f>+M1063+O1063-Q1063</f>
        <v/>
      </c>
    </row>
    <row r="1064" ht="15" customHeight="1">
      <c r="A1064" s="16" t="n">
        <v>45750</v>
      </c>
      <c r="B1064" s="17" t="inlineStr">
        <is>
          <t>MH2504-04</t>
        </is>
      </c>
      <c r="C1064" s="16" t="n">
        <v>45750</v>
      </c>
      <c r="D1064" s="17" t="inlineStr">
        <is>
          <t>00003102</t>
        </is>
      </c>
      <c r="E1064" s="16" t="n">
        <v>45750</v>
      </c>
      <c r="F1064" s="16" t="inlineStr">
        <is>
          <t>XK2504-02</t>
        </is>
      </c>
      <c r="G1064" s="16" t="n">
        <v>45750</v>
      </c>
      <c r="H1064" s="17" t="inlineStr">
        <is>
          <t>CÔNG TY TNHH SƠN JOTUN VIỆT NAM</t>
        </is>
      </c>
      <c r="I1064" s="17" t="inlineStr">
        <is>
          <t>SƠN FUTURA CLASSIC RAL7042 18.33L</t>
        </is>
      </c>
      <c r="J1064" s="17" t="inlineStr">
        <is>
          <t>Lít</t>
        </is>
      </c>
      <c r="K1064" s="19" t="n">
        <v>155000</v>
      </c>
      <c r="L1064" s="21" t="n"/>
      <c r="M1064" s="22" t="n"/>
      <c r="N1064" s="22" t="n">
        <v>879.84</v>
      </c>
      <c r="O1064" s="22" t="n">
        <v>136375200</v>
      </c>
      <c r="P1064" s="22" t="n">
        <v>879.84</v>
      </c>
      <c r="Q1064" s="22" t="n">
        <v>136375200</v>
      </c>
      <c r="R1064" s="42">
        <f>+L1064+N1064-P1064</f>
        <v/>
      </c>
      <c r="S1064" s="42">
        <f>+M1064+O1064-Q1064</f>
        <v/>
      </c>
    </row>
    <row r="1065" ht="15" customHeight="1">
      <c r="A1065" s="16" t="n">
        <v>45750</v>
      </c>
      <c r="B1065" s="17" t="inlineStr">
        <is>
          <t>MH2504-04</t>
        </is>
      </c>
      <c r="C1065" s="16" t="n">
        <v>45750</v>
      </c>
      <c r="D1065" s="17" t="inlineStr">
        <is>
          <t>00003102</t>
        </is>
      </c>
      <c r="E1065" s="16" t="n">
        <v>45750</v>
      </c>
      <c r="F1065" s="16" t="inlineStr">
        <is>
          <t>XK2504-02</t>
        </is>
      </c>
      <c r="G1065" s="16" t="n">
        <v>45750</v>
      </c>
      <c r="H1065" s="17" t="inlineStr">
        <is>
          <t>CÔNG TY TNHH SƠN JOTUN VIỆT NAM</t>
        </is>
      </c>
      <c r="I1065" s="17" t="inlineStr">
        <is>
          <t>DUNG MÔI JOTUN THINNER NO. 17 20L</t>
        </is>
      </c>
      <c r="J1065" s="17" t="inlineStr">
        <is>
          <t>Lít</t>
        </is>
      </c>
      <c r="K1065" s="19" t="n">
        <v>60000</v>
      </c>
      <c r="L1065" s="21" t="n"/>
      <c r="M1065" s="22" t="n"/>
      <c r="N1065" s="22" t="n">
        <v>220</v>
      </c>
      <c r="O1065" s="22" t="n">
        <v>13200000</v>
      </c>
      <c r="P1065" s="22" t="n">
        <v>220</v>
      </c>
      <c r="Q1065" s="22" t="n">
        <v>13200000</v>
      </c>
      <c r="R1065" s="42">
        <f>+L1065+N1065-P1065</f>
        <v/>
      </c>
      <c r="S1065" s="42">
        <f>+M1065+O1065-Q1065</f>
        <v/>
      </c>
    </row>
    <row r="1066" ht="15" customHeight="1">
      <c r="A1066" s="16" t="n">
        <v>45750</v>
      </c>
      <c r="B1066" s="17" t="inlineStr">
        <is>
          <t>MH2504-04</t>
        </is>
      </c>
      <c r="C1066" s="16" t="n">
        <v>45750</v>
      </c>
      <c r="D1066" s="17" t="inlineStr">
        <is>
          <t>00003102</t>
        </is>
      </c>
      <c r="E1066" s="16" t="n">
        <v>45750</v>
      </c>
      <c r="F1066" s="16" t="inlineStr">
        <is>
          <t>XK2504-02</t>
        </is>
      </c>
      <c r="G1066" s="16" t="n">
        <v>45750</v>
      </c>
      <c r="H1066" s="17" t="inlineStr">
        <is>
          <t>CÔNG TY TNHH SƠN JOTUN VIỆT NAM</t>
        </is>
      </c>
      <c r="I1066" s="17" t="inlineStr">
        <is>
          <t>DUNG MÔI JOTUN THINNER NO. 17 5L</t>
        </is>
      </c>
      <c r="J1066" s="17" t="inlineStr">
        <is>
          <t>Lít</t>
        </is>
      </c>
      <c r="K1066" s="19" t="n">
        <v>60000</v>
      </c>
      <c r="L1066" s="21" t="n"/>
      <c r="M1066" s="22" t="n"/>
      <c r="N1066" s="22" t="n">
        <v>10</v>
      </c>
      <c r="O1066" s="22" t="n">
        <v>600000</v>
      </c>
      <c r="P1066" s="22" t="n">
        <v>10</v>
      </c>
      <c r="Q1066" s="22" t="n">
        <v>600000</v>
      </c>
      <c r="R1066" s="42">
        <f>+L1066+N1066-P1066</f>
        <v/>
      </c>
      <c r="S1066" s="42">
        <f>+M1066+O1066-Q1066</f>
        <v/>
      </c>
    </row>
    <row r="1067" ht="15" customHeight="1">
      <c r="A1067" s="16" t="n">
        <v>45750</v>
      </c>
      <c r="B1067" s="17" t="inlineStr">
        <is>
          <t>MH2504-04</t>
        </is>
      </c>
      <c r="C1067" s="16" t="n">
        <v>45750</v>
      </c>
      <c r="D1067" s="17" t="inlineStr">
        <is>
          <t>00003102</t>
        </is>
      </c>
      <c r="E1067" s="16" t="n">
        <v>45750</v>
      </c>
      <c r="F1067" s="16" t="inlineStr">
        <is>
          <t>XK2504-02</t>
        </is>
      </c>
      <c r="G1067" s="16" t="n">
        <v>45750</v>
      </c>
      <c r="H1067" s="17" t="inlineStr">
        <is>
          <t>CÔNG TY TNHH SƠN JOTUN VIỆT NAM</t>
        </is>
      </c>
      <c r="I1067" s="17" t="inlineStr">
        <is>
          <t>DUNG MÔI JOTUN THINNER NO. 10 20L</t>
        </is>
      </c>
      <c r="J1067" s="17" t="inlineStr">
        <is>
          <t>Lít</t>
        </is>
      </c>
      <c r="K1067" s="19" t="n">
        <v>60000</v>
      </c>
      <c r="L1067" s="21" t="n"/>
      <c r="M1067" s="22" t="n"/>
      <c r="N1067" s="22" t="n">
        <v>120</v>
      </c>
      <c r="O1067" s="22" t="n">
        <v>7200000</v>
      </c>
      <c r="P1067" s="22" t="n">
        <v>120</v>
      </c>
      <c r="Q1067" s="22" t="n">
        <v>7200000</v>
      </c>
      <c r="R1067" s="42">
        <f>+L1067+N1067-P1067</f>
        <v/>
      </c>
      <c r="S1067" s="42">
        <f>+M1067+O1067-Q1067</f>
        <v/>
      </c>
    </row>
    <row r="1068" ht="15" customHeight="1">
      <c r="A1068" s="16" t="n">
        <v>45750</v>
      </c>
      <c r="B1068" s="17" t="inlineStr">
        <is>
          <t>MH2504-04</t>
        </is>
      </c>
      <c r="C1068" s="16" t="n">
        <v>45750</v>
      </c>
      <c r="D1068" s="17" t="inlineStr">
        <is>
          <t>00003102</t>
        </is>
      </c>
      <c r="E1068" s="16" t="n">
        <v>45750</v>
      </c>
      <c r="F1068" s="16" t="inlineStr">
        <is>
          <t>XK2504-02</t>
        </is>
      </c>
      <c r="G1068" s="16" t="n">
        <v>45750</v>
      </c>
      <c r="H1068" s="17" t="inlineStr">
        <is>
          <t>CÔNG TY TNHH SƠN JOTUN VIỆT NAM</t>
        </is>
      </c>
      <c r="I1068" s="17" t="inlineStr">
        <is>
          <t>DUNG MÔI JOTUN THINNER NO. 10 5L</t>
        </is>
      </c>
      <c r="J1068" s="17" t="inlineStr">
        <is>
          <t>Lít</t>
        </is>
      </c>
      <c r="K1068" s="19" t="n">
        <v>60000</v>
      </c>
      <c r="L1068" s="21" t="n"/>
      <c r="M1068" s="22" t="n"/>
      <c r="N1068" s="22" t="n">
        <v>10</v>
      </c>
      <c r="O1068" s="22" t="n">
        <v>600000</v>
      </c>
      <c r="P1068" s="22" t="n">
        <v>10</v>
      </c>
      <c r="Q1068" s="22" t="n">
        <v>600000</v>
      </c>
      <c r="R1068" s="42">
        <f>+L1068+N1068-P1068</f>
        <v/>
      </c>
      <c r="S1068" s="42">
        <f>+M1068+O1068-Q1068</f>
        <v/>
      </c>
    </row>
    <row r="1069" ht="15" customHeight="1">
      <c r="A1069" s="16" t="n">
        <v>45750</v>
      </c>
      <c r="B1069" s="17" t="inlineStr">
        <is>
          <t>MH2504-05</t>
        </is>
      </c>
      <c r="C1069" s="16" t="n">
        <v>45750</v>
      </c>
      <c r="D1069" s="17" t="inlineStr">
        <is>
          <t>00003103</t>
        </is>
      </c>
      <c r="E1069" s="16" t="n">
        <v>45750</v>
      </c>
      <c r="F1069" s="16" t="inlineStr">
        <is>
          <t>XK2504-02</t>
        </is>
      </c>
      <c r="G1069" s="16" t="n">
        <v>45750</v>
      </c>
      <c r="H1069" s="17" t="inlineStr">
        <is>
          <t>CÔNG TY TNHH SƠN JOTUN VIỆT NAM</t>
        </is>
      </c>
      <c r="I1069" s="17" t="inlineStr">
        <is>
          <t>SƠN JOTAMASTIC 70 GREY 18L</t>
        </is>
      </c>
      <c r="J1069" s="17" t="inlineStr">
        <is>
          <t>Lít</t>
        </is>
      </c>
      <c r="K1069" s="19" t="n">
        <v>90000</v>
      </c>
      <c r="L1069" s="21" t="n"/>
      <c r="M1069" s="22" t="n"/>
      <c r="N1069" s="22" t="n">
        <v>576</v>
      </c>
      <c r="O1069" s="22" t="n">
        <v>51840000</v>
      </c>
      <c r="P1069" s="22" t="n">
        <v>576</v>
      </c>
      <c r="Q1069" s="22" t="n">
        <v>51840000</v>
      </c>
      <c r="R1069" s="42">
        <f>+L1069+N1069-P1069</f>
        <v/>
      </c>
      <c r="S1069" s="42">
        <f>+M1069+O1069-Q1069</f>
        <v/>
      </c>
    </row>
    <row r="1070" ht="15" customHeight="1">
      <c r="A1070" s="16" t="n">
        <v>45750</v>
      </c>
      <c r="B1070" s="17" t="inlineStr">
        <is>
          <t>MH2504-05</t>
        </is>
      </c>
      <c r="C1070" s="16" t="n">
        <v>45750</v>
      </c>
      <c r="D1070" s="17" t="inlineStr">
        <is>
          <t>00003103</t>
        </is>
      </c>
      <c r="E1070" s="16" t="n">
        <v>45750</v>
      </c>
      <c r="F1070" s="16" t="inlineStr">
        <is>
          <t>XK2504-02</t>
        </is>
      </c>
      <c r="G1070" s="16" t="n">
        <v>45750</v>
      </c>
      <c r="H1070" s="17" t="inlineStr">
        <is>
          <t>CÔNG TY TNHH SƠN JOTUN VIỆT NAM</t>
        </is>
      </c>
      <c r="I1070" s="17" t="inlineStr">
        <is>
          <t>SƠN FUTURA CLASSIC RAL7000 18.37L</t>
        </is>
      </c>
      <c r="J1070" s="17" t="inlineStr">
        <is>
          <t>Lít</t>
        </is>
      </c>
      <c r="K1070" s="19" t="n">
        <v>155000</v>
      </c>
      <c r="L1070" s="21" t="n"/>
      <c r="M1070" s="22" t="n"/>
      <c r="N1070" s="22" t="n">
        <v>275.55</v>
      </c>
      <c r="O1070" s="22" t="n">
        <v>42710250</v>
      </c>
      <c r="P1070" s="22" t="n">
        <v>275.55</v>
      </c>
      <c r="Q1070" s="22" t="n">
        <v>42710250</v>
      </c>
      <c r="R1070" s="42">
        <f>+L1070+N1070-P1070</f>
        <v/>
      </c>
      <c r="S1070" s="42">
        <f>+M1070+O1070-Q1070</f>
        <v/>
      </c>
    </row>
    <row r="1071" ht="15" customHeight="1">
      <c r="A1071" s="16" t="n">
        <v>45750</v>
      </c>
      <c r="B1071" s="17" t="inlineStr">
        <is>
          <t>MH2504-05</t>
        </is>
      </c>
      <c r="C1071" s="16" t="n">
        <v>45750</v>
      </c>
      <c r="D1071" s="17" t="inlineStr">
        <is>
          <t>00003103</t>
        </is>
      </c>
      <c r="E1071" s="16" t="n">
        <v>45750</v>
      </c>
      <c r="F1071" s="16" t="inlineStr">
        <is>
          <t>XK2504-02</t>
        </is>
      </c>
      <c r="G1071" s="16" t="n">
        <v>45750</v>
      </c>
      <c r="H1071" s="17" t="inlineStr">
        <is>
          <t>CÔNG TY TNHH SƠN JOTUN VIỆT NAM</t>
        </is>
      </c>
      <c r="I1071" s="17" t="inlineStr">
        <is>
          <t>DUNG MÔI JOTUN THINNER NO. 17 20L</t>
        </is>
      </c>
      <c r="J1071" s="17" t="inlineStr">
        <is>
          <t>Lít</t>
        </is>
      </c>
      <c r="K1071" s="19" t="n">
        <v>60000</v>
      </c>
      <c r="L1071" s="21" t="n"/>
      <c r="M1071" s="22" t="n"/>
      <c r="N1071" s="22" t="n">
        <v>80</v>
      </c>
      <c r="O1071" s="22" t="n">
        <v>4800000</v>
      </c>
      <c r="P1071" s="22" t="n">
        <v>80</v>
      </c>
      <c r="Q1071" s="22" t="n">
        <v>4800000</v>
      </c>
      <c r="R1071" s="42">
        <f>+L1071+N1071-P1071</f>
        <v/>
      </c>
      <c r="S1071" s="42">
        <f>+M1071+O1071-Q1071</f>
        <v/>
      </c>
    </row>
    <row r="1072" ht="15" customHeight="1">
      <c r="A1072" s="16" t="n">
        <v>45750</v>
      </c>
      <c r="B1072" s="17" t="inlineStr">
        <is>
          <t>MH2504-06</t>
        </is>
      </c>
      <c r="C1072" s="16" t="n">
        <v>45750</v>
      </c>
      <c r="D1072" s="17" t="inlineStr">
        <is>
          <t>0000049</t>
        </is>
      </c>
      <c r="E1072" s="16" t="n">
        <v>45750</v>
      </c>
      <c r="F1072" s="16" t="inlineStr">
        <is>
          <t>XK2504-03</t>
        </is>
      </c>
      <c r="G1072" s="16" t="n">
        <v>45750</v>
      </c>
      <c r="H1072" s="17" t="inlineStr">
        <is>
          <t>CÔNG TY TNHH TÀI LỘC WINDOW</t>
        </is>
      </c>
      <c r="I1072" s="17" t="inlineStr">
        <is>
          <t>Cửa thép chống cháy Galaxy EI120</t>
        </is>
      </c>
      <c r="J1072" s="17" t="inlineStr">
        <is>
          <t>Bộ</t>
        </is>
      </c>
      <c r="K1072" s="19" t="n">
        <v>26940000</v>
      </c>
      <c r="L1072" s="21" t="n"/>
      <c r="M1072" s="22" t="n"/>
      <c r="N1072" s="22" t="n">
        <v>6</v>
      </c>
      <c r="O1072" s="22" t="n">
        <v>161640000</v>
      </c>
      <c r="P1072" s="22" t="n">
        <v>6</v>
      </c>
      <c r="Q1072" s="22" t="n">
        <v>161640000</v>
      </c>
      <c r="R1072" s="42">
        <f>+L1072+N1072-P1072</f>
        <v/>
      </c>
      <c r="S1072" s="42">
        <f>+M1072+O1072-Q1072</f>
        <v/>
      </c>
    </row>
    <row r="1073" ht="30" customHeight="1">
      <c r="A1073" s="16" t="n">
        <v>45751</v>
      </c>
      <c r="B1073" s="17" t="inlineStr">
        <is>
          <t>MH2504-08</t>
        </is>
      </c>
      <c r="C1073" s="16" t="n">
        <v>45751</v>
      </c>
      <c r="D1073" s="17" t="inlineStr">
        <is>
          <t>00001125</t>
        </is>
      </c>
      <c r="E1073" s="16" t="n">
        <v>45751</v>
      </c>
      <c r="F1073" s="16" t="inlineStr">
        <is>
          <t>XK2504-04</t>
        </is>
      </c>
      <c r="G1073" s="16" t="n">
        <v>45751</v>
      </c>
      <c r="H1073" s="17" t="inlineStr">
        <is>
          <t>CÔNG TY CỔ PHẦN CÔNG NGHIỆP VÀ THƯƠNG MẠI CƯỜNG THỊNH</t>
        </is>
      </c>
      <c r="I1073" s="17" t="inlineStr">
        <is>
          <t>Đinh hàn 5.6 M25x100</t>
        </is>
      </c>
      <c r="J1073" s="17" t="inlineStr">
        <is>
          <t>Cái</t>
        </is>
      </c>
      <c r="K1073" s="19" t="n">
        <v>18000</v>
      </c>
      <c r="L1073" s="21" t="n"/>
      <c r="M1073" s="22" t="n"/>
      <c r="N1073" s="22" t="n">
        <v>1000</v>
      </c>
      <c r="O1073" s="22" t="n">
        <v>18000000</v>
      </c>
      <c r="P1073" s="22" t="n">
        <v>1000</v>
      </c>
      <c r="Q1073" s="22" t="n">
        <v>18000000</v>
      </c>
      <c r="R1073" s="42">
        <f>+L1073+N1073-P1073</f>
        <v/>
      </c>
      <c r="S1073" s="42">
        <f>+M1073+O1073-Q1073</f>
        <v/>
      </c>
    </row>
    <row r="1074" ht="30" customHeight="1">
      <c r="A1074" s="16" t="n">
        <v>45751</v>
      </c>
      <c r="B1074" s="17" t="inlineStr">
        <is>
          <t>MH2504-09</t>
        </is>
      </c>
      <c r="C1074" s="16" t="n">
        <v>45751</v>
      </c>
      <c r="D1074" s="17" t="inlineStr">
        <is>
          <t>00001127</t>
        </is>
      </c>
      <c r="E1074" s="16" t="n">
        <v>45751</v>
      </c>
      <c r="F1074" s="16" t="inlineStr">
        <is>
          <t>XK2504-04</t>
        </is>
      </c>
      <c r="G1074" s="16" t="n">
        <v>45751</v>
      </c>
      <c r="H1074" s="17" t="inlineStr">
        <is>
          <t>CÔNG TY CỔ PHẦN CÔNG NGHIỆP VÀ THƯƠNG MẠI CƯỜNG THỊNH</t>
        </is>
      </c>
      <c r="I1074" s="17" t="inlineStr">
        <is>
          <t>Ty giằng 2 đầu ren 4.6 ZP M16</t>
        </is>
      </c>
      <c r="J1074" s="17" t="inlineStr">
        <is>
          <t>Mét</t>
        </is>
      </c>
      <c r="K1074" s="19" t="n">
        <v>48000</v>
      </c>
      <c r="L1074" s="21" t="n"/>
      <c r="M1074" s="22" t="n"/>
      <c r="N1074" s="22" t="n">
        <v>458.83</v>
      </c>
      <c r="O1074" s="22" t="n">
        <v>22023840</v>
      </c>
      <c r="P1074" s="22" t="n">
        <v>458.83</v>
      </c>
      <c r="Q1074" s="22" t="n">
        <v>22023840</v>
      </c>
      <c r="R1074" s="42">
        <f>+L1074+N1074-P1074</f>
        <v/>
      </c>
      <c r="S1074" s="42">
        <f>+M1074+O1074-Q1074</f>
        <v/>
      </c>
    </row>
    <row r="1075" ht="30" customHeight="1">
      <c r="A1075" s="16" t="n">
        <v>45751</v>
      </c>
      <c r="B1075" s="17" t="inlineStr">
        <is>
          <t>MH2504-09</t>
        </is>
      </c>
      <c r="C1075" s="16" t="n">
        <v>45751</v>
      </c>
      <c r="D1075" s="17" t="inlineStr">
        <is>
          <t>00001127</t>
        </is>
      </c>
      <c r="E1075" s="16" t="n">
        <v>45751</v>
      </c>
      <c r="F1075" s="16" t="inlineStr">
        <is>
          <t>XK2504-04</t>
        </is>
      </c>
      <c r="G1075" s="16" t="n">
        <v>45751</v>
      </c>
      <c r="H1075" s="17" t="inlineStr">
        <is>
          <t>CÔNG TY CỔ PHẦN CÔNG NGHIỆP VÀ THƯƠNG MẠI CƯỜNG THỊNH</t>
        </is>
      </c>
      <c r="I1075" s="17" t="inlineStr">
        <is>
          <t>Đai ốc Din 934 5 ZP M16</t>
        </is>
      </c>
      <c r="J1075" s="17" t="inlineStr">
        <is>
          <t>Cái</t>
        </is>
      </c>
      <c r="K1075" s="19" t="n">
        <v>1110</v>
      </c>
      <c r="L1075" s="21" t="n"/>
      <c r="M1075" s="22" t="n"/>
      <c r="N1075" s="22" t="n">
        <v>160</v>
      </c>
      <c r="O1075" s="22" t="n">
        <v>177600</v>
      </c>
      <c r="P1075" s="22" t="n">
        <v>160</v>
      </c>
      <c r="Q1075" s="22" t="n">
        <v>177600</v>
      </c>
      <c r="R1075" s="42">
        <f>+L1075+N1075-P1075</f>
        <v/>
      </c>
      <c r="S1075" s="42">
        <f>+M1075+O1075-Q1075</f>
        <v/>
      </c>
    </row>
    <row r="1076" ht="30" customHeight="1">
      <c r="A1076" s="16" t="n">
        <v>45751</v>
      </c>
      <c r="B1076" s="17" t="inlineStr">
        <is>
          <t>MH2504-09</t>
        </is>
      </c>
      <c r="C1076" s="16" t="n">
        <v>45751</v>
      </c>
      <c r="D1076" s="17" t="inlineStr">
        <is>
          <t>00001127</t>
        </is>
      </c>
      <c r="E1076" s="16" t="n">
        <v>45751</v>
      </c>
      <c r="F1076" s="16" t="inlineStr">
        <is>
          <t>XK2504-04</t>
        </is>
      </c>
      <c r="G1076" s="16" t="n">
        <v>45751</v>
      </c>
      <c r="H1076" s="17" t="inlineStr">
        <is>
          <t>CÔNG TY CỔ PHẦN CÔNG NGHIỆP VÀ THƯƠNG MẠI CƯỜNG THỊNH</t>
        </is>
      </c>
      <c r="I1076" s="17" t="inlineStr">
        <is>
          <t>Long đền thường ZP M16B42D2</t>
        </is>
      </c>
      <c r="J1076" s="17" t="inlineStr">
        <is>
          <t>Cái</t>
        </is>
      </c>
      <c r="K1076" s="19" t="n">
        <v>800</v>
      </c>
      <c r="L1076" s="21" t="n"/>
      <c r="M1076" s="22" t="n"/>
      <c r="N1076" s="22" t="n">
        <v>160</v>
      </c>
      <c r="O1076" s="22" t="n">
        <v>128000</v>
      </c>
      <c r="P1076" s="22" t="n">
        <v>160</v>
      </c>
      <c r="Q1076" s="22" t="n">
        <v>128000</v>
      </c>
      <c r="R1076" s="42">
        <f>+L1076+N1076-P1076</f>
        <v/>
      </c>
      <c r="S1076" s="42">
        <f>+M1076+O1076-Q1076</f>
        <v/>
      </c>
    </row>
    <row r="1077" ht="30" customHeight="1">
      <c r="A1077" s="16" t="n">
        <v>45751</v>
      </c>
      <c r="B1077" s="17" t="inlineStr">
        <is>
          <t>MH2504-09</t>
        </is>
      </c>
      <c r="C1077" s="16" t="n">
        <v>45751</v>
      </c>
      <c r="D1077" s="17" t="inlineStr">
        <is>
          <t>00001127</t>
        </is>
      </c>
      <c r="E1077" s="16" t="n">
        <v>45751</v>
      </c>
      <c r="F1077" s="16" t="inlineStr">
        <is>
          <t>XK2504-04</t>
        </is>
      </c>
      <c r="G1077" s="16" t="n">
        <v>45751</v>
      </c>
      <c r="H1077" s="17" t="inlineStr">
        <is>
          <t>CÔNG TY CỔ PHẦN CÔNG NGHIỆP VÀ THƯƠNG MẠI CƯỜNG THỊNH</t>
        </is>
      </c>
      <c r="I1077" s="17" t="inlineStr">
        <is>
          <t>Long đền móng ngựa ZP M16</t>
        </is>
      </c>
      <c r="J1077" s="17" t="inlineStr">
        <is>
          <t>Cái</t>
        </is>
      </c>
      <c r="K1077" s="19" t="n">
        <v>15670</v>
      </c>
      <c r="L1077" s="21" t="n"/>
      <c r="M1077" s="22" t="n"/>
      <c r="N1077" s="22" t="n">
        <v>160</v>
      </c>
      <c r="O1077" s="22" t="n">
        <v>2507200</v>
      </c>
      <c r="P1077" s="22" t="n">
        <v>160</v>
      </c>
      <c r="Q1077" s="22" t="n">
        <v>2507200</v>
      </c>
      <c r="R1077" s="42">
        <f>+L1077+N1077-P1077</f>
        <v/>
      </c>
      <c r="S1077" s="42">
        <f>+M1077+O1077-Q1077</f>
        <v/>
      </c>
    </row>
    <row r="1078" ht="30" customHeight="1">
      <c r="A1078" s="16" t="n">
        <v>45751</v>
      </c>
      <c r="B1078" s="17" t="inlineStr">
        <is>
          <t>MH2504-09</t>
        </is>
      </c>
      <c r="C1078" s="16" t="n">
        <v>45751</v>
      </c>
      <c r="D1078" s="17" t="inlineStr">
        <is>
          <t>00001127</t>
        </is>
      </c>
      <c r="E1078" s="16" t="n">
        <v>45751</v>
      </c>
      <c r="F1078" s="16" t="inlineStr">
        <is>
          <t>XK2504-04</t>
        </is>
      </c>
      <c r="G1078" s="16" t="n">
        <v>45751</v>
      </c>
      <c r="H1078" s="17" t="inlineStr">
        <is>
          <t>CÔNG TY CỔ PHẦN CÔNG NGHIỆP VÀ THƯƠNG MẠI CƯỜNG THỊNH</t>
        </is>
      </c>
      <c r="I1078" s="17" t="inlineStr">
        <is>
          <t>Nối Ty ZP M16x100 (23mm)</t>
        </is>
      </c>
      <c r="J1078" s="17" t="inlineStr">
        <is>
          <t>Cái</t>
        </is>
      </c>
      <c r="K1078" s="19" t="n">
        <v>24160</v>
      </c>
      <c r="L1078" s="21" t="n"/>
      <c r="M1078" s="22" t="n"/>
      <c r="N1078" s="22" t="n">
        <v>42</v>
      </c>
      <c r="O1078" s="22" t="n">
        <v>1014720</v>
      </c>
      <c r="P1078" s="22" t="n">
        <v>42</v>
      </c>
      <c r="Q1078" s="22" t="n">
        <v>1014720</v>
      </c>
      <c r="R1078" s="42">
        <f>+L1078+N1078-P1078</f>
        <v/>
      </c>
      <c r="S1078" s="42">
        <f>+M1078+O1078-Q1078</f>
        <v/>
      </c>
    </row>
    <row r="1079" ht="30" customHeight="1">
      <c r="A1079" s="16" t="n">
        <v>45751</v>
      </c>
      <c r="B1079" s="17" t="inlineStr">
        <is>
          <t>MH2504-09</t>
        </is>
      </c>
      <c r="C1079" s="16" t="n">
        <v>45751</v>
      </c>
      <c r="D1079" s="17" t="inlineStr">
        <is>
          <t>00001127</t>
        </is>
      </c>
      <c r="E1079" s="16" t="n">
        <v>45751</v>
      </c>
      <c r="F1079" s="16" t="inlineStr">
        <is>
          <t>XK2504-04</t>
        </is>
      </c>
      <c r="G1079" s="16" t="n">
        <v>45751</v>
      </c>
      <c r="H1079" s="17" t="inlineStr">
        <is>
          <t>CÔNG TY CỔ PHẦN CÔNG NGHIỆP VÀ THƯƠNG MẠI CƯỜNG THỊNH</t>
        </is>
      </c>
      <c r="I1079" s="17" t="inlineStr">
        <is>
          <t>Ty giằng 2 đầu ren 4.6 Ф11.3-11.5mm ZP M12</t>
        </is>
      </c>
      <c r="J1079" s="17" t="inlineStr">
        <is>
          <t>Mét</t>
        </is>
      </c>
      <c r="K1079" s="19" t="n">
        <v>20500</v>
      </c>
      <c r="L1079" s="21" t="n"/>
      <c r="M1079" s="22" t="n"/>
      <c r="N1079" s="22" t="n">
        <v>228.76</v>
      </c>
      <c r="O1079" s="22" t="n">
        <v>4689580</v>
      </c>
      <c r="P1079" s="22" t="n">
        <v>228.76</v>
      </c>
      <c r="Q1079" s="22" t="n">
        <v>4689580</v>
      </c>
      <c r="R1079" s="42">
        <f>+L1079+N1079-P1079</f>
        <v/>
      </c>
      <c r="S1079" s="42">
        <f>+M1079+O1079-Q1079</f>
        <v/>
      </c>
    </row>
    <row r="1080" ht="30" customHeight="1">
      <c r="A1080" s="16" t="n">
        <v>45751</v>
      </c>
      <c r="B1080" s="17" t="inlineStr">
        <is>
          <t>MH2504-09</t>
        </is>
      </c>
      <c r="C1080" s="16" t="n">
        <v>45751</v>
      </c>
      <c r="D1080" s="17" t="inlineStr">
        <is>
          <t>00001127</t>
        </is>
      </c>
      <c r="E1080" s="16" t="n">
        <v>45751</v>
      </c>
      <c r="F1080" s="16" t="inlineStr">
        <is>
          <t>XK2504-04</t>
        </is>
      </c>
      <c r="G1080" s="16" t="n">
        <v>45751</v>
      </c>
      <c r="H1080" s="17" t="inlineStr">
        <is>
          <t>CÔNG TY CỔ PHẦN CÔNG NGHIỆP VÀ THƯƠNG MẠI CƯỜNG THỊNH</t>
        </is>
      </c>
      <c r="I1080" s="17" t="inlineStr">
        <is>
          <t>Ty giằng 2 đầu ren 4.6 Ф11.3-11.5mm ZP M12</t>
        </is>
      </c>
      <c r="J1080" s="17" t="inlineStr">
        <is>
          <t>Mét</t>
        </is>
      </c>
      <c r="K1080" s="19" t="n">
        <v>22500</v>
      </c>
      <c r="L1080" s="21" t="n"/>
      <c r="M1080" s="22" t="n"/>
      <c r="N1080" s="22" t="n">
        <v>86.18000000000001</v>
      </c>
      <c r="O1080" s="22" t="n">
        <v>1939050</v>
      </c>
      <c r="P1080" s="22" t="n">
        <v>86.18000000000001</v>
      </c>
      <c r="Q1080" s="22" t="n">
        <v>1939050</v>
      </c>
      <c r="R1080" s="42">
        <f>+L1080+N1080-P1080</f>
        <v/>
      </c>
      <c r="S1080" s="42">
        <f>+M1080+O1080-Q1080</f>
        <v/>
      </c>
    </row>
    <row r="1081" ht="30" customHeight="1">
      <c r="A1081" s="16" t="n">
        <v>45751</v>
      </c>
      <c r="B1081" s="17" t="inlineStr">
        <is>
          <t>MH2504-09</t>
        </is>
      </c>
      <c r="C1081" s="16" t="n">
        <v>45751</v>
      </c>
      <c r="D1081" s="17" t="inlineStr">
        <is>
          <t>00001127</t>
        </is>
      </c>
      <c r="E1081" s="16" t="n">
        <v>45751</v>
      </c>
      <c r="F1081" s="16" t="inlineStr">
        <is>
          <t>XK2504-04</t>
        </is>
      </c>
      <c r="G1081" s="16" t="n">
        <v>45751</v>
      </c>
      <c r="H1081" s="17" t="inlineStr">
        <is>
          <t>CÔNG TY CỔ PHẦN CÔNG NGHIỆP VÀ THƯƠNG MẠI CƯỜNG THỊNH</t>
        </is>
      </c>
      <c r="I1081" s="17" t="inlineStr">
        <is>
          <t>Đai ốc thường 4 ZP M12 (9mm)</t>
        </is>
      </c>
      <c r="J1081" s="17" t="inlineStr">
        <is>
          <t>Cái</t>
        </is>
      </c>
      <c r="K1081" s="19" t="n">
        <v>360</v>
      </c>
      <c r="L1081" s="21" t="n"/>
      <c r="M1081" s="22" t="n"/>
      <c r="N1081" s="22" t="n">
        <v>1172</v>
      </c>
      <c r="O1081" s="22" t="n">
        <v>421920</v>
      </c>
      <c r="P1081" s="22" t="n">
        <v>1172</v>
      </c>
      <c r="Q1081" s="22" t="n">
        <v>421920</v>
      </c>
      <c r="R1081" s="42">
        <f>+L1081+N1081-P1081</f>
        <v/>
      </c>
      <c r="S1081" s="42">
        <f>+M1081+O1081-Q1081</f>
        <v/>
      </c>
    </row>
    <row r="1082" ht="30" customHeight="1">
      <c r="A1082" s="16" t="n">
        <v>45751</v>
      </c>
      <c r="B1082" s="17" t="inlineStr">
        <is>
          <t>MH2504-09</t>
        </is>
      </c>
      <c r="C1082" s="16" t="n">
        <v>45751</v>
      </c>
      <c r="D1082" s="17" t="inlineStr">
        <is>
          <t>00001127</t>
        </is>
      </c>
      <c r="E1082" s="16" t="n">
        <v>45751</v>
      </c>
      <c r="F1082" s="16" t="inlineStr">
        <is>
          <t>XK2504-04</t>
        </is>
      </c>
      <c r="G1082" s="16" t="n">
        <v>45751</v>
      </c>
      <c r="H1082" s="17" t="inlineStr">
        <is>
          <t>CÔNG TY CỔ PHẦN CÔNG NGHIỆP VÀ THƯƠNG MẠI CƯỜNG THỊNH</t>
        </is>
      </c>
      <c r="I1082" s="17" t="inlineStr">
        <is>
          <t>Long đền thường ZP M12B26D1.5</t>
        </is>
      </c>
      <c r="J1082" s="17" t="inlineStr">
        <is>
          <t>Cái</t>
        </is>
      </c>
      <c r="K1082" s="19" t="n">
        <v>190</v>
      </c>
      <c r="L1082" s="21" t="n"/>
      <c r="M1082" s="22" t="n"/>
      <c r="N1082" s="22" t="n">
        <v>1172</v>
      </c>
      <c r="O1082" s="22" t="n">
        <v>222680</v>
      </c>
      <c r="P1082" s="22" t="n">
        <v>1172</v>
      </c>
      <c r="Q1082" s="22" t="n">
        <v>222680</v>
      </c>
      <c r="R1082" s="42">
        <f>+L1082+N1082-P1082</f>
        <v/>
      </c>
      <c r="S1082" s="42">
        <f>+M1082+O1082-Q1082</f>
        <v/>
      </c>
    </row>
    <row r="1083" ht="30" customHeight="1">
      <c r="A1083" s="16" t="n">
        <v>45751</v>
      </c>
      <c r="B1083" s="17" t="inlineStr">
        <is>
          <t>MH2504-10</t>
        </is>
      </c>
      <c r="C1083" s="16" t="n">
        <v>45751</v>
      </c>
      <c r="D1083" s="17" t="inlineStr">
        <is>
          <t>00001122</t>
        </is>
      </c>
      <c r="E1083" s="16" t="n">
        <v>45751</v>
      </c>
      <c r="F1083" s="16" t="inlineStr">
        <is>
          <t>XK2504-04</t>
        </is>
      </c>
      <c r="G1083" s="16" t="n">
        <v>45751</v>
      </c>
      <c r="H1083" s="17" t="inlineStr">
        <is>
          <t>CÔNG TY CỔ PHẦN CÔNG NGHIỆP VÀ THƯƠNG MẠI CƯỜNG THỊNH</t>
        </is>
      </c>
      <c r="I1083" s="17" t="inlineStr">
        <is>
          <t>Bulong Din 933 8.8 ZP M20x50</t>
        </is>
      </c>
      <c r="J1083" s="17" t="inlineStr">
        <is>
          <t>Cái</t>
        </is>
      </c>
      <c r="K1083" s="19" t="n">
        <v>5760</v>
      </c>
      <c r="L1083" s="21" t="n"/>
      <c r="M1083" s="22" t="n"/>
      <c r="N1083" s="22" t="n">
        <v>61</v>
      </c>
      <c r="O1083" s="22" t="n">
        <v>351360</v>
      </c>
      <c r="P1083" s="22" t="n">
        <v>61</v>
      </c>
      <c r="Q1083" s="22" t="n">
        <v>351360</v>
      </c>
      <c r="R1083" s="42">
        <f>+L1083+N1083-P1083</f>
        <v/>
      </c>
      <c r="S1083" s="42">
        <f>+M1083+O1083-Q1083</f>
        <v/>
      </c>
    </row>
    <row r="1084" ht="30" customHeight="1">
      <c r="A1084" s="16" t="n">
        <v>45751</v>
      </c>
      <c r="B1084" s="17" t="inlineStr">
        <is>
          <t>MH2504-10</t>
        </is>
      </c>
      <c r="C1084" s="16" t="n">
        <v>45751</v>
      </c>
      <c r="D1084" s="17" t="inlineStr">
        <is>
          <t>00001122</t>
        </is>
      </c>
      <c r="E1084" s="16" t="n">
        <v>45751</v>
      </c>
      <c r="F1084" s="16" t="inlineStr">
        <is>
          <t>XK2504-04</t>
        </is>
      </c>
      <c r="G1084" s="16" t="n">
        <v>45751</v>
      </c>
      <c r="H1084" s="17" t="inlineStr">
        <is>
          <t>CÔNG TY CỔ PHẦN CÔNG NGHIỆP VÀ THƯƠNG MẠI CƯỜNG THỊNH</t>
        </is>
      </c>
      <c r="I1084" s="17" t="inlineStr">
        <is>
          <t>Đai ốc Din 934 8 ZP M20</t>
        </is>
      </c>
      <c r="J1084" s="17" t="inlineStr">
        <is>
          <t>Cái</t>
        </is>
      </c>
      <c r="K1084" s="19" t="n">
        <v>2030</v>
      </c>
      <c r="L1084" s="21" t="n"/>
      <c r="M1084" s="22" t="n"/>
      <c r="N1084" s="22" t="n">
        <v>61</v>
      </c>
      <c r="O1084" s="22" t="n">
        <v>123830</v>
      </c>
      <c r="P1084" s="22" t="n">
        <v>61</v>
      </c>
      <c r="Q1084" s="22" t="n">
        <v>123830</v>
      </c>
      <c r="R1084" s="42">
        <f>+L1084+N1084-P1084</f>
        <v/>
      </c>
      <c r="S1084" s="42">
        <f>+M1084+O1084-Q1084</f>
        <v/>
      </c>
    </row>
    <row r="1085" ht="30" customHeight="1">
      <c r="A1085" s="16" t="n">
        <v>45751</v>
      </c>
      <c r="B1085" s="17" t="inlineStr">
        <is>
          <t>MH2504-10</t>
        </is>
      </c>
      <c r="C1085" s="16" t="n">
        <v>45751</v>
      </c>
      <c r="D1085" s="17" t="inlineStr">
        <is>
          <t>00001122</t>
        </is>
      </c>
      <c r="E1085" s="16" t="n">
        <v>45751</v>
      </c>
      <c r="F1085" s="16" t="inlineStr">
        <is>
          <t>XK2504-04</t>
        </is>
      </c>
      <c r="G1085" s="16" t="n">
        <v>45751</v>
      </c>
      <c r="H1085" s="17" t="inlineStr">
        <is>
          <t>CÔNG TY CỔ PHẦN CÔNG NGHIỆP VÀ THƯƠNG MẠI CƯỜNG THỊNH</t>
        </is>
      </c>
      <c r="I1085" s="17" t="inlineStr">
        <is>
          <t>Long đền thường ZP M20B35D2</t>
        </is>
      </c>
      <c r="J1085" s="17" t="inlineStr">
        <is>
          <t>Cái</t>
        </is>
      </c>
      <c r="K1085" s="19" t="n">
        <v>350</v>
      </c>
      <c r="L1085" s="21" t="n"/>
      <c r="M1085" s="22" t="n"/>
      <c r="N1085" s="22" t="n">
        <v>61</v>
      </c>
      <c r="O1085" s="22" t="n">
        <v>21350</v>
      </c>
      <c r="P1085" s="22" t="n">
        <v>61</v>
      </c>
      <c r="Q1085" s="22" t="n">
        <v>21350</v>
      </c>
      <c r="R1085" s="42">
        <f>+L1085+N1085-P1085</f>
        <v/>
      </c>
      <c r="S1085" s="42">
        <f>+M1085+O1085-Q1085</f>
        <v/>
      </c>
    </row>
    <row r="1086" ht="30" customHeight="1">
      <c r="A1086" s="16" t="n">
        <v>45751</v>
      </c>
      <c r="B1086" s="17" t="inlineStr">
        <is>
          <t>MH2504-11</t>
        </is>
      </c>
      <c r="C1086" s="16" t="n">
        <v>45751</v>
      </c>
      <c r="D1086" s="17" t="inlineStr">
        <is>
          <t>00001123</t>
        </is>
      </c>
      <c r="E1086" s="16" t="n">
        <v>45751</v>
      </c>
      <c r="F1086" s="16" t="inlineStr">
        <is>
          <t>XK2504-04</t>
        </is>
      </c>
      <c r="G1086" s="16" t="n">
        <v>45751</v>
      </c>
      <c r="H1086" s="17" t="inlineStr">
        <is>
          <t>CÔNG TY CỔ PHẦN CÔNG NGHIỆP VÀ THƯƠNG MẠI CƯỜNG THỊNH</t>
        </is>
      </c>
      <c r="I1086" s="17" t="inlineStr">
        <is>
          <t>Ty giằng 2 đầu ren 4.6 Ф11.3-11.5mm ZP M12</t>
        </is>
      </c>
      <c r="J1086" s="17" t="inlineStr">
        <is>
          <t>Mét</t>
        </is>
      </c>
      <c r="K1086" s="19" t="n">
        <v>20500</v>
      </c>
      <c r="L1086" s="21" t="n"/>
      <c r="M1086" s="22" t="n"/>
      <c r="N1086" s="22" t="n">
        <v>102.39</v>
      </c>
      <c r="O1086" s="22" t="n">
        <v>2098995</v>
      </c>
      <c r="P1086" s="22" t="n">
        <v>102.39</v>
      </c>
      <c r="Q1086" s="22" t="n">
        <v>2098995</v>
      </c>
      <c r="R1086" s="42">
        <f>+L1086+N1086-P1086</f>
        <v/>
      </c>
      <c r="S1086" s="42">
        <f>+M1086+O1086-Q1086</f>
        <v/>
      </c>
    </row>
    <row r="1087" ht="30" customHeight="1">
      <c r="A1087" s="16" t="n">
        <v>45751</v>
      </c>
      <c r="B1087" s="17" t="inlineStr">
        <is>
          <t>MH2504-11</t>
        </is>
      </c>
      <c r="C1087" s="16" t="n">
        <v>45751</v>
      </c>
      <c r="D1087" s="17" t="inlineStr">
        <is>
          <t>00001123</t>
        </is>
      </c>
      <c r="E1087" s="16" t="n">
        <v>45751</v>
      </c>
      <c r="F1087" s="16" t="inlineStr">
        <is>
          <t>XK2504-04</t>
        </is>
      </c>
      <c r="G1087" s="16" t="n">
        <v>45751</v>
      </c>
      <c r="H1087" s="17" t="inlineStr">
        <is>
          <t>CÔNG TY CỔ PHẦN CÔNG NGHIỆP VÀ THƯƠNG MẠI CƯỜNG THỊNH</t>
        </is>
      </c>
      <c r="I1087" s="17" t="inlineStr">
        <is>
          <t>Ty giằng 2 đầu ren 4.6 Ф11.3-11.5mm ZP M12</t>
        </is>
      </c>
      <c r="J1087" s="17" t="inlineStr">
        <is>
          <t>Mét</t>
        </is>
      </c>
      <c r="K1087" s="19" t="n">
        <v>22500</v>
      </c>
      <c r="L1087" s="21" t="n"/>
      <c r="M1087" s="22" t="n"/>
      <c r="N1087" s="22" t="n">
        <v>38.68</v>
      </c>
      <c r="O1087" s="22" t="n">
        <v>870300</v>
      </c>
      <c r="P1087" s="22" t="n">
        <v>38.68</v>
      </c>
      <c r="Q1087" s="22" t="n">
        <v>870300</v>
      </c>
      <c r="R1087" s="42">
        <f>+L1087+N1087-P1087</f>
        <v/>
      </c>
      <c r="S1087" s="42">
        <f>+M1087+O1087-Q1087</f>
        <v/>
      </c>
    </row>
    <row r="1088" ht="30" customHeight="1">
      <c r="A1088" s="16" t="n">
        <v>45751</v>
      </c>
      <c r="B1088" s="17" t="inlineStr">
        <is>
          <t>MH2504-11</t>
        </is>
      </c>
      <c r="C1088" s="16" t="n">
        <v>45751</v>
      </c>
      <c r="D1088" s="17" t="inlineStr">
        <is>
          <t>00001123</t>
        </is>
      </c>
      <c r="E1088" s="16" t="n">
        <v>45751</v>
      </c>
      <c r="F1088" s="16" t="inlineStr">
        <is>
          <t>XK2504-04</t>
        </is>
      </c>
      <c r="G1088" s="16" t="n">
        <v>45751</v>
      </c>
      <c r="H1088" s="17" t="inlineStr">
        <is>
          <t>CÔNG TY CỔ PHẦN CÔNG NGHIỆP VÀ THƯƠNG MẠI CƯỜNG THỊNH</t>
        </is>
      </c>
      <c r="I1088" s="17" t="inlineStr">
        <is>
          <t>Đai ốc thường 4 ZP M12 (9mm)</t>
        </is>
      </c>
      <c r="J1088" s="17" t="inlineStr">
        <is>
          <t>Cái</t>
        </is>
      </c>
      <c r="K1088" s="19" t="n">
        <v>360</v>
      </c>
      <c r="L1088" s="21" t="n"/>
      <c r="M1088" s="22" t="n"/>
      <c r="N1088" s="22" t="n">
        <v>424</v>
      </c>
      <c r="O1088" s="22" t="n">
        <v>152640</v>
      </c>
      <c r="P1088" s="22" t="n">
        <v>424</v>
      </c>
      <c r="Q1088" s="22" t="n">
        <v>152640</v>
      </c>
      <c r="R1088" s="42">
        <f>+L1088+N1088-P1088</f>
        <v/>
      </c>
      <c r="S1088" s="42">
        <f>+M1088+O1088-Q1088</f>
        <v/>
      </c>
    </row>
    <row r="1089" ht="30" customHeight="1">
      <c r="A1089" s="16" t="n">
        <v>45751</v>
      </c>
      <c r="B1089" s="17" t="inlineStr">
        <is>
          <t>MH2504-11</t>
        </is>
      </c>
      <c r="C1089" s="16" t="n">
        <v>45751</v>
      </c>
      <c r="D1089" s="17" t="inlineStr">
        <is>
          <t>00001123</t>
        </is>
      </c>
      <c r="E1089" s="16" t="n">
        <v>45751</v>
      </c>
      <c r="F1089" s="16" t="inlineStr">
        <is>
          <t>XK2504-04</t>
        </is>
      </c>
      <c r="G1089" s="16" t="n">
        <v>45751</v>
      </c>
      <c r="H1089" s="17" t="inlineStr">
        <is>
          <t>CÔNG TY CỔ PHẦN CÔNG NGHIỆP VÀ THƯƠNG MẠI CƯỜNG THỊNH</t>
        </is>
      </c>
      <c r="I1089" s="17" t="inlineStr">
        <is>
          <t>Long đền thường ZP M12B26D1.5</t>
        </is>
      </c>
      <c r="J1089" s="17" t="inlineStr">
        <is>
          <t>Cái</t>
        </is>
      </c>
      <c r="K1089" s="19" t="n">
        <v>190</v>
      </c>
      <c r="L1089" s="21" t="n"/>
      <c r="M1089" s="22" t="n"/>
      <c r="N1089" s="22" t="n">
        <v>424</v>
      </c>
      <c r="O1089" s="22" t="n">
        <v>80560</v>
      </c>
      <c r="P1089" s="22" t="n">
        <v>424</v>
      </c>
      <c r="Q1089" s="22" t="n">
        <v>80560</v>
      </c>
      <c r="R1089" s="42">
        <f>+L1089+N1089-P1089</f>
        <v/>
      </c>
      <c r="S1089" s="42">
        <f>+M1089+O1089-Q1089</f>
        <v/>
      </c>
    </row>
    <row r="1090" ht="30" customHeight="1">
      <c r="A1090" s="16" t="n">
        <v>45751</v>
      </c>
      <c r="B1090" s="17" t="inlineStr">
        <is>
          <t>MH2504-11</t>
        </is>
      </c>
      <c r="C1090" s="16" t="n">
        <v>45751</v>
      </c>
      <c r="D1090" s="17" t="inlineStr">
        <is>
          <t>00001123</t>
        </is>
      </c>
      <c r="E1090" s="16" t="n">
        <v>45751</v>
      </c>
      <c r="F1090" s="16" t="inlineStr">
        <is>
          <t>XK2504-04</t>
        </is>
      </c>
      <c r="G1090" s="16" t="n">
        <v>45751</v>
      </c>
      <c r="H1090" s="17" t="inlineStr">
        <is>
          <t>CÔNG TY CỔ PHẦN CÔNG NGHIỆP VÀ THƯƠNG MẠI CƯỜNG THỊNH</t>
        </is>
      </c>
      <c r="I1090" s="17" t="inlineStr">
        <is>
          <t>Bulong thường 4.6 ZP M12x30</t>
        </is>
      </c>
      <c r="J1090" s="17" t="inlineStr">
        <is>
          <t>Cái</t>
        </is>
      </c>
      <c r="K1090" s="19" t="n">
        <v>900</v>
      </c>
      <c r="L1090" s="21" t="n"/>
      <c r="M1090" s="22" t="n"/>
      <c r="N1090" s="22" t="n">
        <v>313</v>
      </c>
      <c r="O1090" s="22" t="n">
        <v>281700</v>
      </c>
      <c r="P1090" s="22" t="n">
        <v>313</v>
      </c>
      <c r="Q1090" s="22" t="n">
        <v>281700</v>
      </c>
      <c r="R1090" s="42">
        <f>+L1090+N1090-P1090</f>
        <v/>
      </c>
      <c r="S1090" s="42">
        <f>+M1090+O1090-Q1090</f>
        <v/>
      </c>
    </row>
    <row r="1091" ht="30" customHeight="1">
      <c r="A1091" s="16" t="n">
        <v>45751</v>
      </c>
      <c r="B1091" s="17" t="inlineStr">
        <is>
          <t>MH2504-11</t>
        </is>
      </c>
      <c r="C1091" s="16" t="n">
        <v>45751</v>
      </c>
      <c r="D1091" s="17" t="inlineStr">
        <is>
          <t>00001123</t>
        </is>
      </c>
      <c r="E1091" s="16" t="n">
        <v>45751</v>
      </c>
      <c r="F1091" s="16" t="inlineStr">
        <is>
          <t>XK2504-04</t>
        </is>
      </c>
      <c r="G1091" s="16" t="n">
        <v>45751</v>
      </c>
      <c r="H1091" s="17" t="inlineStr">
        <is>
          <t>CÔNG TY CỔ PHẦN CÔNG NGHIỆP VÀ THƯƠNG MẠI CƯỜNG THỊNH</t>
        </is>
      </c>
      <c r="I1091" s="17" t="inlineStr">
        <is>
          <t>Đai ốc thường 4 ZP M12 (8mm)</t>
        </is>
      </c>
      <c r="J1091" s="17" t="inlineStr">
        <is>
          <t>Cái</t>
        </is>
      </c>
      <c r="K1091" s="19" t="n">
        <v>410</v>
      </c>
      <c r="L1091" s="21" t="n"/>
      <c r="M1091" s="22" t="n"/>
      <c r="N1091" s="22" t="n">
        <v>313</v>
      </c>
      <c r="O1091" s="22" t="n">
        <v>128330</v>
      </c>
      <c r="P1091" s="22" t="n">
        <v>313</v>
      </c>
      <c r="Q1091" s="22" t="n">
        <v>128330</v>
      </c>
      <c r="R1091" s="42">
        <f>+L1091+N1091-P1091</f>
        <v/>
      </c>
      <c r="S1091" s="42">
        <f>+M1091+O1091-Q1091</f>
        <v/>
      </c>
    </row>
    <row r="1092" ht="30" customHeight="1">
      <c r="A1092" s="16" t="n">
        <v>45751</v>
      </c>
      <c r="B1092" s="17" t="inlineStr">
        <is>
          <t>MH2504-11</t>
        </is>
      </c>
      <c r="C1092" s="16" t="n">
        <v>45751</v>
      </c>
      <c r="D1092" s="17" t="inlineStr">
        <is>
          <t>00001123</t>
        </is>
      </c>
      <c r="E1092" s="16" t="n">
        <v>45751</v>
      </c>
      <c r="F1092" s="16" t="inlineStr">
        <is>
          <t>XK2504-04</t>
        </is>
      </c>
      <c r="G1092" s="16" t="n">
        <v>45751</v>
      </c>
      <c r="H1092" s="17" t="inlineStr">
        <is>
          <t>CÔNG TY CỔ PHẦN CÔNG NGHIỆP VÀ THƯƠNG MẠI CƯỜNG THỊNH</t>
        </is>
      </c>
      <c r="I1092" s="17" t="inlineStr">
        <is>
          <t>Long đền thường ZP M12B23D1</t>
        </is>
      </c>
      <c r="J1092" s="17" t="inlineStr">
        <is>
          <t>Cái</t>
        </is>
      </c>
      <c r="K1092" s="19" t="n">
        <v>100</v>
      </c>
      <c r="L1092" s="21" t="n"/>
      <c r="M1092" s="22" t="n"/>
      <c r="N1092" s="22" t="n">
        <v>626</v>
      </c>
      <c r="O1092" s="22" t="n">
        <v>62600</v>
      </c>
      <c r="P1092" s="22" t="n">
        <v>626</v>
      </c>
      <c r="Q1092" s="22" t="n">
        <v>62600</v>
      </c>
      <c r="R1092" s="42">
        <f>+L1092+N1092-P1092</f>
        <v/>
      </c>
      <c r="S1092" s="42">
        <f>+M1092+O1092-Q1092</f>
        <v/>
      </c>
    </row>
    <row r="1093" ht="30" customHeight="1">
      <c r="A1093" s="16" t="n">
        <v>45751</v>
      </c>
      <c r="B1093" s="17" t="inlineStr">
        <is>
          <t>MH2504-12</t>
        </is>
      </c>
      <c r="C1093" s="16" t="n">
        <v>45751</v>
      </c>
      <c r="D1093" s="17" t="inlineStr">
        <is>
          <t>00001124</t>
        </is>
      </c>
      <c r="E1093" s="16" t="n">
        <v>45751</v>
      </c>
      <c r="F1093" s="16" t="inlineStr">
        <is>
          <t>XK2504-04</t>
        </is>
      </c>
      <c r="G1093" s="16" t="n">
        <v>45751</v>
      </c>
      <c r="H1093" s="17" t="inlineStr">
        <is>
          <t>CÔNG TY CỔ PHẦN CÔNG NGHIỆP VÀ THƯƠNG MẠI CƯỜNG THỊNH</t>
        </is>
      </c>
      <c r="I1093" s="17" t="inlineStr">
        <is>
          <t>Ty giằng 2 đầu ren 4.6 ZP M20</t>
        </is>
      </c>
      <c r="J1093" s="17" t="inlineStr">
        <is>
          <t>Mét</t>
        </is>
      </c>
      <c r="K1093" s="19" t="n">
        <v>74000</v>
      </c>
      <c r="L1093" s="21" t="n"/>
      <c r="M1093" s="22" t="n"/>
      <c r="N1093" s="22" t="n">
        <v>42.8</v>
      </c>
      <c r="O1093" s="22" t="n">
        <v>3167200</v>
      </c>
      <c r="P1093" s="22" t="n">
        <v>42.8</v>
      </c>
      <c r="Q1093" s="22" t="n">
        <v>3167200</v>
      </c>
      <c r="R1093" s="42">
        <f>+L1093+N1093-P1093</f>
        <v/>
      </c>
      <c r="S1093" s="42">
        <f>+M1093+O1093-Q1093</f>
        <v/>
      </c>
    </row>
    <row r="1094" ht="30" customHeight="1">
      <c r="A1094" s="16" t="n">
        <v>45751</v>
      </c>
      <c r="B1094" s="17" t="inlineStr">
        <is>
          <t>MH2504-12</t>
        </is>
      </c>
      <c r="C1094" s="16" t="n">
        <v>45751</v>
      </c>
      <c r="D1094" s="17" t="inlineStr">
        <is>
          <t>00001124</t>
        </is>
      </c>
      <c r="E1094" s="16" t="n">
        <v>45751</v>
      </c>
      <c r="F1094" s="16" t="inlineStr">
        <is>
          <t>XK2504-04</t>
        </is>
      </c>
      <c r="G1094" s="16" t="n">
        <v>45751</v>
      </c>
      <c r="H1094" s="17" t="inlineStr">
        <is>
          <t>CÔNG TY CỔ PHẦN CÔNG NGHIỆP VÀ THƯƠNG MẠI CƯỜNG THỊNH</t>
        </is>
      </c>
      <c r="I1094" s="17" t="inlineStr">
        <is>
          <t>Đai ốc Din 934 5 ZP M20</t>
        </is>
      </c>
      <c r="J1094" s="17" t="inlineStr">
        <is>
          <t>Cái</t>
        </is>
      </c>
      <c r="K1094" s="19" t="n">
        <v>1910</v>
      </c>
      <c r="L1094" s="21" t="n"/>
      <c r="M1094" s="22" t="n"/>
      <c r="N1094" s="22" t="n">
        <v>12</v>
      </c>
      <c r="O1094" s="22" t="n">
        <v>22920</v>
      </c>
      <c r="P1094" s="22" t="n">
        <v>12</v>
      </c>
      <c r="Q1094" s="22" t="n">
        <v>22920</v>
      </c>
      <c r="R1094" s="42">
        <f>+L1094+N1094-P1094</f>
        <v/>
      </c>
      <c r="S1094" s="42">
        <f>+M1094+O1094-Q1094</f>
        <v/>
      </c>
    </row>
    <row r="1095" ht="30" customHeight="1">
      <c r="A1095" s="16" t="n">
        <v>45751</v>
      </c>
      <c r="B1095" s="17" t="inlineStr">
        <is>
          <t>MH2504-12</t>
        </is>
      </c>
      <c r="C1095" s="16" t="n">
        <v>45751</v>
      </c>
      <c r="D1095" s="17" t="inlineStr">
        <is>
          <t>00001124</t>
        </is>
      </c>
      <c r="E1095" s="16" t="n">
        <v>45751</v>
      </c>
      <c r="F1095" s="16" t="inlineStr">
        <is>
          <t>XK2504-04</t>
        </is>
      </c>
      <c r="G1095" s="16" t="n">
        <v>45751</v>
      </c>
      <c r="H1095" s="17" t="inlineStr">
        <is>
          <t>CÔNG TY CỔ PHẦN CÔNG NGHIỆP VÀ THƯƠNG MẠI CƯỜNG THỊNH</t>
        </is>
      </c>
      <c r="I1095" s="17" t="inlineStr">
        <is>
          <t>Long đền thường ZP M20B42D2</t>
        </is>
      </c>
      <c r="J1095" s="17" t="inlineStr">
        <is>
          <t>Cái</t>
        </is>
      </c>
      <c r="K1095" s="19" t="n">
        <v>700</v>
      </c>
      <c r="L1095" s="21" t="n"/>
      <c r="M1095" s="22" t="n"/>
      <c r="N1095" s="22" t="n">
        <v>12</v>
      </c>
      <c r="O1095" s="22" t="n">
        <v>8400</v>
      </c>
      <c r="P1095" s="22" t="n">
        <v>12</v>
      </c>
      <c r="Q1095" s="22" t="n">
        <v>8400</v>
      </c>
      <c r="R1095" s="42">
        <f>+L1095+N1095-P1095</f>
        <v/>
      </c>
      <c r="S1095" s="42">
        <f>+M1095+O1095-Q1095</f>
        <v/>
      </c>
    </row>
    <row r="1096" ht="30" customHeight="1">
      <c r="A1096" s="16" t="n">
        <v>45751</v>
      </c>
      <c r="B1096" s="17" t="inlineStr">
        <is>
          <t>MH2504-12</t>
        </is>
      </c>
      <c r="C1096" s="16" t="n">
        <v>45751</v>
      </c>
      <c r="D1096" s="17" t="inlineStr">
        <is>
          <t>00001124</t>
        </is>
      </c>
      <c r="E1096" s="16" t="n">
        <v>45751</v>
      </c>
      <c r="F1096" s="16" t="inlineStr">
        <is>
          <t>XK2504-04</t>
        </is>
      </c>
      <c r="G1096" s="16" t="n">
        <v>45751</v>
      </c>
      <c r="H1096" s="17" t="inlineStr">
        <is>
          <t>CÔNG TY CỔ PHẦN CÔNG NGHIỆP VÀ THƯƠNG MẠI CƯỜNG THỊNH</t>
        </is>
      </c>
      <c r="I1096" s="17" t="inlineStr">
        <is>
          <t>Nối Ty ZP M20x100(28mm)</t>
        </is>
      </c>
      <c r="J1096" s="17" t="inlineStr">
        <is>
          <t>Cái</t>
        </is>
      </c>
      <c r="K1096" s="19" t="n">
        <v>30250</v>
      </c>
      <c r="L1096" s="21" t="n"/>
      <c r="M1096" s="22" t="n"/>
      <c r="N1096" s="22" t="n">
        <v>6</v>
      </c>
      <c r="O1096" s="22" t="n">
        <v>181500</v>
      </c>
      <c r="P1096" s="22" t="n">
        <v>6</v>
      </c>
      <c r="Q1096" s="22" t="n">
        <v>181500</v>
      </c>
      <c r="R1096" s="42">
        <f>+L1096+N1096-P1096</f>
        <v/>
      </c>
      <c r="S1096" s="42">
        <f>+M1096+O1096-Q1096</f>
        <v/>
      </c>
    </row>
    <row r="1097" ht="30" customHeight="1">
      <c r="A1097" s="16" t="n">
        <v>45751</v>
      </c>
      <c r="B1097" s="17" t="inlineStr">
        <is>
          <t>MH2504-13</t>
        </is>
      </c>
      <c r="C1097" s="16" t="n">
        <v>45751</v>
      </c>
      <c r="D1097" s="17" t="inlineStr">
        <is>
          <t>00001126</t>
        </is>
      </c>
      <c r="E1097" s="16" t="n">
        <v>45751</v>
      </c>
      <c r="F1097" s="16" t="inlineStr">
        <is>
          <t>XK2504-04</t>
        </is>
      </c>
      <c r="G1097" s="16" t="n">
        <v>45751</v>
      </c>
      <c r="H1097" s="17" t="inlineStr">
        <is>
          <t>CÔNG TY CỔ PHẦN CÔNG NGHIỆP VÀ THƯƠNG MẠI CƯỜNG THỊNH</t>
        </is>
      </c>
      <c r="I1097" s="17" t="inlineStr">
        <is>
          <t>Vít B2 Dacromet 12-14x20</t>
        </is>
      </c>
      <c r="J1097" s="17" t="inlineStr">
        <is>
          <t>Cái</t>
        </is>
      </c>
      <c r="K1097" s="19" t="n">
        <v>600</v>
      </c>
      <c r="L1097" s="21" t="n"/>
      <c r="M1097" s="22" t="n"/>
      <c r="N1097" s="22" t="n">
        <v>124</v>
      </c>
      <c r="O1097" s="22" t="n">
        <v>74400</v>
      </c>
      <c r="P1097" s="22" t="n">
        <v>124</v>
      </c>
      <c r="Q1097" s="22" t="n">
        <v>74400</v>
      </c>
      <c r="R1097" s="42">
        <f>+L1097+N1097-P1097</f>
        <v/>
      </c>
      <c r="S1097" s="42">
        <f>+M1097+O1097-Q1097</f>
        <v/>
      </c>
    </row>
    <row r="1098" ht="30" customHeight="1">
      <c r="A1098" s="16" t="n">
        <v>45751</v>
      </c>
      <c r="B1098" s="17" t="inlineStr">
        <is>
          <t>MH2504-13</t>
        </is>
      </c>
      <c r="C1098" s="16" t="n">
        <v>45751</v>
      </c>
      <c r="D1098" s="17" t="inlineStr">
        <is>
          <t>00001126</t>
        </is>
      </c>
      <c r="E1098" s="16" t="n">
        <v>45751</v>
      </c>
      <c r="F1098" s="16" t="inlineStr">
        <is>
          <t>XK2504-04</t>
        </is>
      </c>
      <c r="G1098" s="16" t="n">
        <v>45751</v>
      </c>
      <c r="H1098" s="17" t="inlineStr">
        <is>
          <t>CÔNG TY CỔ PHẦN CÔNG NGHIỆP VÀ THƯƠNG MẠI CƯỜNG THỊNH</t>
        </is>
      </c>
      <c r="I1098" s="17" t="inlineStr">
        <is>
          <t>Bulong Din 933 8.8 ZP M20x50</t>
        </is>
      </c>
      <c r="J1098" s="17" t="inlineStr">
        <is>
          <t>Cái</t>
        </is>
      </c>
      <c r="K1098" s="19" t="n">
        <v>5760</v>
      </c>
      <c r="L1098" s="21" t="n"/>
      <c r="M1098" s="22" t="n"/>
      <c r="N1098" s="22" t="n">
        <v>2041</v>
      </c>
      <c r="O1098" s="22" t="n">
        <v>11756160</v>
      </c>
      <c r="P1098" s="22" t="n">
        <v>2041</v>
      </c>
      <c r="Q1098" s="22" t="n">
        <v>11756160</v>
      </c>
      <c r="R1098" s="42">
        <f>+L1098+N1098-P1098</f>
        <v/>
      </c>
      <c r="S1098" s="42">
        <f>+M1098+O1098-Q1098</f>
        <v/>
      </c>
    </row>
    <row r="1099" ht="30" customHeight="1">
      <c r="A1099" s="16" t="n">
        <v>45751</v>
      </c>
      <c r="B1099" s="17" t="inlineStr">
        <is>
          <t>MH2504-13</t>
        </is>
      </c>
      <c r="C1099" s="16" t="n">
        <v>45751</v>
      </c>
      <c r="D1099" s="17" t="inlineStr">
        <is>
          <t>00001126</t>
        </is>
      </c>
      <c r="E1099" s="16" t="n">
        <v>45751</v>
      </c>
      <c r="F1099" s="16" t="inlineStr">
        <is>
          <t>XK2504-04</t>
        </is>
      </c>
      <c r="G1099" s="16" t="n">
        <v>45751</v>
      </c>
      <c r="H1099" s="17" t="inlineStr">
        <is>
          <t>CÔNG TY CỔ PHẦN CÔNG NGHIỆP VÀ THƯƠNG MẠI CƯỜNG THỊNH</t>
        </is>
      </c>
      <c r="I1099" s="17" t="inlineStr">
        <is>
          <t>Đai ốc Din 934 8 ZP M20</t>
        </is>
      </c>
      <c r="J1099" s="17" t="inlineStr">
        <is>
          <t>Cái</t>
        </is>
      </c>
      <c r="K1099" s="19" t="n">
        <v>2030</v>
      </c>
      <c r="L1099" s="21" t="n"/>
      <c r="M1099" s="22" t="n"/>
      <c r="N1099" s="22" t="n">
        <v>2041</v>
      </c>
      <c r="O1099" s="22" t="n">
        <v>4143230</v>
      </c>
      <c r="P1099" s="22" t="n">
        <v>2041</v>
      </c>
      <c r="Q1099" s="22" t="n">
        <v>4143230</v>
      </c>
      <c r="R1099" s="42">
        <f>+L1099+N1099-P1099</f>
        <v/>
      </c>
      <c r="S1099" s="42">
        <f>+M1099+O1099-Q1099</f>
        <v/>
      </c>
    </row>
    <row r="1100" ht="30" customHeight="1">
      <c r="A1100" s="16" t="n">
        <v>45751</v>
      </c>
      <c r="B1100" s="17" t="inlineStr">
        <is>
          <t>MH2504-13</t>
        </is>
      </c>
      <c r="C1100" s="16" t="n">
        <v>45751</v>
      </c>
      <c r="D1100" s="17" t="inlineStr">
        <is>
          <t>00001126</t>
        </is>
      </c>
      <c r="E1100" s="16" t="n">
        <v>45751</v>
      </c>
      <c r="F1100" s="16" t="inlineStr">
        <is>
          <t>XK2504-04</t>
        </is>
      </c>
      <c r="G1100" s="16" t="n">
        <v>45751</v>
      </c>
      <c r="H1100" s="17" t="inlineStr">
        <is>
          <t>CÔNG TY CỔ PHẦN CÔNG NGHIỆP VÀ THƯƠNG MẠI CƯỜNG THỊNH</t>
        </is>
      </c>
      <c r="I1100" s="17" t="inlineStr">
        <is>
          <t>Long đền thường ZP M20B35D2</t>
        </is>
      </c>
      <c r="J1100" s="17" t="inlineStr">
        <is>
          <t>Cái</t>
        </is>
      </c>
      <c r="K1100" s="19" t="n">
        <v>350</v>
      </c>
      <c r="L1100" s="21" t="n"/>
      <c r="M1100" s="22" t="n"/>
      <c r="N1100" s="22" t="n">
        <v>2041</v>
      </c>
      <c r="O1100" s="22" t="n">
        <v>714350</v>
      </c>
      <c r="P1100" s="22" t="n">
        <v>2041</v>
      </c>
      <c r="Q1100" s="22" t="n">
        <v>714350</v>
      </c>
      <c r="R1100" s="42">
        <f>+L1100+N1100-P1100</f>
        <v/>
      </c>
      <c r="S1100" s="42">
        <f>+M1100+O1100-Q1100</f>
        <v/>
      </c>
    </row>
    <row r="1101" ht="30" customHeight="1">
      <c r="A1101" s="16" t="n">
        <v>45751</v>
      </c>
      <c r="B1101" s="17" t="inlineStr">
        <is>
          <t>MH2504-13</t>
        </is>
      </c>
      <c r="C1101" s="16" t="n">
        <v>45751</v>
      </c>
      <c r="D1101" s="17" t="inlineStr">
        <is>
          <t>00001126</t>
        </is>
      </c>
      <c r="E1101" s="16" t="n">
        <v>45751</v>
      </c>
      <c r="F1101" s="16" t="inlineStr">
        <is>
          <t>XK2504-04</t>
        </is>
      </c>
      <c r="G1101" s="16" t="n">
        <v>45751</v>
      </c>
      <c r="H1101" s="17" t="inlineStr">
        <is>
          <t>CÔNG TY CỔ PHẦN CÔNG NGHIỆP VÀ THƯƠNG MẠI CƯỜNG THỊNH</t>
        </is>
      </c>
      <c r="I1101" s="17" t="inlineStr">
        <is>
          <t>Bulong Din 933 8.8 ZP M20x60</t>
        </is>
      </c>
      <c r="J1101" s="17" t="inlineStr">
        <is>
          <t>Cái</t>
        </is>
      </c>
      <c r="K1101" s="19" t="n">
        <v>6440</v>
      </c>
      <c r="L1101" s="21" t="n"/>
      <c r="M1101" s="22" t="n"/>
      <c r="N1101" s="22" t="n">
        <v>2995</v>
      </c>
      <c r="O1101" s="22" t="n">
        <v>19287800</v>
      </c>
      <c r="P1101" s="22" t="n">
        <v>2995</v>
      </c>
      <c r="Q1101" s="22" t="n">
        <v>19287800</v>
      </c>
      <c r="R1101" s="42">
        <f>+L1101+N1101-P1101</f>
        <v/>
      </c>
      <c r="S1101" s="42">
        <f>+M1101+O1101-Q1101</f>
        <v/>
      </c>
    </row>
    <row r="1102" ht="30" customHeight="1">
      <c r="A1102" s="16" t="n">
        <v>45751</v>
      </c>
      <c r="B1102" s="17" t="inlineStr">
        <is>
          <t>MH2504-13</t>
        </is>
      </c>
      <c r="C1102" s="16" t="n">
        <v>45751</v>
      </c>
      <c r="D1102" s="17" t="inlineStr">
        <is>
          <t>00001126</t>
        </is>
      </c>
      <c r="E1102" s="16" t="n">
        <v>45751</v>
      </c>
      <c r="F1102" s="16" t="inlineStr">
        <is>
          <t>XK2504-04</t>
        </is>
      </c>
      <c r="G1102" s="16" t="n">
        <v>45751</v>
      </c>
      <c r="H1102" s="17" t="inlineStr">
        <is>
          <t>CÔNG TY CỔ PHẦN CÔNG NGHIỆP VÀ THƯƠNG MẠI CƯỜNG THỊNH</t>
        </is>
      </c>
      <c r="I1102" s="17" t="inlineStr">
        <is>
          <t>Đai ốc Din 934 8 ZP M20</t>
        </is>
      </c>
      <c r="J1102" s="17" t="inlineStr">
        <is>
          <t>Cái</t>
        </is>
      </c>
      <c r="K1102" s="19" t="n">
        <v>2030</v>
      </c>
      <c r="L1102" s="21" t="n"/>
      <c r="M1102" s="22" t="n"/>
      <c r="N1102" s="22" t="n">
        <v>2995</v>
      </c>
      <c r="O1102" s="22" t="n">
        <v>6079850</v>
      </c>
      <c r="P1102" s="22" t="n">
        <v>2995</v>
      </c>
      <c r="Q1102" s="22" t="n">
        <v>6079850</v>
      </c>
      <c r="R1102" s="42">
        <f>+L1102+N1102-P1102</f>
        <v/>
      </c>
      <c r="S1102" s="42">
        <f>+M1102+O1102-Q1102</f>
        <v/>
      </c>
    </row>
    <row r="1103" ht="30" customHeight="1">
      <c r="A1103" s="16" t="n">
        <v>45751</v>
      </c>
      <c r="B1103" s="17" t="inlineStr">
        <is>
          <t>MH2504-13</t>
        </is>
      </c>
      <c r="C1103" s="16" t="n">
        <v>45751</v>
      </c>
      <c r="D1103" s="17" t="inlineStr">
        <is>
          <t>00001126</t>
        </is>
      </c>
      <c r="E1103" s="16" t="n">
        <v>45751</v>
      </c>
      <c r="F1103" s="16" t="inlineStr">
        <is>
          <t>XK2504-04</t>
        </is>
      </c>
      <c r="G1103" s="16" t="n">
        <v>45751</v>
      </c>
      <c r="H1103" s="17" t="inlineStr">
        <is>
          <t>CÔNG TY CỔ PHẦN CÔNG NGHIỆP VÀ THƯƠNG MẠI CƯỜNG THỊNH</t>
        </is>
      </c>
      <c r="I1103" s="17" t="inlineStr">
        <is>
          <t>Long đền thường ZP M20B35D2</t>
        </is>
      </c>
      <c r="J1103" s="17" t="inlineStr">
        <is>
          <t>Cái</t>
        </is>
      </c>
      <c r="K1103" s="19" t="n">
        <v>350</v>
      </c>
      <c r="L1103" s="21" t="n"/>
      <c r="M1103" s="22" t="n"/>
      <c r="N1103" s="22" t="n">
        <v>2995</v>
      </c>
      <c r="O1103" s="22" t="n">
        <v>1048250</v>
      </c>
      <c r="P1103" s="22" t="n">
        <v>2995</v>
      </c>
      <c r="Q1103" s="22" t="n">
        <v>1048250</v>
      </c>
      <c r="R1103" s="42">
        <f>+L1103+N1103-P1103</f>
        <v/>
      </c>
      <c r="S1103" s="42">
        <f>+M1103+O1103-Q1103</f>
        <v/>
      </c>
    </row>
    <row r="1104" ht="30" customHeight="1">
      <c r="A1104" s="16" t="n">
        <v>45751</v>
      </c>
      <c r="B1104" s="17" t="inlineStr">
        <is>
          <t>MH2504-13</t>
        </is>
      </c>
      <c r="C1104" s="16" t="n">
        <v>45751</v>
      </c>
      <c r="D1104" s="17" t="inlineStr">
        <is>
          <t>00001126</t>
        </is>
      </c>
      <c r="E1104" s="16" t="n">
        <v>45751</v>
      </c>
      <c r="F1104" s="16" t="inlineStr">
        <is>
          <t>XK2504-04</t>
        </is>
      </c>
      <c r="G1104" s="16" t="n">
        <v>45751</v>
      </c>
      <c r="H1104" s="17" t="inlineStr">
        <is>
          <t>CÔNG TY CỔ PHẦN CÔNG NGHIỆP VÀ THƯƠNG MẠI CƯỜNG THỊNH</t>
        </is>
      </c>
      <c r="I1104" s="17" t="inlineStr">
        <is>
          <t>Bulong Din 933 8.8 ZP M20x70</t>
        </is>
      </c>
      <c r="J1104" s="17" t="inlineStr">
        <is>
          <t>Cái</t>
        </is>
      </c>
      <c r="K1104" s="19" t="n">
        <v>7070</v>
      </c>
      <c r="L1104" s="21" t="n"/>
      <c r="M1104" s="22" t="n"/>
      <c r="N1104" s="22" t="n">
        <v>25</v>
      </c>
      <c r="O1104" s="22" t="n">
        <v>176750</v>
      </c>
      <c r="P1104" s="22" t="n">
        <v>25</v>
      </c>
      <c r="Q1104" s="22" t="n">
        <v>176750</v>
      </c>
      <c r="R1104" s="42">
        <f>+L1104+N1104-P1104</f>
        <v/>
      </c>
      <c r="S1104" s="42">
        <f>+M1104+O1104-Q1104</f>
        <v/>
      </c>
    </row>
    <row r="1105" ht="30" customHeight="1">
      <c r="A1105" s="16" t="n">
        <v>45751</v>
      </c>
      <c r="B1105" s="17" t="inlineStr">
        <is>
          <t>MH2504-13</t>
        </is>
      </c>
      <c r="C1105" s="16" t="n">
        <v>45751</v>
      </c>
      <c r="D1105" s="17" t="inlineStr">
        <is>
          <t>00001126</t>
        </is>
      </c>
      <c r="E1105" s="16" t="n">
        <v>45751</v>
      </c>
      <c r="F1105" s="16" t="inlineStr">
        <is>
          <t>XK2504-04</t>
        </is>
      </c>
      <c r="G1105" s="16" t="n">
        <v>45751</v>
      </c>
      <c r="H1105" s="17" t="inlineStr">
        <is>
          <t>CÔNG TY CỔ PHẦN CÔNG NGHIỆP VÀ THƯƠNG MẠI CƯỜNG THỊNH</t>
        </is>
      </c>
      <c r="I1105" s="17" t="inlineStr">
        <is>
          <t>Đai ốc Din 934 8 ZP M20</t>
        </is>
      </c>
      <c r="J1105" s="17" t="inlineStr">
        <is>
          <t>Cái</t>
        </is>
      </c>
      <c r="K1105" s="19" t="n">
        <v>2030</v>
      </c>
      <c r="L1105" s="21" t="n"/>
      <c r="M1105" s="22" t="n"/>
      <c r="N1105" s="22" t="n">
        <v>25</v>
      </c>
      <c r="O1105" s="22" t="n">
        <v>50750</v>
      </c>
      <c r="P1105" s="22" t="n">
        <v>25</v>
      </c>
      <c r="Q1105" s="22" t="n">
        <v>50750</v>
      </c>
      <c r="R1105" s="42">
        <f>+L1105+N1105-P1105</f>
        <v/>
      </c>
      <c r="S1105" s="42">
        <f>+M1105+O1105-Q1105</f>
        <v/>
      </c>
    </row>
    <row r="1106" ht="30" customHeight="1">
      <c r="A1106" s="16" t="n">
        <v>45751</v>
      </c>
      <c r="B1106" s="17" t="inlineStr">
        <is>
          <t>MH2504-13</t>
        </is>
      </c>
      <c r="C1106" s="16" t="n">
        <v>45751</v>
      </c>
      <c r="D1106" s="17" t="inlineStr">
        <is>
          <t>00001126</t>
        </is>
      </c>
      <c r="E1106" s="16" t="n">
        <v>45751</v>
      </c>
      <c r="F1106" s="16" t="inlineStr">
        <is>
          <t>XK2504-04</t>
        </is>
      </c>
      <c r="G1106" s="16" t="n">
        <v>45751</v>
      </c>
      <c r="H1106" s="17" t="inlineStr">
        <is>
          <t>CÔNG TY CỔ PHẦN CÔNG NGHIỆP VÀ THƯƠNG MẠI CƯỜNG THỊNH</t>
        </is>
      </c>
      <c r="I1106" s="17" t="inlineStr">
        <is>
          <t>Long đền thường ZP M20B35D2</t>
        </is>
      </c>
      <c r="J1106" s="17" t="inlineStr">
        <is>
          <t>Cái</t>
        </is>
      </c>
      <c r="K1106" s="19" t="n">
        <v>350</v>
      </c>
      <c r="L1106" s="21" t="n"/>
      <c r="M1106" s="22" t="n"/>
      <c r="N1106" s="22" t="n">
        <v>25</v>
      </c>
      <c r="O1106" s="22" t="n">
        <v>8750</v>
      </c>
      <c r="P1106" s="22" t="n">
        <v>25</v>
      </c>
      <c r="Q1106" s="22" t="n">
        <v>8750</v>
      </c>
      <c r="R1106" s="42">
        <f>+L1106+N1106-P1106</f>
        <v/>
      </c>
      <c r="S1106" s="42">
        <f>+M1106+O1106-Q1106</f>
        <v/>
      </c>
    </row>
    <row r="1107" ht="30" customHeight="1">
      <c r="A1107" s="16" t="n">
        <v>45751</v>
      </c>
      <c r="B1107" s="17" t="inlineStr">
        <is>
          <t>MH2504-13</t>
        </is>
      </c>
      <c r="C1107" s="16" t="n">
        <v>45751</v>
      </c>
      <c r="D1107" s="17" t="inlineStr">
        <is>
          <t>00001126</t>
        </is>
      </c>
      <c r="E1107" s="16" t="n">
        <v>45751</v>
      </c>
      <c r="F1107" s="16" t="inlineStr">
        <is>
          <t>XK2504-04</t>
        </is>
      </c>
      <c r="G1107" s="16" t="n">
        <v>45751</v>
      </c>
      <c r="H1107" s="17" t="inlineStr">
        <is>
          <t>CÔNG TY CỔ PHẦN CÔNG NGHIỆP VÀ THƯƠNG MẠI CƯỜNG THỊNH</t>
        </is>
      </c>
      <c r="I1107" s="17" t="inlineStr">
        <is>
          <t>Bulong Din 933 8.8 ZP M24x60</t>
        </is>
      </c>
      <c r="J1107" s="17" t="inlineStr">
        <is>
          <t>Cái</t>
        </is>
      </c>
      <c r="K1107" s="19" t="n">
        <v>10030</v>
      </c>
      <c r="L1107" s="21" t="n"/>
      <c r="M1107" s="22" t="n"/>
      <c r="N1107" s="22" t="n">
        <v>165</v>
      </c>
      <c r="O1107" s="22" t="n">
        <v>1654950</v>
      </c>
      <c r="P1107" s="22" t="n">
        <v>165</v>
      </c>
      <c r="Q1107" s="22" t="n">
        <v>1654950</v>
      </c>
      <c r="R1107" s="42">
        <f>+L1107+N1107-P1107</f>
        <v/>
      </c>
      <c r="S1107" s="42">
        <f>+M1107+O1107-Q1107</f>
        <v/>
      </c>
    </row>
    <row r="1108" ht="30" customHeight="1">
      <c r="A1108" s="16" t="n">
        <v>45751</v>
      </c>
      <c r="B1108" s="17" t="inlineStr">
        <is>
          <t>MH2504-13</t>
        </is>
      </c>
      <c r="C1108" s="16" t="n">
        <v>45751</v>
      </c>
      <c r="D1108" s="17" t="inlineStr">
        <is>
          <t>00001126</t>
        </is>
      </c>
      <c r="E1108" s="16" t="n">
        <v>45751</v>
      </c>
      <c r="F1108" s="16" t="inlineStr">
        <is>
          <t>XK2504-04</t>
        </is>
      </c>
      <c r="G1108" s="16" t="n">
        <v>45751</v>
      </c>
      <c r="H1108" s="17" t="inlineStr">
        <is>
          <t>CÔNG TY CỔ PHẦN CÔNG NGHIỆP VÀ THƯƠNG MẠI CƯỜNG THỊNH</t>
        </is>
      </c>
      <c r="I1108" s="17" t="inlineStr">
        <is>
          <t>Đai ốc Din 934 8 ZP M24</t>
        </is>
      </c>
      <c r="J1108" s="17" t="inlineStr">
        <is>
          <t>Cái</t>
        </is>
      </c>
      <c r="K1108" s="19" t="n">
        <v>3500</v>
      </c>
      <c r="L1108" s="21" t="n"/>
      <c r="M1108" s="22" t="n"/>
      <c r="N1108" s="22" t="n">
        <v>165</v>
      </c>
      <c r="O1108" s="22" t="n">
        <v>577500</v>
      </c>
      <c r="P1108" s="22" t="n">
        <v>165</v>
      </c>
      <c r="Q1108" s="22" t="n">
        <v>577500</v>
      </c>
      <c r="R1108" s="42">
        <f>+L1108+N1108-P1108</f>
        <v/>
      </c>
      <c r="S1108" s="42">
        <f>+M1108+O1108-Q1108</f>
        <v/>
      </c>
    </row>
    <row r="1109" ht="30" customHeight="1">
      <c r="A1109" s="16" t="n">
        <v>45751</v>
      </c>
      <c r="B1109" s="17" t="inlineStr">
        <is>
          <t>MH2504-13</t>
        </is>
      </c>
      <c r="C1109" s="16" t="n">
        <v>45751</v>
      </c>
      <c r="D1109" s="17" t="inlineStr">
        <is>
          <t>00001126</t>
        </is>
      </c>
      <c r="E1109" s="16" t="n">
        <v>45751</v>
      </c>
      <c r="F1109" s="16" t="inlineStr">
        <is>
          <t>XK2504-04</t>
        </is>
      </c>
      <c r="G1109" s="16" t="n">
        <v>45751</v>
      </c>
      <c r="H1109" s="17" t="inlineStr">
        <is>
          <t>CÔNG TY CỔ PHẦN CÔNG NGHIỆP VÀ THƯƠNG MẠI CƯỜNG THỊNH</t>
        </is>
      </c>
      <c r="I1109" s="17" t="inlineStr">
        <is>
          <t>Long đền thường ZP M24B40-42D2</t>
        </is>
      </c>
      <c r="J1109" s="17" t="inlineStr">
        <is>
          <t>Cái</t>
        </is>
      </c>
      <c r="K1109" s="19" t="n">
        <v>710</v>
      </c>
      <c r="L1109" s="21" t="n"/>
      <c r="M1109" s="22" t="n"/>
      <c r="N1109" s="22" t="n">
        <v>165</v>
      </c>
      <c r="O1109" s="22" t="n">
        <v>117150</v>
      </c>
      <c r="P1109" s="22" t="n">
        <v>165</v>
      </c>
      <c r="Q1109" s="22" t="n">
        <v>117150</v>
      </c>
      <c r="R1109" s="42">
        <f>+L1109+N1109-P1109</f>
        <v/>
      </c>
      <c r="S1109" s="42">
        <f>+M1109+O1109-Q1109</f>
        <v/>
      </c>
    </row>
    <row r="1110" ht="30" customHeight="1">
      <c r="A1110" s="16" t="n">
        <v>45751</v>
      </c>
      <c r="B1110" s="17" t="inlineStr">
        <is>
          <t>MH2504-13</t>
        </is>
      </c>
      <c r="C1110" s="16" t="n">
        <v>45751</v>
      </c>
      <c r="D1110" s="17" t="inlineStr">
        <is>
          <t>00001126</t>
        </is>
      </c>
      <c r="E1110" s="16" t="n">
        <v>45751</v>
      </c>
      <c r="F1110" s="16" t="inlineStr">
        <is>
          <t>XK2504-04</t>
        </is>
      </c>
      <c r="G1110" s="16" t="n">
        <v>45751</v>
      </c>
      <c r="H1110" s="17" t="inlineStr">
        <is>
          <t>CÔNG TY CỔ PHẦN CÔNG NGHIỆP VÀ THƯƠNG MẠI CƯỜNG THỊNH</t>
        </is>
      </c>
      <c r="I1110" s="17" t="inlineStr">
        <is>
          <t>Bulong Din 933 8.8 ZP M24x70</t>
        </is>
      </c>
      <c r="J1110" s="17" t="inlineStr">
        <is>
          <t>Cái</t>
        </is>
      </c>
      <c r="K1110" s="19" t="n">
        <v>11010</v>
      </c>
      <c r="L1110" s="21" t="n"/>
      <c r="M1110" s="22" t="n"/>
      <c r="N1110" s="22" t="n">
        <v>1028</v>
      </c>
      <c r="O1110" s="22" t="n">
        <v>11318280</v>
      </c>
      <c r="P1110" s="22" t="n">
        <v>1028</v>
      </c>
      <c r="Q1110" s="22" t="n">
        <v>11318280</v>
      </c>
      <c r="R1110" s="42">
        <f>+L1110+N1110-P1110</f>
        <v/>
      </c>
      <c r="S1110" s="42">
        <f>+M1110+O1110-Q1110</f>
        <v/>
      </c>
    </row>
    <row r="1111" ht="30" customHeight="1">
      <c r="A1111" s="16" t="n">
        <v>45751</v>
      </c>
      <c r="B1111" s="17" t="inlineStr">
        <is>
          <t>MH2504-13</t>
        </is>
      </c>
      <c r="C1111" s="16" t="n">
        <v>45751</v>
      </c>
      <c r="D1111" s="17" t="inlineStr">
        <is>
          <t>00001126</t>
        </is>
      </c>
      <c r="E1111" s="16" t="n">
        <v>45751</v>
      </c>
      <c r="F1111" s="16" t="inlineStr">
        <is>
          <t>XK2504-04</t>
        </is>
      </c>
      <c r="G1111" s="16" t="n">
        <v>45751</v>
      </c>
      <c r="H1111" s="17" t="inlineStr">
        <is>
          <t>CÔNG TY CỔ PHẦN CÔNG NGHIỆP VÀ THƯƠNG MẠI CƯỜNG THỊNH</t>
        </is>
      </c>
      <c r="I1111" s="17" t="inlineStr">
        <is>
          <t>Đai ốc Din 934 8 ZP M24</t>
        </is>
      </c>
      <c r="J1111" s="17" t="inlineStr">
        <is>
          <t>Cái</t>
        </is>
      </c>
      <c r="K1111" s="19" t="n">
        <v>3500</v>
      </c>
      <c r="L1111" s="21" t="n"/>
      <c r="M1111" s="22" t="n"/>
      <c r="N1111" s="22" t="n">
        <v>1028</v>
      </c>
      <c r="O1111" s="22" t="n">
        <v>3598000</v>
      </c>
      <c r="P1111" s="22" t="n">
        <v>1028</v>
      </c>
      <c r="Q1111" s="22" t="n">
        <v>3598000</v>
      </c>
      <c r="R1111" s="42">
        <f>+L1111+N1111-P1111</f>
        <v/>
      </c>
      <c r="S1111" s="42">
        <f>+M1111+O1111-Q1111</f>
        <v/>
      </c>
    </row>
    <row r="1112" ht="30" customHeight="1">
      <c r="A1112" s="16" t="n">
        <v>45751</v>
      </c>
      <c r="B1112" s="17" t="inlineStr">
        <is>
          <t>MH2504-13</t>
        </is>
      </c>
      <c r="C1112" s="16" t="n">
        <v>45751</v>
      </c>
      <c r="D1112" s="17" t="inlineStr">
        <is>
          <t>00001126</t>
        </is>
      </c>
      <c r="E1112" s="16" t="n">
        <v>45751</v>
      </c>
      <c r="F1112" s="16" t="inlineStr">
        <is>
          <t>XK2504-04</t>
        </is>
      </c>
      <c r="G1112" s="16" t="n">
        <v>45751</v>
      </c>
      <c r="H1112" s="17" t="inlineStr">
        <is>
          <t>CÔNG TY CỔ PHẦN CÔNG NGHIỆP VÀ THƯƠNG MẠI CƯỜNG THỊNH</t>
        </is>
      </c>
      <c r="I1112" s="17" t="inlineStr">
        <is>
          <t>Long đền thường ZP M24B40-42D2</t>
        </is>
      </c>
      <c r="J1112" s="17" t="inlineStr">
        <is>
          <t>Cái</t>
        </is>
      </c>
      <c r="K1112" s="19" t="n">
        <v>710</v>
      </c>
      <c r="L1112" s="21" t="n"/>
      <c r="M1112" s="22" t="n"/>
      <c r="N1112" s="22" t="n">
        <v>1028</v>
      </c>
      <c r="O1112" s="22" t="n">
        <v>729880</v>
      </c>
      <c r="P1112" s="22" t="n">
        <v>1028</v>
      </c>
      <c r="Q1112" s="22" t="n">
        <v>729880</v>
      </c>
      <c r="R1112" s="42">
        <f>+L1112+N1112-P1112</f>
        <v/>
      </c>
      <c r="S1112" s="42">
        <f>+M1112+O1112-Q1112</f>
        <v/>
      </c>
    </row>
    <row r="1113" ht="30" customHeight="1">
      <c r="A1113" s="16" t="n">
        <v>45751</v>
      </c>
      <c r="B1113" s="17" t="inlineStr">
        <is>
          <t>MH2504-13</t>
        </is>
      </c>
      <c r="C1113" s="16" t="n">
        <v>45751</v>
      </c>
      <c r="D1113" s="17" t="inlineStr">
        <is>
          <t>00001126</t>
        </is>
      </c>
      <c r="E1113" s="16" t="n">
        <v>45751</v>
      </c>
      <c r="F1113" s="16" t="inlineStr">
        <is>
          <t>XK2504-04</t>
        </is>
      </c>
      <c r="G1113" s="16" t="n">
        <v>45751</v>
      </c>
      <c r="H1113" s="17" t="inlineStr">
        <is>
          <t>CÔNG TY CỔ PHẦN CÔNG NGHIỆP VÀ THƯƠNG MẠI CƯỜNG THỊNH</t>
        </is>
      </c>
      <c r="I1113" s="17" t="inlineStr">
        <is>
          <t>Bulong Din 933 8.8 ZP M24x80</t>
        </is>
      </c>
      <c r="J1113" s="17" t="inlineStr">
        <is>
          <t>Cái</t>
        </is>
      </c>
      <c r="K1113" s="19" t="n">
        <v>12010</v>
      </c>
      <c r="L1113" s="21" t="n"/>
      <c r="M1113" s="22" t="n"/>
      <c r="N1113" s="22" t="n">
        <v>538</v>
      </c>
      <c r="O1113" s="22" t="n">
        <v>6461380</v>
      </c>
      <c r="P1113" s="22" t="n">
        <v>538</v>
      </c>
      <c r="Q1113" s="22" t="n">
        <v>6461380</v>
      </c>
      <c r="R1113" s="42">
        <f>+L1113+N1113-P1113</f>
        <v/>
      </c>
      <c r="S1113" s="42">
        <f>+M1113+O1113-Q1113</f>
        <v/>
      </c>
    </row>
    <row r="1114" ht="30" customHeight="1">
      <c r="A1114" s="16" t="n">
        <v>45751</v>
      </c>
      <c r="B1114" s="17" t="inlineStr">
        <is>
          <t>MH2504-13</t>
        </is>
      </c>
      <c r="C1114" s="16" t="n">
        <v>45751</v>
      </c>
      <c r="D1114" s="17" t="inlineStr">
        <is>
          <t>00001126</t>
        </is>
      </c>
      <c r="E1114" s="16" t="n">
        <v>45751</v>
      </c>
      <c r="F1114" s="16" t="inlineStr">
        <is>
          <t>XK2504-04</t>
        </is>
      </c>
      <c r="G1114" s="16" t="n">
        <v>45751</v>
      </c>
      <c r="H1114" s="17" t="inlineStr">
        <is>
          <t>CÔNG TY CỔ PHẦN CÔNG NGHIỆP VÀ THƯƠNG MẠI CƯỜNG THỊNH</t>
        </is>
      </c>
      <c r="I1114" s="17" t="inlineStr">
        <is>
          <t>Đai ốc Din 934 8 ZP M24</t>
        </is>
      </c>
      <c r="J1114" s="17" t="inlineStr">
        <is>
          <t>Cái</t>
        </is>
      </c>
      <c r="K1114" s="19" t="n">
        <v>3500</v>
      </c>
      <c r="L1114" s="21" t="n"/>
      <c r="M1114" s="22" t="n"/>
      <c r="N1114" s="22" t="n">
        <v>538</v>
      </c>
      <c r="O1114" s="22" t="n">
        <v>1883000</v>
      </c>
      <c r="P1114" s="22" t="n">
        <v>538</v>
      </c>
      <c r="Q1114" s="22" t="n">
        <v>1883000</v>
      </c>
      <c r="R1114" s="42">
        <f>+L1114+N1114-P1114</f>
        <v/>
      </c>
      <c r="S1114" s="42">
        <f>+M1114+O1114-Q1114</f>
        <v/>
      </c>
    </row>
    <row r="1115" ht="30" customHeight="1">
      <c r="A1115" s="16" t="n">
        <v>45751</v>
      </c>
      <c r="B1115" s="17" t="inlineStr">
        <is>
          <t>MH2504-13</t>
        </is>
      </c>
      <c r="C1115" s="16" t="n">
        <v>45751</v>
      </c>
      <c r="D1115" s="17" t="inlineStr">
        <is>
          <t>00001126</t>
        </is>
      </c>
      <c r="E1115" s="16" t="n">
        <v>45751</v>
      </c>
      <c r="F1115" s="16" t="inlineStr">
        <is>
          <t>XK2504-04</t>
        </is>
      </c>
      <c r="G1115" s="16" t="n">
        <v>45751</v>
      </c>
      <c r="H1115" s="17" t="inlineStr">
        <is>
          <t>CÔNG TY CỔ PHẦN CÔNG NGHIỆP VÀ THƯƠNG MẠI CƯỜNG THỊNH</t>
        </is>
      </c>
      <c r="I1115" s="17" t="inlineStr">
        <is>
          <t>Long đền thường ZP M24B40-42D2</t>
        </is>
      </c>
      <c r="J1115" s="17" t="inlineStr">
        <is>
          <t>Cái</t>
        </is>
      </c>
      <c r="K1115" s="19" t="n">
        <v>710</v>
      </c>
      <c r="L1115" s="21" t="n"/>
      <c r="M1115" s="22" t="n"/>
      <c r="N1115" s="22" t="n">
        <v>538</v>
      </c>
      <c r="O1115" s="22" t="n">
        <v>381980</v>
      </c>
      <c r="P1115" s="22" t="n">
        <v>538</v>
      </c>
      <c r="Q1115" s="22" t="n">
        <v>381980</v>
      </c>
      <c r="R1115" s="42">
        <f>+L1115+N1115-P1115</f>
        <v/>
      </c>
      <c r="S1115" s="42">
        <f>+M1115+O1115-Q1115</f>
        <v/>
      </c>
    </row>
    <row r="1116" ht="30" customHeight="1">
      <c r="A1116" s="16" t="n">
        <v>45751</v>
      </c>
      <c r="B1116" s="17" t="inlineStr">
        <is>
          <t>MH2504-13</t>
        </is>
      </c>
      <c r="C1116" s="16" t="n">
        <v>45751</v>
      </c>
      <c r="D1116" s="17" t="inlineStr">
        <is>
          <t>00001126</t>
        </is>
      </c>
      <c r="E1116" s="16" t="n">
        <v>45751</v>
      </c>
      <c r="F1116" s="16" t="inlineStr">
        <is>
          <t>XK2504-04</t>
        </is>
      </c>
      <c r="G1116" s="16" t="n">
        <v>45751</v>
      </c>
      <c r="H1116" s="17" t="inlineStr">
        <is>
          <t>CÔNG TY CỔ PHẦN CÔNG NGHIỆP VÀ THƯƠNG MẠI CƯỜNG THỊNH</t>
        </is>
      </c>
      <c r="I1116" s="17" t="inlineStr">
        <is>
          <t>Bulong Din 933 8.8 ZP M30x90</t>
        </is>
      </c>
      <c r="J1116" s="17" t="inlineStr">
        <is>
          <t>Cái</t>
        </is>
      </c>
      <c r="K1116" s="19" t="n">
        <v>25570</v>
      </c>
      <c r="L1116" s="21" t="n"/>
      <c r="M1116" s="22" t="n"/>
      <c r="N1116" s="22" t="n">
        <v>696</v>
      </c>
      <c r="O1116" s="22" t="n">
        <v>17796720</v>
      </c>
      <c r="P1116" s="22" t="n">
        <v>696</v>
      </c>
      <c r="Q1116" s="22" t="n">
        <v>17796720</v>
      </c>
      <c r="R1116" s="42">
        <f>+L1116+N1116-P1116</f>
        <v/>
      </c>
      <c r="S1116" s="42">
        <f>+M1116+O1116-Q1116</f>
        <v/>
      </c>
    </row>
    <row r="1117" ht="30" customHeight="1">
      <c r="A1117" s="16" t="n">
        <v>45751</v>
      </c>
      <c r="B1117" s="17" t="inlineStr">
        <is>
          <t>MH2504-13</t>
        </is>
      </c>
      <c r="C1117" s="16" t="n">
        <v>45751</v>
      </c>
      <c r="D1117" s="17" t="inlineStr">
        <is>
          <t>00001126</t>
        </is>
      </c>
      <c r="E1117" s="16" t="n">
        <v>45751</v>
      </c>
      <c r="F1117" s="16" t="inlineStr">
        <is>
          <t>XK2504-04</t>
        </is>
      </c>
      <c r="G1117" s="16" t="n">
        <v>45751</v>
      </c>
      <c r="H1117" s="17" t="inlineStr">
        <is>
          <t>CÔNG TY CỔ PHẦN CÔNG NGHIỆP VÀ THƯƠNG MẠI CƯỜNG THỊNH</t>
        </is>
      </c>
      <c r="I1117" s="17" t="inlineStr">
        <is>
          <t>Đai ốc Din 934 8 ZP M30</t>
        </is>
      </c>
      <c r="J1117" s="17" t="inlineStr">
        <is>
          <t>Cái</t>
        </is>
      </c>
      <c r="K1117" s="19" t="n">
        <v>8310</v>
      </c>
      <c r="L1117" s="21" t="n"/>
      <c r="M1117" s="22" t="n"/>
      <c r="N1117" s="22" t="n">
        <v>696</v>
      </c>
      <c r="O1117" s="22" t="n">
        <v>5783760</v>
      </c>
      <c r="P1117" s="22" t="n">
        <v>696</v>
      </c>
      <c r="Q1117" s="22" t="n">
        <v>5783760</v>
      </c>
      <c r="R1117" s="42">
        <f>+L1117+N1117-P1117</f>
        <v/>
      </c>
      <c r="S1117" s="42">
        <f>+M1117+O1117-Q1117</f>
        <v/>
      </c>
    </row>
    <row r="1118" ht="30" customHeight="1">
      <c r="A1118" s="16" t="n">
        <v>45751</v>
      </c>
      <c r="B1118" s="17" t="inlineStr">
        <is>
          <t>MH2504-13</t>
        </is>
      </c>
      <c r="C1118" s="16" t="n">
        <v>45751</v>
      </c>
      <c r="D1118" s="17" t="inlineStr">
        <is>
          <t>00001126</t>
        </is>
      </c>
      <c r="E1118" s="16" t="n">
        <v>45751</v>
      </c>
      <c r="F1118" s="16" t="inlineStr">
        <is>
          <t>XK2504-04</t>
        </is>
      </c>
      <c r="G1118" s="16" t="n">
        <v>45751</v>
      </c>
      <c r="H1118" s="17" t="inlineStr">
        <is>
          <t>CÔNG TY CỔ PHẦN CÔNG NGHIỆP VÀ THƯƠNG MẠI CƯỜNG THỊNH</t>
        </is>
      </c>
      <c r="I1118" s="17" t="inlineStr">
        <is>
          <t>Long đền thường ZP M30B50D2</t>
        </is>
      </c>
      <c r="J1118" s="17" t="inlineStr">
        <is>
          <t>Cái</t>
        </is>
      </c>
      <c r="K1118" s="19" t="n">
        <v>890</v>
      </c>
      <c r="L1118" s="21" t="n"/>
      <c r="M1118" s="22" t="n"/>
      <c r="N1118" s="22" t="n">
        <v>696</v>
      </c>
      <c r="O1118" s="22" t="n">
        <v>619440</v>
      </c>
      <c r="P1118" s="22" t="n">
        <v>696</v>
      </c>
      <c r="Q1118" s="22" t="n">
        <v>619440</v>
      </c>
      <c r="R1118" s="42">
        <f>+L1118+N1118-P1118</f>
        <v/>
      </c>
      <c r="S1118" s="42">
        <f>+M1118+O1118-Q1118</f>
        <v/>
      </c>
    </row>
    <row r="1119" ht="30" customHeight="1">
      <c r="A1119" s="16" t="n">
        <v>45751</v>
      </c>
      <c r="B1119" s="17" t="inlineStr">
        <is>
          <t>MH2504-13</t>
        </is>
      </c>
      <c r="C1119" s="16" t="n">
        <v>45751</v>
      </c>
      <c r="D1119" s="17" t="inlineStr">
        <is>
          <t>00001126</t>
        </is>
      </c>
      <c r="E1119" s="16" t="n">
        <v>45751</v>
      </c>
      <c r="F1119" s="16" t="inlineStr">
        <is>
          <t>XK2504-04</t>
        </is>
      </c>
      <c r="G1119" s="16" t="n">
        <v>45751</v>
      </c>
      <c r="H1119" s="17" t="inlineStr">
        <is>
          <t>CÔNG TY CỔ PHẦN CÔNG NGHIỆP VÀ THƯƠNG MẠI CƯỜNG THỊNH</t>
        </is>
      </c>
      <c r="I1119" s="17" t="inlineStr">
        <is>
          <t>Bulong thường 4.6 ZP M12x30</t>
        </is>
      </c>
      <c r="J1119" s="17" t="inlineStr">
        <is>
          <t>Cái</t>
        </is>
      </c>
      <c r="K1119" s="19" t="n">
        <v>950</v>
      </c>
      <c r="L1119" s="21" t="n"/>
      <c r="M1119" s="22" t="n"/>
      <c r="N1119" s="22" t="n">
        <v>1973</v>
      </c>
      <c r="O1119" s="22" t="n">
        <v>1874350</v>
      </c>
      <c r="P1119" s="22" t="n">
        <v>1973</v>
      </c>
      <c r="Q1119" s="22" t="n">
        <v>1874350</v>
      </c>
      <c r="R1119" s="42">
        <f>+L1119+N1119-P1119</f>
        <v/>
      </c>
      <c r="S1119" s="42">
        <f>+M1119+O1119-Q1119</f>
        <v/>
      </c>
    </row>
    <row r="1120" ht="30" customHeight="1">
      <c r="A1120" s="16" t="n">
        <v>45751</v>
      </c>
      <c r="B1120" s="17" t="inlineStr">
        <is>
          <t>MH2504-13</t>
        </is>
      </c>
      <c r="C1120" s="16" t="n">
        <v>45751</v>
      </c>
      <c r="D1120" s="17" t="inlineStr">
        <is>
          <t>00001126</t>
        </is>
      </c>
      <c r="E1120" s="16" t="n">
        <v>45751</v>
      </c>
      <c r="F1120" s="16" t="inlineStr">
        <is>
          <t>XK2504-04</t>
        </is>
      </c>
      <c r="G1120" s="16" t="n">
        <v>45751</v>
      </c>
      <c r="H1120" s="17" t="inlineStr">
        <is>
          <t>CÔNG TY CỔ PHẦN CÔNG NGHIỆP VÀ THƯƠNG MẠI CƯỜNG THỊNH</t>
        </is>
      </c>
      <c r="I1120" s="17" t="inlineStr">
        <is>
          <t>Đai ốc thường 4 ZP M12 (9mm)</t>
        </is>
      </c>
      <c r="J1120" s="17" t="inlineStr">
        <is>
          <t>Cái</t>
        </is>
      </c>
      <c r="K1120" s="19" t="n">
        <v>360</v>
      </c>
      <c r="L1120" s="21" t="n"/>
      <c r="M1120" s="22" t="n"/>
      <c r="N1120" s="22" t="n">
        <v>1973</v>
      </c>
      <c r="O1120" s="22" t="n">
        <v>710280</v>
      </c>
      <c r="P1120" s="22" t="n">
        <v>1973</v>
      </c>
      <c r="Q1120" s="22" t="n">
        <v>710280</v>
      </c>
      <c r="R1120" s="42">
        <f>+L1120+N1120-P1120</f>
        <v/>
      </c>
      <c r="S1120" s="42">
        <f>+M1120+O1120-Q1120</f>
        <v/>
      </c>
    </row>
    <row r="1121" ht="30" customHeight="1">
      <c r="A1121" s="16" t="n">
        <v>45751</v>
      </c>
      <c r="B1121" s="17" t="inlineStr">
        <is>
          <t>MH2504-13</t>
        </is>
      </c>
      <c r="C1121" s="16" t="n">
        <v>45751</v>
      </c>
      <c r="D1121" s="17" t="inlineStr">
        <is>
          <t>00001126</t>
        </is>
      </c>
      <c r="E1121" s="16" t="n">
        <v>45751</v>
      </c>
      <c r="F1121" s="16" t="inlineStr">
        <is>
          <t>XK2504-04</t>
        </is>
      </c>
      <c r="G1121" s="16" t="n">
        <v>45751</v>
      </c>
      <c r="H1121" s="17" t="inlineStr">
        <is>
          <t>CÔNG TY CỔ PHẦN CÔNG NGHIỆP VÀ THƯƠNG MẠI CƯỜNG THỊNH</t>
        </is>
      </c>
      <c r="I1121" s="17" t="inlineStr">
        <is>
          <t>Long đền thường ZP M12B23D1</t>
        </is>
      </c>
      <c r="J1121" s="17" t="inlineStr">
        <is>
          <t>Cái</t>
        </is>
      </c>
      <c r="K1121" s="19" t="n">
        <v>100</v>
      </c>
      <c r="L1121" s="21" t="n"/>
      <c r="M1121" s="22" t="n"/>
      <c r="N1121" s="22" t="n">
        <v>3946</v>
      </c>
      <c r="O1121" s="22" t="n">
        <v>394600</v>
      </c>
      <c r="P1121" s="22" t="n">
        <v>3946</v>
      </c>
      <c r="Q1121" s="22" t="n">
        <v>394600</v>
      </c>
      <c r="R1121" s="42">
        <f>+L1121+N1121-P1121</f>
        <v/>
      </c>
      <c r="S1121" s="42">
        <f>+M1121+O1121-Q1121</f>
        <v/>
      </c>
    </row>
    <row r="1122" ht="30" customHeight="1">
      <c r="A1122" s="16" t="n">
        <v>45751</v>
      </c>
      <c r="B1122" s="17" t="inlineStr">
        <is>
          <t>MH2504-13</t>
        </is>
      </c>
      <c r="C1122" s="16" t="n">
        <v>45751</v>
      </c>
      <c r="D1122" s="17" t="inlineStr">
        <is>
          <t>00001126</t>
        </is>
      </c>
      <c r="E1122" s="16" t="n">
        <v>45751</v>
      </c>
      <c r="F1122" s="16" t="inlineStr">
        <is>
          <t>XK2504-04</t>
        </is>
      </c>
      <c r="G1122" s="16" t="n">
        <v>45751</v>
      </c>
      <c r="H1122" s="17" t="inlineStr">
        <is>
          <t>CÔNG TY CỔ PHẦN CÔNG NGHIỆP VÀ THƯƠNG MẠI CƯỜNG THỊNH</t>
        </is>
      </c>
      <c r="I1122" s="17" t="inlineStr">
        <is>
          <t>Bulong thường 4.6 ZP M12x40</t>
        </is>
      </c>
      <c r="J1122" s="17" t="inlineStr">
        <is>
          <t>Cái</t>
        </is>
      </c>
      <c r="K1122" s="19" t="n">
        <v>1100</v>
      </c>
      <c r="L1122" s="21" t="n"/>
      <c r="M1122" s="22" t="n"/>
      <c r="N1122" s="22" t="n">
        <v>235</v>
      </c>
      <c r="O1122" s="22" t="n">
        <v>258500</v>
      </c>
      <c r="P1122" s="22" t="n">
        <v>235</v>
      </c>
      <c r="Q1122" s="22" t="n">
        <v>258500</v>
      </c>
      <c r="R1122" s="42">
        <f>+L1122+N1122-P1122</f>
        <v/>
      </c>
      <c r="S1122" s="42">
        <f>+M1122+O1122-Q1122</f>
        <v/>
      </c>
    </row>
    <row r="1123" ht="30" customHeight="1">
      <c r="A1123" s="16" t="n">
        <v>45751</v>
      </c>
      <c r="B1123" s="17" t="inlineStr">
        <is>
          <t>MH2504-13</t>
        </is>
      </c>
      <c r="C1123" s="16" t="n">
        <v>45751</v>
      </c>
      <c r="D1123" s="17" t="inlineStr">
        <is>
          <t>00001126</t>
        </is>
      </c>
      <c r="E1123" s="16" t="n">
        <v>45751</v>
      </c>
      <c r="F1123" s="16" t="inlineStr">
        <is>
          <t>XK2504-04</t>
        </is>
      </c>
      <c r="G1123" s="16" t="n">
        <v>45751</v>
      </c>
      <c r="H1123" s="17" t="inlineStr">
        <is>
          <t>CÔNG TY CỔ PHẦN CÔNG NGHIỆP VÀ THƯƠNG MẠI CƯỜNG THỊNH</t>
        </is>
      </c>
      <c r="I1123" s="17" t="inlineStr">
        <is>
          <t>Đai ốc thường 4 ZP M12 (9mm)</t>
        </is>
      </c>
      <c r="J1123" s="17" t="inlineStr">
        <is>
          <t>Cái</t>
        </is>
      </c>
      <c r="K1123" s="19" t="n">
        <v>360</v>
      </c>
      <c r="L1123" s="21" t="n"/>
      <c r="M1123" s="22" t="n"/>
      <c r="N1123" s="22" t="n">
        <v>235</v>
      </c>
      <c r="O1123" s="22" t="n">
        <v>84600</v>
      </c>
      <c r="P1123" s="22" t="n">
        <v>235</v>
      </c>
      <c r="Q1123" s="22" t="n">
        <v>84600</v>
      </c>
      <c r="R1123" s="42">
        <f>+L1123+N1123-P1123</f>
        <v/>
      </c>
      <c r="S1123" s="42">
        <f>+M1123+O1123-Q1123</f>
        <v/>
      </c>
    </row>
    <row r="1124" ht="30" customHeight="1">
      <c r="A1124" s="16" t="n">
        <v>45751</v>
      </c>
      <c r="B1124" s="17" t="inlineStr">
        <is>
          <t>MH2504-13</t>
        </is>
      </c>
      <c r="C1124" s="16" t="n">
        <v>45751</v>
      </c>
      <c r="D1124" s="17" t="inlineStr">
        <is>
          <t>00001126</t>
        </is>
      </c>
      <c r="E1124" s="16" t="n">
        <v>45751</v>
      </c>
      <c r="F1124" s="16" t="inlineStr">
        <is>
          <t>XK2504-04</t>
        </is>
      </c>
      <c r="G1124" s="16" t="n">
        <v>45751</v>
      </c>
      <c r="H1124" s="17" t="inlineStr">
        <is>
          <t>CÔNG TY CỔ PHẦN CÔNG NGHIỆP VÀ THƯƠNG MẠI CƯỜNG THỊNH</t>
        </is>
      </c>
      <c r="I1124" s="17" t="inlineStr">
        <is>
          <t>Long đền thường ZP M12B23D1</t>
        </is>
      </c>
      <c r="J1124" s="17" t="inlineStr">
        <is>
          <t>Cái</t>
        </is>
      </c>
      <c r="K1124" s="19" t="n">
        <v>100</v>
      </c>
      <c r="L1124" s="21" t="n"/>
      <c r="M1124" s="22" t="n"/>
      <c r="N1124" s="22" t="n">
        <v>470</v>
      </c>
      <c r="O1124" s="22" t="n">
        <v>47000</v>
      </c>
      <c r="P1124" s="22" t="n">
        <v>470</v>
      </c>
      <c r="Q1124" s="22" t="n">
        <v>47000</v>
      </c>
      <c r="R1124" s="42">
        <f>+L1124+N1124-P1124</f>
        <v/>
      </c>
      <c r="S1124" s="42">
        <f>+M1124+O1124-Q1124</f>
        <v/>
      </c>
    </row>
    <row r="1125" ht="15" customHeight="1">
      <c r="A1125" s="16" t="n">
        <v>45755</v>
      </c>
      <c r="B1125" s="17" t="inlineStr">
        <is>
          <t>MH2504-14</t>
        </is>
      </c>
      <c r="C1125" s="16" t="n">
        <v>45755</v>
      </c>
      <c r="D1125" s="17" t="inlineStr">
        <is>
          <t>00000080</t>
        </is>
      </c>
      <c r="E1125" s="16" t="n">
        <v>45755</v>
      </c>
      <c r="F1125" s="16" t="inlineStr">
        <is>
          <t>XK2504-05</t>
        </is>
      </c>
      <c r="G1125" s="16" t="n">
        <v>45755</v>
      </c>
      <c r="H1125" s="17" t="inlineStr">
        <is>
          <t>CÔNG TY TNHH XNK THÉP KIM NAM</t>
        </is>
      </c>
      <c r="I1125" s="17" t="inlineStr">
        <is>
          <t>Thép tấm Q355/A572 70lyx330x800</t>
        </is>
      </c>
      <c r="J1125" s="17" t="inlineStr">
        <is>
          <t>kg</t>
        </is>
      </c>
      <c r="K1125" s="19" t="n">
        <v>17363.64</v>
      </c>
      <c r="L1125" s="21" t="n"/>
      <c r="M1125" s="22" t="n"/>
      <c r="N1125" s="22" t="n">
        <v>8123.81</v>
      </c>
      <c r="O1125" s="22" t="n">
        <v>141058883</v>
      </c>
      <c r="P1125" s="22" t="n">
        <v>8123.81</v>
      </c>
      <c r="Q1125" s="22" t="n">
        <v>141058883</v>
      </c>
      <c r="R1125" s="42">
        <f>+L1125+N1125-P1125</f>
        <v/>
      </c>
      <c r="S1125" s="42">
        <f>+M1125+O1125-Q1125</f>
        <v/>
      </c>
    </row>
    <row r="1126" ht="15" customHeight="1">
      <c r="A1126" s="16" t="n">
        <v>45755</v>
      </c>
      <c r="B1126" s="17" t="inlineStr">
        <is>
          <t>MH2504-14</t>
        </is>
      </c>
      <c r="C1126" s="16" t="n">
        <v>45755</v>
      </c>
      <c r="D1126" s="17" t="inlineStr">
        <is>
          <t>00000080</t>
        </is>
      </c>
      <c r="E1126" s="16" t="n">
        <v>45755</v>
      </c>
      <c r="F1126" s="16" t="inlineStr">
        <is>
          <t>XK2504-05</t>
        </is>
      </c>
      <c r="G1126" s="16" t="n">
        <v>45755</v>
      </c>
      <c r="H1126" s="17" t="inlineStr">
        <is>
          <t>CÔNG TY TNHH XNK THÉP KIM NAM</t>
        </is>
      </c>
      <c r="I1126" s="17" t="inlineStr">
        <is>
          <t>Thép tấm Q355/A572 50lyx2000x12000</t>
        </is>
      </c>
      <c r="J1126" s="17" t="inlineStr">
        <is>
          <t>kg</t>
        </is>
      </c>
      <c r="K1126" s="19" t="n">
        <v>15636.36</v>
      </c>
      <c r="L1126" s="21" t="n"/>
      <c r="M1126" s="22" t="n"/>
      <c r="N1126" s="22" t="n">
        <v>9420</v>
      </c>
      <c r="O1126" s="22" t="n">
        <v>147294545</v>
      </c>
      <c r="P1126" s="22" t="n">
        <v>9420</v>
      </c>
      <c r="Q1126" s="22" t="n">
        <v>147294545</v>
      </c>
      <c r="R1126" s="42">
        <f>+L1126+N1126-P1126</f>
        <v/>
      </c>
      <c r="S1126" s="42">
        <f>+M1126+O1126-Q1126</f>
        <v/>
      </c>
    </row>
    <row r="1127" ht="15" customHeight="1">
      <c r="A1127" s="16" t="n">
        <v>45755</v>
      </c>
      <c r="B1127" s="17" t="inlineStr">
        <is>
          <t>MH2504-15</t>
        </is>
      </c>
      <c r="C1127" s="16" t="n">
        <v>45755</v>
      </c>
      <c r="D1127" s="17" t="inlineStr">
        <is>
          <t>00000081</t>
        </is>
      </c>
      <c r="E1127" s="16" t="n">
        <v>45755</v>
      </c>
      <c r="F1127" s="16" t="inlineStr">
        <is>
          <t>XK2504-05</t>
        </is>
      </c>
      <c r="G1127" s="16" t="n">
        <v>45755</v>
      </c>
      <c r="H1127" s="17" t="inlineStr">
        <is>
          <t>CÔNG TY TNHH XNK THÉP KIM NAM</t>
        </is>
      </c>
      <c r="I1127" s="17" t="inlineStr">
        <is>
          <t>Thép tấm Q355/A572 10lyx2000x12000</t>
        </is>
      </c>
      <c r="J1127" s="17" t="inlineStr">
        <is>
          <t>kg</t>
        </is>
      </c>
      <c r="K1127" s="19" t="n">
        <v>14000</v>
      </c>
      <c r="L1127" s="21" t="n"/>
      <c r="M1127" s="22" t="n"/>
      <c r="N1127" s="22" t="n">
        <v>18840</v>
      </c>
      <c r="O1127" s="22" t="n">
        <v>263760000</v>
      </c>
      <c r="P1127" s="22" t="n">
        <v>18840</v>
      </c>
      <c r="Q1127" s="22" t="n">
        <v>263760000</v>
      </c>
      <c r="R1127" s="42">
        <f>+L1127+N1127-P1127</f>
        <v/>
      </c>
      <c r="S1127" s="42">
        <f>+M1127+O1127-Q1127</f>
        <v/>
      </c>
    </row>
    <row r="1128" ht="15" customHeight="1">
      <c r="A1128" s="16" t="n">
        <v>45755</v>
      </c>
      <c r="B1128" s="17" t="inlineStr">
        <is>
          <t>MH2504-16</t>
        </is>
      </c>
      <c r="C1128" s="16" t="n">
        <v>45755</v>
      </c>
      <c r="D1128" s="17" t="inlineStr">
        <is>
          <t>00000082</t>
        </is>
      </c>
      <c r="E1128" s="16" t="n">
        <v>45755</v>
      </c>
      <c r="F1128" s="16" t="inlineStr">
        <is>
          <t>XK2504-05</t>
        </is>
      </c>
      <c r="G1128" s="16" t="n">
        <v>45755</v>
      </c>
      <c r="H1128" s="17" t="inlineStr">
        <is>
          <t>CÔNG TY TNHH XNK THÉP KIM NAM</t>
        </is>
      </c>
      <c r="I1128" s="17" t="inlineStr">
        <is>
          <t>Thép hình U250x78x7x12m</t>
        </is>
      </c>
      <c r="J1128" s="17" t="inlineStr">
        <is>
          <t>kg</t>
        </is>
      </c>
      <c r="K1128" s="19" t="n">
        <v>14545.46</v>
      </c>
      <c r="L1128" s="21" t="n"/>
      <c r="M1128" s="22" t="n"/>
      <c r="N1128" s="22" t="n">
        <v>1973.52</v>
      </c>
      <c r="O1128" s="22" t="n">
        <v>28705745</v>
      </c>
      <c r="P1128" s="22" t="n">
        <v>1973.52</v>
      </c>
      <c r="Q1128" s="22" t="n">
        <v>28705745</v>
      </c>
      <c r="R1128" s="42">
        <f>+L1128+N1128-P1128</f>
        <v/>
      </c>
      <c r="S1128" s="42">
        <f>+M1128+O1128-Q1128</f>
        <v/>
      </c>
    </row>
    <row r="1129" ht="15" customHeight="1">
      <c r="A1129" s="16" t="n">
        <v>45755</v>
      </c>
      <c r="B1129" s="17" t="inlineStr">
        <is>
          <t>MH2504-16</t>
        </is>
      </c>
      <c r="C1129" s="16" t="n">
        <v>45755</v>
      </c>
      <c r="D1129" s="17" t="inlineStr">
        <is>
          <t>00000082</t>
        </is>
      </c>
      <c r="E1129" s="16" t="n">
        <v>45755</v>
      </c>
      <c r="F1129" s="16" t="inlineStr">
        <is>
          <t>XK2504-05</t>
        </is>
      </c>
      <c r="G1129" s="16" t="n">
        <v>45755</v>
      </c>
      <c r="H1129" s="17" t="inlineStr">
        <is>
          <t>CÔNG TY TNHH XNK THÉP KIM NAM</t>
        </is>
      </c>
      <c r="I1129" s="17" t="inlineStr">
        <is>
          <t>Thép tấm gân 5lyx1500x6000</t>
        </is>
      </c>
      <c r="J1129" s="17" t="inlineStr">
        <is>
          <t>kg</t>
        </is>
      </c>
      <c r="K1129" s="19" t="n">
        <v>13181.82</v>
      </c>
      <c r="L1129" s="21" t="n"/>
      <c r="M1129" s="22" t="n"/>
      <c r="N1129" s="22" t="n">
        <v>760.5</v>
      </c>
      <c r="O1129" s="22" t="n">
        <v>10024773</v>
      </c>
      <c r="P1129" s="22" t="n">
        <v>760.5</v>
      </c>
      <c r="Q1129" s="22" t="n">
        <v>10024773</v>
      </c>
      <c r="R1129" s="42">
        <f>+L1129+N1129-P1129</f>
        <v/>
      </c>
      <c r="S1129" s="42">
        <f>+M1129+O1129-Q1129</f>
        <v/>
      </c>
    </row>
    <row r="1130" ht="30" customHeight="1">
      <c r="A1130" s="16" t="n">
        <v>45755</v>
      </c>
      <c r="B1130" s="17" t="inlineStr">
        <is>
          <t>MH2504-17</t>
        </is>
      </c>
      <c r="C1130" s="16" t="n">
        <v>45755</v>
      </c>
      <c r="D1130" s="17" t="inlineStr">
        <is>
          <t>00001600</t>
        </is>
      </c>
      <c r="E1130" s="16" t="n">
        <v>45755</v>
      </c>
      <c r="F1130" s="16" t="inlineStr">
        <is>
          <t>XK2504-06</t>
        </is>
      </c>
      <c r="G1130" s="16" t="n">
        <v>45755</v>
      </c>
      <c r="H1130" s="17" t="inlineStr">
        <is>
          <t>CÔNG TY TNHH MTV SẢN XUẤT THƯƠNG MẠI DỊCH VỤ THANH HUYỀN</t>
        </is>
      </c>
      <c r="I1130" s="17" t="inlineStr">
        <is>
          <t>Xà gồ mạ kẽm</t>
        </is>
      </c>
      <c r="J1130" s="17" t="inlineStr">
        <is>
          <t>kg</t>
        </is>
      </c>
      <c r="K1130" s="19" t="n">
        <v>18450.34</v>
      </c>
      <c r="L1130" s="21" t="n"/>
      <c r="M1130" s="22" t="n"/>
      <c r="N1130" s="22" t="n">
        <v>1073</v>
      </c>
      <c r="O1130" s="22" t="n">
        <v>19797212</v>
      </c>
      <c r="P1130" s="22" t="n">
        <v>1073</v>
      </c>
      <c r="Q1130" s="22" t="n">
        <v>19797212</v>
      </c>
      <c r="R1130" s="42">
        <f>+L1130+N1130-P1130</f>
        <v/>
      </c>
      <c r="S1130" s="42">
        <f>+M1130+O1130-Q1130</f>
        <v/>
      </c>
    </row>
    <row r="1131" ht="30" customHeight="1">
      <c r="A1131" s="16" t="n">
        <v>45755</v>
      </c>
      <c r="B1131" s="17" t="inlineStr">
        <is>
          <t>MH2504-18</t>
        </is>
      </c>
      <c r="C1131" s="16" t="n">
        <v>45755</v>
      </c>
      <c r="D1131" s="17" t="inlineStr">
        <is>
          <t>00001601</t>
        </is>
      </c>
      <c r="E1131" s="16" t="n">
        <v>45755</v>
      </c>
      <c r="F1131" s="16" t="inlineStr">
        <is>
          <t>XK2504-06</t>
        </is>
      </c>
      <c r="G1131" s="16" t="n">
        <v>45755</v>
      </c>
      <c r="H1131" s="17" t="inlineStr">
        <is>
          <t>CÔNG TY TNHH MTV SẢN XUẤT THƯƠNG MẠI DỊCH VỤ THANH HUYỀN</t>
        </is>
      </c>
      <c r="I1131" s="17" t="inlineStr">
        <is>
          <t>Thép mạ kẽm chấn</t>
        </is>
      </c>
      <c r="J1131" s="17" t="inlineStr">
        <is>
          <t>kg</t>
        </is>
      </c>
      <c r="K1131" s="19" t="n">
        <v>21884.81</v>
      </c>
      <c r="L1131" s="21" t="n"/>
      <c r="M1131" s="22" t="n"/>
      <c r="N1131" s="22" t="n">
        <v>136</v>
      </c>
      <c r="O1131" s="22" t="n">
        <v>2976335</v>
      </c>
      <c r="P1131" s="22" t="n">
        <v>136</v>
      </c>
      <c r="Q1131" s="22" t="n">
        <v>2976335</v>
      </c>
      <c r="R1131" s="42">
        <f>+L1131+N1131-P1131</f>
        <v/>
      </c>
      <c r="S1131" s="42">
        <f>+M1131+O1131-Q1131</f>
        <v/>
      </c>
    </row>
    <row r="1132" ht="30" customHeight="1">
      <c r="A1132" s="16" t="n">
        <v>45755</v>
      </c>
      <c r="B1132" s="17" t="inlineStr">
        <is>
          <t>MH2504-18</t>
        </is>
      </c>
      <c r="C1132" s="16" t="n">
        <v>45755</v>
      </c>
      <c r="D1132" s="17" t="inlineStr">
        <is>
          <t>00001601</t>
        </is>
      </c>
      <c r="E1132" s="16" t="n">
        <v>45755</v>
      </c>
      <c r="F1132" s="16" t="inlineStr">
        <is>
          <t>XK2504-06</t>
        </is>
      </c>
      <c r="G1132" s="16" t="n">
        <v>45755</v>
      </c>
      <c r="H1132" s="17" t="inlineStr">
        <is>
          <t>CÔNG TY TNHH MTV SẢN XUẤT THƯƠNG MẠI DỊCH VỤ THANH HUYỀN</t>
        </is>
      </c>
      <c r="I1132" s="17" t="inlineStr">
        <is>
          <t>Xà gồ mạ kẽm</t>
        </is>
      </c>
      <c r="J1132" s="17" t="inlineStr">
        <is>
          <t>kg</t>
        </is>
      </c>
      <c r="K1132" s="19" t="n">
        <v>18462.12</v>
      </c>
      <c r="L1132" s="21" t="n"/>
      <c r="M1132" s="22" t="n"/>
      <c r="N1132" s="22" t="n">
        <v>5137</v>
      </c>
      <c r="O1132" s="22" t="n">
        <v>94839885</v>
      </c>
      <c r="P1132" s="22" t="n">
        <v>5137</v>
      </c>
      <c r="Q1132" s="22" t="n">
        <v>94839885</v>
      </c>
      <c r="R1132" s="42">
        <f>+L1132+N1132-P1132</f>
        <v/>
      </c>
      <c r="S1132" s="42">
        <f>+M1132+O1132-Q1132</f>
        <v/>
      </c>
    </row>
    <row r="1133" ht="30" customHeight="1">
      <c r="A1133" s="16" t="n">
        <v>45755</v>
      </c>
      <c r="B1133" s="17" t="inlineStr">
        <is>
          <t>MH2504-19</t>
        </is>
      </c>
      <c r="C1133" s="16" t="n">
        <v>45755</v>
      </c>
      <c r="D1133" s="17" t="inlineStr">
        <is>
          <t>00001602</t>
        </is>
      </c>
      <c r="E1133" s="16" t="n">
        <v>45755</v>
      </c>
      <c r="F1133" s="16" t="inlineStr">
        <is>
          <t>XK2504-06</t>
        </is>
      </c>
      <c r="G1133" s="16" t="n">
        <v>45755</v>
      </c>
      <c r="H1133" s="17" t="inlineStr">
        <is>
          <t>CÔNG TY TNHH MTV SẢN XUẤT THƯƠNG MẠI DỊCH VỤ THANH HUYỀN</t>
        </is>
      </c>
      <c r="I1133" s="17" t="inlineStr">
        <is>
          <t>Thép mạ kẽm chấn</t>
        </is>
      </c>
      <c r="J1133" s="17" t="inlineStr">
        <is>
          <t>kg</t>
        </is>
      </c>
      <c r="K1133" s="19" t="n">
        <v>22602.27</v>
      </c>
      <c r="L1133" s="21" t="n"/>
      <c r="M1133" s="22" t="n"/>
      <c r="N1133" s="22" t="n">
        <v>16</v>
      </c>
      <c r="O1133" s="22" t="n">
        <v>361636</v>
      </c>
      <c r="P1133" s="22" t="n">
        <v>16</v>
      </c>
      <c r="Q1133" s="22" t="n">
        <v>361636</v>
      </c>
      <c r="R1133" s="42">
        <f>+L1133+N1133-P1133</f>
        <v/>
      </c>
      <c r="S1133" s="42">
        <f>+M1133+O1133-Q1133</f>
        <v/>
      </c>
    </row>
    <row r="1134" ht="30" customHeight="1">
      <c r="A1134" s="16" t="n">
        <v>45755</v>
      </c>
      <c r="B1134" s="17" t="inlineStr">
        <is>
          <t>MH2504-19</t>
        </is>
      </c>
      <c r="C1134" s="16" t="n">
        <v>45755</v>
      </c>
      <c r="D1134" s="17" t="inlineStr">
        <is>
          <t>00001602</t>
        </is>
      </c>
      <c r="E1134" s="16" t="n">
        <v>45755</v>
      </c>
      <c r="F1134" s="16" t="inlineStr">
        <is>
          <t>XK2504-06</t>
        </is>
      </c>
      <c r="G1134" s="16" t="n">
        <v>45755</v>
      </c>
      <c r="H1134" s="17" t="inlineStr">
        <is>
          <t>CÔNG TY TNHH MTV SẢN XUẤT THƯƠNG MẠI DỊCH VỤ THANH HUYỀN</t>
        </is>
      </c>
      <c r="I1134" s="17" t="inlineStr">
        <is>
          <t>Xà gồ mạ kẽm</t>
        </is>
      </c>
      <c r="J1134" s="17" t="inlineStr">
        <is>
          <t>kg</t>
        </is>
      </c>
      <c r="K1134" s="19" t="n">
        <v>18478.09</v>
      </c>
      <c r="L1134" s="21" t="n"/>
      <c r="M1134" s="22" t="n"/>
      <c r="N1134" s="22" t="n">
        <v>251</v>
      </c>
      <c r="O1134" s="22" t="n">
        <v>4638000</v>
      </c>
      <c r="P1134" s="22" t="n">
        <v>251</v>
      </c>
      <c r="Q1134" s="22" t="n">
        <v>4638000</v>
      </c>
      <c r="R1134" s="42">
        <f>+L1134+N1134-P1134</f>
        <v/>
      </c>
      <c r="S1134" s="42">
        <f>+M1134+O1134-Q1134</f>
        <v/>
      </c>
    </row>
    <row r="1135" ht="30" customHeight="1">
      <c r="A1135" s="16" t="n">
        <v>45756</v>
      </c>
      <c r="B1135" s="17" t="inlineStr">
        <is>
          <t>MH2504-20</t>
        </is>
      </c>
      <c r="C1135" s="16" t="n">
        <v>45756</v>
      </c>
      <c r="D1135" s="17" t="inlineStr">
        <is>
          <t>00001167</t>
        </is>
      </c>
      <c r="E1135" s="16" t="n">
        <v>45756</v>
      </c>
      <c r="F1135" s="16" t="inlineStr">
        <is>
          <t>XK2504-07</t>
        </is>
      </c>
      <c r="G1135" s="16" t="n">
        <v>45756</v>
      </c>
      <c r="H1135" s="17" t="inlineStr">
        <is>
          <t>CÔNG TY CỔ PHẦN CÔNG NGHIỆP VÀ THƯƠNG MẠI CƯỜNG THỊNH</t>
        </is>
      </c>
      <c r="I1135" s="17" t="inlineStr">
        <is>
          <t>Đinh hàn 4.8 M16x100</t>
        </is>
      </c>
      <c r="J1135" s="17" t="inlineStr">
        <is>
          <t>Cái</t>
        </is>
      </c>
      <c r="K1135" s="19" t="n">
        <v>5800</v>
      </c>
      <c r="L1135" s="21" t="n"/>
      <c r="M1135" s="22" t="n"/>
      <c r="N1135" s="22" t="n">
        <v>750</v>
      </c>
      <c r="O1135" s="22" t="n">
        <v>4350000</v>
      </c>
      <c r="P1135" s="22" t="n">
        <v>750</v>
      </c>
      <c r="Q1135" s="22" t="n">
        <v>4350000</v>
      </c>
      <c r="R1135" s="42">
        <f>+L1135+N1135-P1135</f>
        <v/>
      </c>
      <c r="S1135" s="42">
        <f>+M1135+O1135-Q1135</f>
        <v/>
      </c>
    </row>
    <row r="1136" ht="30" customHeight="1">
      <c r="A1136" s="16" t="n">
        <v>45756</v>
      </c>
      <c r="B1136" s="17" t="inlineStr">
        <is>
          <t>MH2504-21</t>
        </is>
      </c>
      <c r="C1136" s="16" t="n">
        <v>45756</v>
      </c>
      <c r="D1136" s="17" t="inlineStr">
        <is>
          <t>00001174</t>
        </is>
      </c>
      <c r="E1136" s="16" t="n">
        <v>45756</v>
      </c>
      <c r="F1136" s="16" t="inlineStr">
        <is>
          <t>XK2504-07</t>
        </is>
      </c>
      <c r="G1136" s="16" t="n">
        <v>45756</v>
      </c>
      <c r="H1136" s="17" t="inlineStr">
        <is>
          <t>CÔNG TY CỔ PHẦN CÔNG NGHIỆP VÀ THƯƠNG MẠI CƯỜNG THỊNH</t>
        </is>
      </c>
      <c r="I1136" s="17" t="inlineStr">
        <is>
          <t>Ty giằng 2 đầu ren 4.6 ZP M16</t>
        </is>
      </c>
      <c r="J1136" s="17" t="inlineStr">
        <is>
          <t>Mét</t>
        </is>
      </c>
      <c r="K1136" s="19" t="n">
        <v>48000</v>
      </c>
      <c r="L1136" s="21" t="n"/>
      <c r="M1136" s="22" t="n"/>
      <c r="N1136" s="22" t="n">
        <v>25.55</v>
      </c>
      <c r="O1136" s="22" t="n">
        <v>1226400</v>
      </c>
      <c r="P1136" s="22" t="n">
        <v>25.55</v>
      </c>
      <c r="Q1136" s="22" t="n">
        <v>1226400</v>
      </c>
      <c r="R1136" s="42">
        <f>+L1136+N1136-P1136</f>
        <v/>
      </c>
      <c r="S1136" s="42">
        <f>+M1136+O1136-Q1136</f>
        <v/>
      </c>
    </row>
    <row r="1137" ht="30" customHeight="1">
      <c r="A1137" s="16" t="n">
        <v>45756</v>
      </c>
      <c r="B1137" s="17" t="inlineStr">
        <is>
          <t>MH2504-21</t>
        </is>
      </c>
      <c r="C1137" s="16" t="n">
        <v>45756</v>
      </c>
      <c r="D1137" s="17" t="inlineStr">
        <is>
          <t>00001174</t>
        </is>
      </c>
      <c r="E1137" s="16" t="n">
        <v>45756</v>
      </c>
      <c r="F1137" s="16" t="inlineStr">
        <is>
          <t>XK2504-07</t>
        </is>
      </c>
      <c r="G1137" s="16" t="n">
        <v>45756</v>
      </c>
      <c r="H1137" s="17" t="inlineStr">
        <is>
          <t>CÔNG TY CỔ PHẦN CÔNG NGHIỆP VÀ THƯƠNG MẠI CƯỜNG THỊNH</t>
        </is>
      </c>
      <c r="I1137" s="17" t="inlineStr">
        <is>
          <t>Đai ốc Din 934 5 ZP M16</t>
        </is>
      </c>
      <c r="J1137" s="17" t="inlineStr">
        <is>
          <t>Cái</t>
        </is>
      </c>
      <c r="K1137" s="19" t="n">
        <v>1110</v>
      </c>
      <c r="L1137" s="21" t="n"/>
      <c r="M1137" s="22" t="n"/>
      <c r="N1137" s="22" t="n">
        <v>8</v>
      </c>
      <c r="O1137" s="22" t="n">
        <v>8880</v>
      </c>
      <c r="P1137" s="22" t="n">
        <v>8</v>
      </c>
      <c r="Q1137" s="22" t="n">
        <v>8880</v>
      </c>
      <c r="R1137" s="42">
        <f>+L1137+N1137-P1137</f>
        <v/>
      </c>
      <c r="S1137" s="42">
        <f>+M1137+O1137-Q1137</f>
        <v/>
      </c>
    </row>
    <row r="1138" ht="30" customHeight="1">
      <c r="A1138" s="16" t="n">
        <v>45756</v>
      </c>
      <c r="B1138" s="17" t="inlineStr">
        <is>
          <t>MH2504-21</t>
        </is>
      </c>
      <c r="C1138" s="16" t="n">
        <v>45756</v>
      </c>
      <c r="D1138" s="17" t="inlineStr">
        <is>
          <t>00001174</t>
        </is>
      </c>
      <c r="E1138" s="16" t="n">
        <v>45756</v>
      </c>
      <c r="F1138" s="16" t="inlineStr">
        <is>
          <t>XK2504-07</t>
        </is>
      </c>
      <c r="G1138" s="16" t="n">
        <v>45756</v>
      </c>
      <c r="H1138" s="17" t="inlineStr">
        <is>
          <t>CÔNG TY CỔ PHẦN CÔNG NGHIỆP VÀ THƯƠNG MẠI CƯỜNG THỊNH</t>
        </is>
      </c>
      <c r="I1138" s="17" t="inlineStr">
        <is>
          <t>Long đền thường ZP M16B42D2</t>
        </is>
      </c>
      <c r="J1138" s="17" t="inlineStr">
        <is>
          <t>Cái</t>
        </is>
      </c>
      <c r="K1138" s="19" t="n">
        <v>800</v>
      </c>
      <c r="L1138" s="21" t="n"/>
      <c r="M1138" s="22" t="n"/>
      <c r="N1138" s="22" t="n">
        <v>8</v>
      </c>
      <c r="O1138" s="22" t="n">
        <v>6400</v>
      </c>
      <c r="P1138" s="22" t="n">
        <v>8</v>
      </c>
      <c r="Q1138" s="22" t="n">
        <v>6400</v>
      </c>
      <c r="R1138" s="42">
        <f>+L1138+N1138-P1138</f>
        <v/>
      </c>
      <c r="S1138" s="42">
        <f>+M1138+O1138-Q1138</f>
        <v/>
      </c>
    </row>
    <row r="1139" ht="30" customHeight="1">
      <c r="A1139" s="16" t="n">
        <v>45756</v>
      </c>
      <c r="B1139" s="17" t="inlineStr">
        <is>
          <t>MH2504-21</t>
        </is>
      </c>
      <c r="C1139" s="16" t="n">
        <v>45756</v>
      </c>
      <c r="D1139" s="17" t="inlineStr">
        <is>
          <t>00001174</t>
        </is>
      </c>
      <c r="E1139" s="16" t="n">
        <v>45756</v>
      </c>
      <c r="F1139" s="16" t="inlineStr">
        <is>
          <t>XK2504-07</t>
        </is>
      </c>
      <c r="G1139" s="16" t="n">
        <v>45756</v>
      </c>
      <c r="H1139" s="17" t="inlineStr">
        <is>
          <t>CÔNG TY CỔ PHẦN CÔNG NGHIỆP VÀ THƯƠNG MẠI CƯỜNG THỊNH</t>
        </is>
      </c>
      <c r="I1139" s="17" t="inlineStr">
        <is>
          <t>Long đền móng ngựa ZP M16</t>
        </is>
      </c>
      <c r="J1139" s="17" t="inlineStr">
        <is>
          <t>Cái</t>
        </is>
      </c>
      <c r="K1139" s="19" t="n">
        <v>15670</v>
      </c>
      <c r="L1139" s="21" t="n"/>
      <c r="M1139" s="22" t="n"/>
      <c r="N1139" s="22" t="n">
        <v>8</v>
      </c>
      <c r="O1139" s="22" t="n">
        <v>125360</v>
      </c>
      <c r="P1139" s="22" t="n">
        <v>8</v>
      </c>
      <c r="Q1139" s="22" t="n">
        <v>125360</v>
      </c>
      <c r="R1139" s="42">
        <f>+L1139+N1139-P1139</f>
        <v/>
      </c>
      <c r="S1139" s="42">
        <f>+M1139+O1139-Q1139</f>
        <v/>
      </c>
    </row>
    <row r="1140" ht="30" customHeight="1">
      <c r="A1140" s="16" t="n">
        <v>45756</v>
      </c>
      <c r="B1140" s="17" t="inlineStr">
        <is>
          <t>MH2504-21</t>
        </is>
      </c>
      <c r="C1140" s="16" t="n">
        <v>45756</v>
      </c>
      <c r="D1140" s="17" t="inlineStr">
        <is>
          <t>00001174</t>
        </is>
      </c>
      <c r="E1140" s="16" t="n">
        <v>45756</v>
      </c>
      <c r="F1140" s="16" t="inlineStr">
        <is>
          <t>XK2504-07</t>
        </is>
      </c>
      <c r="G1140" s="16" t="n">
        <v>45756</v>
      </c>
      <c r="H1140" s="17" t="inlineStr">
        <is>
          <t>CÔNG TY CỔ PHẦN CÔNG NGHIỆP VÀ THƯƠNG MẠI CƯỜNG THỊNH</t>
        </is>
      </c>
      <c r="I1140" s="17" t="inlineStr">
        <is>
          <t>Nối Ty ZP M16x100 (23mm)</t>
        </is>
      </c>
      <c r="J1140" s="17" t="inlineStr">
        <is>
          <t>Cái</t>
        </is>
      </c>
      <c r="K1140" s="19" t="n">
        <v>24160</v>
      </c>
      <c r="L1140" s="21" t="n"/>
      <c r="M1140" s="22" t="n"/>
      <c r="N1140" s="22" t="n">
        <v>4</v>
      </c>
      <c r="O1140" s="22" t="n">
        <v>96640</v>
      </c>
      <c r="P1140" s="22" t="n">
        <v>4</v>
      </c>
      <c r="Q1140" s="22" t="n">
        <v>96640</v>
      </c>
      <c r="R1140" s="42">
        <f>+L1140+N1140-P1140</f>
        <v/>
      </c>
      <c r="S1140" s="42">
        <f>+M1140+O1140-Q1140</f>
        <v/>
      </c>
    </row>
    <row r="1141" ht="30" customHeight="1">
      <c r="A1141" s="16" t="n">
        <v>45756</v>
      </c>
      <c r="B1141" s="17" t="inlineStr">
        <is>
          <t>MH2504-21</t>
        </is>
      </c>
      <c r="C1141" s="16" t="n">
        <v>45756</v>
      </c>
      <c r="D1141" s="17" t="inlineStr">
        <is>
          <t>00001174</t>
        </is>
      </c>
      <c r="E1141" s="16" t="n">
        <v>45756</v>
      </c>
      <c r="F1141" s="16" t="inlineStr">
        <is>
          <t>XK2504-07</t>
        </is>
      </c>
      <c r="G1141" s="16" t="n">
        <v>45756</v>
      </c>
      <c r="H1141" s="17" t="inlineStr">
        <is>
          <t>CÔNG TY CỔ PHẦN CÔNG NGHIỆP VÀ THƯƠNG MẠI CƯỜNG THỊNH</t>
        </is>
      </c>
      <c r="I1141" s="17" t="inlineStr">
        <is>
          <t>Vít kẽm V2 12-14x20 RDN</t>
        </is>
      </c>
      <c r="J1141" s="17" t="inlineStr">
        <is>
          <t>Cái</t>
        </is>
      </c>
      <c r="K1141" s="19" t="n">
        <v>420</v>
      </c>
      <c r="L1141" s="21" t="n"/>
      <c r="M1141" s="22" t="n"/>
      <c r="N1141" s="22" t="n">
        <v>200</v>
      </c>
      <c r="O1141" s="22" t="n">
        <v>84000</v>
      </c>
      <c r="P1141" s="22" t="n">
        <v>200</v>
      </c>
      <c r="Q1141" s="22" t="n">
        <v>84000</v>
      </c>
      <c r="R1141" s="42">
        <f>+L1141+N1141-P1141</f>
        <v/>
      </c>
      <c r="S1141" s="42">
        <f>+M1141+O1141-Q1141</f>
        <v/>
      </c>
    </row>
    <row r="1142" ht="30" customHeight="1">
      <c r="A1142" s="16" t="n">
        <v>45756</v>
      </c>
      <c r="B1142" s="17" t="inlineStr">
        <is>
          <t>MH2504-21</t>
        </is>
      </c>
      <c r="C1142" s="16" t="n">
        <v>45756</v>
      </c>
      <c r="D1142" s="17" t="inlineStr">
        <is>
          <t>00001174</t>
        </is>
      </c>
      <c r="E1142" s="16" t="n">
        <v>45756</v>
      </c>
      <c r="F1142" s="16" t="inlineStr">
        <is>
          <t>XK2504-07</t>
        </is>
      </c>
      <c r="G1142" s="16" t="n">
        <v>45756</v>
      </c>
      <c r="H1142" s="17" t="inlineStr">
        <is>
          <t>CÔNG TY CỔ PHẦN CÔNG NGHIỆP VÀ THƯƠNG MẠI CƯỜNG THỊNH</t>
        </is>
      </c>
      <c r="I1142" s="17" t="inlineStr">
        <is>
          <t>Bulong Din 933 8.8 ZP M16x40</t>
        </is>
      </c>
      <c r="J1142" s="17" t="inlineStr">
        <is>
          <t>Cái</t>
        </is>
      </c>
      <c r="K1142" s="19" t="n">
        <v>3030</v>
      </c>
      <c r="L1142" s="21" t="n"/>
      <c r="M1142" s="22" t="n"/>
      <c r="N1142" s="22" t="n">
        <v>26</v>
      </c>
      <c r="O1142" s="22" t="n">
        <v>78780</v>
      </c>
      <c r="P1142" s="22" t="n">
        <v>26</v>
      </c>
      <c r="Q1142" s="22" t="n">
        <v>78780</v>
      </c>
      <c r="R1142" s="42">
        <f>+L1142+N1142-P1142</f>
        <v/>
      </c>
      <c r="S1142" s="42">
        <f>+M1142+O1142-Q1142</f>
        <v/>
      </c>
    </row>
    <row r="1143" ht="30" customHeight="1">
      <c r="A1143" s="16" t="n">
        <v>45756</v>
      </c>
      <c r="B1143" s="17" t="inlineStr">
        <is>
          <t>MH2504-21</t>
        </is>
      </c>
      <c r="C1143" s="16" t="n">
        <v>45756</v>
      </c>
      <c r="D1143" s="17" t="inlineStr">
        <is>
          <t>00001174</t>
        </is>
      </c>
      <c r="E1143" s="16" t="n">
        <v>45756</v>
      </c>
      <c r="F1143" s="16" t="inlineStr">
        <is>
          <t>XK2504-07</t>
        </is>
      </c>
      <c r="G1143" s="16" t="n">
        <v>45756</v>
      </c>
      <c r="H1143" s="17" t="inlineStr">
        <is>
          <t>CÔNG TY CỔ PHẦN CÔNG NGHIỆP VÀ THƯƠNG MẠI CƯỜNG THỊNH</t>
        </is>
      </c>
      <c r="I1143" s="17" t="inlineStr">
        <is>
          <t>Đai ốc Din 934 8 ZP M16</t>
        </is>
      </c>
      <c r="J1143" s="17" t="inlineStr">
        <is>
          <t>Cái</t>
        </is>
      </c>
      <c r="K1143" s="19" t="n">
        <v>1090</v>
      </c>
      <c r="L1143" s="21" t="n"/>
      <c r="M1143" s="22" t="n"/>
      <c r="N1143" s="22" t="n">
        <v>26</v>
      </c>
      <c r="O1143" s="22" t="n">
        <v>28340</v>
      </c>
      <c r="P1143" s="22" t="n">
        <v>26</v>
      </c>
      <c r="Q1143" s="22" t="n">
        <v>28340</v>
      </c>
      <c r="R1143" s="42">
        <f>+L1143+N1143-P1143</f>
        <v/>
      </c>
      <c r="S1143" s="42">
        <f>+M1143+O1143-Q1143</f>
        <v/>
      </c>
    </row>
    <row r="1144" ht="30" customHeight="1">
      <c r="A1144" s="16" t="n">
        <v>45756</v>
      </c>
      <c r="B1144" s="17" t="inlineStr">
        <is>
          <t>MH2504-21</t>
        </is>
      </c>
      <c r="C1144" s="16" t="n">
        <v>45756</v>
      </c>
      <c r="D1144" s="17" t="inlineStr">
        <is>
          <t>00001174</t>
        </is>
      </c>
      <c r="E1144" s="16" t="n">
        <v>45756</v>
      </c>
      <c r="F1144" s="16" t="inlineStr">
        <is>
          <t>XK2504-07</t>
        </is>
      </c>
      <c r="G1144" s="16" t="n">
        <v>45756</v>
      </c>
      <c r="H1144" s="17" t="inlineStr">
        <is>
          <t>CÔNG TY CỔ PHẦN CÔNG NGHIỆP VÀ THƯƠNG MẠI CƯỜNG THỊNH</t>
        </is>
      </c>
      <c r="I1144" s="17" t="inlineStr">
        <is>
          <t>Long đền thường ZP M16B30D2</t>
        </is>
      </c>
      <c r="J1144" s="17" t="inlineStr">
        <is>
          <t>Cái</t>
        </is>
      </c>
      <c r="K1144" s="19" t="n">
        <v>330</v>
      </c>
      <c r="L1144" s="21" t="n"/>
      <c r="M1144" s="22" t="n"/>
      <c r="N1144" s="22" t="n">
        <v>26</v>
      </c>
      <c r="O1144" s="22" t="n">
        <v>8580</v>
      </c>
      <c r="P1144" s="22" t="n">
        <v>26</v>
      </c>
      <c r="Q1144" s="22" t="n">
        <v>8580</v>
      </c>
      <c r="R1144" s="42">
        <f>+L1144+N1144-P1144</f>
        <v/>
      </c>
      <c r="S1144" s="42">
        <f>+M1144+O1144-Q1144</f>
        <v/>
      </c>
    </row>
    <row r="1145" ht="30" customHeight="1">
      <c r="A1145" s="16" t="n">
        <v>45756</v>
      </c>
      <c r="B1145" s="17" t="inlineStr">
        <is>
          <t>MH2504-21</t>
        </is>
      </c>
      <c r="C1145" s="16" t="n">
        <v>45756</v>
      </c>
      <c r="D1145" s="17" t="inlineStr">
        <is>
          <t>00001174</t>
        </is>
      </c>
      <c r="E1145" s="16" t="n">
        <v>45756</v>
      </c>
      <c r="F1145" s="16" t="inlineStr">
        <is>
          <t>XK2504-07</t>
        </is>
      </c>
      <c r="G1145" s="16" t="n">
        <v>45756</v>
      </c>
      <c r="H1145" s="17" t="inlineStr">
        <is>
          <t>CÔNG TY CỔ PHẦN CÔNG NGHIỆP VÀ THƯƠNG MẠI CƯỜNG THỊNH</t>
        </is>
      </c>
      <c r="I1145" s="17" t="inlineStr">
        <is>
          <t>Bulong Din 933 8.8 ZP M20x50</t>
        </is>
      </c>
      <c r="J1145" s="17" t="inlineStr">
        <is>
          <t>Cái</t>
        </is>
      </c>
      <c r="K1145" s="19" t="n">
        <v>5760</v>
      </c>
      <c r="L1145" s="21" t="n"/>
      <c r="M1145" s="22" t="n"/>
      <c r="N1145" s="22" t="n">
        <v>29</v>
      </c>
      <c r="O1145" s="22" t="n">
        <v>167040</v>
      </c>
      <c r="P1145" s="22" t="n">
        <v>29</v>
      </c>
      <c r="Q1145" s="22" t="n">
        <v>167040</v>
      </c>
      <c r="R1145" s="42">
        <f>+L1145+N1145-P1145</f>
        <v/>
      </c>
      <c r="S1145" s="42">
        <f>+M1145+O1145-Q1145</f>
        <v/>
      </c>
    </row>
    <row r="1146" ht="30" customHeight="1">
      <c r="A1146" s="16" t="n">
        <v>45756</v>
      </c>
      <c r="B1146" s="17" t="inlineStr">
        <is>
          <t>MH2504-21</t>
        </is>
      </c>
      <c r="C1146" s="16" t="n">
        <v>45756</v>
      </c>
      <c r="D1146" s="17" t="inlineStr">
        <is>
          <t>00001174</t>
        </is>
      </c>
      <c r="E1146" s="16" t="n">
        <v>45756</v>
      </c>
      <c r="F1146" s="16" t="inlineStr">
        <is>
          <t>XK2504-07</t>
        </is>
      </c>
      <c r="G1146" s="16" t="n">
        <v>45756</v>
      </c>
      <c r="H1146" s="17" t="inlineStr">
        <is>
          <t>CÔNG TY CỔ PHẦN CÔNG NGHIỆP VÀ THƯƠNG MẠI CƯỜNG THỊNH</t>
        </is>
      </c>
      <c r="I1146" s="17" t="inlineStr">
        <is>
          <t>Đai ốc Din 934 8 ZP M20</t>
        </is>
      </c>
      <c r="J1146" s="17" t="inlineStr">
        <is>
          <t>Cái</t>
        </is>
      </c>
      <c r="K1146" s="19" t="n">
        <v>2030</v>
      </c>
      <c r="L1146" s="21" t="n"/>
      <c r="M1146" s="22" t="n"/>
      <c r="N1146" s="22" t="n">
        <v>29</v>
      </c>
      <c r="O1146" s="22" t="n">
        <v>58870</v>
      </c>
      <c r="P1146" s="22" t="n">
        <v>29</v>
      </c>
      <c r="Q1146" s="22" t="n">
        <v>58870</v>
      </c>
      <c r="R1146" s="42">
        <f>+L1146+N1146-P1146</f>
        <v/>
      </c>
      <c r="S1146" s="42">
        <f>+M1146+O1146-Q1146</f>
        <v/>
      </c>
    </row>
    <row r="1147" ht="30" customHeight="1">
      <c r="A1147" s="16" t="n">
        <v>45756</v>
      </c>
      <c r="B1147" s="17" t="inlineStr">
        <is>
          <t>MH2504-21</t>
        </is>
      </c>
      <c r="C1147" s="16" t="n">
        <v>45756</v>
      </c>
      <c r="D1147" s="17" t="inlineStr">
        <is>
          <t>00001174</t>
        </is>
      </c>
      <c r="E1147" s="16" t="n">
        <v>45756</v>
      </c>
      <c r="F1147" s="16" t="inlineStr">
        <is>
          <t>XK2504-07</t>
        </is>
      </c>
      <c r="G1147" s="16" t="n">
        <v>45756</v>
      </c>
      <c r="H1147" s="17" t="inlineStr">
        <is>
          <t>CÔNG TY CỔ PHẦN CÔNG NGHIỆP VÀ THƯƠNG MẠI CƯỜNG THỊNH</t>
        </is>
      </c>
      <c r="I1147" s="17" t="inlineStr">
        <is>
          <t>Long đền thường ZP M20B35D2</t>
        </is>
      </c>
      <c r="J1147" s="17" t="inlineStr">
        <is>
          <t>Cái</t>
        </is>
      </c>
      <c r="K1147" s="19" t="n">
        <v>350</v>
      </c>
      <c r="L1147" s="21" t="n"/>
      <c r="M1147" s="22" t="n"/>
      <c r="N1147" s="22" t="n">
        <v>29</v>
      </c>
      <c r="O1147" s="22" t="n">
        <v>10150</v>
      </c>
      <c r="P1147" s="22" t="n">
        <v>29</v>
      </c>
      <c r="Q1147" s="22" t="n">
        <v>10150</v>
      </c>
      <c r="R1147" s="42">
        <f>+L1147+N1147-P1147</f>
        <v/>
      </c>
      <c r="S1147" s="42">
        <f>+M1147+O1147-Q1147</f>
        <v/>
      </c>
    </row>
    <row r="1148" ht="30" customHeight="1">
      <c r="A1148" s="16" t="n">
        <v>45756</v>
      </c>
      <c r="B1148" s="17" t="inlineStr">
        <is>
          <t>MH2504-21</t>
        </is>
      </c>
      <c r="C1148" s="16" t="n">
        <v>45756</v>
      </c>
      <c r="D1148" s="17" t="inlineStr">
        <is>
          <t>00001174</t>
        </is>
      </c>
      <c r="E1148" s="16" t="n">
        <v>45756</v>
      </c>
      <c r="F1148" s="16" t="inlineStr">
        <is>
          <t>XK2504-07</t>
        </is>
      </c>
      <c r="G1148" s="16" t="n">
        <v>45756</v>
      </c>
      <c r="H1148" s="17" t="inlineStr">
        <is>
          <t>CÔNG TY CỔ PHẦN CÔNG NGHIỆP VÀ THƯƠNG MẠI CƯỜNG THỊNH</t>
        </is>
      </c>
      <c r="I1148" s="17" t="inlineStr">
        <is>
          <t>Bulong Din 933 8.8 ZP M20x60</t>
        </is>
      </c>
      <c r="J1148" s="17" t="inlineStr">
        <is>
          <t>Cái</t>
        </is>
      </c>
      <c r="K1148" s="19" t="n">
        <v>6440</v>
      </c>
      <c r="L1148" s="21" t="n"/>
      <c r="M1148" s="22" t="n"/>
      <c r="N1148" s="22" t="n">
        <v>251</v>
      </c>
      <c r="O1148" s="22" t="n">
        <v>1616440</v>
      </c>
      <c r="P1148" s="22" t="n">
        <v>251</v>
      </c>
      <c r="Q1148" s="22" t="n">
        <v>1616440</v>
      </c>
      <c r="R1148" s="42">
        <f>+L1148+N1148-P1148</f>
        <v/>
      </c>
      <c r="S1148" s="42">
        <f>+M1148+O1148-Q1148</f>
        <v/>
      </c>
    </row>
    <row r="1149" ht="30" customHeight="1">
      <c r="A1149" s="16" t="n">
        <v>45756</v>
      </c>
      <c r="B1149" s="17" t="inlineStr">
        <is>
          <t>MH2504-21</t>
        </is>
      </c>
      <c r="C1149" s="16" t="n">
        <v>45756</v>
      </c>
      <c r="D1149" s="17" t="inlineStr">
        <is>
          <t>00001174</t>
        </is>
      </c>
      <c r="E1149" s="16" t="n">
        <v>45756</v>
      </c>
      <c r="F1149" s="16" t="inlineStr">
        <is>
          <t>XK2504-07</t>
        </is>
      </c>
      <c r="G1149" s="16" t="n">
        <v>45756</v>
      </c>
      <c r="H1149" s="17" t="inlineStr">
        <is>
          <t>CÔNG TY CỔ PHẦN CÔNG NGHIỆP VÀ THƯƠNG MẠI CƯỜNG THỊNH</t>
        </is>
      </c>
      <c r="I1149" s="17" t="inlineStr">
        <is>
          <t>Đai ốc Din 934 8 ZP M20</t>
        </is>
      </c>
      <c r="J1149" s="17" t="inlineStr">
        <is>
          <t>Cái</t>
        </is>
      </c>
      <c r="K1149" s="19" t="n">
        <v>2030</v>
      </c>
      <c r="L1149" s="21" t="n"/>
      <c r="M1149" s="22" t="n"/>
      <c r="N1149" s="22" t="n">
        <v>251</v>
      </c>
      <c r="O1149" s="22" t="n">
        <v>509530</v>
      </c>
      <c r="P1149" s="22" t="n">
        <v>251</v>
      </c>
      <c r="Q1149" s="22" t="n">
        <v>509530</v>
      </c>
      <c r="R1149" s="42">
        <f>+L1149+N1149-P1149</f>
        <v/>
      </c>
      <c r="S1149" s="42">
        <f>+M1149+O1149-Q1149</f>
        <v/>
      </c>
    </row>
    <row r="1150" ht="30" customHeight="1">
      <c r="A1150" s="16" t="n">
        <v>45756</v>
      </c>
      <c r="B1150" s="17" t="inlineStr">
        <is>
          <t>MH2504-21</t>
        </is>
      </c>
      <c r="C1150" s="16" t="n">
        <v>45756</v>
      </c>
      <c r="D1150" s="17" t="inlineStr">
        <is>
          <t>00001174</t>
        </is>
      </c>
      <c r="E1150" s="16" t="n">
        <v>45756</v>
      </c>
      <c r="F1150" s="16" t="inlineStr">
        <is>
          <t>XK2504-07</t>
        </is>
      </c>
      <c r="G1150" s="16" t="n">
        <v>45756</v>
      </c>
      <c r="H1150" s="17" t="inlineStr">
        <is>
          <t>CÔNG TY CỔ PHẦN CÔNG NGHIỆP VÀ THƯƠNG MẠI CƯỜNG THỊNH</t>
        </is>
      </c>
      <c r="I1150" s="17" t="inlineStr">
        <is>
          <t>Long đền thường ZP M20B35D2</t>
        </is>
      </c>
      <c r="J1150" s="17" t="inlineStr">
        <is>
          <t>Cái</t>
        </is>
      </c>
      <c r="K1150" s="19" t="n">
        <v>350</v>
      </c>
      <c r="L1150" s="21" t="n"/>
      <c r="M1150" s="22" t="n"/>
      <c r="N1150" s="22" t="n">
        <v>251</v>
      </c>
      <c r="O1150" s="22" t="n">
        <v>87850</v>
      </c>
      <c r="P1150" s="22" t="n">
        <v>251</v>
      </c>
      <c r="Q1150" s="22" t="n">
        <v>87850</v>
      </c>
      <c r="R1150" s="42">
        <f>+L1150+N1150-P1150</f>
        <v/>
      </c>
      <c r="S1150" s="42">
        <f>+M1150+O1150-Q1150</f>
        <v/>
      </c>
    </row>
    <row r="1151" ht="30" customHeight="1">
      <c r="A1151" s="16" t="n">
        <v>45756</v>
      </c>
      <c r="B1151" s="17" t="inlineStr">
        <is>
          <t>MH2504-21</t>
        </is>
      </c>
      <c r="C1151" s="16" t="n">
        <v>45756</v>
      </c>
      <c r="D1151" s="17" t="inlineStr">
        <is>
          <t>00001174</t>
        </is>
      </c>
      <c r="E1151" s="16" t="n">
        <v>45756</v>
      </c>
      <c r="F1151" s="16" t="inlineStr">
        <is>
          <t>XK2504-07</t>
        </is>
      </c>
      <c r="G1151" s="16" t="n">
        <v>45756</v>
      </c>
      <c r="H1151" s="17" t="inlineStr">
        <is>
          <t>CÔNG TY CỔ PHẦN CÔNG NGHIỆP VÀ THƯƠNG MẠI CƯỜNG THỊNH</t>
        </is>
      </c>
      <c r="I1151" s="17" t="inlineStr">
        <is>
          <t>Bulong thường 4.6 ZP M12x30</t>
        </is>
      </c>
      <c r="J1151" s="17" t="inlineStr">
        <is>
          <t>Cái</t>
        </is>
      </c>
      <c r="K1151" s="19" t="n">
        <v>900</v>
      </c>
      <c r="L1151" s="21" t="n"/>
      <c r="M1151" s="22" t="n"/>
      <c r="N1151" s="22" t="n">
        <v>47</v>
      </c>
      <c r="O1151" s="22" t="n">
        <v>42300</v>
      </c>
      <c r="P1151" s="22" t="n">
        <v>47</v>
      </c>
      <c r="Q1151" s="22" t="n">
        <v>42300</v>
      </c>
      <c r="R1151" s="42">
        <f>+L1151+N1151-P1151</f>
        <v/>
      </c>
      <c r="S1151" s="42">
        <f>+M1151+O1151-Q1151</f>
        <v/>
      </c>
    </row>
    <row r="1152" ht="30" customHeight="1">
      <c r="A1152" s="16" t="n">
        <v>45756</v>
      </c>
      <c r="B1152" s="17" t="inlineStr">
        <is>
          <t>MH2504-21</t>
        </is>
      </c>
      <c r="C1152" s="16" t="n">
        <v>45756</v>
      </c>
      <c r="D1152" s="17" t="inlineStr">
        <is>
          <t>00001174</t>
        </is>
      </c>
      <c r="E1152" s="16" t="n">
        <v>45756</v>
      </c>
      <c r="F1152" s="16" t="inlineStr">
        <is>
          <t>XK2504-07</t>
        </is>
      </c>
      <c r="G1152" s="16" t="n">
        <v>45756</v>
      </c>
      <c r="H1152" s="17" t="inlineStr">
        <is>
          <t>CÔNG TY CỔ PHẦN CÔNG NGHIỆP VÀ THƯƠNG MẠI CƯỜNG THỊNH</t>
        </is>
      </c>
      <c r="I1152" s="17" t="inlineStr">
        <is>
          <t>Đai ốc thường 4 ZP M12 (8mm)</t>
        </is>
      </c>
      <c r="J1152" s="17" t="inlineStr">
        <is>
          <t>Cái</t>
        </is>
      </c>
      <c r="K1152" s="19" t="n">
        <v>410</v>
      </c>
      <c r="L1152" s="21" t="n"/>
      <c r="M1152" s="22" t="n"/>
      <c r="N1152" s="22" t="n">
        <v>47</v>
      </c>
      <c r="O1152" s="22" t="n">
        <v>19270</v>
      </c>
      <c r="P1152" s="22" t="n">
        <v>47</v>
      </c>
      <c r="Q1152" s="22" t="n">
        <v>19270</v>
      </c>
      <c r="R1152" s="42">
        <f>+L1152+N1152-P1152</f>
        <v/>
      </c>
      <c r="S1152" s="42">
        <f>+M1152+O1152-Q1152</f>
        <v/>
      </c>
    </row>
    <row r="1153" ht="30" customHeight="1">
      <c r="A1153" s="16" t="n">
        <v>45756</v>
      </c>
      <c r="B1153" s="17" t="inlineStr">
        <is>
          <t>MH2504-21</t>
        </is>
      </c>
      <c r="C1153" s="16" t="n">
        <v>45756</v>
      </c>
      <c r="D1153" s="17" t="inlineStr">
        <is>
          <t>00001174</t>
        </is>
      </c>
      <c r="E1153" s="16" t="n">
        <v>45756</v>
      </c>
      <c r="F1153" s="16" t="inlineStr">
        <is>
          <t>XK2504-07</t>
        </is>
      </c>
      <c r="G1153" s="16" t="n">
        <v>45756</v>
      </c>
      <c r="H1153" s="17" t="inlineStr">
        <is>
          <t>CÔNG TY CỔ PHẦN CÔNG NGHIỆP VÀ THƯƠNG MẠI CƯỜNG THỊNH</t>
        </is>
      </c>
      <c r="I1153" s="17" t="inlineStr">
        <is>
          <t>Long đền thường ZP M12B23D1</t>
        </is>
      </c>
      <c r="J1153" s="17" t="inlineStr">
        <is>
          <t>Cái</t>
        </is>
      </c>
      <c r="K1153" s="19" t="n">
        <v>100</v>
      </c>
      <c r="L1153" s="21" t="n"/>
      <c r="M1153" s="22" t="n"/>
      <c r="N1153" s="22" t="n">
        <v>94</v>
      </c>
      <c r="O1153" s="22" t="n">
        <v>9400</v>
      </c>
      <c r="P1153" s="22" t="n">
        <v>94</v>
      </c>
      <c r="Q1153" s="22" t="n">
        <v>9400</v>
      </c>
      <c r="R1153" s="42">
        <f>+L1153+N1153-P1153</f>
        <v/>
      </c>
      <c r="S1153" s="42">
        <f>+M1153+O1153-Q1153</f>
        <v/>
      </c>
    </row>
    <row r="1154" ht="30" customHeight="1">
      <c r="A1154" s="16" t="n">
        <v>45756</v>
      </c>
      <c r="B1154" s="17" t="inlineStr">
        <is>
          <t>MH2504-22</t>
        </is>
      </c>
      <c r="C1154" s="16" t="n">
        <v>45756</v>
      </c>
      <c r="D1154" s="17" t="inlineStr">
        <is>
          <t>00000561</t>
        </is>
      </c>
      <c r="E1154" s="16" t="n">
        <v>45756</v>
      </c>
      <c r="F1154" s="16" t="inlineStr">
        <is>
          <t>XK2504-07</t>
        </is>
      </c>
      <c r="G1154" s="16" t="n">
        <v>45756</v>
      </c>
      <c r="H1154" s="17" t="inlineStr">
        <is>
          <t>CÔNG TY TNHH DỊCH VỤ - THƯƠNG MẠI THÉP THIÊN LONG</t>
        </is>
      </c>
      <c r="I1154" s="17" t="inlineStr">
        <is>
          <t>Thép hình U120</t>
        </is>
      </c>
      <c r="J1154" s="17" t="inlineStr">
        <is>
          <t>kg</t>
        </is>
      </c>
      <c r="K1154" s="19" t="n">
        <v>14181.81</v>
      </c>
      <c r="L1154" s="21" t="n"/>
      <c r="M1154" s="22" t="n"/>
      <c r="N1154" s="22" t="n">
        <v>167.4</v>
      </c>
      <c r="O1154" s="22" t="n">
        <v>2374035</v>
      </c>
      <c r="P1154" s="22" t="n">
        <v>167.4</v>
      </c>
      <c r="Q1154" s="22" t="n">
        <v>2374035</v>
      </c>
      <c r="R1154" s="42">
        <f>+L1154+N1154-P1154</f>
        <v/>
      </c>
      <c r="S1154" s="42">
        <f>+M1154+O1154-Q1154</f>
        <v/>
      </c>
    </row>
    <row r="1155" ht="30" customHeight="1">
      <c r="A1155" s="16" t="n">
        <v>45756</v>
      </c>
      <c r="B1155" s="17" t="inlineStr">
        <is>
          <t>MH2504-22</t>
        </is>
      </c>
      <c r="C1155" s="16" t="n">
        <v>45756</v>
      </c>
      <c r="D1155" s="17" t="inlineStr">
        <is>
          <t>00000561</t>
        </is>
      </c>
      <c r="E1155" s="16" t="n">
        <v>45756</v>
      </c>
      <c r="F1155" s="16" t="inlineStr">
        <is>
          <t>XK2504-07</t>
        </is>
      </c>
      <c r="G1155" s="16" t="n">
        <v>45756</v>
      </c>
      <c r="H1155" s="17" t="inlineStr">
        <is>
          <t>CÔNG TY TNHH DỊCH VỤ - THƯƠNG MẠI THÉP THIÊN LONG</t>
        </is>
      </c>
      <c r="I1155" s="17" t="inlineStr">
        <is>
          <t>Thép góc V50</t>
        </is>
      </c>
      <c r="J1155" s="17" t="inlineStr">
        <is>
          <t>kg</t>
        </is>
      </c>
      <c r="K1155" s="19" t="n">
        <v>14454.54</v>
      </c>
      <c r="L1155" s="21" t="n"/>
      <c r="M1155" s="22" t="n"/>
      <c r="N1155" s="22" t="n">
        <v>110</v>
      </c>
      <c r="O1155" s="22" t="n">
        <v>1589999</v>
      </c>
      <c r="P1155" s="22" t="n">
        <v>110</v>
      </c>
      <c r="Q1155" s="22" t="n">
        <v>1589999</v>
      </c>
      <c r="R1155" s="42">
        <f>+L1155+N1155-P1155</f>
        <v/>
      </c>
      <c r="S1155" s="42">
        <f>+M1155+O1155-Q1155</f>
        <v/>
      </c>
    </row>
    <row r="1156" ht="30" customHeight="1">
      <c r="A1156" s="16" t="n">
        <v>45756</v>
      </c>
      <c r="B1156" s="17" t="inlineStr">
        <is>
          <t>MH2504-22</t>
        </is>
      </c>
      <c r="C1156" s="16" t="n">
        <v>45756</v>
      </c>
      <c r="D1156" s="17" t="inlineStr">
        <is>
          <t>00000561</t>
        </is>
      </c>
      <c r="E1156" s="16" t="n">
        <v>45756</v>
      </c>
      <c r="F1156" s="16" t="inlineStr">
        <is>
          <t>XK2504-07</t>
        </is>
      </c>
      <c r="G1156" s="16" t="n">
        <v>45756</v>
      </c>
      <c r="H1156" s="17" t="inlineStr">
        <is>
          <t>CÔNG TY TNHH DỊCH VỤ - THƯƠNG MẠI THÉP THIÊN LONG</t>
        </is>
      </c>
      <c r="I1156" s="17" t="inlineStr">
        <is>
          <t>Thép ống đen 26.65</t>
        </is>
      </c>
      <c r="J1156" s="17" t="inlineStr">
        <is>
          <t>kg</t>
        </is>
      </c>
      <c r="K1156" s="19" t="n">
        <v>16272.72</v>
      </c>
      <c r="L1156" s="21" t="n"/>
      <c r="M1156" s="22" t="n"/>
      <c r="N1156" s="22" t="n">
        <v>87.48</v>
      </c>
      <c r="O1156" s="22" t="n">
        <v>1423538</v>
      </c>
      <c r="P1156" s="22" t="n">
        <v>87.48</v>
      </c>
      <c r="Q1156" s="22" t="n">
        <v>1423538</v>
      </c>
      <c r="R1156" s="42">
        <f>+L1156+N1156-P1156</f>
        <v/>
      </c>
      <c r="S1156" s="42">
        <f>+M1156+O1156-Q1156</f>
        <v/>
      </c>
    </row>
    <row r="1157" ht="30" customHeight="1">
      <c r="A1157" s="16" t="n">
        <v>45756</v>
      </c>
      <c r="B1157" s="17" t="inlineStr">
        <is>
          <t>MH2504-22</t>
        </is>
      </c>
      <c r="C1157" s="16" t="n">
        <v>45756</v>
      </c>
      <c r="D1157" s="17" t="inlineStr">
        <is>
          <t>00000561</t>
        </is>
      </c>
      <c r="E1157" s="16" t="n">
        <v>45756</v>
      </c>
      <c r="F1157" s="16" t="inlineStr">
        <is>
          <t>XK2504-07</t>
        </is>
      </c>
      <c r="G1157" s="16" t="n">
        <v>45756</v>
      </c>
      <c r="H1157" s="17" t="inlineStr">
        <is>
          <t>CÔNG TY TNHH DỊCH VỤ - THƯƠNG MẠI THÉP THIÊN LONG</t>
        </is>
      </c>
      <c r="I1157" s="17" t="inlineStr">
        <is>
          <t>Thép ống đen 42.2</t>
        </is>
      </c>
      <c r="J1157" s="17" t="inlineStr">
        <is>
          <t>kg</t>
        </is>
      </c>
      <c r="K1157" s="19" t="n">
        <v>16272.72</v>
      </c>
      <c r="L1157" s="21" t="n"/>
      <c r="M1157" s="22" t="n"/>
      <c r="N1157" s="22" t="n">
        <v>295.8</v>
      </c>
      <c r="O1157" s="22" t="n">
        <v>4813475</v>
      </c>
      <c r="P1157" s="22" t="n">
        <v>295.8</v>
      </c>
      <c r="Q1157" s="22" t="n">
        <v>4813475</v>
      </c>
      <c r="R1157" s="42">
        <f>+L1157+N1157-P1157</f>
        <v/>
      </c>
      <c r="S1157" s="42">
        <f>+M1157+O1157-Q1157</f>
        <v/>
      </c>
    </row>
    <row r="1158" ht="30" customHeight="1">
      <c r="A1158" s="16" t="n">
        <v>45756</v>
      </c>
      <c r="B1158" s="17" t="inlineStr">
        <is>
          <t>MH2504-23</t>
        </is>
      </c>
      <c r="C1158" s="16" t="n">
        <v>45756</v>
      </c>
      <c r="D1158" s="17" t="inlineStr">
        <is>
          <t>00000562</t>
        </is>
      </c>
      <c r="E1158" s="16" t="n">
        <v>45756</v>
      </c>
      <c r="F1158" s="16" t="inlineStr">
        <is>
          <t>XK2504-07</t>
        </is>
      </c>
      <c r="G1158" s="16" t="n">
        <v>45756</v>
      </c>
      <c r="H1158" s="17" t="inlineStr">
        <is>
          <t>CÔNG TY TNHH DỊCH VỤ - THƯƠNG MẠI THÉP THIÊN LONG</t>
        </is>
      </c>
      <c r="I1158" s="17" t="inlineStr">
        <is>
          <t>Thép hình U120</t>
        </is>
      </c>
      <c r="J1158" s="17" t="inlineStr">
        <is>
          <t>kg</t>
        </is>
      </c>
      <c r="K1158" s="19" t="n">
        <v>14181.81</v>
      </c>
      <c r="L1158" s="21" t="n"/>
      <c r="M1158" s="22" t="n"/>
      <c r="N1158" s="22" t="n">
        <v>502.2</v>
      </c>
      <c r="O1158" s="22" t="n">
        <v>7122105</v>
      </c>
      <c r="P1158" s="22" t="n">
        <v>502.2</v>
      </c>
      <c r="Q1158" s="22" t="n">
        <v>7122105</v>
      </c>
      <c r="R1158" s="42">
        <f>+L1158+N1158-P1158</f>
        <v/>
      </c>
      <c r="S1158" s="42">
        <f>+M1158+O1158-Q1158</f>
        <v/>
      </c>
    </row>
    <row r="1159" ht="30" customHeight="1">
      <c r="A1159" s="16" t="n">
        <v>45756</v>
      </c>
      <c r="B1159" s="17" t="inlineStr">
        <is>
          <t>MH2504-23</t>
        </is>
      </c>
      <c r="C1159" s="16" t="n">
        <v>45756</v>
      </c>
      <c r="D1159" s="17" t="inlineStr">
        <is>
          <t>00000562</t>
        </is>
      </c>
      <c r="E1159" s="16" t="n">
        <v>45756</v>
      </c>
      <c r="F1159" s="16" t="inlineStr">
        <is>
          <t>XK2504-07</t>
        </is>
      </c>
      <c r="G1159" s="16" t="n">
        <v>45756</v>
      </c>
      <c r="H1159" s="17" t="inlineStr">
        <is>
          <t>CÔNG TY TNHH DỊCH VỤ - THƯƠNG MẠI THÉP THIÊN LONG</t>
        </is>
      </c>
      <c r="I1159" s="17" t="inlineStr">
        <is>
          <t>Thép hình U250</t>
        </is>
      </c>
      <c r="J1159" s="17" t="inlineStr">
        <is>
          <t>kg</t>
        </is>
      </c>
      <c r="K1159" s="19" t="n">
        <v>14545.45</v>
      </c>
      <c r="L1159" s="21" t="n"/>
      <c r="M1159" s="22" t="n"/>
      <c r="N1159" s="22" t="n">
        <v>3289.2</v>
      </c>
      <c r="O1159" s="22" t="n">
        <v>47842894</v>
      </c>
      <c r="P1159" s="22" t="n">
        <v>3289.2</v>
      </c>
      <c r="Q1159" s="22" t="n">
        <v>47842894</v>
      </c>
      <c r="R1159" s="42">
        <f>+L1159+N1159-P1159</f>
        <v/>
      </c>
      <c r="S1159" s="42">
        <f>+M1159+O1159-Q1159</f>
        <v/>
      </c>
    </row>
    <row r="1160" ht="30" customHeight="1">
      <c r="A1160" s="16" t="n">
        <v>45756</v>
      </c>
      <c r="B1160" s="17" t="inlineStr">
        <is>
          <t>MH2504-23</t>
        </is>
      </c>
      <c r="C1160" s="16" t="n">
        <v>45756</v>
      </c>
      <c r="D1160" s="17" t="inlineStr">
        <is>
          <t>00000562</t>
        </is>
      </c>
      <c r="E1160" s="16" t="n">
        <v>45756</v>
      </c>
      <c r="F1160" s="16" t="inlineStr">
        <is>
          <t>XK2504-07</t>
        </is>
      </c>
      <c r="G1160" s="16" t="n">
        <v>45756</v>
      </c>
      <c r="H1160" s="17" t="inlineStr">
        <is>
          <t>CÔNG TY TNHH DỊCH VỤ - THƯƠNG MẠI THÉP THIÊN LONG</t>
        </is>
      </c>
      <c r="I1160" s="17" t="inlineStr">
        <is>
          <t>Thép góc V50</t>
        </is>
      </c>
      <c r="J1160" s="17" t="inlineStr">
        <is>
          <t>kg</t>
        </is>
      </c>
      <c r="K1160" s="19" t="n">
        <v>14454.54</v>
      </c>
      <c r="L1160" s="21" t="n"/>
      <c r="M1160" s="22" t="n"/>
      <c r="N1160" s="22" t="n">
        <v>792</v>
      </c>
      <c r="O1160" s="22" t="n">
        <v>11447996</v>
      </c>
      <c r="P1160" s="22" t="n">
        <v>792</v>
      </c>
      <c r="Q1160" s="22" t="n">
        <v>11447996</v>
      </c>
      <c r="R1160" s="42">
        <f>+L1160+N1160-P1160</f>
        <v/>
      </c>
      <c r="S1160" s="42">
        <f>+M1160+O1160-Q1160</f>
        <v/>
      </c>
    </row>
    <row r="1161" ht="30" customHeight="1">
      <c r="A1161" s="16" t="n">
        <v>45756</v>
      </c>
      <c r="B1161" s="17" t="inlineStr">
        <is>
          <t>MH2504-23</t>
        </is>
      </c>
      <c r="C1161" s="16" t="n">
        <v>45756</v>
      </c>
      <c r="D1161" s="17" t="inlineStr">
        <is>
          <t>00000562</t>
        </is>
      </c>
      <c r="E1161" s="16" t="n">
        <v>45756</v>
      </c>
      <c r="F1161" s="16" t="inlineStr">
        <is>
          <t>XK2504-07</t>
        </is>
      </c>
      <c r="G1161" s="16" t="n">
        <v>45756</v>
      </c>
      <c r="H1161" s="17" t="inlineStr">
        <is>
          <t>CÔNG TY TNHH DỊCH VỤ - THƯƠNG MẠI THÉP THIÊN LONG</t>
        </is>
      </c>
      <c r="I1161" s="17" t="inlineStr">
        <is>
          <t>Thép ống đen 26.65</t>
        </is>
      </c>
      <c r="J1161" s="17" t="inlineStr">
        <is>
          <t>kg</t>
        </is>
      </c>
      <c r="K1161" s="19" t="n">
        <v>16272.72</v>
      </c>
      <c r="L1161" s="21" t="n"/>
      <c r="M1161" s="22" t="n"/>
      <c r="N1161" s="22" t="n">
        <v>233.28</v>
      </c>
      <c r="O1161" s="22" t="n">
        <v>3796203</v>
      </c>
      <c r="P1161" s="22" t="n">
        <v>233.28</v>
      </c>
      <c r="Q1161" s="22" t="n">
        <v>3796203</v>
      </c>
      <c r="R1161" s="42">
        <f>+L1161+N1161-P1161</f>
        <v/>
      </c>
      <c r="S1161" s="42">
        <f>+M1161+O1161-Q1161</f>
        <v/>
      </c>
    </row>
    <row r="1162" ht="30" customHeight="1">
      <c r="A1162" s="16" t="n">
        <v>45756</v>
      </c>
      <c r="B1162" s="17" t="inlineStr">
        <is>
          <t>MH2504-23</t>
        </is>
      </c>
      <c r="C1162" s="16" t="n">
        <v>45756</v>
      </c>
      <c r="D1162" s="17" t="inlineStr">
        <is>
          <t>00000562</t>
        </is>
      </c>
      <c r="E1162" s="16" t="n">
        <v>45756</v>
      </c>
      <c r="F1162" s="16" t="inlineStr">
        <is>
          <t>XK2504-07</t>
        </is>
      </c>
      <c r="G1162" s="16" t="n">
        <v>45756</v>
      </c>
      <c r="H1162" s="17" t="inlineStr">
        <is>
          <t>CÔNG TY TNHH DỊCH VỤ - THƯƠNG MẠI THÉP THIÊN LONG</t>
        </is>
      </c>
      <c r="I1162" s="17" t="inlineStr">
        <is>
          <t>Thép ống đen 42.2</t>
        </is>
      </c>
      <c r="J1162" s="17" t="inlineStr">
        <is>
          <t>kg</t>
        </is>
      </c>
      <c r="K1162" s="19" t="n">
        <v>16272.72</v>
      </c>
      <c r="L1162" s="21" t="n"/>
      <c r="M1162" s="22" t="n"/>
      <c r="N1162" s="22" t="n">
        <v>609</v>
      </c>
      <c r="O1162" s="22" t="n">
        <v>9910086</v>
      </c>
      <c r="P1162" s="22" t="n">
        <v>609</v>
      </c>
      <c r="Q1162" s="22" t="n">
        <v>9910086</v>
      </c>
      <c r="R1162" s="42">
        <f>+L1162+N1162-P1162</f>
        <v/>
      </c>
      <c r="S1162" s="42">
        <f>+M1162+O1162-Q1162</f>
        <v/>
      </c>
    </row>
    <row r="1163" ht="30" customHeight="1">
      <c r="A1163" s="16" t="n">
        <v>45756</v>
      </c>
      <c r="B1163" s="17" t="inlineStr">
        <is>
          <t>MH2504-23</t>
        </is>
      </c>
      <c r="C1163" s="16" t="n">
        <v>45756</v>
      </c>
      <c r="D1163" s="17" t="inlineStr">
        <is>
          <t>00000562</t>
        </is>
      </c>
      <c r="E1163" s="16" t="n">
        <v>45756</v>
      </c>
      <c r="F1163" s="16" t="inlineStr">
        <is>
          <t>XK2504-07</t>
        </is>
      </c>
      <c r="G1163" s="16" t="n">
        <v>45756</v>
      </c>
      <c r="H1163" s="17" t="inlineStr">
        <is>
          <t>CÔNG TY TNHH DỊCH VỤ - THƯƠNG MẠI THÉP THIÊN LONG</t>
        </is>
      </c>
      <c r="I1163" s="17" t="inlineStr">
        <is>
          <t>Thép tấm gân 5ly</t>
        </is>
      </c>
      <c r="J1163" s="17" t="inlineStr">
        <is>
          <t>kg</t>
        </is>
      </c>
      <c r="K1163" s="19" t="n">
        <v>12890.89</v>
      </c>
      <c r="L1163" s="21" t="n"/>
      <c r="M1163" s="22" t="n"/>
      <c r="N1163" s="22" t="n">
        <v>3802.5</v>
      </c>
      <c r="O1163" s="22" t="n">
        <v>49017609</v>
      </c>
      <c r="P1163" s="22" t="n">
        <v>3802.5</v>
      </c>
      <c r="Q1163" s="22" t="n">
        <v>49017609</v>
      </c>
      <c r="R1163" s="42">
        <f>+L1163+N1163-P1163</f>
        <v/>
      </c>
      <c r="S1163" s="42">
        <f>+M1163+O1163-Q1163</f>
        <v/>
      </c>
    </row>
    <row r="1164" ht="30" customHeight="1">
      <c r="A1164" s="16" t="n">
        <v>45756</v>
      </c>
      <c r="B1164" s="17" t="inlineStr">
        <is>
          <t>MH2504-24</t>
        </is>
      </c>
      <c r="C1164" s="16" t="n">
        <v>45756</v>
      </c>
      <c r="D1164" s="17" t="inlineStr">
        <is>
          <t>00000563</t>
        </is>
      </c>
      <c r="E1164" s="16" t="n">
        <v>45756</v>
      </c>
      <c r="F1164" s="16" t="inlineStr">
        <is>
          <t>XK2504-07</t>
        </is>
      </c>
      <c r="G1164" s="16" t="n">
        <v>45756</v>
      </c>
      <c r="H1164" s="17" t="inlineStr">
        <is>
          <t>CÔNG TY TNHH DỊCH VỤ - THƯƠNG MẠI THÉP THIÊN LONG</t>
        </is>
      </c>
      <c r="I1164" s="17" t="inlineStr">
        <is>
          <t>Thép tấm 20ly</t>
        </is>
      </c>
      <c r="J1164" s="17" t="inlineStr">
        <is>
          <t>kg</t>
        </is>
      </c>
      <c r="K1164" s="19" t="n">
        <v>14772.72</v>
      </c>
      <c r="L1164" s="21" t="n"/>
      <c r="M1164" s="22" t="n"/>
      <c r="N1164" s="22" t="n">
        <v>30144</v>
      </c>
      <c r="O1164" s="22" t="n">
        <v>445309091</v>
      </c>
      <c r="P1164" s="22" t="n">
        <v>30144</v>
      </c>
      <c r="Q1164" s="22" t="n">
        <v>445309091</v>
      </c>
      <c r="R1164" s="42">
        <f>+L1164+N1164-P1164</f>
        <v/>
      </c>
      <c r="S1164" s="42">
        <f>+M1164+O1164-Q1164</f>
        <v/>
      </c>
    </row>
    <row r="1165" ht="30" customHeight="1">
      <c r="A1165" s="16" t="n">
        <v>45756</v>
      </c>
      <c r="B1165" s="17" t="inlineStr">
        <is>
          <t>MH2504-25</t>
        </is>
      </c>
      <c r="C1165" s="16" t="n">
        <v>45756</v>
      </c>
      <c r="D1165" s="17" t="inlineStr">
        <is>
          <t>00000564</t>
        </is>
      </c>
      <c r="E1165" s="16" t="n">
        <v>45756</v>
      </c>
      <c r="F1165" s="16" t="inlineStr">
        <is>
          <t>XK2504-07</t>
        </is>
      </c>
      <c r="G1165" s="16" t="n">
        <v>45756</v>
      </c>
      <c r="H1165" s="17" t="inlineStr">
        <is>
          <t>CÔNG TY TNHH DỊCH VỤ - THƯƠNG MẠI THÉP THIÊN LONG</t>
        </is>
      </c>
      <c r="I1165" s="17" t="inlineStr">
        <is>
          <t>Thép tấm 25ly</t>
        </is>
      </c>
      <c r="J1165" s="17" t="inlineStr">
        <is>
          <t>kg</t>
        </is>
      </c>
      <c r="K1165" s="19" t="n">
        <v>14772.72</v>
      </c>
      <c r="L1165" s="21" t="n"/>
      <c r="M1165" s="22" t="n"/>
      <c r="N1165" s="22" t="n">
        <v>18840</v>
      </c>
      <c r="O1165" s="22" t="n">
        <v>278318182</v>
      </c>
      <c r="P1165" s="22" t="n">
        <v>18840</v>
      </c>
      <c r="Q1165" s="22" t="n">
        <v>278318182</v>
      </c>
      <c r="R1165" s="42">
        <f>+L1165+N1165-P1165</f>
        <v/>
      </c>
      <c r="S1165" s="42">
        <f>+M1165+O1165-Q1165</f>
        <v/>
      </c>
    </row>
    <row r="1166" ht="30" customHeight="1">
      <c r="A1166" s="16" t="n">
        <v>45757</v>
      </c>
      <c r="B1166" s="17" t="inlineStr">
        <is>
          <t>MH2504-26</t>
        </is>
      </c>
      <c r="C1166" s="16" t="n">
        <v>45757</v>
      </c>
      <c r="D1166" s="17" t="inlineStr">
        <is>
          <t>00001189</t>
        </is>
      </c>
      <c r="E1166" s="16" t="n">
        <v>45757</v>
      </c>
      <c r="F1166" s="16" t="inlineStr">
        <is>
          <t>XK2504-07</t>
        </is>
      </c>
      <c r="G1166" s="16" t="n">
        <v>45757</v>
      </c>
      <c r="H1166" s="17" t="inlineStr">
        <is>
          <t>CÔNG TY CỔ PHẦN CÔNG NGHIỆP VÀ THƯƠNG MẠI CƯỜNG THỊNH</t>
        </is>
      </c>
      <c r="I1166" s="17" t="inlineStr">
        <is>
          <t>Đinh hàn 4.8 M16x100</t>
        </is>
      </c>
      <c r="J1166" s="17" t="inlineStr">
        <is>
          <t>Bộ</t>
        </is>
      </c>
      <c r="K1166" s="19" t="n">
        <v>5800</v>
      </c>
      <c r="L1166" s="21" t="n"/>
      <c r="M1166" s="22" t="n"/>
      <c r="N1166" s="22" t="n">
        <v>1000</v>
      </c>
      <c r="O1166" s="22" t="n">
        <v>5800000</v>
      </c>
      <c r="P1166" s="22" t="n">
        <v>1000</v>
      </c>
      <c r="Q1166" s="22" t="n">
        <v>5800000</v>
      </c>
      <c r="R1166" s="42">
        <f>+L1166+N1166-P1166</f>
        <v/>
      </c>
      <c r="S1166" s="42">
        <f>+M1166+O1166-Q1166</f>
        <v/>
      </c>
    </row>
    <row r="1167" ht="30" customHeight="1">
      <c r="A1167" s="16" t="n">
        <v>45757</v>
      </c>
      <c r="B1167" s="17" t="inlineStr">
        <is>
          <t>MH2504-27</t>
        </is>
      </c>
      <c r="C1167" s="16" t="n">
        <v>45757</v>
      </c>
      <c r="D1167" s="17" t="inlineStr">
        <is>
          <t>00001190</t>
        </is>
      </c>
      <c r="E1167" s="16" t="n">
        <v>45757</v>
      </c>
      <c r="F1167" s="16" t="inlineStr">
        <is>
          <t>XK2504-07</t>
        </is>
      </c>
      <c r="G1167" s="16" t="n">
        <v>45757</v>
      </c>
      <c r="H1167" s="17" t="inlineStr">
        <is>
          <t>CÔNG TY CỔ PHẦN CÔNG NGHIỆP VÀ THƯƠNG MẠI CƯỜNG THỊNH</t>
        </is>
      </c>
      <c r="I1167" s="17" t="inlineStr">
        <is>
          <t>Ty giằng 2 đầu ren 4.6 Ф11.3-11.5mm ZP M12</t>
        </is>
      </c>
      <c r="J1167" s="17" t="inlineStr">
        <is>
          <t>Mét</t>
        </is>
      </c>
      <c r="K1167" s="19" t="n">
        <v>20500</v>
      </c>
      <c r="L1167" s="21" t="n"/>
      <c r="M1167" s="22" t="n"/>
      <c r="N1167" s="22" t="n">
        <v>194.72</v>
      </c>
      <c r="O1167" s="22" t="n">
        <v>3991760</v>
      </c>
      <c r="P1167" s="22" t="n">
        <v>194.72</v>
      </c>
      <c r="Q1167" s="22" t="n">
        <v>3991760</v>
      </c>
      <c r="R1167" s="42">
        <f>+L1167+N1167-P1167</f>
        <v/>
      </c>
      <c r="S1167" s="42">
        <f>+M1167+O1167-Q1167</f>
        <v/>
      </c>
    </row>
    <row r="1168" ht="30" customHeight="1">
      <c r="A1168" s="16" t="n">
        <v>45757</v>
      </c>
      <c r="B1168" s="17" t="inlineStr">
        <is>
          <t>MH2504-27</t>
        </is>
      </c>
      <c r="C1168" s="16" t="n">
        <v>45757</v>
      </c>
      <c r="D1168" s="17" t="inlineStr">
        <is>
          <t>00001190</t>
        </is>
      </c>
      <c r="E1168" s="16" t="n">
        <v>45757</v>
      </c>
      <c r="F1168" s="16" t="inlineStr">
        <is>
          <t>XK2504-07</t>
        </is>
      </c>
      <c r="G1168" s="16" t="n">
        <v>45757</v>
      </c>
      <c r="H1168" s="17" t="inlineStr">
        <is>
          <t>CÔNG TY CỔ PHẦN CÔNG NGHIỆP VÀ THƯƠNG MẠI CƯỜNG THỊNH</t>
        </is>
      </c>
      <c r="I1168" s="17" t="inlineStr">
        <is>
          <t>Ty giằng 2 đầu ren 4.6 Ф11.3-11.5mm ZP M12</t>
        </is>
      </c>
      <c r="J1168" s="17" t="inlineStr">
        <is>
          <t>Mét</t>
        </is>
      </c>
      <c r="K1168" s="19" t="n">
        <v>22500</v>
      </c>
      <c r="L1168" s="21" t="n"/>
      <c r="M1168" s="22" t="n"/>
      <c r="N1168" s="22" t="n">
        <v>49.72</v>
      </c>
      <c r="O1168" s="22" t="n">
        <v>1118700</v>
      </c>
      <c r="P1168" s="22" t="n">
        <v>49.72</v>
      </c>
      <c r="Q1168" s="22" t="n">
        <v>1118700</v>
      </c>
      <c r="R1168" s="42">
        <f>+L1168+N1168-P1168</f>
        <v/>
      </c>
      <c r="S1168" s="42">
        <f>+M1168+O1168-Q1168</f>
        <v/>
      </c>
    </row>
    <row r="1169" ht="30" customHeight="1">
      <c r="A1169" s="16" t="n">
        <v>45757</v>
      </c>
      <c r="B1169" s="17" t="inlineStr">
        <is>
          <t>MH2504-27</t>
        </is>
      </c>
      <c r="C1169" s="16" t="n">
        <v>45757</v>
      </c>
      <c r="D1169" s="17" t="inlineStr">
        <is>
          <t>00001190</t>
        </is>
      </c>
      <c r="E1169" s="16" t="n">
        <v>45757</v>
      </c>
      <c r="F1169" s="16" t="inlineStr">
        <is>
          <t>XK2504-07</t>
        </is>
      </c>
      <c r="G1169" s="16" t="n">
        <v>45757</v>
      </c>
      <c r="H1169" s="17" t="inlineStr">
        <is>
          <t>CÔNG TY CỔ PHẦN CÔNG NGHIỆP VÀ THƯƠNG MẠI CƯỜNG THỊNH</t>
        </is>
      </c>
      <c r="I1169" s="17" t="inlineStr">
        <is>
          <t>Đai ốc thường 4 ZP M12 (9mm)</t>
        </is>
      </c>
      <c r="J1169" s="17" t="inlineStr">
        <is>
          <t>Cái</t>
        </is>
      </c>
      <c r="K1169" s="19" t="n">
        <v>360</v>
      </c>
      <c r="L1169" s="21" t="n"/>
      <c r="M1169" s="22" t="n"/>
      <c r="N1169" s="22" t="n">
        <v>884</v>
      </c>
      <c r="O1169" s="22" t="n">
        <v>318240</v>
      </c>
      <c r="P1169" s="22" t="n">
        <v>884</v>
      </c>
      <c r="Q1169" s="22" t="n">
        <v>318240</v>
      </c>
      <c r="R1169" s="42">
        <f>+L1169+N1169-P1169</f>
        <v/>
      </c>
      <c r="S1169" s="42">
        <f>+M1169+O1169-Q1169</f>
        <v/>
      </c>
    </row>
    <row r="1170" ht="30" customHeight="1">
      <c r="A1170" s="16" t="n">
        <v>45757</v>
      </c>
      <c r="B1170" s="17" t="inlineStr">
        <is>
          <t>MH2504-27</t>
        </is>
      </c>
      <c r="C1170" s="16" t="n">
        <v>45757</v>
      </c>
      <c r="D1170" s="17" t="inlineStr">
        <is>
          <t>00001190</t>
        </is>
      </c>
      <c r="E1170" s="16" t="n">
        <v>45757</v>
      </c>
      <c r="F1170" s="16" t="inlineStr">
        <is>
          <t>XK2504-07</t>
        </is>
      </c>
      <c r="G1170" s="16" t="n">
        <v>45757</v>
      </c>
      <c r="H1170" s="17" t="inlineStr">
        <is>
          <t>CÔNG TY CỔ PHẦN CÔNG NGHIỆP VÀ THƯƠNG MẠI CƯỜNG THỊNH</t>
        </is>
      </c>
      <c r="I1170" s="17" t="inlineStr">
        <is>
          <t>Long đền thường ZP M12B26D1.5</t>
        </is>
      </c>
      <c r="J1170" s="17" t="inlineStr">
        <is>
          <t>Cái</t>
        </is>
      </c>
      <c r="K1170" s="19" t="n">
        <v>190</v>
      </c>
      <c r="L1170" s="21" t="n"/>
      <c r="M1170" s="22" t="n"/>
      <c r="N1170" s="22" t="n">
        <v>884</v>
      </c>
      <c r="O1170" s="22" t="n">
        <v>167960</v>
      </c>
      <c r="P1170" s="22" t="n">
        <v>884</v>
      </c>
      <c r="Q1170" s="22" t="n">
        <v>167960</v>
      </c>
      <c r="R1170" s="42">
        <f>+L1170+N1170-P1170</f>
        <v/>
      </c>
      <c r="S1170" s="42">
        <f>+M1170+O1170-Q1170</f>
        <v/>
      </c>
    </row>
    <row r="1171" ht="30" customHeight="1">
      <c r="A1171" s="16" t="n">
        <v>45757</v>
      </c>
      <c r="B1171" s="17" t="inlineStr">
        <is>
          <t>MH2504-28</t>
        </is>
      </c>
      <c r="C1171" s="16" t="n">
        <v>45757</v>
      </c>
      <c r="D1171" s="17" t="inlineStr">
        <is>
          <t>00001191</t>
        </is>
      </c>
      <c r="E1171" s="16" t="n">
        <v>45757</v>
      </c>
      <c r="F1171" s="16" t="inlineStr">
        <is>
          <t>XK2504-07</t>
        </is>
      </c>
      <c r="G1171" s="16" t="n">
        <v>45757</v>
      </c>
      <c r="H1171" s="17" t="inlineStr">
        <is>
          <t>CÔNG TY CỔ PHẦN CÔNG NGHIỆP VÀ THƯƠNG MẠI CƯỜNG THỊNH</t>
        </is>
      </c>
      <c r="I1171" s="17" t="inlineStr">
        <is>
          <t>Đinh hàn 4.8 M16x100</t>
        </is>
      </c>
      <c r="J1171" s="17" t="inlineStr">
        <is>
          <t>Bộ</t>
        </is>
      </c>
      <c r="K1171" s="19" t="n">
        <v>5800</v>
      </c>
      <c r="L1171" s="21" t="n"/>
      <c r="M1171" s="22" t="n"/>
      <c r="N1171" s="22" t="n">
        <v>500</v>
      </c>
      <c r="O1171" s="22" t="n">
        <v>2900000</v>
      </c>
      <c r="P1171" s="22" t="n">
        <v>500</v>
      </c>
      <c r="Q1171" s="22" t="n">
        <v>2900000</v>
      </c>
      <c r="R1171" s="42">
        <f>+L1171+N1171-P1171</f>
        <v/>
      </c>
      <c r="S1171" s="42">
        <f>+M1171+O1171-Q1171</f>
        <v/>
      </c>
    </row>
    <row r="1172" ht="30" customHeight="1">
      <c r="A1172" s="16" t="n">
        <v>45757</v>
      </c>
      <c r="B1172" s="17" t="inlineStr">
        <is>
          <t>MH2504-29</t>
        </is>
      </c>
      <c r="C1172" s="16" t="n">
        <v>45757</v>
      </c>
      <c r="D1172" s="17" t="inlineStr">
        <is>
          <t>00001192</t>
        </is>
      </c>
      <c r="E1172" s="16" t="n">
        <v>45757</v>
      </c>
      <c r="F1172" s="16" t="inlineStr">
        <is>
          <t>XK2504-07</t>
        </is>
      </c>
      <c r="G1172" s="16" t="n">
        <v>45757</v>
      </c>
      <c r="H1172" s="17" t="inlineStr">
        <is>
          <t>CÔNG TY CỔ PHẦN CÔNG NGHIỆP VÀ THƯƠNG MẠI CƯỜNG THỊNH</t>
        </is>
      </c>
      <c r="I1172" s="17" t="inlineStr">
        <is>
          <t>Vít B2 Dacromet 12-14x20</t>
        </is>
      </c>
      <c r="J1172" s="17" t="inlineStr">
        <is>
          <t>Cái</t>
        </is>
      </c>
      <c r="K1172" s="19" t="n">
        <v>600</v>
      </c>
      <c r="L1172" s="21" t="n"/>
      <c r="M1172" s="22" t="n"/>
      <c r="N1172" s="22" t="n">
        <v>1400</v>
      </c>
      <c r="O1172" s="22" t="n">
        <v>840000</v>
      </c>
      <c r="P1172" s="22" t="n">
        <v>1400</v>
      </c>
      <c r="Q1172" s="22" t="n">
        <v>840000</v>
      </c>
      <c r="R1172" s="42">
        <f>+L1172+N1172-P1172</f>
        <v/>
      </c>
      <c r="S1172" s="42">
        <f>+M1172+O1172-Q1172</f>
        <v/>
      </c>
    </row>
    <row r="1173" ht="30" customHeight="1">
      <c r="A1173" s="16" t="n">
        <v>45757</v>
      </c>
      <c r="B1173" s="17" t="inlineStr">
        <is>
          <t>MH2504-29</t>
        </is>
      </c>
      <c r="C1173" s="16" t="n">
        <v>45757</v>
      </c>
      <c r="D1173" s="17" t="inlineStr">
        <is>
          <t>00001192</t>
        </is>
      </c>
      <c r="E1173" s="16" t="n">
        <v>45757</v>
      </c>
      <c r="F1173" s="16" t="inlineStr">
        <is>
          <t>XK2504-07</t>
        </is>
      </c>
      <c r="G1173" s="16" t="n">
        <v>45757</v>
      </c>
      <c r="H1173" s="17" t="inlineStr">
        <is>
          <t>CÔNG TY CỔ PHẦN CÔNG NGHIỆP VÀ THƯƠNG MẠI CƯỜNG THỊNH</t>
        </is>
      </c>
      <c r="I1173" s="17" t="inlineStr">
        <is>
          <t>Đinh hàn 4.8 M16x100</t>
        </is>
      </c>
      <c r="J1173" s="17" t="inlineStr">
        <is>
          <t>Bộ</t>
        </is>
      </c>
      <c r="K1173" s="19" t="n">
        <v>5800</v>
      </c>
      <c r="L1173" s="21" t="n"/>
      <c r="M1173" s="22" t="n"/>
      <c r="N1173" s="22" t="n">
        <v>2163</v>
      </c>
      <c r="O1173" s="22" t="n">
        <v>12545400</v>
      </c>
      <c r="P1173" s="22" t="n">
        <v>2163</v>
      </c>
      <c r="Q1173" s="22" t="n">
        <v>12545400</v>
      </c>
      <c r="R1173" s="42">
        <f>+L1173+N1173-P1173</f>
        <v/>
      </c>
      <c r="S1173" s="42">
        <f>+M1173+O1173-Q1173</f>
        <v/>
      </c>
    </row>
    <row r="1174" ht="30" customHeight="1">
      <c r="A1174" s="16" t="n">
        <v>45757</v>
      </c>
      <c r="B1174" s="17" t="inlineStr">
        <is>
          <t>MH2504-29</t>
        </is>
      </c>
      <c r="C1174" s="16" t="n">
        <v>45757</v>
      </c>
      <c r="D1174" s="17" t="inlineStr">
        <is>
          <t>00001192</t>
        </is>
      </c>
      <c r="E1174" s="16" t="n">
        <v>45757</v>
      </c>
      <c r="F1174" s="16" t="inlineStr">
        <is>
          <t>XK2504-07</t>
        </is>
      </c>
      <c r="G1174" s="16" t="n">
        <v>45757</v>
      </c>
      <c r="H1174" s="17" t="inlineStr">
        <is>
          <t>CÔNG TY CỔ PHẦN CÔNG NGHIỆP VÀ THƯƠNG MẠI CƯỜNG THỊNH</t>
        </is>
      </c>
      <c r="I1174" s="17" t="inlineStr">
        <is>
          <t>Vít B2 Dacromet 15-15x20</t>
        </is>
      </c>
      <c r="J1174" s="17" t="inlineStr">
        <is>
          <t>Cái</t>
        </is>
      </c>
      <c r="K1174" s="19" t="n">
        <v>760</v>
      </c>
      <c r="L1174" s="21" t="n"/>
      <c r="M1174" s="22" t="n"/>
      <c r="N1174" s="22" t="n">
        <v>600</v>
      </c>
      <c r="O1174" s="22" t="n">
        <v>456000</v>
      </c>
      <c r="P1174" s="22" t="n">
        <v>600</v>
      </c>
      <c r="Q1174" s="22" t="n">
        <v>456000</v>
      </c>
      <c r="R1174" s="42">
        <f>+L1174+N1174-P1174</f>
        <v/>
      </c>
      <c r="S1174" s="42">
        <f>+M1174+O1174-Q1174</f>
        <v/>
      </c>
    </row>
    <row r="1175" ht="30" customHeight="1">
      <c r="A1175" s="16" t="n">
        <v>45757</v>
      </c>
      <c r="B1175" s="17" t="inlineStr">
        <is>
          <t>MH2504-29</t>
        </is>
      </c>
      <c r="C1175" s="16" t="n">
        <v>45757</v>
      </c>
      <c r="D1175" s="17" t="inlineStr">
        <is>
          <t>00001192</t>
        </is>
      </c>
      <c r="E1175" s="16" t="n">
        <v>45757</v>
      </c>
      <c r="F1175" s="16" t="inlineStr">
        <is>
          <t>XK2504-07</t>
        </is>
      </c>
      <c r="G1175" s="16" t="n">
        <v>45757</v>
      </c>
      <c r="H1175" s="17" t="inlineStr">
        <is>
          <t>CÔNG TY CỔ PHẦN CÔNG NGHIỆP VÀ THƯƠNG MẠI CƯỜNG THỊNH</t>
        </is>
      </c>
      <c r="I1175" s="17" t="inlineStr">
        <is>
          <t>Bulong Din 933 8.8 ZP M16x50</t>
        </is>
      </c>
      <c r="J1175" s="17" t="inlineStr">
        <is>
          <t>Cái</t>
        </is>
      </c>
      <c r="K1175" s="19" t="n">
        <v>3470</v>
      </c>
      <c r="L1175" s="21" t="n"/>
      <c r="M1175" s="22" t="n"/>
      <c r="N1175" s="22" t="n">
        <v>157</v>
      </c>
      <c r="O1175" s="22" t="n">
        <v>544790</v>
      </c>
      <c r="P1175" s="22" t="n">
        <v>157</v>
      </c>
      <c r="Q1175" s="22" t="n">
        <v>544790</v>
      </c>
      <c r="R1175" s="42">
        <f>+L1175+N1175-P1175</f>
        <v/>
      </c>
      <c r="S1175" s="42">
        <f>+M1175+O1175-Q1175</f>
        <v/>
      </c>
    </row>
    <row r="1176" ht="30" customHeight="1">
      <c r="A1176" s="16" t="n">
        <v>45757</v>
      </c>
      <c r="B1176" s="17" t="inlineStr">
        <is>
          <t>MH2504-29</t>
        </is>
      </c>
      <c r="C1176" s="16" t="n">
        <v>45757</v>
      </c>
      <c r="D1176" s="17" t="inlineStr">
        <is>
          <t>00001192</t>
        </is>
      </c>
      <c r="E1176" s="16" t="n">
        <v>45757</v>
      </c>
      <c r="F1176" s="16" t="inlineStr">
        <is>
          <t>XK2504-07</t>
        </is>
      </c>
      <c r="G1176" s="16" t="n">
        <v>45757</v>
      </c>
      <c r="H1176" s="17" t="inlineStr">
        <is>
          <t>CÔNG TY CỔ PHẦN CÔNG NGHIỆP VÀ THƯƠNG MẠI CƯỜNG THỊNH</t>
        </is>
      </c>
      <c r="I1176" s="17" t="inlineStr">
        <is>
          <t>Đai ốc Din 934 8 ZP M16</t>
        </is>
      </c>
      <c r="J1176" s="17" t="inlineStr">
        <is>
          <t>Cái</t>
        </is>
      </c>
      <c r="K1176" s="19" t="n">
        <v>1090</v>
      </c>
      <c r="L1176" s="21" t="n"/>
      <c r="M1176" s="22" t="n"/>
      <c r="N1176" s="22" t="n">
        <v>157</v>
      </c>
      <c r="O1176" s="22" t="n">
        <v>171130</v>
      </c>
      <c r="P1176" s="22" t="n">
        <v>157</v>
      </c>
      <c r="Q1176" s="22" t="n">
        <v>171130</v>
      </c>
      <c r="R1176" s="42">
        <f>+L1176+N1176-P1176</f>
        <v/>
      </c>
      <c r="S1176" s="42">
        <f>+M1176+O1176-Q1176</f>
        <v/>
      </c>
    </row>
    <row r="1177" ht="30" customHeight="1">
      <c r="A1177" s="16" t="n">
        <v>45757</v>
      </c>
      <c r="B1177" s="17" t="inlineStr">
        <is>
          <t>MH2504-29</t>
        </is>
      </c>
      <c r="C1177" s="16" t="n">
        <v>45757</v>
      </c>
      <c r="D1177" s="17" t="inlineStr">
        <is>
          <t>00001192</t>
        </is>
      </c>
      <c r="E1177" s="16" t="n">
        <v>45757</v>
      </c>
      <c r="F1177" s="16" t="inlineStr">
        <is>
          <t>XK2504-07</t>
        </is>
      </c>
      <c r="G1177" s="16" t="n">
        <v>45757</v>
      </c>
      <c r="H1177" s="17" t="inlineStr">
        <is>
          <t>CÔNG TY CỔ PHẦN CÔNG NGHIỆP VÀ THƯƠNG MẠI CƯỜNG THỊNH</t>
        </is>
      </c>
      <c r="I1177" s="17" t="inlineStr">
        <is>
          <t>Long đền thường ZP M16B30D2</t>
        </is>
      </c>
      <c r="J1177" s="17" t="inlineStr">
        <is>
          <t>Cái</t>
        </is>
      </c>
      <c r="K1177" s="19" t="n">
        <v>340</v>
      </c>
      <c r="L1177" s="21" t="n"/>
      <c r="M1177" s="22" t="n"/>
      <c r="N1177" s="22" t="n">
        <v>157</v>
      </c>
      <c r="O1177" s="22" t="n">
        <v>53380</v>
      </c>
      <c r="P1177" s="22" t="n">
        <v>157</v>
      </c>
      <c r="Q1177" s="22" t="n">
        <v>53380</v>
      </c>
      <c r="R1177" s="42">
        <f>+L1177+N1177-P1177</f>
        <v/>
      </c>
      <c r="S1177" s="42">
        <f>+M1177+O1177-Q1177</f>
        <v/>
      </c>
    </row>
    <row r="1178" ht="30" customHeight="1">
      <c r="A1178" s="16" t="n">
        <v>45757</v>
      </c>
      <c r="B1178" s="17" t="inlineStr">
        <is>
          <t>MH2504-29</t>
        </is>
      </c>
      <c r="C1178" s="16" t="n">
        <v>45757</v>
      </c>
      <c r="D1178" s="17" t="inlineStr">
        <is>
          <t>00001192</t>
        </is>
      </c>
      <c r="E1178" s="16" t="n">
        <v>45757</v>
      </c>
      <c r="F1178" s="16" t="inlineStr">
        <is>
          <t>XK2504-07</t>
        </is>
      </c>
      <c r="G1178" s="16" t="n">
        <v>45757</v>
      </c>
      <c r="H1178" s="17" t="inlineStr">
        <is>
          <t>CÔNG TY CỔ PHẦN CÔNG NGHIỆP VÀ THƯƠNG MẠI CƯỜNG THỊNH</t>
        </is>
      </c>
      <c r="I1178" s="17" t="inlineStr">
        <is>
          <t>Bulong Din 933 8.8 ZP M20x60</t>
        </is>
      </c>
      <c r="J1178" s="17" t="inlineStr">
        <is>
          <t>Cái</t>
        </is>
      </c>
      <c r="K1178" s="19" t="n">
        <v>6440</v>
      </c>
      <c r="L1178" s="21" t="n"/>
      <c r="M1178" s="22" t="n"/>
      <c r="N1178" s="22" t="n">
        <v>1476</v>
      </c>
      <c r="O1178" s="22" t="n">
        <v>9505440</v>
      </c>
      <c r="P1178" s="22" t="n">
        <v>1476</v>
      </c>
      <c r="Q1178" s="22" t="n">
        <v>9505440</v>
      </c>
      <c r="R1178" s="42">
        <f>+L1178+N1178-P1178</f>
        <v/>
      </c>
      <c r="S1178" s="42">
        <f>+M1178+O1178-Q1178</f>
        <v/>
      </c>
    </row>
    <row r="1179" ht="30" customHeight="1">
      <c r="A1179" s="16" t="n">
        <v>45757</v>
      </c>
      <c r="B1179" s="17" t="inlineStr">
        <is>
          <t>MH2504-29</t>
        </is>
      </c>
      <c r="C1179" s="16" t="n">
        <v>45757</v>
      </c>
      <c r="D1179" s="17" t="inlineStr">
        <is>
          <t>00001192</t>
        </is>
      </c>
      <c r="E1179" s="16" t="n">
        <v>45757</v>
      </c>
      <c r="F1179" s="16" t="inlineStr">
        <is>
          <t>XK2504-07</t>
        </is>
      </c>
      <c r="G1179" s="16" t="n">
        <v>45757</v>
      </c>
      <c r="H1179" s="17" t="inlineStr">
        <is>
          <t>CÔNG TY CỔ PHẦN CÔNG NGHIỆP VÀ THƯƠNG MẠI CƯỜNG THỊNH</t>
        </is>
      </c>
      <c r="I1179" s="17" t="inlineStr">
        <is>
          <t>Đai ốc Din 934 8 ZP M20</t>
        </is>
      </c>
      <c r="J1179" s="17" t="inlineStr">
        <is>
          <t>Cái</t>
        </is>
      </c>
      <c r="K1179" s="19" t="n">
        <v>2030</v>
      </c>
      <c r="L1179" s="21" t="n"/>
      <c r="M1179" s="22" t="n"/>
      <c r="N1179" s="22" t="n">
        <v>1476</v>
      </c>
      <c r="O1179" s="22" t="n">
        <v>2996280</v>
      </c>
      <c r="P1179" s="22" t="n">
        <v>1476</v>
      </c>
      <c r="Q1179" s="22" t="n">
        <v>2996280</v>
      </c>
      <c r="R1179" s="42">
        <f>+L1179+N1179-P1179</f>
        <v/>
      </c>
      <c r="S1179" s="42">
        <f>+M1179+O1179-Q1179</f>
        <v/>
      </c>
    </row>
    <row r="1180" ht="30" customHeight="1">
      <c r="A1180" s="16" t="n">
        <v>45757</v>
      </c>
      <c r="B1180" s="17" t="inlineStr">
        <is>
          <t>MH2504-29</t>
        </is>
      </c>
      <c r="C1180" s="16" t="n">
        <v>45757</v>
      </c>
      <c r="D1180" s="17" t="inlineStr">
        <is>
          <t>00001192</t>
        </is>
      </c>
      <c r="E1180" s="16" t="n">
        <v>45757</v>
      </c>
      <c r="F1180" s="16" t="inlineStr">
        <is>
          <t>XK2504-07</t>
        </is>
      </c>
      <c r="G1180" s="16" t="n">
        <v>45757</v>
      </c>
      <c r="H1180" s="17" t="inlineStr">
        <is>
          <t>CÔNG TY CỔ PHẦN CÔNG NGHIỆP VÀ THƯƠNG MẠI CƯỜNG THỊNH</t>
        </is>
      </c>
      <c r="I1180" s="17" t="inlineStr">
        <is>
          <t>Long đền thường ZP M20B35D2</t>
        </is>
      </c>
      <c r="J1180" s="17" t="inlineStr">
        <is>
          <t>Cái</t>
        </is>
      </c>
      <c r="K1180" s="19" t="n">
        <v>350</v>
      </c>
      <c r="L1180" s="21" t="n"/>
      <c r="M1180" s="22" t="n"/>
      <c r="N1180" s="22" t="n">
        <v>1476</v>
      </c>
      <c r="O1180" s="22" t="n">
        <v>516600</v>
      </c>
      <c r="P1180" s="22" t="n">
        <v>1476</v>
      </c>
      <c r="Q1180" s="22" t="n">
        <v>516600</v>
      </c>
      <c r="R1180" s="42">
        <f>+L1180+N1180-P1180</f>
        <v/>
      </c>
      <c r="S1180" s="42">
        <f>+M1180+O1180-Q1180</f>
        <v/>
      </c>
    </row>
    <row r="1181" ht="30" customHeight="1">
      <c r="A1181" s="16" t="n">
        <v>45757</v>
      </c>
      <c r="B1181" s="17" t="inlineStr">
        <is>
          <t>MH2504-29</t>
        </is>
      </c>
      <c r="C1181" s="16" t="n">
        <v>45757</v>
      </c>
      <c r="D1181" s="17" t="inlineStr">
        <is>
          <t>00001192</t>
        </is>
      </c>
      <c r="E1181" s="16" t="n">
        <v>45757</v>
      </c>
      <c r="F1181" s="16" t="inlineStr">
        <is>
          <t>XK2504-07</t>
        </is>
      </c>
      <c r="G1181" s="16" t="n">
        <v>45757</v>
      </c>
      <c r="H1181" s="17" t="inlineStr">
        <is>
          <t>CÔNG TY CỔ PHẦN CÔNG NGHIỆP VÀ THƯƠNG MẠI CƯỜNG THỊNH</t>
        </is>
      </c>
      <c r="I1181" s="17" t="inlineStr">
        <is>
          <t>Bulong Din 933 8.8 ZP M20x80</t>
        </is>
      </c>
      <c r="J1181" s="17" t="inlineStr">
        <is>
          <t>Cái</t>
        </is>
      </c>
      <c r="K1181" s="19" t="n">
        <v>7730</v>
      </c>
      <c r="L1181" s="21" t="n"/>
      <c r="M1181" s="22" t="n"/>
      <c r="N1181" s="22" t="n">
        <v>95</v>
      </c>
      <c r="O1181" s="22" t="n">
        <v>734350</v>
      </c>
      <c r="P1181" s="22" t="n">
        <v>95</v>
      </c>
      <c r="Q1181" s="22" t="n">
        <v>734350</v>
      </c>
      <c r="R1181" s="42">
        <f>+L1181+N1181-P1181</f>
        <v/>
      </c>
      <c r="S1181" s="42">
        <f>+M1181+O1181-Q1181</f>
        <v/>
      </c>
    </row>
    <row r="1182" ht="30" customHeight="1">
      <c r="A1182" s="16" t="n">
        <v>45757</v>
      </c>
      <c r="B1182" s="17" t="inlineStr">
        <is>
          <t>MH2504-29</t>
        </is>
      </c>
      <c r="C1182" s="16" t="n">
        <v>45757</v>
      </c>
      <c r="D1182" s="17" t="inlineStr">
        <is>
          <t>00001192</t>
        </is>
      </c>
      <c r="E1182" s="16" t="n">
        <v>45757</v>
      </c>
      <c r="F1182" s="16" t="inlineStr">
        <is>
          <t>XK2504-07</t>
        </is>
      </c>
      <c r="G1182" s="16" t="n">
        <v>45757</v>
      </c>
      <c r="H1182" s="17" t="inlineStr">
        <is>
          <t>CÔNG TY CỔ PHẦN CÔNG NGHIỆP VÀ THƯƠNG MẠI CƯỜNG THỊNH</t>
        </is>
      </c>
      <c r="I1182" s="17" t="inlineStr">
        <is>
          <t>Đai ốc Din 934 8 ZP M20</t>
        </is>
      </c>
      <c r="J1182" s="17" t="inlineStr">
        <is>
          <t>Cái</t>
        </is>
      </c>
      <c r="K1182" s="19" t="n">
        <v>2030</v>
      </c>
      <c r="L1182" s="21" t="n"/>
      <c r="M1182" s="22" t="n"/>
      <c r="N1182" s="22" t="n">
        <v>95</v>
      </c>
      <c r="O1182" s="22" t="n">
        <v>192850</v>
      </c>
      <c r="P1182" s="22" t="n">
        <v>95</v>
      </c>
      <c r="Q1182" s="22" t="n">
        <v>192850</v>
      </c>
      <c r="R1182" s="42">
        <f>+L1182+N1182-P1182</f>
        <v/>
      </c>
      <c r="S1182" s="42">
        <f>+M1182+O1182-Q1182</f>
        <v/>
      </c>
    </row>
    <row r="1183" ht="30" customHeight="1">
      <c r="A1183" s="16" t="n">
        <v>45757</v>
      </c>
      <c r="B1183" s="17" t="inlineStr">
        <is>
          <t>MH2504-29</t>
        </is>
      </c>
      <c r="C1183" s="16" t="n">
        <v>45757</v>
      </c>
      <c r="D1183" s="17" t="inlineStr">
        <is>
          <t>00001192</t>
        </is>
      </c>
      <c r="E1183" s="16" t="n">
        <v>45757</v>
      </c>
      <c r="F1183" s="16" t="inlineStr">
        <is>
          <t>XK2504-07</t>
        </is>
      </c>
      <c r="G1183" s="16" t="n">
        <v>45757</v>
      </c>
      <c r="H1183" s="17" t="inlineStr">
        <is>
          <t>CÔNG TY CỔ PHẦN CÔNG NGHIỆP VÀ THƯƠNG MẠI CƯỜNG THỊNH</t>
        </is>
      </c>
      <c r="I1183" s="17" t="inlineStr">
        <is>
          <t>Long đền thường ZP M20B35D2</t>
        </is>
      </c>
      <c r="J1183" s="17" t="inlineStr">
        <is>
          <t>Cái</t>
        </is>
      </c>
      <c r="K1183" s="19" t="n">
        <v>350</v>
      </c>
      <c r="L1183" s="21" t="n"/>
      <c r="M1183" s="22" t="n"/>
      <c r="N1183" s="22" t="n">
        <v>95</v>
      </c>
      <c r="O1183" s="22" t="n">
        <v>33250</v>
      </c>
      <c r="P1183" s="22" t="n">
        <v>95</v>
      </c>
      <c r="Q1183" s="22" t="n">
        <v>33250</v>
      </c>
      <c r="R1183" s="42">
        <f>+L1183+N1183-P1183</f>
        <v/>
      </c>
      <c r="S1183" s="42">
        <f>+M1183+O1183-Q1183</f>
        <v/>
      </c>
    </row>
    <row r="1184" ht="30" customHeight="1">
      <c r="A1184" s="16" t="n">
        <v>45757</v>
      </c>
      <c r="B1184" s="17" t="inlineStr">
        <is>
          <t>MH2504-29</t>
        </is>
      </c>
      <c r="C1184" s="16" t="n">
        <v>45757</v>
      </c>
      <c r="D1184" s="17" t="inlineStr">
        <is>
          <t>00001192</t>
        </is>
      </c>
      <c r="E1184" s="16" t="n">
        <v>45757</v>
      </c>
      <c r="F1184" s="16" t="inlineStr">
        <is>
          <t>XK2504-07</t>
        </is>
      </c>
      <c r="G1184" s="16" t="n">
        <v>45757</v>
      </c>
      <c r="H1184" s="17" t="inlineStr">
        <is>
          <t>CÔNG TY CỔ PHẦN CÔNG NGHIỆP VÀ THƯƠNG MẠI CƯỜNG THỊNH</t>
        </is>
      </c>
      <c r="I1184" s="17" t="inlineStr">
        <is>
          <t>Bulong Din 933 8.8 ZP M24x70</t>
        </is>
      </c>
      <c r="J1184" s="17" t="inlineStr">
        <is>
          <t>Cái</t>
        </is>
      </c>
      <c r="K1184" s="19" t="n">
        <v>11010</v>
      </c>
      <c r="L1184" s="21" t="n"/>
      <c r="M1184" s="22" t="n"/>
      <c r="N1184" s="22" t="n">
        <v>509</v>
      </c>
      <c r="O1184" s="22" t="n">
        <v>5604090</v>
      </c>
      <c r="P1184" s="22" t="n">
        <v>509</v>
      </c>
      <c r="Q1184" s="22" t="n">
        <v>5604090</v>
      </c>
      <c r="R1184" s="42">
        <f>+L1184+N1184-P1184</f>
        <v/>
      </c>
      <c r="S1184" s="42">
        <f>+M1184+O1184-Q1184</f>
        <v/>
      </c>
    </row>
    <row r="1185" ht="30" customHeight="1">
      <c r="A1185" s="16" t="n">
        <v>45757</v>
      </c>
      <c r="B1185" s="17" t="inlineStr">
        <is>
          <t>MH2504-29</t>
        </is>
      </c>
      <c r="C1185" s="16" t="n">
        <v>45757</v>
      </c>
      <c r="D1185" s="17" t="inlineStr">
        <is>
          <t>00001192</t>
        </is>
      </c>
      <c r="E1185" s="16" t="n">
        <v>45757</v>
      </c>
      <c r="F1185" s="16" t="inlineStr">
        <is>
          <t>XK2504-07</t>
        </is>
      </c>
      <c r="G1185" s="16" t="n">
        <v>45757</v>
      </c>
      <c r="H1185" s="17" t="inlineStr">
        <is>
          <t>CÔNG TY CỔ PHẦN CÔNG NGHIỆP VÀ THƯƠNG MẠI CƯỜNG THỊNH</t>
        </is>
      </c>
      <c r="I1185" s="17" t="inlineStr">
        <is>
          <t>Đai ốc Din 934 8 ZP M24</t>
        </is>
      </c>
      <c r="J1185" s="17" t="inlineStr">
        <is>
          <t>Cái</t>
        </is>
      </c>
      <c r="K1185" s="19" t="n">
        <v>3500</v>
      </c>
      <c r="L1185" s="21" t="n"/>
      <c r="M1185" s="22" t="n"/>
      <c r="N1185" s="22" t="n">
        <v>509</v>
      </c>
      <c r="O1185" s="22" t="n">
        <v>1781500</v>
      </c>
      <c r="P1185" s="22" t="n">
        <v>509</v>
      </c>
      <c r="Q1185" s="22" t="n">
        <v>1781500</v>
      </c>
      <c r="R1185" s="42">
        <f>+L1185+N1185-P1185</f>
        <v/>
      </c>
      <c r="S1185" s="42">
        <f>+M1185+O1185-Q1185</f>
        <v/>
      </c>
    </row>
    <row r="1186" ht="30" customHeight="1">
      <c r="A1186" s="16" t="n">
        <v>45757</v>
      </c>
      <c r="B1186" s="17" t="inlineStr">
        <is>
          <t>MH2504-29</t>
        </is>
      </c>
      <c r="C1186" s="16" t="n">
        <v>45757</v>
      </c>
      <c r="D1186" s="17" t="inlineStr">
        <is>
          <t>00001192</t>
        </is>
      </c>
      <c r="E1186" s="16" t="n">
        <v>45757</v>
      </c>
      <c r="F1186" s="16" t="inlineStr">
        <is>
          <t>XK2504-07</t>
        </is>
      </c>
      <c r="G1186" s="16" t="n">
        <v>45757</v>
      </c>
      <c r="H1186" s="17" t="inlineStr">
        <is>
          <t>CÔNG TY CỔ PHẦN CÔNG NGHIỆP VÀ THƯƠNG MẠI CƯỜNG THỊNH</t>
        </is>
      </c>
      <c r="I1186" s="17" t="inlineStr">
        <is>
          <t>Long đền thường ZP M24B40-42D2</t>
        </is>
      </c>
      <c r="J1186" s="17" t="inlineStr">
        <is>
          <t>Cái</t>
        </is>
      </c>
      <c r="K1186" s="19" t="n">
        <v>710</v>
      </c>
      <c r="L1186" s="21" t="n"/>
      <c r="M1186" s="22" t="n"/>
      <c r="N1186" s="22" t="n">
        <v>509</v>
      </c>
      <c r="O1186" s="22" t="n">
        <v>361390</v>
      </c>
      <c r="P1186" s="22" t="n">
        <v>509</v>
      </c>
      <c r="Q1186" s="22" t="n">
        <v>361390</v>
      </c>
      <c r="R1186" s="42">
        <f>+L1186+N1186-P1186</f>
        <v/>
      </c>
      <c r="S1186" s="42">
        <f>+M1186+O1186-Q1186</f>
        <v/>
      </c>
    </row>
    <row r="1187" ht="30" customHeight="1">
      <c r="A1187" s="16" t="n">
        <v>45757</v>
      </c>
      <c r="B1187" s="17" t="inlineStr">
        <is>
          <t>MH2504-29</t>
        </is>
      </c>
      <c r="C1187" s="16" t="n">
        <v>45757</v>
      </c>
      <c r="D1187" s="17" t="inlineStr">
        <is>
          <t>00001192</t>
        </is>
      </c>
      <c r="E1187" s="16" t="n">
        <v>45757</v>
      </c>
      <c r="F1187" s="16" t="inlineStr">
        <is>
          <t>XK2504-07</t>
        </is>
      </c>
      <c r="G1187" s="16" t="n">
        <v>45757</v>
      </c>
      <c r="H1187" s="17" t="inlineStr">
        <is>
          <t>CÔNG TY CỔ PHẦN CÔNG NGHIỆP VÀ THƯƠNG MẠI CƯỜNG THỊNH</t>
        </is>
      </c>
      <c r="I1187" s="17" t="inlineStr">
        <is>
          <t>Bulong Din 933 8.8 ZP M24x90</t>
        </is>
      </c>
      <c r="J1187" s="17" t="inlineStr">
        <is>
          <t>Cái</t>
        </is>
      </c>
      <c r="K1187" s="19" t="n">
        <v>12950</v>
      </c>
      <c r="L1187" s="21" t="n"/>
      <c r="M1187" s="22" t="n"/>
      <c r="N1187" s="22" t="n">
        <v>3360</v>
      </c>
      <c r="O1187" s="22" t="n">
        <v>43512000</v>
      </c>
      <c r="P1187" s="22" t="n">
        <v>3360</v>
      </c>
      <c r="Q1187" s="22" t="n">
        <v>43512000</v>
      </c>
      <c r="R1187" s="42">
        <f>+L1187+N1187-P1187</f>
        <v/>
      </c>
      <c r="S1187" s="42">
        <f>+M1187+O1187-Q1187</f>
        <v/>
      </c>
    </row>
    <row r="1188" ht="30" customHeight="1">
      <c r="A1188" s="16" t="n">
        <v>45757</v>
      </c>
      <c r="B1188" s="17" t="inlineStr">
        <is>
          <t>MH2504-29</t>
        </is>
      </c>
      <c r="C1188" s="16" t="n">
        <v>45757</v>
      </c>
      <c r="D1188" s="17" t="inlineStr">
        <is>
          <t>00001192</t>
        </is>
      </c>
      <c r="E1188" s="16" t="n">
        <v>45757</v>
      </c>
      <c r="F1188" s="16" t="inlineStr">
        <is>
          <t>XK2504-07</t>
        </is>
      </c>
      <c r="G1188" s="16" t="n">
        <v>45757</v>
      </c>
      <c r="H1188" s="17" t="inlineStr">
        <is>
          <t>CÔNG TY CỔ PHẦN CÔNG NGHIỆP VÀ THƯƠNG MẠI CƯỜNG THỊNH</t>
        </is>
      </c>
      <c r="I1188" s="17" t="inlineStr">
        <is>
          <t>Đai ốc Din 934 8 ZP M24</t>
        </is>
      </c>
      <c r="J1188" s="17" t="inlineStr">
        <is>
          <t>Cái</t>
        </is>
      </c>
      <c r="K1188" s="19" t="n">
        <v>3500</v>
      </c>
      <c r="L1188" s="21" t="n"/>
      <c r="M1188" s="22" t="n"/>
      <c r="N1188" s="22" t="n">
        <v>3360</v>
      </c>
      <c r="O1188" s="22" t="n">
        <v>11760000</v>
      </c>
      <c r="P1188" s="22" t="n">
        <v>3360</v>
      </c>
      <c r="Q1188" s="22" t="n">
        <v>11760000</v>
      </c>
      <c r="R1188" s="42">
        <f>+L1188+N1188-P1188</f>
        <v/>
      </c>
      <c r="S1188" s="42">
        <f>+M1188+O1188-Q1188</f>
        <v/>
      </c>
    </row>
    <row r="1189" ht="30" customHeight="1">
      <c r="A1189" s="16" t="n">
        <v>45757</v>
      </c>
      <c r="B1189" s="17" t="inlineStr">
        <is>
          <t>MH2504-29</t>
        </is>
      </c>
      <c r="C1189" s="16" t="n">
        <v>45757</v>
      </c>
      <c r="D1189" s="17" t="inlineStr">
        <is>
          <t>00001192</t>
        </is>
      </c>
      <c r="E1189" s="16" t="n">
        <v>45757</v>
      </c>
      <c r="F1189" s="16" t="inlineStr">
        <is>
          <t>XK2504-07</t>
        </is>
      </c>
      <c r="G1189" s="16" t="n">
        <v>45757</v>
      </c>
      <c r="H1189" s="17" t="inlineStr">
        <is>
          <t>CÔNG TY CỔ PHẦN CÔNG NGHIỆP VÀ THƯƠNG MẠI CƯỜNG THỊNH</t>
        </is>
      </c>
      <c r="I1189" s="17" t="inlineStr">
        <is>
          <t>Long đền thường ZP M24B40-42D2</t>
        </is>
      </c>
      <c r="J1189" s="17" t="inlineStr">
        <is>
          <t>Cái</t>
        </is>
      </c>
      <c r="K1189" s="19" t="n">
        <v>710</v>
      </c>
      <c r="L1189" s="21" t="n"/>
      <c r="M1189" s="22" t="n"/>
      <c r="N1189" s="22" t="n">
        <v>3360</v>
      </c>
      <c r="O1189" s="22" t="n">
        <v>2385600</v>
      </c>
      <c r="P1189" s="22" t="n">
        <v>3360</v>
      </c>
      <c r="Q1189" s="22" t="n">
        <v>2385600</v>
      </c>
      <c r="R1189" s="42">
        <f>+L1189+N1189-P1189</f>
        <v/>
      </c>
      <c r="S1189" s="42">
        <f>+M1189+O1189-Q1189</f>
        <v/>
      </c>
    </row>
    <row r="1190" ht="30" customHeight="1">
      <c r="A1190" s="16" t="n">
        <v>45757</v>
      </c>
      <c r="B1190" s="17" t="inlineStr">
        <is>
          <t>MH2504-29</t>
        </is>
      </c>
      <c r="C1190" s="16" t="n">
        <v>45757</v>
      </c>
      <c r="D1190" s="17" t="inlineStr">
        <is>
          <t>00001192</t>
        </is>
      </c>
      <c r="E1190" s="16" t="n">
        <v>45757</v>
      </c>
      <c r="F1190" s="16" t="inlineStr">
        <is>
          <t>XK2504-07</t>
        </is>
      </c>
      <c r="G1190" s="16" t="n">
        <v>45757</v>
      </c>
      <c r="H1190" s="17" t="inlineStr">
        <is>
          <t>CÔNG TY CỔ PHẦN CÔNG NGHIỆP VÀ THƯƠNG MẠI CƯỜNG THỊNH</t>
        </is>
      </c>
      <c r="I1190" s="17" t="inlineStr">
        <is>
          <t>Bulong Din 933 8.8 ZP M30x100</t>
        </is>
      </c>
      <c r="J1190" s="17" t="inlineStr">
        <is>
          <t>Cái</t>
        </is>
      </c>
      <c r="K1190" s="19" t="n">
        <v>25490</v>
      </c>
      <c r="L1190" s="21" t="n"/>
      <c r="M1190" s="22" t="n"/>
      <c r="N1190" s="22" t="n">
        <v>1269</v>
      </c>
      <c r="O1190" s="22" t="n">
        <v>32346810</v>
      </c>
      <c r="P1190" s="22" t="n">
        <v>1269</v>
      </c>
      <c r="Q1190" s="22" t="n">
        <v>32346810</v>
      </c>
      <c r="R1190" s="42">
        <f>+L1190+N1190-P1190</f>
        <v/>
      </c>
      <c r="S1190" s="42">
        <f>+M1190+O1190-Q1190</f>
        <v/>
      </c>
    </row>
    <row r="1191" ht="30" customHeight="1">
      <c r="A1191" s="16" t="n">
        <v>45757</v>
      </c>
      <c r="B1191" s="17" t="inlineStr">
        <is>
          <t>MH2504-29</t>
        </is>
      </c>
      <c r="C1191" s="16" t="n">
        <v>45757</v>
      </c>
      <c r="D1191" s="17" t="inlineStr">
        <is>
          <t>00001192</t>
        </is>
      </c>
      <c r="E1191" s="16" t="n">
        <v>45757</v>
      </c>
      <c r="F1191" s="16" t="inlineStr">
        <is>
          <t>XK2504-07</t>
        </is>
      </c>
      <c r="G1191" s="16" t="n">
        <v>45757</v>
      </c>
      <c r="H1191" s="17" t="inlineStr">
        <is>
          <t>CÔNG TY CỔ PHẦN CÔNG NGHIỆP VÀ THƯƠNG MẠI CƯỜNG THỊNH</t>
        </is>
      </c>
      <c r="I1191" s="17" t="inlineStr">
        <is>
          <t>Đai ốc Din 934 8 ZP M30</t>
        </is>
      </c>
      <c r="J1191" s="17" t="inlineStr">
        <is>
          <t>Cái</t>
        </is>
      </c>
      <c r="K1191" s="19" t="n">
        <v>7590</v>
      </c>
      <c r="L1191" s="21" t="n"/>
      <c r="M1191" s="22" t="n"/>
      <c r="N1191" s="22" t="n">
        <v>1269</v>
      </c>
      <c r="O1191" s="22" t="n">
        <v>9631710</v>
      </c>
      <c r="P1191" s="22" t="n">
        <v>1269</v>
      </c>
      <c r="Q1191" s="22" t="n">
        <v>9631710</v>
      </c>
      <c r="R1191" s="42">
        <f>+L1191+N1191-P1191</f>
        <v/>
      </c>
      <c r="S1191" s="42">
        <f>+M1191+O1191-Q1191</f>
        <v/>
      </c>
    </row>
    <row r="1192" ht="30" customHeight="1">
      <c r="A1192" s="16" t="n">
        <v>45757</v>
      </c>
      <c r="B1192" s="17" t="inlineStr">
        <is>
          <t>MH2504-29</t>
        </is>
      </c>
      <c r="C1192" s="16" t="n">
        <v>45757</v>
      </c>
      <c r="D1192" s="17" t="inlineStr">
        <is>
          <t>00001192</t>
        </is>
      </c>
      <c r="E1192" s="16" t="n">
        <v>45757</v>
      </c>
      <c r="F1192" s="16" t="inlineStr">
        <is>
          <t>XK2504-07</t>
        </is>
      </c>
      <c r="G1192" s="16" t="n">
        <v>45757</v>
      </c>
      <c r="H1192" s="17" t="inlineStr">
        <is>
          <t>CÔNG TY CỔ PHẦN CÔNG NGHIỆP VÀ THƯƠNG MẠI CƯỜNG THỊNH</t>
        </is>
      </c>
      <c r="I1192" s="17" t="inlineStr">
        <is>
          <t>Long đền thường ZP M30B50D2</t>
        </is>
      </c>
      <c r="J1192" s="17" t="inlineStr">
        <is>
          <t>Cái</t>
        </is>
      </c>
      <c r="K1192" s="19" t="n">
        <v>890</v>
      </c>
      <c r="L1192" s="21" t="n"/>
      <c r="M1192" s="22" t="n"/>
      <c r="N1192" s="22" t="n">
        <v>1269</v>
      </c>
      <c r="O1192" s="22" t="n">
        <v>1129410</v>
      </c>
      <c r="P1192" s="22" t="n">
        <v>1269</v>
      </c>
      <c r="Q1192" s="22" t="n">
        <v>1129410</v>
      </c>
      <c r="R1192" s="42">
        <f>+L1192+N1192-P1192</f>
        <v/>
      </c>
      <c r="S1192" s="42">
        <f>+M1192+O1192-Q1192</f>
        <v/>
      </c>
    </row>
    <row r="1193" ht="30" customHeight="1">
      <c r="A1193" s="16" t="n">
        <v>45757</v>
      </c>
      <c r="B1193" s="17" t="inlineStr">
        <is>
          <t>MH2504-29</t>
        </is>
      </c>
      <c r="C1193" s="16" t="n">
        <v>45757</v>
      </c>
      <c r="D1193" s="17" t="inlineStr">
        <is>
          <t>00001192</t>
        </is>
      </c>
      <c r="E1193" s="16" t="n">
        <v>45757</v>
      </c>
      <c r="F1193" s="16" t="inlineStr">
        <is>
          <t>XK2504-07</t>
        </is>
      </c>
      <c r="G1193" s="16" t="n">
        <v>45757</v>
      </c>
      <c r="H1193" s="17" t="inlineStr">
        <is>
          <t>CÔNG TY CỔ PHẦN CÔNG NGHIỆP VÀ THƯƠNG MẠI CƯỜNG THỊNH</t>
        </is>
      </c>
      <c r="I1193" s="17" t="inlineStr">
        <is>
          <t>Bulong thường 4.6 ZP M12x30</t>
        </is>
      </c>
      <c r="J1193" s="17" t="inlineStr">
        <is>
          <t>Cái</t>
        </is>
      </c>
      <c r="K1193" s="19" t="n">
        <v>950</v>
      </c>
      <c r="L1193" s="21" t="n"/>
      <c r="M1193" s="22" t="n"/>
      <c r="N1193" s="22" t="n">
        <v>488</v>
      </c>
      <c r="O1193" s="22" t="n">
        <v>463600</v>
      </c>
      <c r="P1193" s="22" t="n">
        <v>488</v>
      </c>
      <c r="Q1193" s="22" t="n">
        <v>463600</v>
      </c>
      <c r="R1193" s="42">
        <f>+L1193+N1193-P1193</f>
        <v/>
      </c>
      <c r="S1193" s="42">
        <f>+M1193+O1193-Q1193</f>
        <v/>
      </c>
    </row>
    <row r="1194" ht="30" customHeight="1">
      <c r="A1194" s="16" t="n">
        <v>45757</v>
      </c>
      <c r="B1194" s="17" t="inlineStr">
        <is>
          <t>MH2504-29</t>
        </is>
      </c>
      <c r="C1194" s="16" t="n">
        <v>45757</v>
      </c>
      <c r="D1194" s="17" t="inlineStr">
        <is>
          <t>00001192</t>
        </is>
      </c>
      <c r="E1194" s="16" t="n">
        <v>45757</v>
      </c>
      <c r="F1194" s="16" t="inlineStr">
        <is>
          <t>XK2504-07</t>
        </is>
      </c>
      <c r="G1194" s="16" t="n">
        <v>45757</v>
      </c>
      <c r="H1194" s="17" t="inlineStr">
        <is>
          <t>CÔNG TY CỔ PHẦN CÔNG NGHIỆP VÀ THƯƠNG MẠI CƯỜNG THỊNH</t>
        </is>
      </c>
      <c r="I1194" s="17" t="inlineStr">
        <is>
          <t>Đai ốc thường 4 ZP M12 (9mm)</t>
        </is>
      </c>
      <c r="J1194" s="17" t="inlineStr">
        <is>
          <t>Cái</t>
        </is>
      </c>
      <c r="K1194" s="19" t="n">
        <v>360</v>
      </c>
      <c r="L1194" s="21" t="n"/>
      <c r="M1194" s="22" t="n"/>
      <c r="N1194" s="22" t="n">
        <v>488</v>
      </c>
      <c r="O1194" s="22" t="n">
        <v>175680</v>
      </c>
      <c r="P1194" s="22" t="n">
        <v>488</v>
      </c>
      <c r="Q1194" s="22" t="n">
        <v>175680</v>
      </c>
      <c r="R1194" s="42">
        <f>+L1194+N1194-P1194</f>
        <v/>
      </c>
      <c r="S1194" s="42">
        <f>+M1194+O1194-Q1194</f>
        <v/>
      </c>
    </row>
    <row r="1195" ht="30" customHeight="1">
      <c r="A1195" s="16" t="n">
        <v>45757</v>
      </c>
      <c r="B1195" s="17" t="inlineStr">
        <is>
          <t>MH2504-29</t>
        </is>
      </c>
      <c r="C1195" s="16" t="n">
        <v>45757</v>
      </c>
      <c r="D1195" s="17" t="inlineStr">
        <is>
          <t>00001192</t>
        </is>
      </c>
      <c r="E1195" s="16" t="n">
        <v>45757</v>
      </c>
      <c r="F1195" s="16" t="inlineStr">
        <is>
          <t>XK2504-07</t>
        </is>
      </c>
      <c r="G1195" s="16" t="n">
        <v>45757</v>
      </c>
      <c r="H1195" s="17" t="inlineStr">
        <is>
          <t>CÔNG TY CỔ PHẦN CÔNG NGHIỆP VÀ THƯƠNG MẠI CƯỜNG THỊNH</t>
        </is>
      </c>
      <c r="I1195" s="17" t="inlineStr">
        <is>
          <t>Long đền thường ZP M12B23D1</t>
        </is>
      </c>
      <c r="J1195" s="17" t="inlineStr">
        <is>
          <t>Cái</t>
        </is>
      </c>
      <c r="K1195" s="19" t="n">
        <v>100</v>
      </c>
      <c r="L1195" s="21" t="n"/>
      <c r="M1195" s="22" t="n"/>
      <c r="N1195" s="22" t="n">
        <v>976</v>
      </c>
      <c r="O1195" s="22" t="n">
        <v>97600</v>
      </c>
      <c r="P1195" s="22" t="n">
        <v>976</v>
      </c>
      <c r="Q1195" s="22" t="n">
        <v>97600</v>
      </c>
      <c r="R1195" s="42">
        <f>+L1195+N1195-P1195</f>
        <v/>
      </c>
      <c r="S1195" s="42">
        <f>+M1195+O1195-Q1195</f>
        <v/>
      </c>
    </row>
    <row r="1196" ht="30" customHeight="1">
      <c r="A1196" s="16" t="n">
        <v>45757</v>
      </c>
      <c r="B1196" s="17" t="inlineStr">
        <is>
          <t>MH2504-29</t>
        </is>
      </c>
      <c r="C1196" s="16" t="n">
        <v>45757</v>
      </c>
      <c r="D1196" s="17" t="inlineStr">
        <is>
          <t>00001192</t>
        </is>
      </c>
      <c r="E1196" s="16" t="n">
        <v>45757</v>
      </c>
      <c r="F1196" s="16" t="inlineStr">
        <is>
          <t>XK2504-07</t>
        </is>
      </c>
      <c r="G1196" s="16" t="n">
        <v>45757</v>
      </c>
      <c r="H1196" s="17" t="inlineStr">
        <is>
          <t>CÔNG TY CỔ PHẦN CÔNG NGHIỆP VÀ THƯƠNG MẠI CƯỜNG THỊNH</t>
        </is>
      </c>
      <c r="I1196" s="17" t="inlineStr">
        <is>
          <t>Bulong thường 4.6 ZP M12x50</t>
        </is>
      </c>
      <c r="J1196" s="17" t="inlineStr">
        <is>
          <t>Cái</t>
        </is>
      </c>
      <c r="K1196" s="19" t="n">
        <v>1300</v>
      </c>
      <c r="L1196" s="21" t="n"/>
      <c r="M1196" s="22" t="n"/>
      <c r="N1196" s="22" t="n">
        <v>258</v>
      </c>
      <c r="O1196" s="22" t="n">
        <v>335400</v>
      </c>
      <c r="P1196" s="22" t="n">
        <v>258</v>
      </c>
      <c r="Q1196" s="22" t="n">
        <v>335400</v>
      </c>
      <c r="R1196" s="42">
        <f>+L1196+N1196-P1196</f>
        <v/>
      </c>
      <c r="S1196" s="42">
        <f>+M1196+O1196-Q1196</f>
        <v/>
      </c>
    </row>
    <row r="1197" ht="30" customHeight="1">
      <c r="A1197" s="16" t="n">
        <v>45757</v>
      </c>
      <c r="B1197" s="17" t="inlineStr">
        <is>
          <t>MH2504-29</t>
        </is>
      </c>
      <c r="C1197" s="16" t="n">
        <v>45757</v>
      </c>
      <c r="D1197" s="17" t="inlineStr">
        <is>
          <t>00001192</t>
        </is>
      </c>
      <c r="E1197" s="16" t="n">
        <v>45757</v>
      </c>
      <c r="F1197" s="16" t="inlineStr">
        <is>
          <t>XK2504-07</t>
        </is>
      </c>
      <c r="G1197" s="16" t="n">
        <v>45757</v>
      </c>
      <c r="H1197" s="17" t="inlineStr">
        <is>
          <t>CÔNG TY CỔ PHẦN CÔNG NGHIỆP VÀ THƯƠNG MẠI CƯỜNG THỊNH</t>
        </is>
      </c>
      <c r="I1197" s="17" t="inlineStr">
        <is>
          <t>Đai ốc thường 4 ZP M12 (9mm)</t>
        </is>
      </c>
      <c r="J1197" s="17" t="inlineStr">
        <is>
          <t>Cái</t>
        </is>
      </c>
      <c r="K1197" s="19" t="n">
        <v>360</v>
      </c>
      <c r="L1197" s="21" t="n"/>
      <c r="M1197" s="22" t="n"/>
      <c r="N1197" s="22" t="n">
        <v>258</v>
      </c>
      <c r="O1197" s="22" t="n">
        <v>92880</v>
      </c>
      <c r="P1197" s="22" t="n">
        <v>258</v>
      </c>
      <c r="Q1197" s="22" t="n">
        <v>92880</v>
      </c>
      <c r="R1197" s="42">
        <f>+L1197+N1197-P1197</f>
        <v/>
      </c>
      <c r="S1197" s="42">
        <f>+M1197+O1197-Q1197</f>
        <v/>
      </c>
    </row>
    <row r="1198" ht="30" customHeight="1">
      <c r="A1198" s="16" t="n">
        <v>45757</v>
      </c>
      <c r="B1198" s="17" t="inlineStr">
        <is>
          <t>MH2504-29</t>
        </is>
      </c>
      <c r="C1198" s="16" t="n">
        <v>45757</v>
      </c>
      <c r="D1198" s="17" t="inlineStr">
        <is>
          <t>00001192</t>
        </is>
      </c>
      <c r="E1198" s="16" t="n">
        <v>45757</v>
      </c>
      <c r="F1198" s="16" t="inlineStr">
        <is>
          <t>XK2504-07</t>
        </is>
      </c>
      <c r="G1198" s="16" t="n">
        <v>45757</v>
      </c>
      <c r="H1198" s="17" t="inlineStr">
        <is>
          <t>CÔNG TY CỔ PHẦN CÔNG NGHIỆP VÀ THƯƠNG MẠI CƯỜNG THỊNH</t>
        </is>
      </c>
      <c r="I1198" s="17" t="inlineStr">
        <is>
          <t>Long đền thường ZP M12B23D1</t>
        </is>
      </c>
      <c r="J1198" s="17" t="inlineStr">
        <is>
          <t>Cái</t>
        </is>
      </c>
      <c r="K1198" s="19" t="n">
        <v>100</v>
      </c>
      <c r="L1198" s="21" t="n"/>
      <c r="M1198" s="22" t="n"/>
      <c r="N1198" s="22" t="n">
        <v>516</v>
      </c>
      <c r="O1198" s="22" t="n">
        <v>51600</v>
      </c>
      <c r="P1198" s="22" t="n">
        <v>516</v>
      </c>
      <c r="Q1198" s="22" t="n">
        <v>51600</v>
      </c>
      <c r="R1198" s="42">
        <f>+L1198+N1198-P1198</f>
        <v/>
      </c>
      <c r="S1198" s="42">
        <f>+M1198+O1198-Q1198</f>
        <v/>
      </c>
    </row>
    <row r="1199" ht="15" customHeight="1">
      <c r="A1199" s="16" t="n">
        <v>45758</v>
      </c>
      <c r="B1199" s="17" t="inlineStr">
        <is>
          <t>MH2504-30</t>
        </is>
      </c>
      <c r="C1199" s="16" t="n">
        <v>45758</v>
      </c>
      <c r="D1199" s="17" t="inlineStr">
        <is>
          <t>00000086</t>
        </is>
      </c>
      <c r="E1199" s="16" t="n">
        <v>45758</v>
      </c>
      <c r="F1199" s="16" t="inlineStr">
        <is>
          <t>XK2504-08</t>
        </is>
      </c>
      <c r="G1199" s="16" t="n">
        <v>45758</v>
      </c>
      <c r="H1199" s="17" t="inlineStr">
        <is>
          <t>CÔNG TY TNHH CƠ KHÍ ĐỨC HIỆP</t>
        </is>
      </c>
      <c r="I1199" s="17" t="inlineStr">
        <is>
          <t>Bulong neo M20x710 F1554 105</t>
        </is>
      </c>
      <c r="J1199" s="17" t="inlineStr">
        <is>
          <t>Cái</t>
        </is>
      </c>
      <c r="K1199" s="19" t="n">
        <v>120060</v>
      </c>
      <c r="L1199" s="21" t="n"/>
      <c r="M1199" s="22" t="n"/>
      <c r="N1199" s="22" t="n">
        <v>18</v>
      </c>
      <c r="O1199" s="22" t="n">
        <v>2161080</v>
      </c>
      <c r="P1199" s="22" t="n">
        <v>18</v>
      </c>
      <c r="Q1199" s="22" t="n">
        <v>2161080</v>
      </c>
      <c r="R1199" s="42">
        <f>+L1199+N1199-P1199</f>
        <v/>
      </c>
      <c r="S1199" s="42">
        <f>+M1199+O1199-Q1199</f>
        <v/>
      </c>
    </row>
    <row r="1200" ht="15" customHeight="1">
      <c r="A1200" s="16" t="n">
        <v>45758</v>
      </c>
      <c r="B1200" s="17" t="inlineStr">
        <is>
          <t>MH2504-30</t>
        </is>
      </c>
      <c r="C1200" s="16" t="n">
        <v>45758</v>
      </c>
      <c r="D1200" s="17" t="inlineStr">
        <is>
          <t>00000086</t>
        </is>
      </c>
      <c r="E1200" s="16" t="n">
        <v>45758</v>
      </c>
      <c r="F1200" s="16" t="inlineStr">
        <is>
          <t>XK2504-08</t>
        </is>
      </c>
      <c r="G1200" s="16" t="n">
        <v>45758</v>
      </c>
      <c r="H1200" s="17" t="inlineStr">
        <is>
          <t>CÔNG TY TNHH CƠ KHÍ ĐỨC HIỆP</t>
        </is>
      </c>
      <c r="I1200" s="17" t="inlineStr">
        <is>
          <t>Bulong neo M24x790 F1554 105</t>
        </is>
      </c>
      <c r="J1200" s="17" t="inlineStr">
        <is>
          <t>Cái</t>
        </is>
      </c>
      <c r="K1200" s="19" t="n">
        <v>197200</v>
      </c>
      <c r="L1200" s="21" t="n"/>
      <c r="M1200" s="22" t="n"/>
      <c r="N1200" s="22" t="n">
        <v>136</v>
      </c>
      <c r="O1200" s="22" t="n">
        <v>26819200</v>
      </c>
      <c r="P1200" s="22" t="n">
        <v>136</v>
      </c>
      <c r="Q1200" s="22" t="n">
        <v>26819200</v>
      </c>
      <c r="R1200" s="42">
        <f>+L1200+N1200-P1200</f>
        <v/>
      </c>
      <c r="S1200" s="42">
        <f>+M1200+O1200-Q1200</f>
        <v/>
      </c>
    </row>
    <row r="1201" ht="15" customHeight="1">
      <c r="A1201" s="16" t="n">
        <v>45758</v>
      </c>
      <c r="B1201" s="17" t="inlineStr">
        <is>
          <t>MH2504-30</t>
        </is>
      </c>
      <c r="C1201" s="16" t="n">
        <v>45758</v>
      </c>
      <c r="D1201" s="17" t="inlineStr">
        <is>
          <t>00000086</t>
        </is>
      </c>
      <c r="E1201" s="16" t="n">
        <v>45758</v>
      </c>
      <c r="F1201" s="16" t="inlineStr">
        <is>
          <t>XK2504-08</t>
        </is>
      </c>
      <c r="G1201" s="16" t="n">
        <v>45758</v>
      </c>
      <c r="H1201" s="17" t="inlineStr">
        <is>
          <t>CÔNG TY TNHH CƠ KHÍ ĐỨC HIỆP</t>
        </is>
      </c>
      <c r="I1201" s="17" t="inlineStr">
        <is>
          <t>Bulong neo M36x1250 F1554 105</t>
        </is>
      </c>
      <c r="J1201" s="17" t="inlineStr">
        <is>
          <t>Cái</t>
        </is>
      </c>
      <c r="K1201" s="19" t="n">
        <v>680920</v>
      </c>
      <c r="L1201" s="21" t="n"/>
      <c r="M1201" s="22" t="n"/>
      <c r="N1201" s="22" t="n">
        <v>88</v>
      </c>
      <c r="O1201" s="22" t="n">
        <v>59920960</v>
      </c>
      <c r="P1201" s="22" t="n">
        <v>88</v>
      </c>
      <c r="Q1201" s="22" t="n">
        <v>59920960</v>
      </c>
      <c r="R1201" s="42">
        <f>+L1201+N1201-P1201</f>
        <v/>
      </c>
      <c r="S1201" s="42">
        <f>+M1201+O1201-Q1201</f>
        <v/>
      </c>
    </row>
    <row r="1202" ht="15" customHeight="1">
      <c r="A1202" s="16" t="n">
        <v>45758</v>
      </c>
      <c r="B1202" s="17" t="inlineStr">
        <is>
          <t>MH2504-31</t>
        </is>
      </c>
      <c r="C1202" s="16" t="n">
        <v>45758</v>
      </c>
      <c r="D1202" s="17" t="inlineStr">
        <is>
          <t>00000087</t>
        </is>
      </c>
      <c r="E1202" s="16" t="n">
        <v>45758</v>
      </c>
      <c r="F1202" s="16" t="inlineStr">
        <is>
          <t>XK2504-08</t>
        </is>
      </c>
      <c r="G1202" s="16" t="n">
        <v>45758</v>
      </c>
      <c r="H1202" s="17" t="inlineStr">
        <is>
          <t>CÔNG TY TNHH CƠ KHÍ ĐỨC HIỆP</t>
        </is>
      </c>
      <c r="I1202" s="17" t="inlineStr">
        <is>
          <t>Bulong neo I 2"x1035x8UNC F1554 Gr105</t>
        </is>
      </c>
      <c r="J1202" s="17" t="inlineStr">
        <is>
          <t>Cái</t>
        </is>
      </c>
      <c r="K1202" s="19" t="n">
        <v>1163750</v>
      </c>
      <c r="L1202" s="21" t="n"/>
      <c r="M1202" s="22" t="n"/>
      <c r="N1202" s="22" t="n">
        <v>596</v>
      </c>
      <c r="O1202" s="22" t="n">
        <v>693595000</v>
      </c>
      <c r="P1202" s="22" t="n">
        <v>596</v>
      </c>
      <c r="Q1202" s="22" t="n">
        <v>693595000</v>
      </c>
      <c r="R1202" s="42">
        <f>+L1202+N1202-P1202</f>
        <v/>
      </c>
      <c r="S1202" s="42">
        <f>+M1202+O1202-Q1202</f>
        <v/>
      </c>
    </row>
    <row r="1203" ht="30" customHeight="1">
      <c r="A1203" s="16" t="n">
        <v>45759</v>
      </c>
      <c r="B1203" s="17" t="inlineStr">
        <is>
          <t>MH2504-32</t>
        </is>
      </c>
      <c r="C1203" s="16" t="n">
        <v>45759</v>
      </c>
      <c r="D1203" s="17" t="inlineStr">
        <is>
          <t>00001242</t>
        </is>
      </c>
      <c r="E1203" s="16" t="n">
        <v>45759</v>
      </c>
      <c r="F1203" s="16" t="inlineStr">
        <is>
          <t>XK2504-09</t>
        </is>
      </c>
      <c r="G1203" s="16" t="n">
        <v>45759</v>
      </c>
      <c r="H1203" s="17" t="inlineStr">
        <is>
          <t>CÔNG TY CỔ PHẦN CÔNG NGHIỆP VÀ THƯƠNG MẠI CƯỜNG THỊNH</t>
        </is>
      </c>
      <c r="I1203" s="17" t="inlineStr">
        <is>
          <t>Đinh hàn 4.8 M16x100</t>
        </is>
      </c>
      <c r="J1203" s="17" t="inlineStr">
        <is>
          <t>Bộ</t>
        </is>
      </c>
      <c r="K1203" s="19" t="n">
        <v>5800</v>
      </c>
      <c r="L1203" s="21" t="n"/>
      <c r="M1203" s="22" t="n"/>
      <c r="N1203" s="22" t="n">
        <v>2650</v>
      </c>
      <c r="O1203" s="22" t="n">
        <v>15370000</v>
      </c>
      <c r="P1203" s="22" t="n">
        <v>2650</v>
      </c>
      <c r="Q1203" s="22" t="n">
        <v>15370000</v>
      </c>
      <c r="R1203" s="42">
        <f>+L1203+N1203-P1203</f>
        <v/>
      </c>
      <c r="S1203" s="42">
        <f>+M1203+O1203-Q1203</f>
        <v/>
      </c>
    </row>
    <row r="1204" ht="30" customHeight="1">
      <c r="A1204" s="16" t="n">
        <v>45759</v>
      </c>
      <c r="B1204" s="17" t="inlineStr">
        <is>
          <t>MH2504-33</t>
        </is>
      </c>
      <c r="C1204" s="16" t="n">
        <v>45759</v>
      </c>
      <c r="D1204" s="17" t="inlineStr">
        <is>
          <t>00001244</t>
        </is>
      </c>
      <c r="E1204" s="16" t="n">
        <v>45759</v>
      </c>
      <c r="F1204" s="16" t="inlineStr">
        <is>
          <t>XK2504-09</t>
        </is>
      </c>
      <c r="G1204" s="16" t="n">
        <v>45759</v>
      </c>
      <c r="H1204" s="17" t="inlineStr">
        <is>
          <t>CÔNG TY CỔ PHẦN CÔNG NGHIỆP VÀ THƯƠNG MẠI CƯỜNG THỊNH</t>
        </is>
      </c>
      <c r="I1204" s="17" t="inlineStr">
        <is>
          <t>Ty giằng 2 đầu ren 4.6 Ф11.3-11.5mm HDG M12</t>
        </is>
      </c>
      <c r="J1204" s="17" t="inlineStr">
        <is>
          <t>Cái</t>
        </is>
      </c>
      <c r="K1204" s="19" t="n">
        <v>34500</v>
      </c>
      <c r="L1204" s="21" t="n"/>
      <c r="M1204" s="22" t="n"/>
      <c r="N1204" s="22" t="n">
        <v>765.8099999999999</v>
      </c>
      <c r="O1204" s="22" t="n">
        <v>26420445</v>
      </c>
      <c r="P1204" s="22" t="n">
        <v>765.8099999999999</v>
      </c>
      <c r="Q1204" s="22" t="n">
        <v>26420445</v>
      </c>
      <c r="R1204" s="42">
        <f>+L1204+N1204-P1204</f>
        <v/>
      </c>
      <c r="S1204" s="42">
        <f>+M1204+O1204-Q1204</f>
        <v/>
      </c>
    </row>
    <row r="1205" ht="30" customHeight="1">
      <c r="A1205" s="16" t="n">
        <v>45759</v>
      </c>
      <c r="B1205" s="17" t="inlineStr">
        <is>
          <t>MH2504-33</t>
        </is>
      </c>
      <c r="C1205" s="16" t="n">
        <v>45759</v>
      </c>
      <c r="D1205" s="17" t="inlineStr">
        <is>
          <t>00001244</t>
        </is>
      </c>
      <c r="E1205" s="16" t="n">
        <v>45759</v>
      </c>
      <c r="F1205" s="16" t="inlineStr">
        <is>
          <t>XK2504-09</t>
        </is>
      </c>
      <c r="G1205" s="16" t="n">
        <v>45759</v>
      </c>
      <c r="H1205" s="17" t="inlineStr">
        <is>
          <t>CÔNG TY CỔ PHẦN CÔNG NGHIỆP VÀ THƯƠNG MẠI CƯỜNG THỊNH</t>
        </is>
      </c>
      <c r="I1205" s="17" t="inlineStr">
        <is>
          <t>Ty giằng 2 đầu ren 4.6 Ф11.3-11.5mm HDG M12</t>
        </is>
      </c>
      <c r="J1205" s="17" t="inlineStr">
        <is>
          <t>Cái</t>
        </is>
      </c>
      <c r="K1205" s="19" t="n">
        <v>36500</v>
      </c>
      <c r="L1205" s="21" t="n"/>
      <c r="M1205" s="22" t="n"/>
      <c r="N1205" s="22" t="n">
        <v>189.09</v>
      </c>
      <c r="O1205" s="22" t="n">
        <v>6901785</v>
      </c>
      <c r="P1205" s="22" t="n">
        <v>189.09</v>
      </c>
      <c r="Q1205" s="22" t="n">
        <v>6901785</v>
      </c>
      <c r="R1205" s="42">
        <f>+L1205+N1205-P1205</f>
        <v/>
      </c>
      <c r="S1205" s="42">
        <f>+M1205+O1205-Q1205</f>
        <v/>
      </c>
    </row>
    <row r="1206" ht="30" customHeight="1">
      <c r="A1206" s="16" t="n">
        <v>45759</v>
      </c>
      <c r="B1206" s="17" t="inlineStr">
        <is>
          <t>MH2504-33</t>
        </is>
      </c>
      <c r="C1206" s="16" t="n">
        <v>45759</v>
      </c>
      <c r="D1206" s="17" t="inlineStr">
        <is>
          <t>00001244</t>
        </is>
      </c>
      <c r="E1206" s="16" t="n">
        <v>45759</v>
      </c>
      <c r="F1206" s="16" t="inlineStr">
        <is>
          <t>XK2504-09</t>
        </is>
      </c>
      <c r="G1206" s="16" t="n">
        <v>45759</v>
      </c>
      <c r="H1206" s="17" t="inlineStr">
        <is>
          <t>CÔNG TY CỔ PHẦN CÔNG NGHIỆP VÀ THƯƠNG MẠI CƯỜNG THỊNH</t>
        </is>
      </c>
      <c r="I1206" s="17" t="inlineStr">
        <is>
          <t>Đai ốc thường 4 HDG M12</t>
        </is>
      </c>
      <c r="J1206" s="17" t="inlineStr">
        <is>
          <t>Cái</t>
        </is>
      </c>
      <c r="K1206" s="19" t="n">
        <v>650</v>
      </c>
      <c r="L1206" s="21" t="n"/>
      <c r="M1206" s="22" t="n"/>
      <c r="N1206" s="22" t="n">
        <v>4348</v>
      </c>
      <c r="O1206" s="22" t="n">
        <v>2826200</v>
      </c>
      <c r="P1206" s="22" t="n">
        <v>4348</v>
      </c>
      <c r="Q1206" s="22" t="n">
        <v>2826200</v>
      </c>
      <c r="R1206" s="42">
        <f>+L1206+N1206-P1206</f>
        <v/>
      </c>
      <c r="S1206" s="42">
        <f>+M1206+O1206-Q1206</f>
        <v/>
      </c>
    </row>
    <row r="1207" ht="30" customHeight="1">
      <c r="A1207" s="16" t="n">
        <v>45759</v>
      </c>
      <c r="B1207" s="17" t="inlineStr">
        <is>
          <t>MH2504-33</t>
        </is>
      </c>
      <c r="C1207" s="16" t="n">
        <v>45759</v>
      </c>
      <c r="D1207" s="17" t="inlineStr">
        <is>
          <t>00001244</t>
        </is>
      </c>
      <c r="E1207" s="16" t="n">
        <v>45759</v>
      </c>
      <c r="F1207" s="16" t="inlineStr">
        <is>
          <t>XK2504-09</t>
        </is>
      </c>
      <c r="G1207" s="16" t="n">
        <v>45759</v>
      </c>
      <c r="H1207" s="17" t="inlineStr">
        <is>
          <t>CÔNG TY CỔ PHẦN CÔNG NGHIỆP VÀ THƯƠNG MẠI CƯỜNG THỊNH</t>
        </is>
      </c>
      <c r="I1207" s="17" t="inlineStr">
        <is>
          <t>Long đền thường HDG M12B26D1.5</t>
        </is>
      </c>
      <c r="J1207" s="17" t="inlineStr">
        <is>
          <t>Cái</t>
        </is>
      </c>
      <c r="K1207" s="19" t="n">
        <v>270</v>
      </c>
      <c r="L1207" s="21" t="n"/>
      <c r="M1207" s="22" t="n"/>
      <c r="N1207" s="22" t="n">
        <v>4348</v>
      </c>
      <c r="O1207" s="22" t="n">
        <v>1173960</v>
      </c>
      <c r="P1207" s="22" t="n">
        <v>4348</v>
      </c>
      <c r="Q1207" s="22" t="n">
        <v>1173960</v>
      </c>
      <c r="R1207" s="42">
        <f>+L1207+N1207-P1207</f>
        <v/>
      </c>
      <c r="S1207" s="42">
        <f>+M1207+O1207-Q1207</f>
        <v/>
      </c>
    </row>
    <row r="1208" ht="15" customHeight="1">
      <c r="A1208" s="16" t="n">
        <v>45761</v>
      </c>
      <c r="B1208" s="17" t="inlineStr">
        <is>
          <t>MH2504-34</t>
        </is>
      </c>
      <c r="C1208" s="16" t="n">
        <v>45761</v>
      </c>
      <c r="D1208" s="17" t="inlineStr">
        <is>
          <t>00003397</t>
        </is>
      </c>
      <c r="E1208" s="16" t="n">
        <v>45761</v>
      </c>
      <c r="F1208" s="16" t="inlineStr">
        <is>
          <t>XK2504-10</t>
        </is>
      </c>
      <c r="G1208" s="16" t="n">
        <v>45761</v>
      </c>
      <c r="H1208" s="17" t="inlineStr">
        <is>
          <t>CÔNG TY TNHH SƠN JOTUN VIỆT NAM</t>
        </is>
      </c>
      <c r="I1208" s="17" t="inlineStr">
        <is>
          <t>SƠN PENGUARD PRIMER GREY 20L</t>
        </is>
      </c>
      <c r="J1208" s="17" t="inlineStr">
        <is>
          <t>Lít</t>
        </is>
      </c>
      <c r="K1208" s="19" t="n">
        <v>120000</v>
      </c>
      <c r="L1208" s="21" t="n"/>
      <c r="M1208" s="22" t="n"/>
      <c r="N1208" s="22" t="n">
        <v>160</v>
      </c>
      <c r="O1208" s="22" t="n">
        <v>19200000</v>
      </c>
      <c r="P1208" s="22" t="n">
        <v>160</v>
      </c>
      <c r="Q1208" s="22" t="n">
        <v>19200000</v>
      </c>
      <c r="R1208" s="42">
        <f>+L1208+N1208-P1208</f>
        <v/>
      </c>
      <c r="S1208" s="42">
        <f>+M1208+O1208-Q1208</f>
        <v/>
      </c>
    </row>
    <row r="1209" ht="15" customHeight="1">
      <c r="A1209" s="16" t="n">
        <v>45761</v>
      </c>
      <c r="B1209" s="17" t="inlineStr">
        <is>
          <t>MH2504-34</t>
        </is>
      </c>
      <c r="C1209" s="16" t="n">
        <v>45761</v>
      </c>
      <c r="D1209" s="17" t="inlineStr">
        <is>
          <t>00003397</t>
        </is>
      </c>
      <c r="E1209" s="16" t="n">
        <v>45761</v>
      </c>
      <c r="F1209" s="16" t="inlineStr">
        <is>
          <t>XK2504-10</t>
        </is>
      </c>
      <c r="G1209" s="16" t="n">
        <v>45761</v>
      </c>
      <c r="H1209" s="17" t="inlineStr">
        <is>
          <t>CÔNG TY TNHH SƠN JOTUN VIỆT NAM</t>
        </is>
      </c>
      <c r="I1209" s="17" t="inlineStr">
        <is>
          <t>SƠN FUTURA CLASSIC RAL9016 18.21L</t>
        </is>
      </c>
      <c r="J1209" s="17" t="inlineStr">
        <is>
          <t>Lít</t>
        </is>
      </c>
      <c r="K1209" s="19" t="n">
        <v>155000</v>
      </c>
      <c r="L1209" s="21" t="n"/>
      <c r="M1209" s="22" t="n"/>
      <c r="N1209" s="22" t="n">
        <v>127.47</v>
      </c>
      <c r="O1209" s="22" t="n">
        <v>19757850</v>
      </c>
      <c r="P1209" s="22" t="n">
        <v>127.47</v>
      </c>
      <c r="Q1209" s="22" t="n">
        <v>19757850</v>
      </c>
      <c r="R1209" s="42">
        <f>+L1209+N1209-P1209</f>
        <v/>
      </c>
      <c r="S1209" s="42">
        <f>+M1209+O1209-Q1209</f>
        <v/>
      </c>
    </row>
    <row r="1210" ht="15" customHeight="1">
      <c r="A1210" s="16" t="n">
        <v>45761</v>
      </c>
      <c r="B1210" s="17" t="inlineStr">
        <is>
          <t>MH2504-34</t>
        </is>
      </c>
      <c r="C1210" s="16" t="n">
        <v>45761</v>
      </c>
      <c r="D1210" s="17" t="inlineStr">
        <is>
          <t>00003397</t>
        </is>
      </c>
      <c r="E1210" s="16" t="n">
        <v>45761</v>
      </c>
      <c r="F1210" s="16" t="inlineStr">
        <is>
          <t>XK2504-10</t>
        </is>
      </c>
      <c r="G1210" s="16" t="n">
        <v>45761</v>
      </c>
      <c r="H1210" s="17" t="inlineStr">
        <is>
          <t>CÔNG TY TNHH SƠN JOTUN VIỆT NAM</t>
        </is>
      </c>
      <c r="I1210" s="17" t="inlineStr">
        <is>
          <t>SƠN FUTURA CLASSIC RAL9016 4.55L</t>
        </is>
      </c>
      <c r="J1210" s="17" t="inlineStr">
        <is>
          <t>Lít</t>
        </is>
      </c>
      <c r="K1210" s="19" t="n">
        <v>155000</v>
      </c>
      <c r="L1210" s="21" t="n"/>
      <c r="M1210" s="22" t="n"/>
      <c r="N1210" s="22" t="n">
        <v>4.55</v>
      </c>
      <c r="O1210" s="22" t="n">
        <v>705250</v>
      </c>
      <c r="P1210" s="22" t="n">
        <v>4.55</v>
      </c>
      <c r="Q1210" s="22" t="n">
        <v>705250</v>
      </c>
      <c r="R1210" s="42">
        <f>+L1210+N1210-P1210</f>
        <v/>
      </c>
      <c r="S1210" s="42">
        <f>+M1210+O1210-Q1210</f>
        <v/>
      </c>
    </row>
    <row r="1211" ht="15" customHeight="1">
      <c r="A1211" s="16" t="n">
        <v>45761</v>
      </c>
      <c r="B1211" s="17" t="inlineStr">
        <is>
          <t>MH2504-34</t>
        </is>
      </c>
      <c r="C1211" s="16" t="n">
        <v>45761</v>
      </c>
      <c r="D1211" s="17" t="inlineStr">
        <is>
          <t>00003397</t>
        </is>
      </c>
      <c r="E1211" s="16" t="n">
        <v>45761</v>
      </c>
      <c r="F1211" s="16" t="inlineStr">
        <is>
          <t>XK2504-10</t>
        </is>
      </c>
      <c r="G1211" s="16" t="n">
        <v>45761</v>
      </c>
      <c r="H1211" s="17" t="inlineStr">
        <is>
          <t>CÔNG TY TNHH SƠN JOTUN VIỆT NAM</t>
        </is>
      </c>
      <c r="I1211" s="17" t="inlineStr">
        <is>
          <t>DUNG MÔI JOTUN THINNER NO. 17 20L</t>
        </is>
      </c>
      <c r="J1211" s="17" t="inlineStr">
        <is>
          <t>Lít</t>
        </is>
      </c>
      <c r="K1211" s="19" t="n">
        <v>60000</v>
      </c>
      <c r="L1211" s="21" t="n"/>
      <c r="M1211" s="22" t="n"/>
      <c r="N1211" s="22" t="n">
        <v>20</v>
      </c>
      <c r="O1211" s="22" t="n">
        <v>1200000</v>
      </c>
      <c r="P1211" s="22" t="n">
        <v>20</v>
      </c>
      <c r="Q1211" s="22" t="n">
        <v>1200000</v>
      </c>
      <c r="R1211" s="42">
        <f>+L1211+N1211-P1211</f>
        <v/>
      </c>
      <c r="S1211" s="42">
        <f>+M1211+O1211-Q1211</f>
        <v/>
      </c>
    </row>
    <row r="1212" ht="15" customHeight="1">
      <c r="A1212" s="16" t="n">
        <v>45761</v>
      </c>
      <c r="B1212" s="17" t="inlineStr">
        <is>
          <t>MH2504-34</t>
        </is>
      </c>
      <c r="C1212" s="16" t="n">
        <v>45761</v>
      </c>
      <c r="D1212" s="17" t="inlineStr">
        <is>
          <t>00003397</t>
        </is>
      </c>
      <c r="E1212" s="16" t="n">
        <v>45761</v>
      </c>
      <c r="F1212" s="16" t="inlineStr">
        <is>
          <t>XK2504-10</t>
        </is>
      </c>
      <c r="G1212" s="16" t="n">
        <v>45761</v>
      </c>
      <c r="H1212" s="17" t="inlineStr">
        <is>
          <t>CÔNG TY TNHH SƠN JOTUN VIỆT NAM</t>
        </is>
      </c>
      <c r="I1212" s="17" t="inlineStr">
        <is>
          <t>DUNG MÔI JOTUN THINNER NO. 17 5L</t>
        </is>
      </c>
      <c r="J1212" s="17" t="inlineStr">
        <is>
          <t>Lít</t>
        </is>
      </c>
      <c r="K1212" s="19" t="n">
        <v>60000</v>
      </c>
      <c r="L1212" s="21" t="n"/>
      <c r="M1212" s="22" t="n"/>
      <c r="N1212" s="22" t="n">
        <v>5</v>
      </c>
      <c r="O1212" s="22" t="n">
        <v>300000</v>
      </c>
      <c r="P1212" s="22" t="n">
        <v>5</v>
      </c>
      <c r="Q1212" s="22" t="n">
        <v>300000</v>
      </c>
      <c r="R1212" s="42">
        <f>+L1212+N1212-P1212</f>
        <v/>
      </c>
      <c r="S1212" s="42">
        <f>+M1212+O1212-Q1212</f>
        <v/>
      </c>
    </row>
    <row r="1213" ht="15" customHeight="1">
      <c r="A1213" s="16" t="n">
        <v>45761</v>
      </c>
      <c r="B1213" s="17" t="inlineStr">
        <is>
          <t>MH2504-34</t>
        </is>
      </c>
      <c r="C1213" s="16" t="n">
        <v>45761</v>
      </c>
      <c r="D1213" s="17" t="inlineStr">
        <is>
          <t>00003397</t>
        </is>
      </c>
      <c r="E1213" s="16" t="n">
        <v>45761</v>
      </c>
      <c r="F1213" s="16" t="inlineStr">
        <is>
          <t>XK2504-10</t>
        </is>
      </c>
      <c r="G1213" s="16" t="n">
        <v>45761</v>
      </c>
      <c r="H1213" s="17" t="inlineStr">
        <is>
          <t>CÔNG TY TNHH SƠN JOTUN VIỆT NAM</t>
        </is>
      </c>
      <c r="I1213" s="17" t="inlineStr">
        <is>
          <t>DUNG MÔI JOTUN THINNER NO. 10 20L</t>
        </is>
      </c>
      <c r="J1213" s="17" t="inlineStr">
        <is>
          <t>Lít</t>
        </is>
      </c>
      <c r="K1213" s="19" t="n">
        <v>60000</v>
      </c>
      <c r="L1213" s="21" t="n"/>
      <c r="M1213" s="22" t="n"/>
      <c r="N1213" s="22" t="n">
        <v>20</v>
      </c>
      <c r="O1213" s="22" t="n">
        <v>1200000</v>
      </c>
      <c r="P1213" s="22" t="n">
        <v>20</v>
      </c>
      <c r="Q1213" s="22" t="n">
        <v>1200000</v>
      </c>
      <c r="R1213" s="42">
        <f>+L1213+N1213-P1213</f>
        <v/>
      </c>
      <c r="S1213" s="42">
        <f>+M1213+O1213-Q1213</f>
        <v/>
      </c>
    </row>
    <row r="1214" ht="15" customHeight="1">
      <c r="A1214" s="16" t="n">
        <v>45761</v>
      </c>
      <c r="B1214" s="17" t="inlineStr">
        <is>
          <t>MH2504-35</t>
        </is>
      </c>
      <c r="C1214" s="16" t="n">
        <v>45761</v>
      </c>
      <c r="D1214" s="17" t="inlineStr">
        <is>
          <t>00003398</t>
        </is>
      </c>
      <c r="E1214" s="16" t="n">
        <v>45761</v>
      </c>
      <c r="F1214" s="16" t="inlineStr">
        <is>
          <t>XK2504-10</t>
        </is>
      </c>
      <c r="G1214" s="16" t="n">
        <v>45761</v>
      </c>
      <c r="H1214" s="17" t="inlineStr">
        <is>
          <t>CÔNG TY TNHH SƠN JOTUN VIỆT NAM</t>
        </is>
      </c>
      <c r="I1214" s="17" t="inlineStr">
        <is>
          <t>SƠN FUTURA CLASSIC RAL7042 18.33L</t>
        </is>
      </c>
      <c r="J1214" s="17" t="inlineStr">
        <is>
          <t>Lít</t>
        </is>
      </c>
      <c r="K1214" s="19" t="n">
        <v>155000</v>
      </c>
      <c r="L1214" s="21" t="n"/>
      <c r="M1214" s="22" t="n"/>
      <c r="N1214" s="22" t="n">
        <v>183.3</v>
      </c>
      <c r="O1214" s="22" t="n">
        <v>28411500</v>
      </c>
      <c r="P1214" s="22" t="n">
        <v>183.3</v>
      </c>
      <c r="Q1214" s="22" t="n">
        <v>28411500</v>
      </c>
      <c r="R1214" s="42">
        <f>+L1214+N1214-P1214</f>
        <v/>
      </c>
      <c r="S1214" s="42">
        <f>+M1214+O1214-Q1214</f>
        <v/>
      </c>
    </row>
    <row r="1215" ht="30" customHeight="1">
      <c r="A1215" s="16" t="n">
        <v>45761</v>
      </c>
      <c r="B1215" s="17" t="inlineStr">
        <is>
          <t>MH2504-36</t>
        </is>
      </c>
      <c r="C1215" s="16" t="n">
        <v>45761</v>
      </c>
      <c r="D1215" s="17" t="inlineStr">
        <is>
          <t>00000337</t>
        </is>
      </c>
      <c r="E1215" s="16" t="n">
        <v>45761</v>
      </c>
      <c r="F1215" s="16" t="inlineStr">
        <is>
          <t>XK2504-11</t>
        </is>
      </c>
      <c r="G1215" s="16" t="n">
        <v>45761</v>
      </c>
      <c r="H1215" s="17" t="inlineStr">
        <is>
          <t>CÔNG TY TNHH XUẤT NHẬP KHẨU THƯƠNG MẠI KIÊN HOÀNG</t>
        </is>
      </c>
      <c r="I1215" s="17" t="inlineStr">
        <is>
          <t>Thép tấm (55x365x8907mm)</t>
        </is>
      </c>
      <c r="J1215" s="17" t="inlineStr">
        <is>
          <t>kg</t>
        </is>
      </c>
      <c r="K1215" s="19" t="n">
        <v>17272.73</v>
      </c>
      <c r="L1215" s="21" t="n"/>
      <c r="M1215" s="22" t="n"/>
      <c r="N1215" s="22" t="n">
        <v>16843.72</v>
      </c>
      <c r="O1215" s="22" t="n">
        <v>290937028</v>
      </c>
      <c r="P1215" s="22" t="n">
        <v>16843.72</v>
      </c>
      <c r="Q1215" s="22" t="n">
        <v>290937028</v>
      </c>
      <c r="R1215" s="42">
        <f>+L1215+N1215-P1215</f>
        <v/>
      </c>
      <c r="S1215" s="42">
        <f>+M1215+O1215-Q1215</f>
        <v/>
      </c>
    </row>
    <row r="1216" ht="30" customHeight="1">
      <c r="A1216" s="16" t="n">
        <v>45761</v>
      </c>
      <c r="B1216" s="17" t="inlineStr">
        <is>
          <t>MH2504-36</t>
        </is>
      </c>
      <c r="C1216" s="16" t="n">
        <v>45761</v>
      </c>
      <c r="D1216" s="17" t="inlineStr">
        <is>
          <t>00000337</t>
        </is>
      </c>
      <c r="E1216" s="16" t="n">
        <v>45761</v>
      </c>
      <c r="F1216" s="16" t="inlineStr">
        <is>
          <t>XK2504-11</t>
        </is>
      </c>
      <c r="G1216" s="16" t="n">
        <v>45761</v>
      </c>
      <c r="H1216" s="17" t="inlineStr">
        <is>
          <t>CÔNG TY TNHH XUẤT NHẬP KHẨU THƯƠNG MẠI KIÊN HOÀNG</t>
        </is>
      </c>
      <c r="I1216" s="17" t="inlineStr">
        <is>
          <t>Thép tấm (55x365x3583mm)</t>
        </is>
      </c>
      <c r="J1216" s="17" t="inlineStr">
        <is>
          <t>kg</t>
        </is>
      </c>
      <c r="K1216" s="19" t="n">
        <v>17272.73</v>
      </c>
      <c r="L1216" s="21" t="n"/>
      <c r="M1216" s="22" t="n"/>
      <c r="N1216" s="22" t="n">
        <v>2258.56</v>
      </c>
      <c r="O1216" s="22" t="n">
        <v>39011497</v>
      </c>
      <c r="P1216" s="22" t="n">
        <v>2258.56</v>
      </c>
      <c r="Q1216" s="22" t="n">
        <v>39011497</v>
      </c>
      <c r="R1216" s="42">
        <f>+L1216+N1216-P1216</f>
        <v/>
      </c>
      <c r="S1216" s="42">
        <f>+M1216+O1216-Q1216</f>
        <v/>
      </c>
    </row>
    <row r="1217" ht="30" customHeight="1">
      <c r="A1217" s="16" t="n">
        <v>45761</v>
      </c>
      <c r="B1217" s="17" t="inlineStr">
        <is>
          <t>MH2504-36</t>
        </is>
      </c>
      <c r="C1217" s="16" t="n">
        <v>45761</v>
      </c>
      <c r="D1217" s="17" t="inlineStr">
        <is>
          <t>00000337</t>
        </is>
      </c>
      <c r="E1217" s="16" t="n">
        <v>45761</v>
      </c>
      <c r="F1217" s="16" t="inlineStr">
        <is>
          <t>XK2504-11</t>
        </is>
      </c>
      <c r="G1217" s="16" t="n">
        <v>45761</v>
      </c>
      <c r="H1217" s="17" t="inlineStr">
        <is>
          <t>CÔNG TY TNHH XUẤT NHẬP KHẨU THƯƠNG MẠI KIÊN HOÀNG</t>
        </is>
      </c>
      <c r="I1217" s="17" t="inlineStr">
        <is>
          <t>Thép tấm (55x365x4582mm)</t>
        </is>
      </c>
      <c r="J1217" s="17" t="inlineStr">
        <is>
          <t>kg</t>
        </is>
      </c>
      <c r="K1217" s="19" t="n">
        <v>17272.73</v>
      </c>
      <c r="L1217" s="21" t="n"/>
      <c r="M1217" s="22" t="n"/>
      <c r="N1217" s="22" t="n">
        <v>2888.29</v>
      </c>
      <c r="O1217" s="22" t="n">
        <v>49888653</v>
      </c>
      <c r="P1217" s="22" t="n">
        <v>2888.29</v>
      </c>
      <c r="Q1217" s="22" t="n">
        <v>49888653</v>
      </c>
      <c r="R1217" s="42">
        <f>+L1217+N1217-P1217</f>
        <v/>
      </c>
      <c r="S1217" s="42">
        <f>+M1217+O1217-Q1217</f>
        <v/>
      </c>
    </row>
    <row r="1218" ht="30" customHeight="1">
      <c r="A1218" s="16" t="n">
        <v>45761</v>
      </c>
      <c r="B1218" s="17" t="inlineStr">
        <is>
          <t>MH2504-36</t>
        </is>
      </c>
      <c r="C1218" s="16" t="n">
        <v>45761</v>
      </c>
      <c r="D1218" s="17" t="inlineStr">
        <is>
          <t>00000337</t>
        </is>
      </c>
      <c r="E1218" s="16" t="n">
        <v>45761</v>
      </c>
      <c r="F1218" s="16" t="inlineStr">
        <is>
          <t>XK2504-11</t>
        </is>
      </c>
      <c r="G1218" s="16" t="n">
        <v>45761</v>
      </c>
      <c r="H1218" s="17" t="inlineStr">
        <is>
          <t>CÔNG TY TNHH XUẤT NHẬP KHẨU THƯƠNG MẠI KIÊN HOÀNG</t>
        </is>
      </c>
      <c r="I1218" s="17" t="inlineStr">
        <is>
          <t>Thép tấm (55x365x3382mm)</t>
        </is>
      </c>
      <c r="J1218" s="17" t="inlineStr">
        <is>
          <t>kg</t>
        </is>
      </c>
      <c r="K1218" s="19" t="n">
        <v>17272.73</v>
      </c>
      <c r="L1218" s="21" t="n"/>
      <c r="M1218" s="22" t="n"/>
      <c r="N1218" s="22" t="n">
        <v>2131.86</v>
      </c>
      <c r="O1218" s="22" t="n">
        <v>36823042</v>
      </c>
      <c r="P1218" s="22" t="n">
        <v>2131.86</v>
      </c>
      <c r="Q1218" s="22" t="n">
        <v>36823042</v>
      </c>
      <c r="R1218" s="42">
        <f>+L1218+N1218-P1218</f>
        <v/>
      </c>
      <c r="S1218" s="42">
        <f>+M1218+O1218-Q1218</f>
        <v/>
      </c>
    </row>
    <row r="1219" ht="30" customHeight="1">
      <c r="A1219" s="16" t="n">
        <v>45761</v>
      </c>
      <c r="B1219" s="17" t="inlineStr">
        <is>
          <t>MH2504-37</t>
        </is>
      </c>
      <c r="C1219" s="16" t="n">
        <v>45761</v>
      </c>
      <c r="D1219" s="17" t="inlineStr">
        <is>
          <t>00001277</t>
        </is>
      </c>
      <c r="E1219" s="16" t="n">
        <v>45761</v>
      </c>
      <c r="F1219" s="16" t="inlineStr">
        <is>
          <t>XK2504-11</t>
        </is>
      </c>
      <c r="G1219" s="16" t="n">
        <v>45761</v>
      </c>
      <c r="H1219" s="17" t="inlineStr">
        <is>
          <t>CÔNG TY CỔ PHẦN CÔNG NGHIỆP VÀ THƯƠNG MẠI CƯỜNG THỊNH</t>
        </is>
      </c>
      <c r="I1219" s="17" t="inlineStr">
        <is>
          <t>Bulong nở 4.6 HDG M12x100</t>
        </is>
      </c>
      <c r="J1219" s="17" t="inlineStr">
        <is>
          <t>Cái</t>
        </is>
      </c>
      <c r="K1219" s="19" t="n">
        <v>11940</v>
      </c>
      <c r="L1219" s="21" t="n"/>
      <c r="M1219" s="22" t="n"/>
      <c r="N1219" s="22" t="n">
        <v>27</v>
      </c>
      <c r="O1219" s="22" t="n">
        <v>322380</v>
      </c>
      <c r="P1219" s="22" t="n">
        <v>27</v>
      </c>
      <c r="Q1219" s="22" t="n">
        <v>322380</v>
      </c>
      <c r="R1219" s="42">
        <f>+L1219+N1219-P1219</f>
        <v/>
      </c>
      <c r="S1219" s="42">
        <f>+M1219+O1219-Q1219</f>
        <v/>
      </c>
    </row>
    <row r="1220" ht="30" customHeight="1">
      <c r="A1220" s="16" t="n">
        <v>45761</v>
      </c>
      <c r="B1220" s="17" t="inlineStr">
        <is>
          <t>MH2504-37</t>
        </is>
      </c>
      <c r="C1220" s="16" t="n">
        <v>45761</v>
      </c>
      <c r="D1220" s="17" t="inlineStr">
        <is>
          <t>00001277</t>
        </is>
      </c>
      <c r="E1220" s="16" t="n">
        <v>45761</v>
      </c>
      <c r="F1220" s="16" t="inlineStr">
        <is>
          <t>XK2504-11</t>
        </is>
      </c>
      <c r="G1220" s="16" t="n">
        <v>45761</v>
      </c>
      <c r="H1220" s="17" t="inlineStr">
        <is>
          <t>CÔNG TY CỔ PHẦN CÔNG NGHIỆP VÀ THƯƠNG MẠI CƯỜNG THỊNH</t>
        </is>
      </c>
      <c r="I1220" s="17" t="inlineStr">
        <is>
          <t>Bulong nở 4.6 HDG M16x180</t>
        </is>
      </c>
      <c r="J1220" s="17" t="inlineStr">
        <is>
          <t>Cái</t>
        </is>
      </c>
      <c r="K1220" s="19" t="n">
        <v>49390</v>
      </c>
      <c r="L1220" s="21" t="n"/>
      <c r="M1220" s="22" t="n"/>
      <c r="N1220" s="22" t="n">
        <v>25</v>
      </c>
      <c r="O1220" s="22" t="n">
        <v>1234750</v>
      </c>
      <c r="P1220" s="22" t="n">
        <v>25</v>
      </c>
      <c r="Q1220" s="22" t="n">
        <v>1234750</v>
      </c>
      <c r="R1220" s="42">
        <f>+L1220+N1220-P1220</f>
        <v/>
      </c>
      <c r="S1220" s="42">
        <f>+M1220+O1220-Q1220</f>
        <v/>
      </c>
    </row>
    <row r="1221" ht="30" customHeight="1">
      <c r="A1221" s="16" t="n">
        <v>45761</v>
      </c>
      <c r="B1221" s="17" t="inlineStr">
        <is>
          <t>MH2504-37</t>
        </is>
      </c>
      <c r="C1221" s="16" t="n">
        <v>45761</v>
      </c>
      <c r="D1221" s="17" t="inlineStr">
        <is>
          <t>00001277</t>
        </is>
      </c>
      <c r="E1221" s="16" t="n">
        <v>45761</v>
      </c>
      <c r="F1221" s="16" t="inlineStr">
        <is>
          <t>XK2504-11</t>
        </is>
      </c>
      <c r="G1221" s="16" t="n">
        <v>45761</v>
      </c>
      <c r="H1221" s="17" t="inlineStr">
        <is>
          <t>CÔNG TY CỔ PHẦN CÔNG NGHIỆP VÀ THƯƠNG MẠI CƯỜNG THỊNH</t>
        </is>
      </c>
      <c r="I1221" s="17" t="inlineStr">
        <is>
          <t>Bulong Din 933 8.8 HDG M16x50</t>
        </is>
      </c>
      <c r="J1221" s="17" t="inlineStr">
        <is>
          <t>Cái</t>
        </is>
      </c>
      <c r="K1221" s="19" t="n">
        <v>4580</v>
      </c>
      <c r="L1221" s="21" t="n"/>
      <c r="M1221" s="22" t="n"/>
      <c r="N1221" s="22" t="n">
        <v>290</v>
      </c>
      <c r="O1221" s="22" t="n">
        <v>1328200</v>
      </c>
      <c r="P1221" s="22" t="n">
        <v>290</v>
      </c>
      <c r="Q1221" s="22" t="n">
        <v>1328200</v>
      </c>
      <c r="R1221" s="42">
        <f>+L1221+N1221-P1221</f>
        <v/>
      </c>
      <c r="S1221" s="42">
        <f>+M1221+O1221-Q1221</f>
        <v/>
      </c>
    </row>
    <row r="1222" ht="30" customHeight="1">
      <c r="A1222" s="16" t="n">
        <v>45761</v>
      </c>
      <c r="B1222" s="17" t="inlineStr">
        <is>
          <t>MH2504-37</t>
        </is>
      </c>
      <c r="C1222" s="16" t="n">
        <v>45761</v>
      </c>
      <c r="D1222" s="17" t="inlineStr">
        <is>
          <t>00001277</t>
        </is>
      </c>
      <c r="E1222" s="16" t="n">
        <v>45761</v>
      </c>
      <c r="F1222" s="16" t="inlineStr">
        <is>
          <t>XK2504-11</t>
        </is>
      </c>
      <c r="G1222" s="16" t="n">
        <v>45761</v>
      </c>
      <c r="H1222" s="17" t="inlineStr">
        <is>
          <t>CÔNG TY CỔ PHẦN CÔNG NGHIỆP VÀ THƯƠNG MẠI CƯỜNG THỊNH</t>
        </is>
      </c>
      <c r="I1222" s="17" t="inlineStr">
        <is>
          <t>Đai ốc ISO 4032 8 HDG M16</t>
        </is>
      </c>
      <c r="J1222" s="17" t="inlineStr">
        <is>
          <t>Cái</t>
        </is>
      </c>
      <c r="K1222" s="19" t="n">
        <v>1780</v>
      </c>
      <c r="L1222" s="21" t="n"/>
      <c r="M1222" s="22" t="n"/>
      <c r="N1222" s="22" t="n">
        <v>290</v>
      </c>
      <c r="O1222" s="22" t="n">
        <v>516200</v>
      </c>
      <c r="P1222" s="22" t="n">
        <v>290</v>
      </c>
      <c r="Q1222" s="22" t="n">
        <v>516200</v>
      </c>
      <c r="R1222" s="42">
        <f>+L1222+N1222-P1222</f>
        <v/>
      </c>
      <c r="S1222" s="42">
        <f>+M1222+O1222-Q1222</f>
        <v/>
      </c>
    </row>
    <row r="1223" ht="30" customHeight="1">
      <c r="A1223" s="16" t="n">
        <v>45761</v>
      </c>
      <c r="B1223" s="17" t="inlineStr">
        <is>
          <t>MH2504-37</t>
        </is>
      </c>
      <c r="C1223" s="16" t="n">
        <v>45761</v>
      </c>
      <c r="D1223" s="17" t="inlineStr">
        <is>
          <t>00001277</t>
        </is>
      </c>
      <c r="E1223" s="16" t="n">
        <v>45761</v>
      </c>
      <c r="F1223" s="16" t="inlineStr">
        <is>
          <t>XK2504-11</t>
        </is>
      </c>
      <c r="G1223" s="16" t="n">
        <v>45761</v>
      </c>
      <c r="H1223" s="17" t="inlineStr">
        <is>
          <t>CÔNG TY CỔ PHẦN CÔNG NGHIỆP VÀ THƯƠNG MẠI CƯỜNG THỊNH</t>
        </is>
      </c>
      <c r="I1223" s="17" t="inlineStr">
        <is>
          <t>Long đền thường HDG M16B30D2</t>
        </is>
      </c>
      <c r="J1223" s="17" t="inlineStr">
        <is>
          <t>Cái</t>
        </is>
      </c>
      <c r="K1223" s="19" t="n">
        <v>450</v>
      </c>
      <c r="L1223" s="21" t="n"/>
      <c r="M1223" s="22" t="n"/>
      <c r="N1223" s="22" t="n">
        <v>290</v>
      </c>
      <c r="O1223" s="22" t="n">
        <v>130500</v>
      </c>
      <c r="P1223" s="22" t="n">
        <v>290</v>
      </c>
      <c r="Q1223" s="22" t="n">
        <v>130500</v>
      </c>
      <c r="R1223" s="42">
        <f>+L1223+N1223-P1223</f>
        <v/>
      </c>
      <c r="S1223" s="42">
        <f>+M1223+O1223-Q1223</f>
        <v/>
      </c>
    </row>
    <row r="1224" ht="30" customHeight="1">
      <c r="A1224" s="16" t="n">
        <v>45761</v>
      </c>
      <c r="B1224" s="17" t="inlineStr">
        <is>
          <t>MH2504-37</t>
        </is>
      </c>
      <c r="C1224" s="16" t="n">
        <v>45761</v>
      </c>
      <c r="D1224" s="17" t="inlineStr">
        <is>
          <t>00001277</t>
        </is>
      </c>
      <c r="E1224" s="16" t="n">
        <v>45761</v>
      </c>
      <c r="F1224" s="16" t="inlineStr">
        <is>
          <t>XK2504-11</t>
        </is>
      </c>
      <c r="G1224" s="16" t="n">
        <v>45761</v>
      </c>
      <c r="H1224" s="17" t="inlineStr">
        <is>
          <t>CÔNG TY CỔ PHẦN CÔNG NGHIỆP VÀ THƯƠNG MẠI CƯỜNG THỊNH</t>
        </is>
      </c>
      <c r="I1224" s="17" t="inlineStr">
        <is>
          <t>Bulong Din 933 8.8 HDG M16x60</t>
        </is>
      </c>
      <c r="J1224" s="17" t="inlineStr">
        <is>
          <t>Cái</t>
        </is>
      </c>
      <c r="K1224" s="19" t="n">
        <v>4830</v>
      </c>
      <c r="L1224" s="21" t="n"/>
      <c r="M1224" s="22" t="n"/>
      <c r="N1224" s="22" t="n">
        <v>3436</v>
      </c>
      <c r="O1224" s="22" t="n">
        <v>16595880</v>
      </c>
      <c r="P1224" s="22" t="n">
        <v>3436</v>
      </c>
      <c r="Q1224" s="22" t="n">
        <v>16595880</v>
      </c>
      <c r="R1224" s="42">
        <f>+L1224+N1224-P1224</f>
        <v/>
      </c>
      <c r="S1224" s="42">
        <f>+M1224+O1224-Q1224</f>
        <v/>
      </c>
    </row>
    <row r="1225" ht="30" customHeight="1">
      <c r="A1225" s="16" t="n">
        <v>45761</v>
      </c>
      <c r="B1225" s="17" t="inlineStr">
        <is>
          <t>MH2504-37</t>
        </is>
      </c>
      <c r="C1225" s="16" t="n">
        <v>45761</v>
      </c>
      <c r="D1225" s="17" t="inlineStr">
        <is>
          <t>00001277</t>
        </is>
      </c>
      <c r="E1225" s="16" t="n">
        <v>45761</v>
      </c>
      <c r="F1225" s="16" t="inlineStr">
        <is>
          <t>XK2504-11</t>
        </is>
      </c>
      <c r="G1225" s="16" t="n">
        <v>45761</v>
      </c>
      <c r="H1225" s="17" t="inlineStr">
        <is>
          <t>CÔNG TY CỔ PHẦN CÔNG NGHIỆP VÀ THƯƠNG MẠI CƯỜNG THỊNH</t>
        </is>
      </c>
      <c r="I1225" s="17" t="inlineStr">
        <is>
          <t>Đai ốc ISO 4032 8 HDG M16</t>
        </is>
      </c>
      <c r="J1225" s="17" t="inlineStr">
        <is>
          <t>Cái</t>
        </is>
      </c>
      <c r="K1225" s="19" t="n">
        <v>1780</v>
      </c>
      <c r="L1225" s="21" t="n"/>
      <c r="M1225" s="22" t="n"/>
      <c r="N1225" s="22" t="n">
        <v>3436</v>
      </c>
      <c r="O1225" s="22" t="n">
        <v>6116080</v>
      </c>
      <c r="P1225" s="22" t="n">
        <v>3436</v>
      </c>
      <c r="Q1225" s="22" t="n">
        <v>6116080</v>
      </c>
      <c r="R1225" s="42">
        <f>+L1225+N1225-P1225</f>
        <v/>
      </c>
      <c r="S1225" s="42">
        <f>+M1225+O1225-Q1225</f>
        <v/>
      </c>
    </row>
    <row r="1226" ht="30" customHeight="1">
      <c r="A1226" s="16" t="n">
        <v>45761</v>
      </c>
      <c r="B1226" s="17" t="inlineStr">
        <is>
          <t>MH2504-37</t>
        </is>
      </c>
      <c r="C1226" s="16" t="n">
        <v>45761</v>
      </c>
      <c r="D1226" s="17" t="inlineStr">
        <is>
          <t>00001277</t>
        </is>
      </c>
      <c r="E1226" s="16" t="n">
        <v>45761</v>
      </c>
      <c r="F1226" s="16" t="inlineStr">
        <is>
          <t>XK2504-11</t>
        </is>
      </c>
      <c r="G1226" s="16" t="n">
        <v>45761</v>
      </c>
      <c r="H1226" s="17" t="inlineStr">
        <is>
          <t>CÔNG TY CỔ PHẦN CÔNG NGHIỆP VÀ THƯƠNG MẠI CƯỜNG THỊNH</t>
        </is>
      </c>
      <c r="I1226" s="17" t="inlineStr">
        <is>
          <t>Long đền thường HDG M16B30D2</t>
        </is>
      </c>
      <c r="J1226" s="17" t="inlineStr">
        <is>
          <t>Cái</t>
        </is>
      </c>
      <c r="K1226" s="19" t="n">
        <v>450</v>
      </c>
      <c r="L1226" s="21" t="n"/>
      <c r="M1226" s="22" t="n"/>
      <c r="N1226" s="22" t="n">
        <v>3436</v>
      </c>
      <c r="O1226" s="22" t="n">
        <v>1546200</v>
      </c>
      <c r="P1226" s="22" t="n">
        <v>3436</v>
      </c>
      <c r="Q1226" s="22" t="n">
        <v>1546200</v>
      </c>
      <c r="R1226" s="42">
        <f>+L1226+N1226-P1226</f>
        <v/>
      </c>
      <c r="S1226" s="42">
        <f>+M1226+O1226-Q1226</f>
        <v/>
      </c>
    </row>
    <row r="1227" ht="30" customHeight="1">
      <c r="A1227" s="16" t="n">
        <v>45761</v>
      </c>
      <c r="B1227" s="17" t="inlineStr">
        <is>
          <t>MH2504-37</t>
        </is>
      </c>
      <c r="C1227" s="16" t="n">
        <v>45761</v>
      </c>
      <c r="D1227" s="17" t="inlineStr">
        <is>
          <t>00001277</t>
        </is>
      </c>
      <c r="E1227" s="16" t="n">
        <v>45761</v>
      </c>
      <c r="F1227" s="16" t="inlineStr">
        <is>
          <t>XK2504-11</t>
        </is>
      </c>
      <c r="G1227" s="16" t="n">
        <v>45761</v>
      </c>
      <c r="H1227" s="17" t="inlineStr">
        <is>
          <t>CÔNG TY CỔ PHẦN CÔNG NGHIỆP VÀ THƯƠNG MẠI CƯỜNG THỊNH</t>
        </is>
      </c>
      <c r="I1227" s="17" t="inlineStr">
        <is>
          <t>Bulong Din 933 8.8 HDG M20x100</t>
        </is>
      </c>
      <c r="J1227" s="17" t="inlineStr">
        <is>
          <t>Cái</t>
        </is>
      </c>
      <c r="K1227" s="19" t="n">
        <v>11020</v>
      </c>
      <c r="L1227" s="21" t="n"/>
      <c r="M1227" s="22" t="n"/>
      <c r="N1227" s="22" t="n">
        <v>29</v>
      </c>
      <c r="O1227" s="22" t="n">
        <v>319580</v>
      </c>
      <c r="P1227" s="22" t="n">
        <v>29</v>
      </c>
      <c r="Q1227" s="22" t="n">
        <v>319580</v>
      </c>
      <c r="R1227" s="42">
        <f>+L1227+N1227-P1227</f>
        <v/>
      </c>
      <c r="S1227" s="42">
        <f>+M1227+O1227-Q1227</f>
        <v/>
      </c>
    </row>
    <row r="1228" ht="30" customHeight="1">
      <c r="A1228" s="16" t="n">
        <v>45761</v>
      </c>
      <c r="B1228" s="17" t="inlineStr">
        <is>
          <t>MH2504-37</t>
        </is>
      </c>
      <c r="C1228" s="16" t="n">
        <v>45761</v>
      </c>
      <c r="D1228" s="17" t="inlineStr">
        <is>
          <t>00001277</t>
        </is>
      </c>
      <c r="E1228" s="16" t="n">
        <v>45761</v>
      </c>
      <c r="F1228" s="16" t="inlineStr">
        <is>
          <t>XK2504-11</t>
        </is>
      </c>
      <c r="G1228" s="16" t="n">
        <v>45761</v>
      </c>
      <c r="H1228" s="17" t="inlineStr">
        <is>
          <t>CÔNG TY CỔ PHẦN CÔNG NGHIỆP VÀ THƯƠNG MẠI CƯỜNG THỊNH</t>
        </is>
      </c>
      <c r="I1228" s="17" t="inlineStr">
        <is>
          <t>Đai ốc ISO 4032 8 HDG M20</t>
        </is>
      </c>
      <c r="J1228" s="17" t="inlineStr">
        <is>
          <t>Cái</t>
        </is>
      </c>
      <c r="K1228" s="19" t="n">
        <v>3270</v>
      </c>
      <c r="L1228" s="21" t="n"/>
      <c r="M1228" s="22" t="n"/>
      <c r="N1228" s="22" t="n">
        <v>29</v>
      </c>
      <c r="O1228" s="22" t="n">
        <v>94830</v>
      </c>
      <c r="P1228" s="22" t="n">
        <v>29</v>
      </c>
      <c r="Q1228" s="22" t="n">
        <v>94830</v>
      </c>
      <c r="R1228" s="42">
        <f>+L1228+N1228-P1228</f>
        <v/>
      </c>
      <c r="S1228" s="42">
        <f>+M1228+O1228-Q1228</f>
        <v/>
      </c>
    </row>
    <row r="1229" ht="30" customHeight="1">
      <c r="A1229" s="16" t="n">
        <v>45761</v>
      </c>
      <c r="B1229" s="17" t="inlineStr">
        <is>
          <t>MH2504-37</t>
        </is>
      </c>
      <c r="C1229" s="16" t="n">
        <v>45761</v>
      </c>
      <c r="D1229" s="17" t="inlineStr">
        <is>
          <t>00001277</t>
        </is>
      </c>
      <c r="E1229" s="16" t="n">
        <v>45761</v>
      </c>
      <c r="F1229" s="16" t="inlineStr">
        <is>
          <t>XK2504-11</t>
        </is>
      </c>
      <c r="G1229" s="16" t="n">
        <v>45761</v>
      </c>
      <c r="H1229" s="17" t="inlineStr">
        <is>
          <t>CÔNG TY CỔ PHẦN CÔNG NGHIỆP VÀ THƯƠNG MẠI CƯỜNG THỊNH</t>
        </is>
      </c>
      <c r="I1229" s="17" t="inlineStr">
        <is>
          <t>Long đền thường HDG M20B35D2</t>
        </is>
      </c>
      <c r="J1229" s="17" t="inlineStr">
        <is>
          <t>Cái</t>
        </is>
      </c>
      <c r="K1229" s="19" t="n">
        <v>570</v>
      </c>
      <c r="L1229" s="21" t="n"/>
      <c r="M1229" s="22" t="n"/>
      <c r="N1229" s="22" t="n">
        <v>29</v>
      </c>
      <c r="O1229" s="22" t="n">
        <v>16530</v>
      </c>
      <c r="P1229" s="22" t="n">
        <v>29</v>
      </c>
      <c r="Q1229" s="22" t="n">
        <v>16530</v>
      </c>
      <c r="R1229" s="42">
        <f>+L1229+N1229-P1229</f>
        <v/>
      </c>
      <c r="S1229" s="42">
        <f>+M1229+O1229-Q1229</f>
        <v/>
      </c>
    </row>
    <row r="1230" ht="30" customHeight="1">
      <c r="A1230" s="16" t="n">
        <v>45761</v>
      </c>
      <c r="B1230" s="17" t="inlineStr">
        <is>
          <t>MH2504-37</t>
        </is>
      </c>
      <c r="C1230" s="16" t="n">
        <v>45761</v>
      </c>
      <c r="D1230" s="17" t="inlineStr">
        <is>
          <t>00001277</t>
        </is>
      </c>
      <c r="E1230" s="16" t="n">
        <v>45761</v>
      </c>
      <c r="F1230" s="16" t="inlineStr">
        <is>
          <t>XK2504-11</t>
        </is>
      </c>
      <c r="G1230" s="16" t="n">
        <v>45761</v>
      </c>
      <c r="H1230" s="17" t="inlineStr">
        <is>
          <t>CÔNG TY CỔ PHẦN CÔNG NGHIỆP VÀ THƯƠNG MẠI CƯỜNG THỊNH</t>
        </is>
      </c>
      <c r="I1230" s="17" t="inlineStr">
        <is>
          <t>Bulong Din 933 8.8 HDG M20x50</t>
        </is>
      </c>
      <c r="J1230" s="17" t="inlineStr">
        <is>
          <t>Cái</t>
        </is>
      </c>
      <c r="K1230" s="19" t="n">
        <v>8310</v>
      </c>
      <c r="L1230" s="21" t="n"/>
      <c r="M1230" s="22" t="n"/>
      <c r="N1230" s="22" t="n">
        <v>1432</v>
      </c>
      <c r="O1230" s="22" t="n">
        <v>11899920</v>
      </c>
      <c r="P1230" s="22" t="n">
        <v>1432</v>
      </c>
      <c r="Q1230" s="22" t="n">
        <v>11899920</v>
      </c>
      <c r="R1230" s="42">
        <f>+L1230+N1230-P1230</f>
        <v/>
      </c>
      <c r="S1230" s="42">
        <f>+M1230+O1230-Q1230</f>
        <v/>
      </c>
    </row>
    <row r="1231" ht="30" customHeight="1">
      <c r="A1231" s="16" t="n">
        <v>45761</v>
      </c>
      <c r="B1231" s="17" t="inlineStr">
        <is>
          <t>MH2504-37</t>
        </is>
      </c>
      <c r="C1231" s="16" t="n">
        <v>45761</v>
      </c>
      <c r="D1231" s="17" t="inlineStr">
        <is>
          <t>00001277</t>
        </is>
      </c>
      <c r="E1231" s="16" t="n">
        <v>45761</v>
      </c>
      <c r="F1231" s="16" t="inlineStr">
        <is>
          <t>XK2504-11</t>
        </is>
      </c>
      <c r="G1231" s="16" t="n">
        <v>45761</v>
      </c>
      <c r="H1231" s="17" t="inlineStr">
        <is>
          <t>CÔNG TY CỔ PHẦN CÔNG NGHIỆP VÀ THƯƠNG MẠI CƯỜNG THỊNH</t>
        </is>
      </c>
      <c r="I1231" s="17" t="inlineStr">
        <is>
          <t>Đai ốc ISO 4032 8 HDG M20</t>
        </is>
      </c>
      <c r="J1231" s="17" t="inlineStr">
        <is>
          <t>Cái</t>
        </is>
      </c>
      <c r="K1231" s="19" t="n">
        <v>3270</v>
      </c>
      <c r="L1231" s="21" t="n"/>
      <c r="M1231" s="22" t="n"/>
      <c r="N1231" s="22" t="n">
        <v>1432</v>
      </c>
      <c r="O1231" s="22" t="n">
        <v>4682640</v>
      </c>
      <c r="P1231" s="22" t="n">
        <v>1432</v>
      </c>
      <c r="Q1231" s="22" t="n">
        <v>4682640</v>
      </c>
      <c r="R1231" s="42">
        <f>+L1231+N1231-P1231</f>
        <v/>
      </c>
      <c r="S1231" s="42">
        <f>+M1231+O1231-Q1231</f>
        <v/>
      </c>
    </row>
    <row r="1232" ht="30" customHeight="1">
      <c r="A1232" s="16" t="n">
        <v>45761</v>
      </c>
      <c r="B1232" s="17" t="inlineStr">
        <is>
          <t>MH2504-37</t>
        </is>
      </c>
      <c r="C1232" s="16" t="n">
        <v>45761</v>
      </c>
      <c r="D1232" s="17" t="inlineStr">
        <is>
          <t>00001277</t>
        </is>
      </c>
      <c r="E1232" s="16" t="n">
        <v>45761</v>
      </c>
      <c r="F1232" s="16" t="inlineStr">
        <is>
          <t>XK2504-11</t>
        </is>
      </c>
      <c r="G1232" s="16" t="n">
        <v>45761</v>
      </c>
      <c r="H1232" s="17" t="inlineStr">
        <is>
          <t>CÔNG TY CỔ PHẦN CÔNG NGHIỆP VÀ THƯƠNG MẠI CƯỜNG THỊNH</t>
        </is>
      </c>
      <c r="I1232" s="17" t="inlineStr">
        <is>
          <t>Long đền thường HDG M20B35D2</t>
        </is>
      </c>
      <c r="J1232" s="17" t="inlineStr">
        <is>
          <t>Cái</t>
        </is>
      </c>
      <c r="K1232" s="19" t="n">
        <v>570</v>
      </c>
      <c r="L1232" s="21" t="n"/>
      <c r="M1232" s="22" t="n"/>
      <c r="N1232" s="22" t="n">
        <v>1432</v>
      </c>
      <c r="O1232" s="22" t="n">
        <v>816240</v>
      </c>
      <c r="P1232" s="22" t="n">
        <v>1432</v>
      </c>
      <c r="Q1232" s="22" t="n">
        <v>816240</v>
      </c>
      <c r="R1232" s="42">
        <f>+L1232+N1232-P1232</f>
        <v/>
      </c>
      <c r="S1232" s="42">
        <f>+M1232+O1232-Q1232</f>
        <v/>
      </c>
    </row>
    <row r="1233" ht="30" customHeight="1">
      <c r="A1233" s="16" t="n">
        <v>45761</v>
      </c>
      <c r="B1233" s="17" t="inlineStr">
        <is>
          <t>MH2504-37</t>
        </is>
      </c>
      <c r="C1233" s="16" t="n">
        <v>45761</v>
      </c>
      <c r="D1233" s="17" t="inlineStr">
        <is>
          <t>00001277</t>
        </is>
      </c>
      <c r="E1233" s="16" t="n">
        <v>45761</v>
      </c>
      <c r="F1233" s="16" t="inlineStr">
        <is>
          <t>XK2504-11</t>
        </is>
      </c>
      <c r="G1233" s="16" t="n">
        <v>45761</v>
      </c>
      <c r="H1233" s="17" t="inlineStr">
        <is>
          <t>CÔNG TY CỔ PHẦN CÔNG NGHIỆP VÀ THƯƠNG MẠI CƯỜNG THỊNH</t>
        </is>
      </c>
      <c r="I1233" s="17" t="inlineStr">
        <is>
          <t>Bulong Din 933 8.8 HDG M20x60</t>
        </is>
      </c>
      <c r="J1233" s="17" t="inlineStr">
        <is>
          <t>Cái</t>
        </is>
      </c>
      <c r="K1233" s="19" t="n">
        <v>8060</v>
      </c>
      <c r="L1233" s="21" t="n"/>
      <c r="M1233" s="22" t="n"/>
      <c r="N1233" s="22" t="n">
        <v>295</v>
      </c>
      <c r="O1233" s="22" t="n">
        <v>2377700</v>
      </c>
      <c r="P1233" s="22" t="n">
        <v>295</v>
      </c>
      <c r="Q1233" s="22" t="n">
        <v>2377700</v>
      </c>
      <c r="R1233" s="42">
        <f>+L1233+N1233-P1233</f>
        <v/>
      </c>
      <c r="S1233" s="42">
        <f>+M1233+O1233-Q1233</f>
        <v/>
      </c>
    </row>
    <row r="1234" ht="30" customHeight="1">
      <c r="A1234" s="16" t="n">
        <v>45761</v>
      </c>
      <c r="B1234" s="17" t="inlineStr">
        <is>
          <t>MH2504-37</t>
        </is>
      </c>
      <c r="C1234" s="16" t="n">
        <v>45761</v>
      </c>
      <c r="D1234" s="17" t="inlineStr">
        <is>
          <t>00001277</t>
        </is>
      </c>
      <c r="E1234" s="16" t="n">
        <v>45761</v>
      </c>
      <c r="F1234" s="16" t="inlineStr">
        <is>
          <t>XK2504-11</t>
        </is>
      </c>
      <c r="G1234" s="16" t="n">
        <v>45761</v>
      </c>
      <c r="H1234" s="17" t="inlineStr">
        <is>
          <t>CÔNG TY CỔ PHẦN CÔNG NGHIỆP VÀ THƯƠNG MẠI CƯỜNG THỊNH</t>
        </is>
      </c>
      <c r="I1234" s="17" t="inlineStr">
        <is>
          <t>Đai ốc ISO 4032 8 HDG M20</t>
        </is>
      </c>
      <c r="J1234" s="17" t="inlineStr">
        <is>
          <t>Cái</t>
        </is>
      </c>
      <c r="K1234" s="19" t="n">
        <v>3270</v>
      </c>
      <c r="L1234" s="21" t="n"/>
      <c r="M1234" s="22" t="n"/>
      <c r="N1234" s="22" t="n">
        <v>295</v>
      </c>
      <c r="O1234" s="22" t="n">
        <v>964650</v>
      </c>
      <c r="P1234" s="22" t="n">
        <v>295</v>
      </c>
      <c r="Q1234" s="22" t="n">
        <v>964650</v>
      </c>
      <c r="R1234" s="42">
        <f>+L1234+N1234-P1234</f>
        <v/>
      </c>
      <c r="S1234" s="42">
        <f>+M1234+O1234-Q1234</f>
        <v/>
      </c>
    </row>
    <row r="1235" ht="30" customHeight="1">
      <c r="A1235" s="16" t="n">
        <v>45761</v>
      </c>
      <c r="B1235" s="17" t="inlineStr">
        <is>
          <t>MH2504-37</t>
        </is>
      </c>
      <c r="C1235" s="16" t="n">
        <v>45761</v>
      </c>
      <c r="D1235" s="17" t="inlineStr">
        <is>
          <t>00001277</t>
        </is>
      </c>
      <c r="E1235" s="16" t="n">
        <v>45761</v>
      </c>
      <c r="F1235" s="16" t="inlineStr">
        <is>
          <t>XK2504-11</t>
        </is>
      </c>
      <c r="G1235" s="16" t="n">
        <v>45761</v>
      </c>
      <c r="H1235" s="17" t="inlineStr">
        <is>
          <t>CÔNG TY CỔ PHẦN CÔNG NGHIỆP VÀ THƯƠNG MẠI CƯỜNG THỊNH</t>
        </is>
      </c>
      <c r="I1235" s="17" t="inlineStr">
        <is>
          <t>Long đền thường HDG M20B35D2</t>
        </is>
      </c>
      <c r="J1235" s="17" t="inlineStr">
        <is>
          <t>Cái</t>
        </is>
      </c>
      <c r="K1235" s="19" t="n">
        <v>570</v>
      </c>
      <c r="L1235" s="21" t="n"/>
      <c r="M1235" s="22" t="n"/>
      <c r="N1235" s="22" t="n">
        <v>295</v>
      </c>
      <c r="O1235" s="22" t="n">
        <v>168150</v>
      </c>
      <c r="P1235" s="22" t="n">
        <v>295</v>
      </c>
      <c r="Q1235" s="22" t="n">
        <v>168150</v>
      </c>
      <c r="R1235" s="42">
        <f>+L1235+N1235-P1235</f>
        <v/>
      </c>
      <c r="S1235" s="42">
        <f>+M1235+O1235-Q1235</f>
        <v/>
      </c>
    </row>
    <row r="1236" ht="30" customHeight="1">
      <c r="A1236" s="16" t="n">
        <v>45761</v>
      </c>
      <c r="B1236" s="17" t="inlineStr">
        <is>
          <t>MH2504-37</t>
        </is>
      </c>
      <c r="C1236" s="16" t="n">
        <v>45761</v>
      </c>
      <c r="D1236" s="17" t="inlineStr">
        <is>
          <t>00001277</t>
        </is>
      </c>
      <c r="E1236" s="16" t="n">
        <v>45761</v>
      </c>
      <c r="F1236" s="16" t="inlineStr">
        <is>
          <t>XK2504-11</t>
        </is>
      </c>
      <c r="G1236" s="16" t="n">
        <v>45761</v>
      </c>
      <c r="H1236" s="17" t="inlineStr">
        <is>
          <t>CÔNG TY CỔ PHẦN CÔNG NGHIỆP VÀ THƯƠNG MẠI CƯỜNG THỊNH</t>
        </is>
      </c>
      <c r="I1236" s="17" t="inlineStr">
        <is>
          <t>Bulong Din 933 8.8 HDG M20x70</t>
        </is>
      </c>
      <c r="J1236" s="17" t="inlineStr">
        <is>
          <t>Cái</t>
        </is>
      </c>
      <c r="K1236" s="19" t="n">
        <v>8610</v>
      </c>
      <c r="L1236" s="21" t="n"/>
      <c r="M1236" s="22" t="n"/>
      <c r="N1236" s="22" t="n">
        <v>948</v>
      </c>
      <c r="O1236" s="22" t="n">
        <v>8162280</v>
      </c>
      <c r="P1236" s="22" t="n">
        <v>948</v>
      </c>
      <c r="Q1236" s="22" t="n">
        <v>8162280</v>
      </c>
      <c r="R1236" s="42">
        <f>+L1236+N1236-P1236</f>
        <v/>
      </c>
      <c r="S1236" s="42">
        <f>+M1236+O1236-Q1236</f>
        <v/>
      </c>
    </row>
    <row r="1237" ht="30" customHeight="1">
      <c r="A1237" s="16" t="n">
        <v>45761</v>
      </c>
      <c r="B1237" s="17" t="inlineStr">
        <is>
          <t>MH2504-37</t>
        </is>
      </c>
      <c r="C1237" s="16" t="n">
        <v>45761</v>
      </c>
      <c r="D1237" s="17" t="inlineStr">
        <is>
          <t>00001277</t>
        </is>
      </c>
      <c r="E1237" s="16" t="n">
        <v>45761</v>
      </c>
      <c r="F1237" s="16" t="inlineStr">
        <is>
          <t>XK2504-11</t>
        </is>
      </c>
      <c r="G1237" s="16" t="n">
        <v>45761</v>
      </c>
      <c r="H1237" s="17" t="inlineStr">
        <is>
          <t>CÔNG TY CỔ PHẦN CÔNG NGHIỆP VÀ THƯƠNG MẠI CƯỜNG THỊNH</t>
        </is>
      </c>
      <c r="I1237" s="17" t="inlineStr">
        <is>
          <t>Đai ốc ISO 4032 8 HDG M20</t>
        </is>
      </c>
      <c r="J1237" s="17" t="inlineStr">
        <is>
          <t>Cái</t>
        </is>
      </c>
      <c r="K1237" s="19" t="n">
        <v>3270</v>
      </c>
      <c r="L1237" s="21" t="n"/>
      <c r="M1237" s="22" t="n"/>
      <c r="N1237" s="22" t="n">
        <v>948</v>
      </c>
      <c r="O1237" s="22" t="n">
        <v>3099960</v>
      </c>
      <c r="P1237" s="22" t="n">
        <v>948</v>
      </c>
      <c r="Q1237" s="22" t="n">
        <v>3099960</v>
      </c>
      <c r="R1237" s="42">
        <f>+L1237+N1237-P1237</f>
        <v/>
      </c>
      <c r="S1237" s="42">
        <f>+M1237+O1237-Q1237</f>
        <v/>
      </c>
    </row>
    <row r="1238" ht="30" customHeight="1">
      <c r="A1238" s="16" t="n">
        <v>45761</v>
      </c>
      <c r="B1238" s="17" t="inlineStr">
        <is>
          <t>MH2504-37</t>
        </is>
      </c>
      <c r="C1238" s="16" t="n">
        <v>45761</v>
      </c>
      <c r="D1238" s="17" t="inlineStr">
        <is>
          <t>00001277</t>
        </is>
      </c>
      <c r="E1238" s="16" t="n">
        <v>45761</v>
      </c>
      <c r="F1238" s="16" t="inlineStr">
        <is>
          <t>XK2504-11</t>
        </is>
      </c>
      <c r="G1238" s="16" t="n">
        <v>45761</v>
      </c>
      <c r="H1238" s="17" t="inlineStr">
        <is>
          <t>CÔNG TY CỔ PHẦN CÔNG NGHIỆP VÀ THƯƠNG MẠI CƯỜNG THỊNH</t>
        </is>
      </c>
      <c r="I1238" s="17" t="inlineStr">
        <is>
          <t>Long đền thường HDG M20B35D2</t>
        </is>
      </c>
      <c r="J1238" s="17" t="inlineStr">
        <is>
          <t>Cái</t>
        </is>
      </c>
      <c r="K1238" s="19" t="n">
        <v>570</v>
      </c>
      <c r="L1238" s="21" t="n"/>
      <c r="M1238" s="22" t="n"/>
      <c r="N1238" s="22" t="n">
        <v>948</v>
      </c>
      <c r="O1238" s="22" t="n">
        <v>540360</v>
      </c>
      <c r="P1238" s="22" t="n">
        <v>948</v>
      </c>
      <c r="Q1238" s="22" t="n">
        <v>540360</v>
      </c>
      <c r="R1238" s="42">
        <f>+L1238+N1238-P1238</f>
        <v/>
      </c>
      <c r="S1238" s="42">
        <f>+M1238+O1238-Q1238</f>
        <v/>
      </c>
    </row>
    <row r="1239" ht="30" customHeight="1">
      <c r="A1239" s="16" t="n">
        <v>45761</v>
      </c>
      <c r="B1239" s="17" t="inlineStr">
        <is>
          <t>MH2504-37</t>
        </is>
      </c>
      <c r="C1239" s="16" t="n">
        <v>45761</v>
      </c>
      <c r="D1239" s="17" t="inlineStr">
        <is>
          <t>00001277</t>
        </is>
      </c>
      <c r="E1239" s="16" t="n">
        <v>45761</v>
      </c>
      <c r="F1239" s="16" t="inlineStr">
        <is>
          <t>XK2504-11</t>
        </is>
      </c>
      <c r="G1239" s="16" t="n">
        <v>45761</v>
      </c>
      <c r="H1239" s="17" t="inlineStr">
        <is>
          <t>CÔNG TY CỔ PHẦN CÔNG NGHIỆP VÀ THƯƠNG MẠI CƯỜNG THỊNH</t>
        </is>
      </c>
      <c r="I1239" s="17" t="inlineStr">
        <is>
          <t>Bulong Din 933 8.8 HDG M20x80</t>
        </is>
      </c>
      <c r="J1239" s="17" t="inlineStr">
        <is>
          <t>Cái</t>
        </is>
      </c>
      <c r="K1239" s="19" t="n">
        <v>9410</v>
      </c>
      <c r="L1239" s="21" t="n"/>
      <c r="M1239" s="22" t="n"/>
      <c r="N1239" s="22" t="n">
        <v>66</v>
      </c>
      <c r="O1239" s="22" t="n">
        <v>621060</v>
      </c>
      <c r="P1239" s="22" t="n">
        <v>66</v>
      </c>
      <c r="Q1239" s="22" t="n">
        <v>621060</v>
      </c>
      <c r="R1239" s="42">
        <f>+L1239+N1239-P1239</f>
        <v/>
      </c>
      <c r="S1239" s="42">
        <f>+M1239+O1239-Q1239</f>
        <v/>
      </c>
    </row>
    <row r="1240" ht="30" customHeight="1">
      <c r="A1240" s="16" t="n">
        <v>45761</v>
      </c>
      <c r="B1240" s="17" t="inlineStr">
        <is>
          <t>MH2504-37</t>
        </is>
      </c>
      <c r="C1240" s="16" t="n">
        <v>45761</v>
      </c>
      <c r="D1240" s="17" t="inlineStr">
        <is>
          <t>00001277</t>
        </is>
      </c>
      <c r="E1240" s="16" t="n">
        <v>45761</v>
      </c>
      <c r="F1240" s="16" t="inlineStr">
        <is>
          <t>XK2504-11</t>
        </is>
      </c>
      <c r="G1240" s="16" t="n">
        <v>45761</v>
      </c>
      <c r="H1240" s="17" t="inlineStr">
        <is>
          <t>CÔNG TY CỔ PHẦN CÔNG NGHIỆP VÀ THƯƠNG MẠI CƯỜNG THỊNH</t>
        </is>
      </c>
      <c r="I1240" s="17" t="inlineStr">
        <is>
          <t>Đai ốc ISO 4032 8 HDG M20</t>
        </is>
      </c>
      <c r="J1240" s="17" t="inlineStr">
        <is>
          <t>Cái</t>
        </is>
      </c>
      <c r="K1240" s="19" t="n">
        <v>3270</v>
      </c>
      <c r="L1240" s="21" t="n"/>
      <c r="M1240" s="22" t="n"/>
      <c r="N1240" s="22" t="n">
        <v>66</v>
      </c>
      <c r="O1240" s="22" t="n">
        <v>215820</v>
      </c>
      <c r="P1240" s="22" t="n">
        <v>66</v>
      </c>
      <c r="Q1240" s="22" t="n">
        <v>215820</v>
      </c>
      <c r="R1240" s="42">
        <f>+L1240+N1240-P1240</f>
        <v/>
      </c>
      <c r="S1240" s="42">
        <f>+M1240+O1240-Q1240</f>
        <v/>
      </c>
    </row>
    <row r="1241" ht="30" customHeight="1">
      <c r="A1241" s="16" t="n">
        <v>45761</v>
      </c>
      <c r="B1241" s="17" t="inlineStr">
        <is>
          <t>MH2504-37</t>
        </is>
      </c>
      <c r="C1241" s="16" t="n">
        <v>45761</v>
      </c>
      <c r="D1241" s="17" t="inlineStr">
        <is>
          <t>00001277</t>
        </is>
      </c>
      <c r="E1241" s="16" t="n">
        <v>45761</v>
      </c>
      <c r="F1241" s="16" t="inlineStr">
        <is>
          <t>XK2504-11</t>
        </is>
      </c>
      <c r="G1241" s="16" t="n">
        <v>45761</v>
      </c>
      <c r="H1241" s="17" t="inlineStr">
        <is>
          <t>CÔNG TY CỔ PHẦN CÔNG NGHIỆP VÀ THƯƠNG MẠI CƯỜNG THỊNH</t>
        </is>
      </c>
      <c r="I1241" s="17" t="inlineStr">
        <is>
          <t>Long đền thường HDG M20B35D2</t>
        </is>
      </c>
      <c r="J1241" s="17" t="inlineStr">
        <is>
          <t>Cái</t>
        </is>
      </c>
      <c r="K1241" s="19" t="n">
        <v>570</v>
      </c>
      <c r="L1241" s="21" t="n"/>
      <c r="M1241" s="22" t="n"/>
      <c r="N1241" s="22" t="n">
        <v>66</v>
      </c>
      <c r="O1241" s="22" t="n">
        <v>37620</v>
      </c>
      <c r="P1241" s="22" t="n">
        <v>66</v>
      </c>
      <c r="Q1241" s="22" t="n">
        <v>37620</v>
      </c>
      <c r="R1241" s="42">
        <f>+L1241+N1241-P1241</f>
        <v/>
      </c>
      <c r="S1241" s="42">
        <f>+M1241+O1241-Q1241</f>
        <v/>
      </c>
    </row>
    <row r="1242" ht="30" customHeight="1">
      <c r="A1242" s="16" t="n">
        <v>45761</v>
      </c>
      <c r="B1242" s="17" t="inlineStr">
        <is>
          <t>MH2504-37</t>
        </is>
      </c>
      <c r="C1242" s="16" t="n">
        <v>45761</v>
      </c>
      <c r="D1242" s="17" t="inlineStr">
        <is>
          <t>00001277</t>
        </is>
      </c>
      <c r="E1242" s="16" t="n">
        <v>45761</v>
      </c>
      <c r="F1242" s="16" t="inlineStr">
        <is>
          <t>XK2504-11</t>
        </is>
      </c>
      <c r="G1242" s="16" t="n">
        <v>45761</v>
      </c>
      <c r="H1242" s="17" t="inlineStr">
        <is>
          <t>CÔNG TY CỔ PHẦN CÔNG NGHIỆP VÀ THƯƠNG MẠI CƯỜNG THỊNH</t>
        </is>
      </c>
      <c r="I1242" s="17" t="inlineStr">
        <is>
          <t>Bulong Din 933 8.8 HDG M24x100</t>
        </is>
      </c>
      <c r="J1242" s="17" t="inlineStr">
        <is>
          <t>Cái</t>
        </is>
      </c>
      <c r="K1242" s="19" t="n">
        <v>17590</v>
      </c>
      <c r="L1242" s="21" t="n"/>
      <c r="M1242" s="22" t="n"/>
      <c r="N1242" s="22" t="n">
        <v>210</v>
      </c>
      <c r="O1242" s="22" t="n">
        <v>3693900</v>
      </c>
      <c r="P1242" s="22" t="n">
        <v>210</v>
      </c>
      <c r="Q1242" s="22" t="n">
        <v>3693900</v>
      </c>
      <c r="R1242" s="42">
        <f>+L1242+N1242-P1242</f>
        <v/>
      </c>
      <c r="S1242" s="42">
        <f>+M1242+O1242-Q1242</f>
        <v/>
      </c>
    </row>
    <row r="1243" ht="30" customHeight="1">
      <c r="A1243" s="16" t="n">
        <v>45761</v>
      </c>
      <c r="B1243" s="17" t="inlineStr">
        <is>
          <t>MH2504-37</t>
        </is>
      </c>
      <c r="C1243" s="16" t="n">
        <v>45761</v>
      </c>
      <c r="D1243" s="17" t="inlineStr">
        <is>
          <t>00001277</t>
        </is>
      </c>
      <c r="E1243" s="16" t="n">
        <v>45761</v>
      </c>
      <c r="F1243" s="16" t="inlineStr">
        <is>
          <t>XK2504-11</t>
        </is>
      </c>
      <c r="G1243" s="16" t="n">
        <v>45761</v>
      </c>
      <c r="H1243" s="17" t="inlineStr">
        <is>
          <t>CÔNG TY CỔ PHẦN CÔNG NGHIỆP VÀ THƯƠNG MẠI CƯỜNG THỊNH</t>
        </is>
      </c>
      <c r="I1243" s="17" t="inlineStr">
        <is>
          <t>Đai ốc ISO 4032 8 HDG M24</t>
        </is>
      </c>
      <c r="J1243" s="17" t="inlineStr">
        <is>
          <t>Cái</t>
        </is>
      </c>
      <c r="K1243" s="19" t="n">
        <v>5510</v>
      </c>
      <c r="L1243" s="21" t="n"/>
      <c r="M1243" s="22" t="n"/>
      <c r="N1243" s="22" t="n">
        <v>210</v>
      </c>
      <c r="O1243" s="22" t="n">
        <v>1157100</v>
      </c>
      <c r="P1243" s="22" t="n">
        <v>210</v>
      </c>
      <c r="Q1243" s="22" t="n">
        <v>1157100</v>
      </c>
      <c r="R1243" s="42">
        <f>+L1243+N1243-P1243</f>
        <v/>
      </c>
      <c r="S1243" s="42">
        <f>+M1243+O1243-Q1243</f>
        <v/>
      </c>
    </row>
    <row r="1244" ht="30" customHeight="1">
      <c r="A1244" s="16" t="n">
        <v>45761</v>
      </c>
      <c r="B1244" s="17" t="inlineStr">
        <is>
          <t>MH2504-37</t>
        </is>
      </c>
      <c r="C1244" s="16" t="n">
        <v>45761</v>
      </c>
      <c r="D1244" s="17" t="inlineStr">
        <is>
          <t>00001277</t>
        </is>
      </c>
      <c r="E1244" s="16" t="n">
        <v>45761</v>
      </c>
      <c r="F1244" s="16" t="inlineStr">
        <is>
          <t>XK2504-11</t>
        </is>
      </c>
      <c r="G1244" s="16" t="n">
        <v>45761</v>
      </c>
      <c r="H1244" s="17" t="inlineStr">
        <is>
          <t>CÔNG TY CỔ PHẦN CÔNG NGHIỆP VÀ THƯƠNG MẠI CƯỜNG THỊNH</t>
        </is>
      </c>
      <c r="I1244" s="17" t="inlineStr">
        <is>
          <t>Long đền thường HDG M24B42D2</t>
        </is>
      </c>
      <c r="J1244" s="17" t="inlineStr">
        <is>
          <t>Cái</t>
        </is>
      </c>
      <c r="K1244" s="19" t="n">
        <v>960</v>
      </c>
      <c r="L1244" s="21" t="n"/>
      <c r="M1244" s="22" t="n"/>
      <c r="N1244" s="22" t="n">
        <v>210</v>
      </c>
      <c r="O1244" s="22" t="n">
        <v>201600</v>
      </c>
      <c r="P1244" s="22" t="n">
        <v>210</v>
      </c>
      <c r="Q1244" s="22" t="n">
        <v>201600</v>
      </c>
      <c r="R1244" s="42">
        <f>+L1244+N1244-P1244</f>
        <v/>
      </c>
      <c r="S1244" s="42">
        <f>+M1244+O1244-Q1244</f>
        <v/>
      </c>
    </row>
    <row r="1245" ht="30" customHeight="1">
      <c r="A1245" s="16" t="n">
        <v>45761</v>
      </c>
      <c r="B1245" s="17" t="inlineStr">
        <is>
          <t>MH2504-37</t>
        </is>
      </c>
      <c r="C1245" s="16" t="n">
        <v>45761</v>
      </c>
      <c r="D1245" s="17" t="inlineStr">
        <is>
          <t>00001277</t>
        </is>
      </c>
      <c r="E1245" s="16" t="n">
        <v>45761</v>
      </c>
      <c r="F1245" s="16" t="inlineStr">
        <is>
          <t>XK2504-11</t>
        </is>
      </c>
      <c r="G1245" s="16" t="n">
        <v>45761</v>
      </c>
      <c r="H1245" s="17" t="inlineStr">
        <is>
          <t>CÔNG TY CỔ PHẦN CÔNG NGHIỆP VÀ THƯƠNG MẠI CƯỜNG THỊNH</t>
        </is>
      </c>
      <c r="I1245" s="17" t="inlineStr">
        <is>
          <t>Bulong Din 933 8.8 HDG M24x120</t>
        </is>
      </c>
      <c r="J1245" s="17" t="inlineStr">
        <is>
          <t>Cái</t>
        </is>
      </c>
      <c r="K1245" s="19" t="n">
        <v>19460</v>
      </c>
      <c r="L1245" s="21" t="n"/>
      <c r="M1245" s="22" t="n"/>
      <c r="N1245" s="22" t="n">
        <v>49</v>
      </c>
      <c r="O1245" s="22" t="n">
        <v>953540</v>
      </c>
      <c r="P1245" s="22" t="n">
        <v>49</v>
      </c>
      <c r="Q1245" s="22" t="n">
        <v>953540</v>
      </c>
      <c r="R1245" s="42">
        <f>+L1245+N1245-P1245</f>
        <v/>
      </c>
      <c r="S1245" s="42">
        <f>+M1245+O1245-Q1245</f>
        <v/>
      </c>
    </row>
    <row r="1246" ht="30" customHeight="1">
      <c r="A1246" s="16" t="n">
        <v>45761</v>
      </c>
      <c r="B1246" s="17" t="inlineStr">
        <is>
          <t>MH2504-37</t>
        </is>
      </c>
      <c r="C1246" s="16" t="n">
        <v>45761</v>
      </c>
      <c r="D1246" s="17" t="inlineStr">
        <is>
          <t>00001277</t>
        </is>
      </c>
      <c r="E1246" s="16" t="n">
        <v>45761</v>
      </c>
      <c r="F1246" s="16" t="inlineStr">
        <is>
          <t>XK2504-11</t>
        </is>
      </c>
      <c r="G1246" s="16" t="n">
        <v>45761</v>
      </c>
      <c r="H1246" s="17" t="inlineStr">
        <is>
          <t>CÔNG TY CỔ PHẦN CÔNG NGHIỆP VÀ THƯƠNG MẠI CƯỜNG THỊNH</t>
        </is>
      </c>
      <c r="I1246" s="17" t="inlineStr">
        <is>
          <t>Đai ốc ISO 4032 8 HDG M24</t>
        </is>
      </c>
      <c r="J1246" s="17" t="inlineStr">
        <is>
          <t>Cái</t>
        </is>
      </c>
      <c r="K1246" s="19" t="n">
        <v>5510</v>
      </c>
      <c r="L1246" s="21" t="n"/>
      <c r="M1246" s="22" t="n"/>
      <c r="N1246" s="22" t="n">
        <v>49</v>
      </c>
      <c r="O1246" s="22" t="n">
        <v>269990</v>
      </c>
      <c r="P1246" s="22" t="n">
        <v>49</v>
      </c>
      <c r="Q1246" s="22" t="n">
        <v>269990</v>
      </c>
      <c r="R1246" s="42">
        <f>+L1246+N1246-P1246</f>
        <v/>
      </c>
      <c r="S1246" s="42">
        <f>+M1246+O1246-Q1246</f>
        <v/>
      </c>
    </row>
    <row r="1247" ht="30" customHeight="1">
      <c r="A1247" s="16" t="n">
        <v>45761</v>
      </c>
      <c r="B1247" s="17" t="inlineStr">
        <is>
          <t>MH2504-37</t>
        </is>
      </c>
      <c r="C1247" s="16" t="n">
        <v>45761</v>
      </c>
      <c r="D1247" s="17" t="inlineStr">
        <is>
          <t>00001277</t>
        </is>
      </c>
      <c r="E1247" s="16" t="n">
        <v>45761</v>
      </c>
      <c r="F1247" s="16" t="inlineStr">
        <is>
          <t>XK2504-11</t>
        </is>
      </c>
      <c r="G1247" s="16" t="n">
        <v>45761</v>
      </c>
      <c r="H1247" s="17" t="inlineStr">
        <is>
          <t>CÔNG TY CỔ PHẦN CÔNG NGHIỆP VÀ THƯƠNG MẠI CƯỜNG THỊNH</t>
        </is>
      </c>
      <c r="I1247" s="17" t="inlineStr">
        <is>
          <t>Long đền thường HDG M24B42D2</t>
        </is>
      </c>
      <c r="J1247" s="17" t="inlineStr">
        <is>
          <t>Cái</t>
        </is>
      </c>
      <c r="K1247" s="19" t="n">
        <v>960</v>
      </c>
      <c r="L1247" s="21" t="n"/>
      <c r="M1247" s="22" t="n"/>
      <c r="N1247" s="22" t="n">
        <v>49</v>
      </c>
      <c r="O1247" s="22" t="n">
        <v>47040</v>
      </c>
      <c r="P1247" s="22" t="n">
        <v>49</v>
      </c>
      <c r="Q1247" s="22" t="n">
        <v>47040</v>
      </c>
      <c r="R1247" s="42">
        <f>+L1247+N1247-P1247</f>
        <v/>
      </c>
      <c r="S1247" s="42">
        <f>+M1247+O1247-Q1247</f>
        <v/>
      </c>
    </row>
    <row r="1248" ht="30" customHeight="1">
      <c r="A1248" s="16" t="n">
        <v>45761</v>
      </c>
      <c r="B1248" s="17" t="inlineStr">
        <is>
          <t>MH2504-37</t>
        </is>
      </c>
      <c r="C1248" s="16" t="n">
        <v>45761</v>
      </c>
      <c r="D1248" s="17" t="inlineStr">
        <is>
          <t>00001277</t>
        </is>
      </c>
      <c r="E1248" s="16" t="n">
        <v>45761</v>
      </c>
      <c r="F1248" s="16" t="inlineStr">
        <is>
          <t>XK2504-11</t>
        </is>
      </c>
      <c r="G1248" s="16" t="n">
        <v>45761</v>
      </c>
      <c r="H1248" s="17" t="inlineStr">
        <is>
          <t>CÔNG TY CỔ PHẦN CÔNG NGHIỆP VÀ THƯƠNG MẠI CƯỜNG THỊNH</t>
        </is>
      </c>
      <c r="I1248" s="17" t="inlineStr">
        <is>
          <t>Bulong Din 933 8.8 HDG M24x60</t>
        </is>
      </c>
      <c r="J1248" s="17" t="inlineStr">
        <is>
          <t>Cái</t>
        </is>
      </c>
      <c r="K1248" s="19" t="n">
        <v>12090</v>
      </c>
      <c r="L1248" s="21" t="n"/>
      <c r="M1248" s="22" t="n"/>
      <c r="N1248" s="22" t="n">
        <v>445</v>
      </c>
      <c r="O1248" s="22" t="n">
        <v>5380050</v>
      </c>
      <c r="P1248" s="22" t="n">
        <v>445</v>
      </c>
      <c r="Q1248" s="22" t="n">
        <v>5380050</v>
      </c>
      <c r="R1248" s="42">
        <f>+L1248+N1248-P1248</f>
        <v/>
      </c>
      <c r="S1248" s="42">
        <f>+M1248+O1248-Q1248</f>
        <v/>
      </c>
    </row>
    <row r="1249" ht="30" customHeight="1">
      <c r="A1249" s="16" t="n">
        <v>45761</v>
      </c>
      <c r="B1249" s="17" t="inlineStr">
        <is>
          <t>MH2504-37</t>
        </is>
      </c>
      <c r="C1249" s="16" t="n">
        <v>45761</v>
      </c>
      <c r="D1249" s="17" t="inlineStr">
        <is>
          <t>00001277</t>
        </is>
      </c>
      <c r="E1249" s="16" t="n">
        <v>45761</v>
      </c>
      <c r="F1249" s="16" t="inlineStr">
        <is>
          <t>XK2504-11</t>
        </is>
      </c>
      <c r="G1249" s="16" t="n">
        <v>45761</v>
      </c>
      <c r="H1249" s="17" t="inlineStr">
        <is>
          <t>CÔNG TY CỔ PHẦN CÔNG NGHIỆP VÀ THƯƠNG MẠI CƯỜNG THỊNH</t>
        </is>
      </c>
      <c r="I1249" s="17" t="inlineStr">
        <is>
          <t>Đai ốc ISO 4032 8 HDG M24</t>
        </is>
      </c>
      <c r="J1249" s="17" t="inlineStr">
        <is>
          <t>Cái</t>
        </is>
      </c>
      <c r="K1249" s="19" t="n">
        <v>5510</v>
      </c>
      <c r="L1249" s="21" t="n"/>
      <c r="M1249" s="22" t="n"/>
      <c r="N1249" s="22" t="n">
        <v>445</v>
      </c>
      <c r="O1249" s="22" t="n">
        <v>2451950</v>
      </c>
      <c r="P1249" s="22" t="n">
        <v>445</v>
      </c>
      <c r="Q1249" s="22" t="n">
        <v>2451950</v>
      </c>
      <c r="R1249" s="42">
        <f>+L1249+N1249-P1249</f>
        <v/>
      </c>
      <c r="S1249" s="42">
        <f>+M1249+O1249-Q1249</f>
        <v/>
      </c>
    </row>
    <row r="1250" ht="30" customHeight="1">
      <c r="A1250" s="16" t="n">
        <v>45761</v>
      </c>
      <c r="B1250" s="17" t="inlineStr">
        <is>
          <t>MH2504-37</t>
        </is>
      </c>
      <c r="C1250" s="16" t="n">
        <v>45761</v>
      </c>
      <c r="D1250" s="17" t="inlineStr">
        <is>
          <t>00001277</t>
        </is>
      </c>
      <c r="E1250" s="16" t="n">
        <v>45761</v>
      </c>
      <c r="F1250" s="16" t="inlineStr">
        <is>
          <t>XK2504-11</t>
        </is>
      </c>
      <c r="G1250" s="16" t="n">
        <v>45761</v>
      </c>
      <c r="H1250" s="17" t="inlineStr">
        <is>
          <t>CÔNG TY CỔ PHẦN CÔNG NGHIỆP VÀ THƯƠNG MẠI CƯỜNG THỊNH</t>
        </is>
      </c>
      <c r="I1250" s="17" t="inlineStr">
        <is>
          <t>Long đền thường HDG M24B42D2</t>
        </is>
      </c>
      <c r="J1250" s="17" t="inlineStr">
        <is>
          <t>Cái</t>
        </is>
      </c>
      <c r="K1250" s="19" t="n">
        <v>960</v>
      </c>
      <c r="L1250" s="21" t="n"/>
      <c r="M1250" s="22" t="n"/>
      <c r="N1250" s="22" t="n">
        <v>445</v>
      </c>
      <c r="O1250" s="22" t="n">
        <v>427200</v>
      </c>
      <c r="P1250" s="22" t="n">
        <v>445</v>
      </c>
      <c r="Q1250" s="22" t="n">
        <v>427200</v>
      </c>
      <c r="R1250" s="42">
        <f>+L1250+N1250-P1250</f>
        <v/>
      </c>
      <c r="S1250" s="42">
        <f>+M1250+O1250-Q1250</f>
        <v/>
      </c>
    </row>
    <row r="1251" ht="30" customHeight="1">
      <c r="A1251" s="16" t="n">
        <v>45761</v>
      </c>
      <c r="B1251" s="17" t="inlineStr">
        <is>
          <t>MH2504-37</t>
        </is>
      </c>
      <c r="C1251" s="16" t="n">
        <v>45761</v>
      </c>
      <c r="D1251" s="17" t="inlineStr">
        <is>
          <t>00001277</t>
        </is>
      </c>
      <c r="E1251" s="16" t="n">
        <v>45761</v>
      </c>
      <c r="F1251" s="16" t="inlineStr">
        <is>
          <t>XK2504-11</t>
        </is>
      </c>
      <c r="G1251" s="16" t="n">
        <v>45761</v>
      </c>
      <c r="H1251" s="17" t="inlineStr">
        <is>
          <t>CÔNG TY CỔ PHẦN CÔNG NGHIỆP VÀ THƯƠNG MẠI CƯỜNG THỊNH</t>
        </is>
      </c>
      <c r="I1251" s="17" t="inlineStr">
        <is>
          <t>Bulong Din 933 8.8 HDG M24x70</t>
        </is>
      </c>
      <c r="J1251" s="17" t="inlineStr">
        <is>
          <t>Cái</t>
        </is>
      </c>
      <c r="K1251" s="19" t="n">
        <v>13260</v>
      </c>
      <c r="L1251" s="21" t="n"/>
      <c r="M1251" s="22" t="n"/>
      <c r="N1251" s="22" t="n">
        <v>253</v>
      </c>
      <c r="O1251" s="22" t="n">
        <v>3354780</v>
      </c>
      <c r="P1251" s="22" t="n">
        <v>253</v>
      </c>
      <c r="Q1251" s="22" t="n">
        <v>3354780</v>
      </c>
      <c r="R1251" s="42">
        <f>+L1251+N1251-P1251</f>
        <v/>
      </c>
      <c r="S1251" s="42">
        <f>+M1251+O1251-Q1251</f>
        <v/>
      </c>
    </row>
    <row r="1252" ht="30" customHeight="1">
      <c r="A1252" s="16" t="n">
        <v>45761</v>
      </c>
      <c r="B1252" s="17" t="inlineStr">
        <is>
          <t>MH2504-37</t>
        </is>
      </c>
      <c r="C1252" s="16" t="n">
        <v>45761</v>
      </c>
      <c r="D1252" s="17" t="inlineStr">
        <is>
          <t>00001277</t>
        </is>
      </c>
      <c r="E1252" s="16" t="n">
        <v>45761</v>
      </c>
      <c r="F1252" s="16" t="inlineStr">
        <is>
          <t>XK2504-11</t>
        </is>
      </c>
      <c r="G1252" s="16" t="n">
        <v>45761</v>
      </c>
      <c r="H1252" s="17" t="inlineStr">
        <is>
          <t>CÔNG TY CỔ PHẦN CÔNG NGHIỆP VÀ THƯƠNG MẠI CƯỜNG THỊNH</t>
        </is>
      </c>
      <c r="I1252" s="17" t="inlineStr">
        <is>
          <t>Đai ốc ISO 4032 8 HDG M24</t>
        </is>
      </c>
      <c r="J1252" s="17" t="inlineStr">
        <is>
          <t>Cái</t>
        </is>
      </c>
      <c r="K1252" s="19" t="n">
        <v>5510</v>
      </c>
      <c r="L1252" s="21" t="n"/>
      <c r="M1252" s="22" t="n"/>
      <c r="N1252" s="22" t="n">
        <v>253</v>
      </c>
      <c r="O1252" s="22" t="n">
        <v>1394030</v>
      </c>
      <c r="P1252" s="22" t="n">
        <v>253</v>
      </c>
      <c r="Q1252" s="22" t="n">
        <v>1394030</v>
      </c>
      <c r="R1252" s="42">
        <f>+L1252+N1252-P1252</f>
        <v/>
      </c>
      <c r="S1252" s="42">
        <f>+M1252+O1252-Q1252</f>
        <v/>
      </c>
    </row>
    <row r="1253" ht="30" customHeight="1">
      <c r="A1253" s="16" t="n">
        <v>45761</v>
      </c>
      <c r="B1253" s="17" t="inlineStr">
        <is>
          <t>MH2504-37</t>
        </is>
      </c>
      <c r="C1253" s="16" t="n">
        <v>45761</v>
      </c>
      <c r="D1253" s="17" t="inlineStr">
        <is>
          <t>00001277</t>
        </is>
      </c>
      <c r="E1253" s="16" t="n">
        <v>45761</v>
      </c>
      <c r="F1253" s="16" t="inlineStr">
        <is>
          <t>XK2504-11</t>
        </is>
      </c>
      <c r="G1253" s="16" t="n">
        <v>45761</v>
      </c>
      <c r="H1253" s="17" t="inlineStr">
        <is>
          <t>CÔNG TY CỔ PHẦN CÔNG NGHIỆP VÀ THƯƠNG MẠI CƯỜNG THỊNH</t>
        </is>
      </c>
      <c r="I1253" s="17" t="inlineStr">
        <is>
          <t>Long đền thường HDG M24B42D2</t>
        </is>
      </c>
      <c r="J1253" s="17" t="inlineStr">
        <is>
          <t>Cái</t>
        </is>
      </c>
      <c r="K1253" s="19" t="n">
        <v>960</v>
      </c>
      <c r="L1253" s="21" t="n"/>
      <c r="M1253" s="22" t="n"/>
      <c r="N1253" s="22" t="n">
        <v>253</v>
      </c>
      <c r="O1253" s="22" t="n">
        <v>242880</v>
      </c>
      <c r="P1253" s="22" t="n">
        <v>253</v>
      </c>
      <c r="Q1253" s="22" t="n">
        <v>242880</v>
      </c>
      <c r="R1253" s="42">
        <f>+L1253+N1253-P1253</f>
        <v/>
      </c>
      <c r="S1253" s="42">
        <f>+M1253+O1253-Q1253</f>
        <v/>
      </c>
    </row>
    <row r="1254" ht="30" customHeight="1">
      <c r="A1254" s="16" t="n">
        <v>45761</v>
      </c>
      <c r="B1254" s="17" t="inlineStr">
        <is>
          <t>MH2504-37</t>
        </is>
      </c>
      <c r="C1254" s="16" t="n">
        <v>45761</v>
      </c>
      <c r="D1254" s="17" t="inlineStr">
        <is>
          <t>00001277</t>
        </is>
      </c>
      <c r="E1254" s="16" t="n">
        <v>45761</v>
      </c>
      <c r="F1254" s="16" t="inlineStr">
        <is>
          <t>XK2504-11</t>
        </is>
      </c>
      <c r="G1254" s="16" t="n">
        <v>45761</v>
      </c>
      <c r="H1254" s="17" t="inlineStr">
        <is>
          <t>CÔNG TY CỔ PHẦN CÔNG NGHIỆP VÀ THƯƠNG MẠI CƯỜNG THỊNH</t>
        </is>
      </c>
      <c r="I1254" s="17" t="inlineStr">
        <is>
          <t>Bulong Din 933 8.8 HDG M24x80</t>
        </is>
      </c>
      <c r="J1254" s="17" t="inlineStr">
        <is>
          <t>Cái</t>
        </is>
      </c>
      <c r="K1254" s="19" t="n">
        <v>14490</v>
      </c>
      <c r="L1254" s="21" t="n"/>
      <c r="M1254" s="22" t="n"/>
      <c r="N1254" s="22" t="n">
        <v>620</v>
      </c>
      <c r="O1254" s="22" t="n">
        <v>8983800</v>
      </c>
      <c r="P1254" s="22" t="n">
        <v>620</v>
      </c>
      <c r="Q1254" s="22" t="n">
        <v>8983800</v>
      </c>
      <c r="R1254" s="42">
        <f>+L1254+N1254-P1254</f>
        <v/>
      </c>
      <c r="S1254" s="42">
        <f>+M1254+O1254-Q1254</f>
        <v/>
      </c>
    </row>
    <row r="1255" ht="30" customHeight="1">
      <c r="A1255" s="16" t="n">
        <v>45761</v>
      </c>
      <c r="B1255" s="17" t="inlineStr">
        <is>
          <t>MH2504-37</t>
        </is>
      </c>
      <c r="C1255" s="16" t="n">
        <v>45761</v>
      </c>
      <c r="D1255" s="17" t="inlineStr">
        <is>
          <t>00001277</t>
        </is>
      </c>
      <c r="E1255" s="16" t="n">
        <v>45761</v>
      </c>
      <c r="F1255" s="16" t="inlineStr">
        <is>
          <t>XK2504-11</t>
        </is>
      </c>
      <c r="G1255" s="16" t="n">
        <v>45761</v>
      </c>
      <c r="H1255" s="17" t="inlineStr">
        <is>
          <t>CÔNG TY CỔ PHẦN CÔNG NGHIỆP VÀ THƯƠNG MẠI CƯỜNG THỊNH</t>
        </is>
      </c>
      <c r="I1255" s="17" t="inlineStr">
        <is>
          <t>Đai ốc ISO 4032 8 HDG M24</t>
        </is>
      </c>
      <c r="J1255" s="17" t="inlineStr">
        <is>
          <t>Cái</t>
        </is>
      </c>
      <c r="K1255" s="19" t="n">
        <v>5510</v>
      </c>
      <c r="L1255" s="21" t="n"/>
      <c r="M1255" s="22" t="n"/>
      <c r="N1255" s="22" t="n">
        <v>620</v>
      </c>
      <c r="O1255" s="22" t="n">
        <v>3416200</v>
      </c>
      <c r="P1255" s="22" t="n">
        <v>620</v>
      </c>
      <c r="Q1255" s="22" t="n">
        <v>3416200</v>
      </c>
      <c r="R1255" s="42">
        <f>+L1255+N1255-P1255</f>
        <v/>
      </c>
      <c r="S1255" s="42">
        <f>+M1255+O1255-Q1255</f>
        <v/>
      </c>
    </row>
    <row r="1256" ht="30" customHeight="1">
      <c r="A1256" s="16" t="n">
        <v>45761</v>
      </c>
      <c r="B1256" s="17" t="inlineStr">
        <is>
          <t>MH2504-37</t>
        </is>
      </c>
      <c r="C1256" s="16" t="n">
        <v>45761</v>
      </c>
      <c r="D1256" s="17" t="inlineStr">
        <is>
          <t>00001277</t>
        </is>
      </c>
      <c r="E1256" s="16" t="n">
        <v>45761</v>
      </c>
      <c r="F1256" s="16" t="inlineStr">
        <is>
          <t>XK2504-11</t>
        </is>
      </c>
      <c r="G1256" s="16" t="n">
        <v>45761</v>
      </c>
      <c r="H1256" s="17" t="inlineStr">
        <is>
          <t>CÔNG TY CỔ PHẦN CÔNG NGHIỆP VÀ THƯƠNG MẠI CƯỜNG THỊNH</t>
        </is>
      </c>
      <c r="I1256" s="17" t="inlineStr">
        <is>
          <t>Long đền thường HDG M24B42D2</t>
        </is>
      </c>
      <c r="J1256" s="17" t="inlineStr">
        <is>
          <t>Cái</t>
        </is>
      </c>
      <c r="K1256" s="19" t="n">
        <v>960</v>
      </c>
      <c r="L1256" s="21" t="n"/>
      <c r="M1256" s="22" t="n"/>
      <c r="N1256" s="22" t="n">
        <v>620</v>
      </c>
      <c r="O1256" s="22" t="n">
        <v>595200</v>
      </c>
      <c r="P1256" s="22" t="n">
        <v>620</v>
      </c>
      <c r="Q1256" s="22" t="n">
        <v>595200</v>
      </c>
      <c r="R1256" s="42">
        <f>+L1256+N1256-P1256</f>
        <v/>
      </c>
      <c r="S1256" s="42">
        <f>+M1256+O1256-Q1256</f>
        <v/>
      </c>
    </row>
    <row r="1257" ht="30" customHeight="1">
      <c r="A1257" s="16" t="n">
        <v>45761</v>
      </c>
      <c r="B1257" s="17" t="inlineStr">
        <is>
          <t>MH2504-37</t>
        </is>
      </c>
      <c r="C1257" s="16" t="n">
        <v>45761</v>
      </c>
      <c r="D1257" s="17" t="inlineStr">
        <is>
          <t>00001277</t>
        </is>
      </c>
      <c r="E1257" s="16" t="n">
        <v>45761</v>
      </c>
      <c r="F1257" s="16" t="inlineStr">
        <is>
          <t>XK2504-11</t>
        </is>
      </c>
      <c r="G1257" s="16" t="n">
        <v>45761</v>
      </c>
      <c r="H1257" s="17" t="inlineStr">
        <is>
          <t>CÔNG TY CỔ PHẦN CÔNG NGHIỆP VÀ THƯƠNG MẠI CƯỜNG THỊNH</t>
        </is>
      </c>
      <c r="I1257" s="17" t="inlineStr">
        <is>
          <t>Bulong Din 933 8.8 HDG M24x90</t>
        </is>
      </c>
      <c r="J1257" s="17" t="inlineStr">
        <is>
          <t>Cái</t>
        </is>
      </c>
      <c r="K1257" s="19" t="n">
        <v>15630</v>
      </c>
      <c r="L1257" s="21" t="n"/>
      <c r="M1257" s="22" t="n"/>
      <c r="N1257" s="22" t="n">
        <v>1042</v>
      </c>
      <c r="O1257" s="22" t="n">
        <v>16286460</v>
      </c>
      <c r="P1257" s="22" t="n">
        <v>1042</v>
      </c>
      <c r="Q1257" s="22" t="n">
        <v>16286460</v>
      </c>
      <c r="R1257" s="42">
        <f>+L1257+N1257-P1257</f>
        <v/>
      </c>
      <c r="S1257" s="42">
        <f>+M1257+O1257-Q1257</f>
        <v/>
      </c>
    </row>
    <row r="1258" ht="30" customHeight="1">
      <c r="A1258" s="16" t="n">
        <v>45761</v>
      </c>
      <c r="B1258" s="17" t="inlineStr">
        <is>
          <t>MH2504-37</t>
        </is>
      </c>
      <c r="C1258" s="16" t="n">
        <v>45761</v>
      </c>
      <c r="D1258" s="17" t="inlineStr">
        <is>
          <t>00001277</t>
        </is>
      </c>
      <c r="E1258" s="16" t="n">
        <v>45761</v>
      </c>
      <c r="F1258" s="16" t="inlineStr">
        <is>
          <t>XK2504-11</t>
        </is>
      </c>
      <c r="G1258" s="16" t="n">
        <v>45761</v>
      </c>
      <c r="H1258" s="17" t="inlineStr">
        <is>
          <t>CÔNG TY CỔ PHẦN CÔNG NGHIỆP VÀ THƯƠNG MẠI CƯỜNG THỊNH</t>
        </is>
      </c>
      <c r="I1258" s="17" t="inlineStr">
        <is>
          <t>Đai ốc ISO 4032 8 HDG M24</t>
        </is>
      </c>
      <c r="J1258" s="17" t="inlineStr">
        <is>
          <t>Cái</t>
        </is>
      </c>
      <c r="K1258" s="19" t="n">
        <v>5510</v>
      </c>
      <c r="L1258" s="21" t="n"/>
      <c r="M1258" s="22" t="n"/>
      <c r="N1258" s="22" t="n">
        <v>1042</v>
      </c>
      <c r="O1258" s="22" t="n">
        <v>5741420</v>
      </c>
      <c r="P1258" s="22" t="n">
        <v>1042</v>
      </c>
      <c r="Q1258" s="22" t="n">
        <v>5741420</v>
      </c>
      <c r="R1258" s="42">
        <f>+L1258+N1258-P1258</f>
        <v/>
      </c>
      <c r="S1258" s="42">
        <f>+M1258+O1258-Q1258</f>
        <v/>
      </c>
    </row>
    <row r="1259" ht="30" customHeight="1">
      <c r="A1259" s="16" t="n">
        <v>45761</v>
      </c>
      <c r="B1259" s="17" t="inlineStr">
        <is>
          <t>MH2504-37</t>
        </is>
      </c>
      <c r="C1259" s="16" t="n">
        <v>45761</v>
      </c>
      <c r="D1259" s="17" t="inlineStr">
        <is>
          <t>00001277</t>
        </is>
      </c>
      <c r="E1259" s="16" t="n">
        <v>45761</v>
      </c>
      <c r="F1259" s="16" t="inlineStr">
        <is>
          <t>XK2504-11</t>
        </is>
      </c>
      <c r="G1259" s="16" t="n">
        <v>45761</v>
      </c>
      <c r="H1259" s="17" t="inlineStr">
        <is>
          <t>CÔNG TY CỔ PHẦN CÔNG NGHIỆP VÀ THƯƠNG MẠI CƯỜNG THỊNH</t>
        </is>
      </c>
      <c r="I1259" s="17" t="inlineStr">
        <is>
          <t>Long đền thường HDG M24B42D2</t>
        </is>
      </c>
      <c r="J1259" s="17" t="inlineStr">
        <is>
          <t>Cái</t>
        </is>
      </c>
      <c r="K1259" s="19" t="n">
        <v>960</v>
      </c>
      <c r="L1259" s="21" t="n"/>
      <c r="M1259" s="22" t="n"/>
      <c r="N1259" s="22" t="n">
        <v>1042</v>
      </c>
      <c r="O1259" s="22" t="n">
        <v>1000320</v>
      </c>
      <c r="P1259" s="22" t="n">
        <v>1042</v>
      </c>
      <c r="Q1259" s="22" t="n">
        <v>1000320</v>
      </c>
      <c r="R1259" s="42">
        <f>+L1259+N1259-P1259</f>
        <v/>
      </c>
      <c r="S1259" s="42">
        <f>+M1259+O1259-Q1259</f>
        <v/>
      </c>
    </row>
    <row r="1260" ht="30" customHeight="1">
      <c r="A1260" s="16" t="n">
        <v>45761</v>
      </c>
      <c r="B1260" s="17" t="inlineStr">
        <is>
          <t>MH2504-37</t>
        </is>
      </c>
      <c r="C1260" s="16" t="n">
        <v>45761</v>
      </c>
      <c r="D1260" s="17" t="inlineStr">
        <is>
          <t>00001277</t>
        </is>
      </c>
      <c r="E1260" s="16" t="n">
        <v>45761</v>
      </c>
      <c r="F1260" s="16" t="inlineStr">
        <is>
          <t>XK2504-11</t>
        </is>
      </c>
      <c r="G1260" s="16" t="n">
        <v>45761</v>
      </c>
      <c r="H1260" s="17" t="inlineStr">
        <is>
          <t>CÔNG TY CỔ PHẦN CÔNG NGHIỆP VÀ THƯƠNG MẠI CƯỜNG THỊNH</t>
        </is>
      </c>
      <c r="I1260" s="17" t="inlineStr">
        <is>
          <t>Bulong thường 4.6 HDG M12x100</t>
        </is>
      </c>
      <c r="J1260" s="17" t="inlineStr">
        <is>
          <t>Cái</t>
        </is>
      </c>
      <c r="K1260" s="19" t="n">
        <v>5060</v>
      </c>
      <c r="L1260" s="21" t="n"/>
      <c r="M1260" s="22" t="n"/>
      <c r="N1260" s="22" t="n">
        <v>4</v>
      </c>
      <c r="O1260" s="22" t="n">
        <v>20240</v>
      </c>
      <c r="P1260" s="22" t="n">
        <v>4</v>
      </c>
      <c r="Q1260" s="22" t="n">
        <v>20240</v>
      </c>
      <c r="R1260" s="42">
        <f>+L1260+N1260-P1260</f>
        <v/>
      </c>
      <c r="S1260" s="42">
        <f>+M1260+O1260-Q1260</f>
        <v/>
      </c>
    </row>
    <row r="1261" ht="30" customHeight="1">
      <c r="A1261" s="16" t="n">
        <v>45761</v>
      </c>
      <c r="B1261" s="17" t="inlineStr">
        <is>
          <t>MH2504-37</t>
        </is>
      </c>
      <c r="C1261" s="16" t="n">
        <v>45761</v>
      </c>
      <c r="D1261" s="17" t="inlineStr">
        <is>
          <t>00001277</t>
        </is>
      </c>
      <c r="E1261" s="16" t="n">
        <v>45761</v>
      </c>
      <c r="F1261" s="16" t="inlineStr">
        <is>
          <t>XK2504-11</t>
        </is>
      </c>
      <c r="G1261" s="16" t="n">
        <v>45761</v>
      </c>
      <c r="H1261" s="17" t="inlineStr">
        <is>
          <t>CÔNG TY CỔ PHẦN CÔNG NGHIỆP VÀ THƯƠNG MẠI CƯỜNG THỊNH</t>
        </is>
      </c>
      <c r="I1261" s="17" t="inlineStr">
        <is>
          <t>Đai ốc thường 4 HDG M12</t>
        </is>
      </c>
      <c r="J1261" s="17" t="inlineStr">
        <is>
          <t>Cái</t>
        </is>
      </c>
      <c r="K1261" s="19" t="n">
        <v>650</v>
      </c>
      <c r="L1261" s="21" t="n"/>
      <c r="M1261" s="22" t="n"/>
      <c r="N1261" s="22" t="n">
        <v>4</v>
      </c>
      <c r="O1261" s="22" t="n">
        <v>2600</v>
      </c>
      <c r="P1261" s="22" t="n">
        <v>4</v>
      </c>
      <c r="Q1261" s="22" t="n">
        <v>2600</v>
      </c>
      <c r="R1261" s="42">
        <f>+L1261+N1261-P1261</f>
        <v/>
      </c>
      <c r="S1261" s="42">
        <f>+M1261+O1261-Q1261</f>
        <v/>
      </c>
    </row>
    <row r="1262" ht="30" customHeight="1">
      <c r="A1262" s="16" t="n">
        <v>45761</v>
      </c>
      <c r="B1262" s="17" t="inlineStr">
        <is>
          <t>MH2504-37</t>
        </is>
      </c>
      <c r="C1262" s="16" t="n">
        <v>45761</v>
      </c>
      <c r="D1262" s="17" t="inlineStr">
        <is>
          <t>00001277</t>
        </is>
      </c>
      <c r="E1262" s="16" t="n">
        <v>45761</v>
      </c>
      <c r="F1262" s="16" t="inlineStr">
        <is>
          <t>XK2504-11</t>
        </is>
      </c>
      <c r="G1262" s="16" t="n">
        <v>45761</v>
      </c>
      <c r="H1262" s="17" t="inlineStr">
        <is>
          <t>CÔNG TY CỔ PHẦN CÔNG NGHIỆP VÀ THƯƠNG MẠI CƯỜNG THỊNH</t>
        </is>
      </c>
      <c r="I1262" s="17" t="inlineStr">
        <is>
          <t>Long đền thường HDG M12B23D1</t>
        </is>
      </c>
      <c r="J1262" s="17" t="inlineStr">
        <is>
          <t>Cái</t>
        </is>
      </c>
      <c r="K1262" s="19" t="n">
        <v>250</v>
      </c>
      <c r="L1262" s="21" t="n"/>
      <c r="M1262" s="22" t="n"/>
      <c r="N1262" s="22" t="n">
        <v>8</v>
      </c>
      <c r="O1262" s="22" t="n">
        <v>2000</v>
      </c>
      <c r="P1262" s="22" t="n">
        <v>8</v>
      </c>
      <c r="Q1262" s="22" t="n">
        <v>2000</v>
      </c>
      <c r="R1262" s="42">
        <f>+L1262+N1262-P1262</f>
        <v/>
      </c>
      <c r="S1262" s="42">
        <f>+M1262+O1262-Q1262</f>
        <v/>
      </c>
    </row>
    <row r="1263" ht="30" customHeight="1">
      <c r="A1263" s="16" t="n">
        <v>45761</v>
      </c>
      <c r="B1263" s="17" t="inlineStr">
        <is>
          <t>MH2504-37</t>
        </is>
      </c>
      <c r="C1263" s="16" t="n">
        <v>45761</v>
      </c>
      <c r="D1263" s="17" t="inlineStr">
        <is>
          <t>00001277</t>
        </is>
      </c>
      <c r="E1263" s="16" t="n">
        <v>45761</v>
      </c>
      <c r="F1263" s="16" t="inlineStr">
        <is>
          <t>XK2504-11</t>
        </is>
      </c>
      <c r="G1263" s="16" t="n">
        <v>45761</v>
      </c>
      <c r="H1263" s="17" t="inlineStr">
        <is>
          <t>CÔNG TY CỔ PHẦN CÔNG NGHIỆP VÀ THƯƠNG MẠI CƯỜNG THỊNH</t>
        </is>
      </c>
      <c r="I1263" s="17" t="inlineStr">
        <is>
          <t>Bulong thường 4.6 HDG M12x30</t>
        </is>
      </c>
      <c r="J1263" s="17" t="inlineStr">
        <is>
          <t>Cái</t>
        </is>
      </c>
      <c r="K1263" s="19" t="n">
        <v>1530</v>
      </c>
      <c r="L1263" s="21" t="n"/>
      <c r="M1263" s="22" t="n"/>
      <c r="N1263" s="22" t="n">
        <v>3255</v>
      </c>
      <c r="O1263" s="22" t="n">
        <v>4980150</v>
      </c>
      <c r="P1263" s="22" t="n">
        <v>3255</v>
      </c>
      <c r="Q1263" s="22" t="n">
        <v>4980150</v>
      </c>
      <c r="R1263" s="42">
        <f>+L1263+N1263-P1263</f>
        <v/>
      </c>
      <c r="S1263" s="42">
        <f>+M1263+O1263-Q1263</f>
        <v/>
      </c>
    </row>
    <row r="1264" ht="30" customHeight="1">
      <c r="A1264" s="16" t="n">
        <v>45761</v>
      </c>
      <c r="B1264" s="17" t="inlineStr">
        <is>
          <t>MH2504-37</t>
        </is>
      </c>
      <c r="C1264" s="16" t="n">
        <v>45761</v>
      </c>
      <c r="D1264" s="17" t="inlineStr">
        <is>
          <t>00001277</t>
        </is>
      </c>
      <c r="E1264" s="16" t="n">
        <v>45761</v>
      </c>
      <c r="F1264" s="16" t="inlineStr">
        <is>
          <t>XK2504-11</t>
        </is>
      </c>
      <c r="G1264" s="16" t="n">
        <v>45761</v>
      </c>
      <c r="H1264" s="17" t="inlineStr">
        <is>
          <t>CÔNG TY CỔ PHẦN CÔNG NGHIỆP VÀ THƯƠNG MẠI CƯỜNG THỊNH</t>
        </is>
      </c>
      <c r="I1264" s="17" t="inlineStr">
        <is>
          <t>Đai ốc thường 4 HDG M12</t>
        </is>
      </c>
      <c r="J1264" s="17" t="inlineStr">
        <is>
          <t>Cái</t>
        </is>
      </c>
      <c r="K1264" s="19" t="n">
        <v>650</v>
      </c>
      <c r="L1264" s="21" t="n"/>
      <c r="M1264" s="22" t="n"/>
      <c r="N1264" s="22" t="n">
        <v>3255</v>
      </c>
      <c r="O1264" s="22" t="n">
        <v>2115750</v>
      </c>
      <c r="P1264" s="22" t="n">
        <v>3255</v>
      </c>
      <c r="Q1264" s="22" t="n">
        <v>2115750</v>
      </c>
      <c r="R1264" s="42">
        <f>+L1264+N1264-P1264</f>
        <v/>
      </c>
      <c r="S1264" s="42">
        <f>+M1264+O1264-Q1264</f>
        <v/>
      </c>
    </row>
    <row r="1265" ht="30" customHeight="1">
      <c r="A1265" s="16" t="n">
        <v>45761</v>
      </c>
      <c r="B1265" s="17" t="inlineStr">
        <is>
          <t>MH2504-37</t>
        </is>
      </c>
      <c r="C1265" s="16" t="n">
        <v>45761</v>
      </c>
      <c r="D1265" s="17" t="inlineStr">
        <is>
          <t>00001277</t>
        </is>
      </c>
      <c r="E1265" s="16" t="n">
        <v>45761</v>
      </c>
      <c r="F1265" s="16" t="inlineStr">
        <is>
          <t>XK2504-11</t>
        </is>
      </c>
      <c r="G1265" s="16" t="n">
        <v>45761</v>
      </c>
      <c r="H1265" s="17" t="inlineStr">
        <is>
          <t>CÔNG TY CỔ PHẦN CÔNG NGHIỆP VÀ THƯƠNG MẠI CƯỜNG THỊNH</t>
        </is>
      </c>
      <c r="I1265" s="17" t="inlineStr">
        <is>
          <t>Long đền thường HDG M12B23D1</t>
        </is>
      </c>
      <c r="J1265" s="17" t="inlineStr">
        <is>
          <t>Cái</t>
        </is>
      </c>
      <c r="K1265" s="19" t="n">
        <v>240</v>
      </c>
      <c r="L1265" s="21" t="n"/>
      <c r="M1265" s="22" t="n"/>
      <c r="N1265" s="22" t="n">
        <v>6510</v>
      </c>
      <c r="O1265" s="22" t="n">
        <v>1562400</v>
      </c>
      <c r="P1265" s="22" t="n">
        <v>6510</v>
      </c>
      <c r="Q1265" s="22" t="n">
        <v>1562400</v>
      </c>
      <c r="R1265" s="42">
        <f>+L1265+N1265-P1265</f>
        <v/>
      </c>
      <c r="S1265" s="42">
        <f>+M1265+O1265-Q1265</f>
        <v/>
      </c>
    </row>
    <row r="1266" ht="30" customHeight="1">
      <c r="A1266" s="16" t="n">
        <v>45761</v>
      </c>
      <c r="B1266" s="17" t="inlineStr">
        <is>
          <t>MH2504-37</t>
        </is>
      </c>
      <c r="C1266" s="16" t="n">
        <v>45761</v>
      </c>
      <c r="D1266" s="17" t="inlineStr">
        <is>
          <t>00001277</t>
        </is>
      </c>
      <c r="E1266" s="16" t="n">
        <v>45761</v>
      </c>
      <c r="F1266" s="16" t="inlineStr">
        <is>
          <t>XK2504-11</t>
        </is>
      </c>
      <c r="G1266" s="16" t="n">
        <v>45761</v>
      </c>
      <c r="H1266" s="17" t="inlineStr">
        <is>
          <t>CÔNG TY CỔ PHẦN CÔNG NGHIỆP VÀ THƯƠNG MẠI CƯỜNG THỊNH</t>
        </is>
      </c>
      <c r="I1266" s="17" t="inlineStr">
        <is>
          <t>Bulong thường 4.6 HDG M12x40</t>
        </is>
      </c>
      <c r="J1266" s="17" t="inlineStr">
        <is>
          <t>Cái</t>
        </is>
      </c>
      <c r="K1266" s="19" t="n">
        <v>1810</v>
      </c>
      <c r="L1266" s="21" t="n"/>
      <c r="M1266" s="22" t="n"/>
      <c r="N1266" s="22" t="n">
        <v>1084</v>
      </c>
      <c r="O1266" s="22" t="n">
        <v>1962040</v>
      </c>
      <c r="P1266" s="22" t="n">
        <v>1084</v>
      </c>
      <c r="Q1266" s="22" t="n">
        <v>1962040</v>
      </c>
      <c r="R1266" s="42">
        <f>+L1266+N1266-P1266</f>
        <v/>
      </c>
      <c r="S1266" s="42">
        <f>+M1266+O1266-Q1266</f>
        <v/>
      </c>
    </row>
    <row r="1267" ht="30" customHeight="1">
      <c r="A1267" s="16" t="n">
        <v>45761</v>
      </c>
      <c r="B1267" s="17" t="inlineStr">
        <is>
          <t>MH2504-37</t>
        </is>
      </c>
      <c r="C1267" s="16" t="n">
        <v>45761</v>
      </c>
      <c r="D1267" s="17" t="inlineStr">
        <is>
          <t>00001277</t>
        </is>
      </c>
      <c r="E1267" s="16" t="n">
        <v>45761</v>
      </c>
      <c r="F1267" s="16" t="inlineStr">
        <is>
          <t>XK2504-11</t>
        </is>
      </c>
      <c r="G1267" s="16" t="n">
        <v>45761</v>
      </c>
      <c r="H1267" s="17" t="inlineStr">
        <is>
          <t>CÔNG TY CỔ PHẦN CÔNG NGHIỆP VÀ THƯƠNG MẠI CƯỜNG THỊNH</t>
        </is>
      </c>
      <c r="I1267" s="17" t="inlineStr">
        <is>
          <t>Đai ốc thường 4 HDG M12</t>
        </is>
      </c>
      <c r="J1267" s="17" t="inlineStr">
        <is>
          <t>Cái</t>
        </is>
      </c>
      <c r="K1267" s="19" t="n">
        <v>650</v>
      </c>
      <c r="L1267" s="21" t="n"/>
      <c r="M1267" s="22" t="n"/>
      <c r="N1267" s="22" t="n">
        <v>1084</v>
      </c>
      <c r="O1267" s="22" t="n">
        <v>704600</v>
      </c>
      <c r="P1267" s="22" t="n">
        <v>1084</v>
      </c>
      <c r="Q1267" s="22" t="n">
        <v>704600</v>
      </c>
      <c r="R1267" s="42">
        <f>+L1267+N1267-P1267</f>
        <v/>
      </c>
      <c r="S1267" s="42">
        <f>+M1267+O1267-Q1267</f>
        <v/>
      </c>
    </row>
    <row r="1268" ht="30" customHeight="1">
      <c r="A1268" s="16" t="n">
        <v>45761</v>
      </c>
      <c r="B1268" s="17" t="inlineStr">
        <is>
          <t>MH2504-37</t>
        </is>
      </c>
      <c r="C1268" s="16" t="n">
        <v>45761</v>
      </c>
      <c r="D1268" s="17" t="inlineStr">
        <is>
          <t>00001277</t>
        </is>
      </c>
      <c r="E1268" s="16" t="n">
        <v>45761</v>
      </c>
      <c r="F1268" s="16" t="inlineStr">
        <is>
          <t>XK2504-11</t>
        </is>
      </c>
      <c r="G1268" s="16" t="n">
        <v>45761</v>
      </c>
      <c r="H1268" s="17" t="inlineStr">
        <is>
          <t>CÔNG TY CỔ PHẦN CÔNG NGHIỆP VÀ THƯƠNG MẠI CƯỜNG THỊNH</t>
        </is>
      </c>
      <c r="I1268" s="17" t="inlineStr">
        <is>
          <t>Long đền thường HDG M12B23D1</t>
        </is>
      </c>
      <c r="J1268" s="17" t="inlineStr">
        <is>
          <t>Cái</t>
        </is>
      </c>
      <c r="K1268" s="19" t="n">
        <v>250</v>
      </c>
      <c r="L1268" s="21" t="n"/>
      <c r="M1268" s="22" t="n"/>
      <c r="N1268" s="22" t="n">
        <v>2168</v>
      </c>
      <c r="O1268" s="22" t="n">
        <v>542000</v>
      </c>
      <c r="P1268" s="22" t="n">
        <v>2168</v>
      </c>
      <c r="Q1268" s="22" t="n">
        <v>542000</v>
      </c>
      <c r="R1268" s="42">
        <f>+L1268+N1268-P1268</f>
        <v/>
      </c>
      <c r="S1268" s="42">
        <f>+M1268+O1268-Q1268</f>
        <v/>
      </c>
    </row>
    <row r="1269" ht="30" customHeight="1">
      <c r="A1269" s="16" t="n">
        <v>45761</v>
      </c>
      <c r="B1269" s="17" t="inlineStr">
        <is>
          <t>MH2504-37</t>
        </is>
      </c>
      <c r="C1269" s="16" t="n">
        <v>45761</v>
      </c>
      <c r="D1269" s="17" t="inlineStr">
        <is>
          <t>00001277</t>
        </is>
      </c>
      <c r="E1269" s="16" t="n">
        <v>45761</v>
      </c>
      <c r="F1269" s="16" t="inlineStr">
        <is>
          <t>XK2504-11</t>
        </is>
      </c>
      <c r="G1269" s="16" t="n">
        <v>45761</v>
      </c>
      <c r="H1269" s="17" t="inlineStr">
        <is>
          <t>CÔNG TY CỔ PHẦN CÔNG NGHIỆP VÀ THƯƠNG MẠI CƯỜNG THỊNH</t>
        </is>
      </c>
      <c r="I1269" s="17" t="inlineStr">
        <is>
          <t>Bulong thường 4.6 HDG M12x60</t>
        </is>
      </c>
      <c r="J1269" s="17" t="inlineStr">
        <is>
          <t>Cái</t>
        </is>
      </c>
      <c r="K1269" s="19" t="n">
        <v>3040</v>
      </c>
      <c r="L1269" s="21" t="n"/>
      <c r="M1269" s="22" t="n"/>
      <c r="N1269" s="22" t="n">
        <v>260</v>
      </c>
      <c r="O1269" s="22" t="n">
        <v>790400</v>
      </c>
      <c r="P1269" s="22" t="n">
        <v>260</v>
      </c>
      <c r="Q1269" s="22" t="n">
        <v>790400</v>
      </c>
      <c r="R1269" s="42">
        <f>+L1269+N1269-P1269</f>
        <v/>
      </c>
      <c r="S1269" s="42">
        <f>+M1269+O1269-Q1269</f>
        <v/>
      </c>
    </row>
    <row r="1270" ht="30" customHeight="1">
      <c r="A1270" s="16" t="n">
        <v>45761</v>
      </c>
      <c r="B1270" s="17" t="inlineStr">
        <is>
          <t>MH2504-37</t>
        </is>
      </c>
      <c r="C1270" s="16" t="n">
        <v>45761</v>
      </c>
      <c r="D1270" s="17" t="inlineStr">
        <is>
          <t>00001277</t>
        </is>
      </c>
      <c r="E1270" s="16" t="n">
        <v>45761</v>
      </c>
      <c r="F1270" s="16" t="inlineStr">
        <is>
          <t>XK2504-11</t>
        </is>
      </c>
      <c r="G1270" s="16" t="n">
        <v>45761</v>
      </c>
      <c r="H1270" s="17" t="inlineStr">
        <is>
          <t>CÔNG TY CỔ PHẦN CÔNG NGHIỆP VÀ THƯƠNG MẠI CƯỜNG THỊNH</t>
        </is>
      </c>
      <c r="I1270" s="17" t="inlineStr">
        <is>
          <t>Đai ốc thường 4 HDG M12</t>
        </is>
      </c>
      <c r="J1270" s="17" t="inlineStr">
        <is>
          <t>Cái</t>
        </is>
      </c>
      <c r="K1270" s="19" t="n">
        <v>650</v>
      </c>
      <c r="L1270" s="21" t="n"/>
      <c r="M1270" s="22" t="n"/>
      <c r="N1270" s="22" t="n">
        <v>260</v>
      </c>
      <c r="O1270" s="22" t="n">
        <v>169000</v>
      </c>
      <c r="P1270" s="22" t="n">
        <v>260</v>
      </c>
      <c r="Q1270" s="22" t="n">
        <v>169000</v>
      </c>
      <c r="R1270" s="42">
        <f>+L1270+N1270-P1270</f>
        <v/>
      </c>
      <c r="S1270" s="42">
        <f>+M1270+O1270-Q1270</f>
        <v/>
      </c>
    </row>
    <row r="1271" ht="30" customHeight="1">
      <c r="A1271" s="16" t="n">
        <v>45761</v>
      </c>
      <c r="B1271" s="17" t="inlineStr">
        <is>
          <t>MH2504-37</t>
        </is>
      </c>
      <c r="C1271" s="16" t="n">
        <v>45761</v>
      </c>
      <c r="D1271" s="17" t="inlineStr">
        <is>
          <t>00001277</t>
        </is>
      </c>
      <c r="E1271" s="16" t="n">
        <v>45761</v>
      </c>
      <c r="F1271" s="16" t="inlineStr">
        <is>
          <t>XK2504-11</t>
        </is>
      </c>
      <c r="G1271" s="16" t="n">
        <v>45761</v>
      </c>
      <c r="H1271" s="17" t="inlineStr">
        <is>
          <t>CÔNG TY CỔ PHẦN CÔNG NGHIỆP VÀ THƯƠNG MẠI CƯỜNG THỊNH</t>
        </is>
      </c>
      <c r="I1271" s="17" t="inlineStr">
        <is>
          <t>Long đền thường HDG M12B23D1</t>
        </is>
      </c>
      <c r="J1271" s="17" t="inlineStr">
        <is>
          <t>Cái</t>
        </is>
      </c>
      <c r="K1271" s="19" t="n">
        <v>250</v>
      </c>
      <c r="L1271" s="21" t="n"/>
      <c r="M1271" s="22" t="n"/>
      <c r="N1271" s="22" t="n">
        <v>520</v>
      </c>
      <c r="O1271" s="22" t="n">
        <v>130000</v>
      </c>
      <c r="P1271" s="22" t="n">
        <v>520</v>
      </c>
      <c r="Q1271" s="22" t="n">
        <v>130000</v>
      </c>
      <c r="R1271" s="42">
        <f>+L1271+N1271-P1271</f>
        <v/>
      </c>
      <c r="S1271" s="42">
        <f>+M1271+O1271-Q1271</f>
        <v/>
      </c>
    </row>
    <row r="1272" ht="30" customHeight="1">
      <c r="A1272" s="16" t="n">
        <v>45761</v>
      </c>
      <c r="B1272" s="17" t="inlineStr">
        <is>
          <t>MH2504-37</t>
        </is>
      </c>
      <c r="C1272" s="16" t="n">
        <v>45761</v>
      </c>
      <c r="D1272" s="17" t="inlineStr">
        <is>
          <t>00001277</t>
        </is>
      </c>
      <c r="E1272" s="16" t="n">
        <v>45761</v>
      </c>
      <c r="F1272" s="16" t="inlineStr">
        <is>
          <t>XK2504-11</t>
        </is>
      </c>
      <c r="G1272" s="16" t="n">
        <v>45761</v>
      </c>
      <c r="H1272" s="17" t="inlineStr">
        <is>
          <t>CÔNG TY CỔ PHẦN CÔNG NGHIỆP VÀ THƯƠNG MẠI CƯỜNG THỊNH</t>
        </is>
      </c>
      <c r="I1272" s="17" t="inlineStr">
        <is>
          <t>Bulong thường 4.6 HDG M12x70</t>
        </is>
      </c>
      <c r="J1272" s="17" t="inlineStr">
        <is>
          <t>Cái</t>
        </is>
      </c>
      <c r="K1272" s="19" t="n">
        <v>3330</v>
      </c>
      <c r="L1272" s="21" t="n"/>
      <c r="M1272" s="22" t="n"/>
      <c r="N1272" s="22" t="n">
        <v>91</v>
      </c>
      <c r="O1272" s="22" t="n">
        <v>303030</v>
      </c>
      <c r="P1272" s="22" t="n">
        <v>91</v>
      </c>
      <c r="Q1272" s="22" t="n">
        <v>303030</v>
      </c>
      <c r="R1272" s="42">
        <f>+L1272+N1272-P1272</f>
        <v/>
      </c>
      <c r="S1272" s="42">
        <f>+M1272+O1272-Q1272</f>
        <v/>
      </c>
    </row>
    <row r="1273" ht="30" customHeight="1">
      <c r="A1273" s="16" t="n">
        <v>45761</v>
      </c>
      <c r="B1273" s="17" t="inlineStr">
        <is>
          <t>MH2504-37</t>
        </is>
      </c>
      <c r="C1273" s="16" t="n">
        <v>45761</v>
      </c>
      <c r="D1273" s="17" t="inlineStr">
        <is>
          <t>00001277</t>
        </is>
      </c>
      <c r="E1273" s="16" t="n">
        <v>45761</v>
      </c>
      <c r="F1273" s="16" t="inlineStr">
        <is>
          <t>XK2504-11</t>
        </is>
      </c>
      <c r="G1273" s="16" t="n">
        <v>45761</v>
      </c>
      <c r="H1273" s="17" t="inlineStr">
        <is>
          <t>CÔNG TY CỔ PHẦN CÔNG NGHIỆP VÀ THƯƠNG MẠI CƯỜNG THỊNH</t>
        </is>
      </c>
      <c r="I1273" s="17" t="inlineStr">
        <is>
          <t>Đai ốc thường 4 HDG M12</t>
        </is>
      </c>
      <c r="J1273" s="17" t="inlineStr">
        <is>
          <t>Cái</t>
        </is>
      </c>
      <c r="K1273" s="19" t="n">
        <v>650</v>
      </c>
      <c r="L1273" s="21" t="n"/>
      <c r="M1273" s="22" t="n"/>
      <c r="N1273" s="22" t="n">
        <v>91</v>
      </c>
      <c r="O1273" s="22" t="n">
        <v>59150</v>
      </c>
      <c r="P1273" s="22" t="n">
        <v>91</v>
      </c>
      <c r="Q1273" s="22" t="n">
        <v>59150</v>
      </c>
      <c r="R1273" s="42">
        <f>+L1273+N1273-P1273</f>
        <v/>
      </c>
      <c r="S1273" s="42">
        <f>+M1273+O1273-Q1273</f>
        <v/>
      </c>
    </row>
    <row r="1274" ht="30" customHeight="1">
      <c r="A1274" s="16" t="n">
        <v>45761</v>
      </c>
      <c r="B1274" s="17" t="inlineStr">
        <is>
          <t>MH2504-37</t>
        </is>
      </c>
      <c r="C1274" s="16" t="n">
        <v>45761</v>
      </c>
      <c r="D1274" s="17" t="inlineStr">
        <is>
          <t>00001277</t>
        </is>
      </c>
      <c r="E1274" s="16" t="n">
        <v>45761</v>
      </c>
      <c r="F1274" s="16" t="inlineStr">
        <is>
          <t>XK2504-11</t>
        </is>
      </c>
      <c r="G1274" s="16" t="n">
        <v>45761</v>
      </c>
      <c r="H1274" s="17" t="inlineStr">
        <is>
          <t>CÔNG TY CỔ PHẦN CÔNG NGHIỆP VÀ THƯƠNG MẠI CƯỜNG THỊNH</t>
        </is>
      </c>
      <c r="I1274" s="17" t="inlineStr">
        <is>
          <t>Long đền thường HDG M12B23D1</t>
        </is>
      </c>
      <c r="J1274" s="17" t="inlineStr">
        <is>
          <t>Cái</t>
        </is>
      </c>
      <c r="K1274" s="19" t="n">
        <v>130</v>
      </c>
      <c r="L1274" s="21" t="n"/>
      <c r="M1274" s="22" t="n"/>
      <c r="N1274" s="22" t="n">
        <v>182</v>
      </c>
      <c r="O1274" s="22" t="n">
        <v>23660</v>
      </c>
      <c r="P1274" s="22" t="n">
        <v>182</v>
      </c>
      <c r="Q1274" s="22" t="n">
        <v>23660</v>
      </c>
      <c r="R1274" s="42">
        <f>+L1274+N1274-P1274</f>
        <v/>
      </c>
      <c r="S1274" s="42">
        <f>+M1274+O1274-Q1274</f>
        <v/>
      </c>
    </row>
    <row r="1275" ht="30" customHeight="1">
      <c r="A1275" s="16" t="n">
        <v>45761</v>
      </c>
      <c r="B1275" s="17" t="inlineStr">
        <is>
          <t>MH2504-37</t>
        </is>
      </c>
      <c r="C1275" s="16" t="n">
        <v>45761</v>
      </c>
      <c r="D1275" s="17" t="inlineStr">
        <is>
          <t>00001277</t>
        </is>
      </c>
      <c r="E1275" s="16" t="n">
        <v>45761</v>
      </c>
      <c r="F1275" s="16" t="inlineStr">
        <is>
          <t>XK2504-11</t>
        </is>
      </c>
      <c r="G1275" s="16" t="n">
        <v>45761</v>
      </c>
      <c r="H1275" s="17" t="inlineStr">
        <is>
          <t>CÔNG TY CỔ PHẦN CÔNG NGHIỆP VÀ THƯƠNG MẠI CƯỜNG THỊNH</t>
        </is>
      </c>
      <c r="I1275" s="17" t="inlineStr">
        <is>
          <t>Bulong thường 4.6 HDG M12x80</t>
        </is>
      </c>
      <c r="J1275" s="17" t="inlineStr">
        <is>
          <t>Cái</t>
        </is>
      </c>
      <c r="K1275" s="19" t="n">
        <v>3880</v>
      </c>
      <c r="L1275" s="21" t="n"/>
      <c r="M1275" s="22" t="n"/>
      <c r="N1275" s="22" t="n">
        <v>4</v>
      </c>
      <c r="O1275" s="22" t="n">
        <v>15520</v>
      </c>
      <c r="P1275" s="22" t="n">
        <v>4</v>
      </c>
      <c r="Q1275" s="22" t="n">
        <v>15520</v>
      </c>
      <c r="R1275" s="42">
        <f>+L1275+N1275-P1275</f>
        <v/>
      </c>
      <c r="S1275" s="42">
        <f>+M1275+O1275-Q1275</f>
        <v/>
      </c>
    </row>
    <row r="1276" ht="30" customHeight="1">
      <c r="A1276" s="16" t="n">
        <v>45761</v>
      </c>
      <c r="B1276" s="17" t="inlineStr">
        <is>
          <t>MH2504-37</t>
        </is>
      </c>
      <c r="C1276" s="16" t="n">
        <v>45761</v>
      </c>
      <c r="D1276" s="17" t="inlineStr">
        <is>
          <t>00001277</t>
        </is>
      </c>
      <c r="E1276" s="16" t="n">
        <v>45761</v>
      </c>
      <c r="F1276" s="16" t="inlineStr">
        <is>
          <t>XK2504-11</t>
        </is>
      </c>
      <c r="G1276" s="16" t="n">
        <v>45761</v>
      </c>
      <c r="H1276" s="17" t="inlineStr">
        <is>
          <t>CÔNG TY CỔ PHẦN CÔNG NGHIỆP VÀ THƯƠNG MẠI CƯỜNG THỊNH</t>
        </is>
      </c>
      <c r="I1276" s="17" t="inlineStr">
        <is>
          <t>Đai ốc Din 934 4 HDG M12</t>
        </is>
      </c>
      <c r="J1276" s="17" t="inlineStr">
        <is>
          <t>Cái</t>
        </is>
      </c>
      <c r="K1276" s="19" t="n">
        <v>820</v>
      </c>
      <c r="L1276" s="21" t="n"/>
      <c r="M1276" s="22" t="n"/>
      <c r="N1276" s="22" t="n">
        <v>4</v>
      </c>
      <c r="O1276" s="22" t="n">
        <v>3280</v>
      </c>
      <c r="P1276" s="22" t="n">
        <v>4</v>
      </c>
      <c r="Q1276" s="22" t="n">
        <v>3280</v>
      </c>
      <c r="R1276" s="42">
        <f>+L1276+N1276-P1276</f>
        <v/>
      </c>
      <c r="S1276" s="42">
        <f>+M1276+O1276-Q1276</f>
        <v/>
      </c>
    </row>
    <row r="1277" ht="30" customHeight="1">
      <c r="A1277" s="16" t="n">
        <v>45761</v>
      </c>
      <c r="B1277" s="17" t="inlineStr">
        <is>
          <t>MH2504-37</t>
        </is>
      </c>
      <c r="C1277" s="16" t="n">
        <v>45761</v>
      </c>
      <c r="D1277" s="17" t="inlineStr">
        <is>
          <t>00001277</t>
        </is>
      </c>
      <c r="E1277" s="16" t="n">
        <v>45761</v>
      </c>
      <c r="F1277" s="16" t="inlineStr">
        <is>
          <t>XK2504-11</t>
        </is>
      </c>
      <c r="G1277" s="16" t="n">
        <v>45761</v>
      </c>
      <c r="H1277" s="17" t="inlineStr">
        <is>
          <t>CÔNG TY CỔ PHẦN CÔNG NGHIỆP VÀ THƯƠNG MẠI CƯỜNG THỊNH</t>
        </is>
      </c>
      <c r="I1277" s="17" t="inlineStr">
        <is>
          <t>Long đền thường HDG M12B23D1</t>
        </is>
      </c>
      <c r="J1277" s="17" t="inlineStr">
        <is>
          <t>Cái</t>
        </is>
      </c>
      <c r="K1277" s="19" t="n">
        <v>250</v>
      </c>
      <c r="L1277" s="21" t="n"/>
      <c r="M1277" s="22" t="n"/>
      <c r="N1277" s="22" t="n">
        <v>8</v>
      </c>
      <c r="O1277" s="22" t="n">
        <v>2000</v>
      </c>
      <c r="P1277" s="22" t="n">
        <v>8</v>
      </c>
      <c r="Q1277" s="22" t="n">
        <v>2000</v>
      </c>
      <c r="R1277" s="42">
        <f>+L1277+N1277-P1277</f>
        <v/>
      </c>
      <c r="S1277" s="42">
        <f>+M1277+O1277-Q1277</f>
        <v/>
      </c>
    </row>
    <row r="1278" ht="30" customHeight="1">
      <c r="A1278" s="16" t="n">
        <v>45761</v>
      </c>
      <c r="B1278" s="17" t="inlineStr">
        <is>
          <t>MH2504-37</t>
        </is>
      </c>
      <c r="C1278" s="16" t="n">
        <v>45761</v>
      </c>
      <c r="D1278" s="17" t="inlineStr">
        <is>
          <t>00001277</t>
        </is>
      </c>
      <c r="E1278" s="16" t="n">
        <v>45761</v>
      </c>
      <c r="F1278" s="16" t="inlineStr">
        <is>
          <t>XK2504-11</t>
        </is>
      </c>
      <c r="G1278" s="16" t="n">
        <v>45761</v>
      </c>
      <c r="H1278" s="17" t="inlineStr">
        <is>
          <t>CÔNG TY CỔ PHẦN CÔNG NGHIỆP VÀ THƯƠNG MẠI CƯỜNG THỊNH</t>
        </is>
      </c>
      <c r="I1278" s="17" t="inlineStr">
        <is>
          <t>Bulong thường 4.6 HDG M16x40</t>
        </is>
      </c>
      <c r="J1278" s="17" t="inlineStr">
        <is>
          <t>Cái</t>
        </is>
      </c>
      <c r="K1278" s="19" t="n">
        <v>4500</v>
      </c>
      <c r="L1278" s="21" t="n"/>
      <c r="M1278" s="22" t="n"/>
      <c r="N1278" s="22" t="n">
        <v>187</v>
      </c>
      <c r="O1278" s="22" t="n">
        <v>841500</v>
      </c>
      <c r="P1278" s="22" t="n">
        <v>187</v>
      </c>
      <c r="Q1278" s="22" t="n">
        <v>841500</v>
      </c>
      <c r="R1278" s="42">
        <f>+L1278+N1278-P1278</f>
        <v/>
      </c>
      <c r="S1278" s="42">
        <f>+M1278+O1278-Q1278</f>
        <v/>
      </c>
    </row>
    <row r="1279" ht="30" customHeight="1">
      <c r="A1279" s="16" t="n">
        <v>45761</v>
      </c>
      <c r="B1279" s="17" t="inlineStr">
        <is>
          <t>MH2504-37</t>
        </is>
      </c>
      <c r="C1279" s="16" t="n">
        <v>45761</v>
      </c>
      <c r="D1279" s="17" t="inlineStr">
        <is>
          <t>00001277</t>
        </is>
      </c>
      <c r="E1279" s="16" t="n">
        <v>45761</v>
      </c>
      <c r="F1279" s="16" t="inlineStr">
        <is>
          <t>XK2504-11</t>
        </is>
      </c>
      <c r="G1279" s="16" t="n">
        <v>45761</v>
      </c>
      <c r="H1279" s="17" t="inlineStr">
        <is>
          <t>CÔNG TY CỔ PHẦN CÔNG NGHIỆP VÀ THƯƠNG MẠI CƯỜNG THỊNH</t>
        </is>
      </c>
      <c r="I1279" s="17" t="inlineStr">
        <is>
          <t>Long đền thường HDG M16B30D2</t>
        </is>
      </c>
      <c r="J1279" s="17" t="inlineStr">
        <is>
          <t>Cái</t>
        </is>
      </c>
      <c r="K1279" s="19" t="n">
        <v>450</v>
      </c>
      <c r="L1279" s="21" t="n"/>
      <c r="M1279" s="22" t="n"/>
      <c r="N1279" s="22" t="n">
        <v>187</v>
      </c>
      <c r="O1279" s="22" t="n">
        <v>84150</v>
      </c>
      <c r="P1279" s="22" t="n">
        <v>187</v>
      </c>
      <c r="Q1279" s="22" t="n">
        <v>84150</v>
      </c>
      <c r="R1279" s="42">
        <f>+L1279+N1279-P1279</f>
        <v/>
      </c>
      <c r="S1279" s="42">
        <f>+M1279+O1279-Q1279</f>
        <v/>
      </c>
    </row>
    <row r="1280" ht="30" customHeight="1">
      <c r="A1280" s="16" t="n">
        <v>45761</v>
      </c>
      <c r="B1280" s="17" t="inlineStr">
        <is>
          <t>MH2504-37</t>
        </is>
      </c>
      <c r="C1280" s="16" t="n">
        <v>45761</v>
      </c>
      <c r="D1280" s="17" t="inlineStr">
        <is>
          <t>00001277</t>
        </is>
      </c>
      <c r="E1280" s="16" t="n">
        <v>45761</v>
      </c>
      <c r="F1280" s="16" t="inlineStr">
        <is>
          <t>XK2504-11</t>
        </is>
      </c>
      <c r="G1280" s="16" t="n">
        <v>45761</v>
      </c>
      <c r="H1280" s="17" t="inlineStr">
        <is>
          <t>CÔNG TY CỔ PHẦN CÔNG NGHIỆP VÀ THƯƠNG MẠI CƯỜNG THỊNH</t>
        </is>
      </c>
      <c r="I1280" s="17" t="inlineStr">
        <is>
          <t>Đai ốc thường 4 HDG M16</t>
        </is>
      </c>
      <c r="J1280" s="17" t="inlineStr">
        <is>
          <t>Cái</t>
        </is>
      </c>
      <c r="K1280" s="19" t="n">
        <v>1490</v>
      </c>
      <c r="L1280" s="21" t="n"/>
      <c r="M1280" s="22" t="n"/>
      <c r="N1280" s="22" t="n">
        <v>187</v>
      </c>
      <c r="O1280" s="22" t="n">
        <v>278630</v>
      </c>
      <c r="P1280" s="22" t="n">
        <v>187</v>
      </c>
      <c r="Q1280" s="22" t="n">
        <v>278630</v>
      </c>
      <c r="R1280" s="42">
        <f>+L1280+N1280-P1280</f>
        <v/>
      </c>
      <c r="S1280" s="42">
        <f>+M1280+O1280-Q1280</f>
        <v/>
      </c>
    </row>
    <row r="1281" ht="15" customHeight="1">
      <c r="A1281" s="16" t="n">
        <v>45762</v>
      </c>
      <c r="B1281" s="17" t="inlineStr">
        <is>
          <t>MH2504-40</t>
        </is>
      </c>
      <c r="C1281" s="16" t="n">
        <v>45762</v>
      </c>
      <c r="D1281" s="17" t="inlineStr">
        <is>
          <t>00000084</t>
        </is>
      </c>
      <c r="E1281" s="16" t="n">
        <v>45762</v>
      </c>
      <c r="F1281" s="16" t="inlineStr">
        <is>
          <t>XK2504-12</t>
        </is>
      </c>
      <c r="G1281" s="16" t="n">
        <v>45762</v>
      </c>
      <c r="H1281" s="17" t="inlineStr">
        <is>
          <t>CÔNG TY TNHH XNK THÉP KIM NAM</t>
        </is>
      </c>
      <c r="I1281" s="17" t="inlineStr">
        <is>
          <t>Thép tấm gân 5lyx1500x6000</t>
        </is>
      </c>
      <c r="J1281" s="17" t="inlineStr">
        <is>
          <t>kg</t>
        </is>
      </c>
      <c r="K1281" s="19" t="n">
        <v>12890.91</v>
      </c>
      <c r="L1281" s="21" t="n"/>
      <c r="M1281" s="22" t="n"/>
      <c r="N1281" s="22" t="n">
        <v>760.5</v>
      </c>
      <c r="O1281" s="22" t="n">
        <v>9803536</v>
      </c>
      <c r="P1281" s="22" t="n">
        <v>760.5</v>
      </c>
      <c r="Q1281" s="22" t="n">
        <v>9803536</v>
      </c>
      <c r="R1281" s="42">
        <f>+L1281+N1281-P1281</f>
        <v/>
      </c>
      <c r="S1281" s="42">
        <f>+M1281+O1281-Q1281</f>
        <v/>
      </c>
    </row>
    <row r="1282" ht="15" customHeight="1">
      <c r="A1282" s="16" t="n">
        <v>45762</v>
      </c>
      <c r="B1282" s="17" t="inlineStr">
        <is>
          <t>MH2504-41</t>
        </is>
      </c>
      <c r="C1282" s="16" t="n">
        <v>45762</v>
      </c>
      <c r="D1282" s="17" t="inlineStr">
        <is>
          <t>00001187</t>
        </is>
      </c>
      <c r="E1282" s="16" t="n">
        <v>45762</v>
      </c>
      <c r="F1282" s="16" t="inlineStr">
        <is>
          <t>XK2504-13</t>
        </is>
      </c>
      <c r="G1282" s="16" t="n">
        <v>45762</v>
      </c>
      <c r="H1282" s="17" t="inlineStr">
        <is>
          <t>CÔNG TY TNHH TÂN MỸ HẠNH</t>
        </is>
      </c>
      <c r="I1282" s="17" t="inlineStr">
        <is>
          <t>Xà gồ kẽm Z</t>
        </is>
      </c>
      <c r="J1282" s="17" t="inlineStr">
        <is>
          <t>kg</t>
        </is>
      </c>
      <c r="K1282" s="19" t="n">
        <v>18976</v>
      </c>
      <c r="L1282" s="21" t="n"/>
      <c r="M1282" s="22" t="n"/>
      <c r="N1282" s="22" t="n">
        <v>19155.903</v>
      </c>
      <c r="O1282" s="22" t="n">
        <v>363502415</v>
      </c>
      <c r="P1282" s="22" t="n">
        <v>19155.903</v>
      </c>
      <c r="Q1282" s="22" t="n">
        <v>363502415</v>
      </c>
      <c r="R1282" s="42">
        <f>+L1282+N1282-P1282</f>
        <v/>
      </c>
      <c r="S1282" s="42">
        <f>+M1282+O1282-Q1282</f>
        <v/>
      </c>
    </row>
    <row r="1283" ht="15" customHeight="1">
      <c r="A1283" s="16" t="n">
        <v>45762</v>
      </c>
      <c r="B1283" s="17" t="inlineStr">
        <is>
          <t>MH2504-41</t>
        </is>
      </c>
      <c r="C1283" s="16" t="n">
        <v>45762</v>
      </c>
      <c r="D1283" s="17" t="inlineStr">
        <is>
          <t>00001187</t>
        </is>
      </c>
      <c r="E1283" s="16" t="n">
        <v>45762</v>
      </c>
      <c r="F1283" s="16" t="inlineStr">
        <is>
          <t>XK2504-13</t>
        </is>
      </c>
      <c r="G1283" s="16" t="n">
        <v>45762</v>
      </c>
      <c r="H1283" s="17" t="inlineStr">
        <is>
          <t>CÔNG TY TNHH TÂN MỸ HẠNH</t>
        </is>
      </c>
      <c r="I1283" s="17" t="inlineStr">
        <is>
          <t>Xà gồ kẽm C</t>
        </is>
      </c>
      <c r="J1283" s="17" t="inlineStr">
        <is>
          <t>kg</t>
        </is>
      </c>
      <c r="K1283" s="19" t="n">
        <v>18971</v>
      </c>
      <c r="L1283" s="21" t="n"/>
      <c r="M1283" s="22" t="n"/>
      <c r="N1283" s="22" t="n">
        <v>24.781</v>
      </c>
      <c r="O1283" s="22" t="n">
        <v>470120</v>
      </c>
      <c r="P1283" s="22" t="n">
        <v>24.781</v>
      </c>
      <c r="Q1283" s="22" t="n">
        <v>470120</v>
      </c>
      <c r="R1283" s="42">
        <f>+L1283+N1283-P1283</f>
        <v/>
      </c>
      <c r="S1283" s="42">
        <f>+M1283+O1283-Q1283</f>
        <v/>
      </c>
    </row>
    <row r="1284" ht="15" customHeight="1">
      <c r="A1284" s="16" t="n">
        <v>45762</v>
      </c>
      <c r="B1284" s="17" t="inlineStr">
        <is>
          <t>MH2504-42</t>
        </is>
      </c>
      <c r="C1284" s="16" t="n">
        <v>45762</v>
      </c>
      <c r="D1284" s="17" t="inlineStr">
        <is>
          <t>00003452</t>
        </is>
      </c>
      <c r="E1284" s="16" t="n">
        <v>45762</v>
      </c>
      <c r="F1284" s="16" t="inlineStr">
        <is>
          <t>XK2504-14</t>
        </is>
      </c>
      <c r="G1284" s="16" t="n">
        <v>45762</v>
      </c>
      <c r="H1284" s="17" t="inlineStr">
        <is>
          <t>CÔNG TY TNHH SƠN JOTUN VIỆT NAM</t>
        </is>
      </c>
      <c r="I1284" s="17" t="inlineStr">
        <is>
          <t>SƠN JOTAMASTIC 70 GREY 18L</t>
        </is>
      </c>
      <c r="J1284" s="17" t="inlineStr">
        <is>
          <t>Lít</t>
        </is>
      </c>
      <c r="K1284" s="19" t="n">
        <v>90000</v>
      </c>
      <c r="L1284" s="21" t="n"/>
      <c r="M1284" s="22" t="n"/>
      <c r="N1284" s="22" t="n">
        <v>180</v>
      </c>
      <c r="O1284" s="22" t="n">
        <v>16200000</v>
      </c>
      <c r="P1284" s="22" t="n">
        <v>180</v>
      </c>
      <c r="Q1284" s="22" t="n">
        <v>16200000</v>
      </c>
      <c r="R1284" s="42">
        <f>+L1284+N1284-P1284</f>
        <v/>
      </c>
      <c r="S1284" s="42">
        <f>+M1284+O1284-Q1284</f>
        <v/>
      </c>
    </row>
    <row r="1285" ht="15" customHeight="1">
      <c r="A1285" s="16" t="n">
        <v>45762</v>
      </c>
      <c r="B1285" s="17" t="inlineStr">
        <is>
          <t>MH2504-42</t>
        </is>
      </c>
      <c r="C1285" s="16" t="n">
        <v>45762</v>
      </c>
      <c r="D1285" s="17" t="inlineStr">
        <is>
          <t>00003452</t>
        </is>
      </c>
      <c r="E1285" s="16" t="n">
        <v>45762</v>
      </c>
      <c r="F1285" s="16" t="inlineStr">
        <is>
          <t>XK2504-14</t>
        </is>
      </c>
      <c r="G1285" s="16" t="n">
        <v>45762</v>
      </c>
      <c r="H1285" s="17" t="inlineStr">
        <is>
          <t>CÔNG TY TNHH SƠN JOTUN VIỆT NAM</t>
        </is>
      </c>
      <c r="I1285" s="17" t="inlineStr">
        <is>
          <t>SƠN FUTURA CLASSIC STD4067 18.28L</t>
        </is>
      </c>
      <c r="J1285" s="17" t="inlineStr">
        <is>
          <t>Lít</t>
        </is>
      </c>
      <c r="K1285" s="19" t="n">
        <v>155000</v>
      </c>
      <c r="L1285" s="21" t="n"/>
      <c r="M1285" s="22" t="n"/>
      <c r="N1285" s="22" t="n">
        <v>164.52</v>
      </c>
      <c r="O1285" s="22" t="n">
        <v>25500600</v>
      </c>
      <c r="P1285" s="22" t="n">
        <v>164.52</v>
      </c>
      <c r="Q1285" s="22" t="n">
        <v>25500600</v>
      </c>
      <c r="R1285" s="42">
        <f>+L1285+N1285-P1285</f>
        <v/>
      </c>
      <c r="S1285" s="42">
        <f>+M1285+O1285-Q1285</f>
        <v/>
      </c>
    </row>
    <row r="1286" ht="15" customHeight="1">
      <c r="A1286" s="16" t="n">
        <v>45762</v>
      </c>
      <c r="B1286" s="17" t="inlineStr">
        <is>
          <t>MH2504-42</t>
        </is>
      </c>
      <c r="C1286" s="16" t="n">
        <v>45762</v>
      </c>
      <c r="D1286" s="17" t="inlineStr">
        <is>
          <t>00003452</t>
        </is>
      </c>
      <c r="E1286" s="16" t="n">
        <v>45762</v>
      </c>
      <c r="F1286" s="16" t="inlineStr">
        <is>
          <t>XK2504-14</t>
        </is>
      </c>
      <c r="G1286" s="16" t="n">
        <v>45762</v>
      </c>
      <c r="H1286" s="17" t="inlineStr">
        <is>
          <t>CÔNG TY TNHH SƠN JOTUN VIỆT NAM</t>
        </is>
      </c>
      <c r="I1286" s="17" t="inlineStr">
        <is>
          <t>SƠN FUTURA CLASSIC STD4067 4.57L</t>
        </is>
      </c>
      <c r="J1286" s="17" t="inlineStr">
        <is>
          <t>Lít</t>
        </is>
      </c>
      <c r="K1286" s="19" t="n">
        <v>155000</v>
      </c>
      <c r="L1286" s="21" t="n"/>
      <c r="M1286" s="22" t="n"/>
      <c r="N1286" s="22" t="n">
        <v>9.140000000000001</v>
      </c>
      <c r="O1286" s="22" t="n">
        <v>1416700</v>
      </c>
      <c r="P1286" s="22" t="n">
        <v>9.140000000000001</v>
      </c>
      <c r="Q1286" s="22" t="n">
        <v>1416700</v>
      </c>
      <c r="R1286" s="42">
        <f>+L1286+N1286-P1286</f>
        <v/>
      </c>
      <c r="S1286" s="42">
        <f>+M1286+O1286-Q1286</f>
        <v/>
      </c>
    </row>
    <row r="1287" ht="15" customHeight="1">
      <c r="A1287" s="16" t="n">
        <v>45762</v>
      </c>
      <c r="B1287" s="17" t="inlineStr">
        <is>
          <t>MH2504-42</t>
        </is>
      </c>
      <c r="C1287" s="16" t="n">
        <v>45762</v>
      </c>
      <c r="D1287" s="17" t="inlineStr">
        <is>
          <t>00003452</t>
        </is>
      </c>
      <c r="E1287" s="16" t="n">
        <v>45762</v>
      </c>
      <c r="F1287" s="16" t="inlineStr">
        <is>
          <t>XK2504-14</t>
        </is>
      </c>
      <c r="G1287" s="16" t="n">
        <v>45762</v>
      </c>
      <c r="H1287" s="17" t="inlineStr">
        <is>
          <t>CÔNG TY TNHH SƠN JOTUN VIỆT NAM</t>
        </is>
      </c>
      <c r="I1287" s="17" t="inlineStr">
        <is>
          <t>DUNG MÔI JOTUN THINNER NO. 17 20L</t>
        </is>
      </c>
      <c r="J1287" s="17" t="inlineStr">
        <is>
          <t>Lít</t>
        </is>
      </c>
      <c r="K1287" s="19" t="n">
        <v>55000</v>
      </c>
      <c r="L1287" s="21" t="n"/>
      <c r="M1287" s="22" t="n"/>
      <c r="N1287" s="22" t="n">
        <v>20</v>
      </c>
      <c r="O1287" s="22" t="n">
        <v>1100000</v>
      </c>
      <c r="P1287" s="22" t="n">
        <v>20</v>
      </c>
      <c r="Q1287" s="22" t="n">
        <v>1100000</v>
      </c>
      <c r="R1287" s="42">
        <f>+L1287+N1287-P1287</f>
        <v/>
      </c>
      <c r="S1287" s="42">
        <f>+M1287+O1287-Q1287</f>
        <v/>
      </c>
    </row>
    <row r="1288" ht="15" customHeight="1">
      <c r="A1288" s="16" t="n">
        <v>45762</v>
      </c>
      <c r="B1288" s="17" t="inlineStr">
        <is>
          <t>MH2504-42</t>
        </is>
      </c>
      <c r="C1288" s="16" t="n">
        <v>45762</v>
      </c>
      <c r="D1288" s="17" t="inlineStr">
        <is>
          <t>00003452</t>
        </is>
      </c>
      <c r="E1288" s="16" t="n">
        <v>45762</v>
      </c>
      <c r="F1288" s="16" t="inlineStr">
        <is>
          <t>XK2504-14</t>
        </is>
      </c>
      <c r="G1288" s="16" t="n">
        <v>45762</v>
      </c>
      <c r="H1288" s="17" t="inlineStr">
        <is>
          <t>CÔNG TY TNHH SƠN JOTUN VIỆT NAM</t>
        </is>
      </c>
      <c r="I1288" s="17" t="inlineStr">
        <is>
          <t>DUNG MÔI JOTUN THINNER NO. 17 5L</t>
        </is>
      </c>
      <c r="J1288" s="17" t="inlineStr">
        <is>
          <t>Lít</t>
        </is>
      </c>
      <c r="K1288" s="19" t="n">
        <v>55000</v>
      </c>
      <c r="L1288" s="21" t="n"/>
      <c r="M1288" s="22" t="n"/>
      <c r="N1288" s="22" t="n">
        <v>5</v>
      </c>
      <c r="O1288" s="22" t="n">
        <v>275000</v>
      </c>
      <c r="P1288" s="22" t="n">
        <v>5</v>
      </c>
      <c r="Q1288" s="22" t="n">
        <v>275000</v>
      </c>
      <c r="R1288" s="42">
        <f>+L1288+N1288-P1288</f>
        <v/>
      </c>
      <c r="S1288" s="42">
        <f>+M1288+O1288-Q1288</f>
        <v/>
      </c>
    </row>
    <row r="1289" ht="15" customHeight="1">
      <c r="A1289" s="16" t="n">
        <v>45762</v>
      </c>
      <c r="B1289" s="17" t="inlineStr">
        <is>
          <t>MH2504-42</t>
        </is>
      </c>
      <c r="C1289" s="16" t="n">
        <v>45762</v>
      </c>
      <c r="D1289" s="17" t="inlineStr">
        <is>
          <t>00003452</t>
        </is>
      </c>
      <c r="E1289" s="16" t="n">
        <v>45762</v>
      </c>
      <c r="F1289" s="16" t="inlineStr">
        <is>
          <t>XK2504-14</t>
        </is>
      </c>
      <c r="G1289" s="16" t="n">
        <v>45762</v>
      </c>
      <c r="H1289" s="17" t="inlineStr">
        <is>
          <t>CÔNG TY TNHH SƠN JOTUN VIỆT NAM</t>
        </is>
      </c>
      <c r="I1289" s="17" t="inlineStr">
        <is>
          <t>DUNG MÔI JOTUN THINNER NO. 10 20L</t>
        </is>
      </c>
      <c r="J1289" s="17" t="inlineStr">
        <is>
          <t>Lít</t>
        </is>
      </c>
      <c r="K1289" s="19" t="n">
        <v>55000</v>
      </c>
      <c r="L1289" s="21" t="n"/>
      <c r="M1289" s="22" t="n"/>
      <c r="N1289" s="22" t="n">
        <v>20</v>
      </c>
      <c r="O1289" s="22" t="n">
        <v>1100000</v>
      </c>
      <c r="P1289" s="22" t="n">
        <v>20</v>
      </c>
      <c r="Q1289" s="22" t="n">
        <v>1100000</v>
      </c>
      <c r="R1289" s="42">
        <f>+L1289+N1289-P1289</f>
        <v/>
      </c>
      <c r="S1289" s="42">
        <f>+M1289+O1289-Q1289</f>
        <v/>
      </c>
    </row>
    <row r="1290" ht="15" customHeight="1">
      <c r="A1290" s="16" t="n">
        <v>45762</v>
      </c>
      <c r="B1290" s="17" t="inlineStr">
        <is>
          <t>MH2504-42</t>
        </is>
      </c>
      <c r="C1290" s="16" t="n">
        <v>45762</v>
      </c>
      <c r="D1290" s="17" t="inlineStr">
        <is>
          <t>00003452</t>
        </is>
      </c>
      <c r="E1290" s="16" t="n">
        <v>45762</v>
      </c>
      <c r="F1290" s="16" t="inlineStr">
        <is>
          <t>XK2504-14</t>
        </is>
      </c>
      <c r="G1290" s="16" t="n">
        <v>45762</v>
      </c>
      <c r="H1290" s="17" t="inlineStr">
        <is>
          <t>CÔNG TY TNHH SƠN JOTUN VIỆT NAM</t>
        </is>
      </c>
      <c r="I1290" s="17" t="inlineStr">
        <is>
          <t>DUNG MÔI JOTUN THINNER NO. 10 5L</t>
        </is>
      </c>
      <c r="J1290" s="17" t="inlineStr">
        <is>
          <t>Lít</t>
        </is>
      </c>
      <c r="K1290" s="19" t="n">
        <v>55000</v>
      </c>
      <c r="L1290" s="21" t="n"/>
      <c r="M1290" s="22" t="n"/>
      <c r="N1290" s="22" t="n">
        <v>5</v>
      </c>
      <c r="O1290" s="22" t="n">
        <v>275000</v>
      </c>
      <c r="P1290" s="22" t="n">
        <v>5</v>
      </c>
      <c r="Q1290" s="22" t="n">
        <v>275000</v>
      </c>
      <c r="R1290" s="42">
        <f>+L1290+N1290-P1290</f>
        <v/>
      </c>
      <c r="S1290" s="42">
        <f>+M1290+O1290-Q1290</f>
        <v/>
      </c>
    </row>
    <row r="1291" ht="30" customHeight="1">
      <c r="A1291" s="16" t="n">
        <v>45762</v>
      </c>
      <c r="B1291" s="17" t="inlineStr">
        <is>
          <t>MH2504-43</t>
        </is>
      </c>
      <c r="C1291" s="16" t="n">
        <v>45762</v>
      </c>
      <c r="D1291" s="17" t="inlineStr">
        <is>
          <t>00001720</t>
        </is>
      </c>
      <c r="E1291" s="16" t="n">
        <v>45762</v>
      </c>
      <c r="F1291" s="16" t="inlineStr">
        <is>
          <t>XK2504-15</t>
        </is>
      </c>
      <c r="G1291" s="16" t="n">
        <v>45762</v>
      </c>
      <c r="H1291" s="17" t="inlineStr">
        <is>
          <t>CÔNG TY TNHH MTV SẢN XUẤT THƯƠNG MẠI DỊCH VỤ THANH HUYỀN</t>
        </is>
      </c>
      <c r="I1291" s="17" t="inlineStr">
        <is>
          <t>Thép mạ kẽm chấn</t>
        </is>
      </c>
      <c r="J1291" s="17" t="inlineStr">
        <is>
          <t>kg</t>
        </is>
      </c>
      <c r="K1291" s="19" t="n">
        <v>21879.62</v>
      </c>
      <c r="L1291" s="21" t="n"/>
      <c r="M1291" s="22" t="n"/>
      <c r="N1291" s="22" t="n">
        <v>1402</v>
      </c>
      <c r="O1291" s="22" t="n">
        <v>30675224</v>
      </c>
      <c r="P1291" s="22" t="n">
        <v>1402</v>
      </c>
      <c r="Q1291" s="22" t="n">
        <v>30675224</v>
      </c>
      <c r="R1291" s="42">
        <f>+L1291+N1291-P1291</f>
        <v/>
      </c>
      <c r="S1291" s="42">
        <f>+M1291+O1291-Q1291</f>
        <v/>
      </c>
    </row>
    <row r="1292" ht="30" customHeight="1">
      <c r="A1292" s="16" t="n">
        <v>45762</v>
      </c>
      <c r="B1292" s="17" t="inlineStr">
        <is>
          <t>MH2504-43</t>
        </is>
      </c>
      <c r="C1292" s="16" t="n">
        <v>45762</v>
      </c>
      <c r="D1292" s="17" t="inlineStr">
        <is>
          <t>00001720</t>
        </is>
      </c>
      <c r="E1292" s="16" t="n">
        <v>45762</v>
      </c>
      <c r="F1292" s="16" t="inlineStr">
        <is>
          <t>XK2504-15</t>
        </is>
      </c>
      <c r="G1292" s="16" t="n">
        <v>45762</v>
      </c>
      <c r="H1292" s="17" t="inlineStr">
        <is>
          <t>CÔNG TY TNHH MTV SẢN XUẤT THƯƠNG MẠI DỊCH VỤ THANH HUYỀN</t>
        </is>
      </c>
      <c r="I1292" s="17" t="inlineStr">
        <is>
          <t>Xà gồ mạ kẽm</t>
        </is>
      </c>
      <c r="J1292" s="17" t="inlineStr">
        <is>
          <t>kg</t>
        </is>
      </c>
      <c r="K1292" s="19" t="n">
        <v>18455.29</v>
      </c>
      <c r="L1292" s="21" t="n"/>
      <c r="M1292" s="22" t="n"/>
      <c r="N1292" s="22" t="n">
        <v>2645</v>
      </c>
      <c r="O1292" s="22" t="n">
        <v>48814231</v>
      </c>
      <c r="P1292" s="22" t="n">
        <v>2645</v>
      </c>
      <c r="Q1292" s="22" t="n">
        <v>48814231</v>
      </c>
      <c r="R1292" s="42">
        <f>+L1292+N1292-P1292</f>
        <v/>
      </c>
      <c r="S1292" s="42">
        <f>+M1292+O1292-Q1292</f>
        <v/>
      </c>
    </row>
    <row r="1293" ht="30" customHeight="1">
      <c r="A1293" s="16" t="n">
        <v>45762</v>
      </c>
      <c r="B1293" s="17" t="inlineStr">
        <is>
          <t>MH2504-43</t>
        </is>
      </c>
      <c r="C1293" s="16" t="n">
        <v>45762</v>
      </c>
      <c r="D1293" s="17" t="inlineStr">
        <is>
          <t>00001720</t>
        </is>
      </c>
      <c r="E1293" s="16" t="n">
        <v>45762</v>
      </c>
      <c r="F1293" s="16" t="inlineStr">
        <is>
          <t>XK2504-15</t>
        </is>
      </c>
      <c r="G1293" s="16" t="n">
        <v>45762</v>
      </c>
      <c r="H1293" s="17" t="inlineStr">
        <is>
          <t>CÔNG TY TNHH MTV SẢN XUẤT THƯƠNG MẠI DỊCH VỤ THANH HUYỀN</t>
        </is>
      </c>
      <c r="I1293" s="17" t="inlineStr">
        <is>
          <t>Thép dày mạ kẽm</t>
        </is>
      </c>
      <c r="J1293" s="17" t="inlineStr">
        <is>
          <t>kg</t>
        </is>
      </c>
      <c r="K1293" s="19" t="n">
        <v>16445.21</v>
      </c>
      <c r="L1293" s="21" t="n"/>
      <c r="M1293" s="22" t="n"/>
      <c r="N1293" s="22" t="n">
        <v>9926</v>
      </c>
      <c r="O1293" s="22" t="n">
        <v>163235115</v>
      </c>
      <c r="P1293" s="22" t="n">
        <v>9926</v>
      </c>
      <c r="Q1293" s="22" t="n">
        <v>163235115</v>
      </c>
      <c r="R1293" s="42">
        <f>+L1293+N1293-P1293</f>
        <v/>
      </c>
      <c r="S1293" s="42">
        <f>+M1293+O1293-Q1293</f>
        <v/>
      </c>
    </row>
    <row r="1294" ht="15" customHeight="1">
      <c r="A1294" s="16" t="n">
        <v>45762</v>
      </c>
      <c r="B1294" s="17" t="inlineStr">
        <is>
          <t>MH2504-44</t>
        </is>
      </c>
      <c r="C1294" s="16" t="n">
        <v>45762</v>
      </c>
      <c r="D1294" s="17" t="inlineStr">
        <is>
          <t>00000091</t>
        </is>
      </c>
      <c r="E1294" s="16" t="n">
        <v>45762</v>
      </c>
      <c r="F1294" s="16" t="inlineStr">
        <is>
          <t>XK2504-16</t>
        </is>
      </c>
      <c r="G1294" s="16" t="n">
        <v>45762</v>
      </c>
      <c r="H1294" s="17" t="inlineStr">
        <is>
          <t>CÔNG TY TNHH CƠ KHÍ ĐỨC HIỆP</t>
        </is>
      </c>
      <c r="I1294" s="17" t="inlineStr">
        <is>
          <t>Bulong Neo I M24x530 DIN976 cấp bền 8.8 MDP 4E+1W</t>
        </is>
      </c>
      <c r="J1294" s="17" t="inlineStr">
        <is>
          <t>Cái</t>
        </is>
      </c>
      <c r="K1294" s="19" t="n">
        <v>74864</v>
      </c>
      <c r="L1294" s="21" t="n"/>
      <c r="M1294" s="22" t="n"/>
      <c r="N1294" s="22" t="n">
        <v>300</v>
      </c>
      <c r="O1294" s="22" t="n">
        <v>22459200</v>
      </c>
      <c r="P1294" s="22" t="n">
        <v>300</v>
      </c>
      <c r="Q1294" s="22" t="n">
        <v>22459200</v>
      </c>
      <c r="R1294" s="42">
        <f>+L1294+N1294-P1294</f>
        <v/>
      </c>
      <c r="S1294" s="42">
        <f>+M1294+O1294-Q1294</f>
        <v/>
      </c>
    </row>
    <row r="1295" ht="15" customHeight="1">
      <c r="A1295" s="16" t="n">
        <v>45762</v>
      </c>
      <c r="B1295" s="17" t="inlineStr">
        <is>
          <t>MH2504-44</t>
        </is>
      </c>
      <c r="C1295" s="16" t="n">
        <v>45762</v>
      </c>
      <c r="D1295" s="17" t="inlineStr">
        <is>
          <t>00000091</t>
        </is>
      </c>
      <c r="E1295" s="16" t="n">
        <v>45762</v>
      </c>
      <c r="F1295" s="16" t="inlineStr">
        <is>
          <t>XK2504-16</t>
        </is>
      </c>
      <c r="G1295" s="16" t="n">
        <v>45762</v>
      </c>
      <c r="H1295" s="17" t="inlineStr">
        <is>
          <t>CÔNG TY TNHH CƠ KHÍ ĐỨC HIỆP</t>
        </is>
      </c>
      <c r="I1295" s="17" t="inlineStr">
        <is>
          <t>Bulong Neo I M30x645 DIN976 cấp bền 8.8 MDP 4E+1W</t>
        </is>
      </c>
      <c r="J1295" s="17" t="inlineStr">
        <is>
          <t>Cái</t>
        </is>
      </c>
      <c r="K1295" s="19" t="n">
        <v>158364</v>
      </c>
      <c r="L1295" s="21" t="n"/>
      <c r="M1295" s="22" t="n"/>
      <c r="N1295" s="22" t="n">
        <v>1744</v>
      </c>
      <c r="O1295" s="22" t="n">
        <v>276186816</v>
      </c>
      <c r="P1295" s="22" t="n">
        <v>1744</v>
      </c>
      <c r="Q1295" s="22" t="n">
        <v>276186816</v>
      </c>
      <c r="R1295" s="42">
        <f>+L1295+N1295-P1295</f>
        <v/>
      </c>
      <c r="S1295" s="42">
        <f>+M1295+O1295-Q1295</f>
        <v/>
      </c>
    </row>
    <row r="1296" ht="15" customHeight="1">
      <c r="A1296" s="16" t="n">
        <v>45763</v>
      </c>
      <c r="B1296" s="17" t="inlineStr">
        <is>
          <t>MH2504-45</t>
        </is>
      </c>
      <c r="C1296" s="16" t="n">
        <v>45763</v>
      </c>
      <c r="D1296" s="17" t="inlineStr">
        <is>
          <t>958</t>
        </is>
      </c>
      <c r="E1296" s="16" t="n">
        <v>45763</v>
      </c>
      <c r="F1296" s="16" t="inlineStr">
        <is>
          <t>XK2504-17</t>
        </is>
      </c>
      <c r="G1296" s="16" t="n">
        <v>45763</v>
      </c>
      <c r="H1296" s="17" t="inlineStr">
        <is>
          <t>CÔNG TY TNHH THÉP IPC SÀI GÒN</t>
        </is>
      </c>
      <c r="I1296" s="17" t="inlineStr">
        <is>
          <t>Thép tấm gân  5x1500x6000</t>
        </is>
      </c>
      <c r="J1296" s="17" t="inlineStr">
        <is>
          <t>kg</t>
        </is>
      </c>
      <c r="K1296" s="19" t="n">
        <v>13409.09</v>
      </c>
      <c r="L1296" s="21" t="n"/>
      <c r="M1296" s="22" t="n"/>
      <c r="N1296" s="22" t="n">
        <v>2281.5</v>
      </c>
      <c r="O1296" s="22" t="n">
        <v>30592839</v>
      </c>
      <c r="P1296" s="22" t="n">
        <v>2281.5</v>
      </c>
      <c r="Q1296" s="22" t="n">
        <v>30592839</v>
      </c>
      <c r="R1296" s="42">
        <f>+L1296+N1296-P1296</f>
        <v/>
      </c>
      <c r="S1296" s="42">
        <f>+M1296+O1296-Q1296</f>
        <v/>
      </c>
    </row>
    <row r="1297" ht="15" customHeight="1">
      <c r="A1297" s="16" t="n">
        <v>45763</v>
      </c>
      <c r="B1297" s="17" t="inlineStr">
        <is>
          <t>MH2504-45</t>
        </is>
      </c>
      <c r="C1297" s="16" t="n">
        <v>45763</v>
      </c>
      <c r="D1297" s="17" t="inlineStr">
        <is>
          <t>958</t>
        </is>
      </c>
      <c r="E1297" s="16" t="n">
        <v>45763</v>
      </c>
      <c r="F1297" s="16" t="inlineStr">
        <is>
          <t>XK2504-17</t>
        </is>
      </c>
      <c r="G1297" s="16" t="n">
        <v>45763</v>
      </c>
      <c r="H1297" s="17" t="inlineStr">
        <is>
          <t>CÔNG TY TNHH THÉP IPC SÀI GÒN</t>
        </is>
      </c>
      <c r="I1297" s="17" t="inlineStr">
        <is>
          <t>Thép tấm 5x2000x6000</t>
        </is>
      </c>
      <c r="J1297" s="17" t="inlineStr">
        <is>
          <t>kg</t>
        </is>
      </c>
      <c r="K1297" s="19" t="n">
        <v>13772.73</v>
      </c>
      <c r="L1297" s="21" t="n"/>
      <c r="M1297" s="22" t="n"/>
      <c r="N1297" s="22" t="n">
        <v>4239</v>
      </c>
      <c r="O1297" s="22" t="n">
        <v>58382602</v>
      </c>
      <c r="P1297" s="22" t="n">
        <v>4239</v>
      </c>
      <c r="Q1297" s="22" t="n">
        <v>58382602</v>
      </c>
      <c r="R1297" s="42">
        <f>+L1297+N1297-P1297</f>
        <v/>
      </c>
      <c r="S1297" s="42">
        <f>+M1297+O1297-Q1297</f>
        <v/>
      </c>
    </row>
    <row r="1298" ht="15" customHeight="1">
      <c r="A1298" s="16" t="n">
        <v>45763</v>
      </c>
      <c r="B1298" s="17" t="inlineStr">
        <is>
          <t>MH2504-45</t>
        </is>
      </c>
      <c r="C1298" s="16" t="n">
        <v>45763</v>
      </c>
      <c r="D1298" s="17" t="inlineStr">
        <is>
          <t>958</t>
        </is>
      </c>
      <c r="E1298" s="16" t="n">
        <v>45763</v>
      </c>
      <c r="F1298" s="16" t="inlineStr">
        <is>
          <t>XK2504-17</t>
        </is>
      </c>
      <c r="G1298" s="16" t="n">
        <v>45763</v>
      </c>
      <c r="H1298" s="17" t="inlineStr">
        <is>
          <t>CÔNG TY TNHH THÉP IPC SÀI GÒN</t>
        </is>
      </c>
      <c r="I1298" s="17" t="inlineStr">
        <is>
          <t>Thép tấm 6x2000x12000</t>
        </is>
      </c>
      <c r="J1298" s="17" t="inlineStr">
        <is>
          <t>kg</t>
        </is>
      </c>
      <c r="K1298" s="19" t="n">
        <v>13772.73</v>
      </c>
      <c r="L1298" s="21" t="n"/>
      <c r="M1298" s="22" t="n"/>
      <c r="N1298" s="22" t="n">
        <v>7912.8</v>
      </c>
      <c r="O1298" s="22" t="n">
        <v>108980858</v>
      </c>
      <c r="P1298" s="22" t="n">
        <v>7912.8</v>
      </c>
      <c r="Q1298" s="22" t="n">
        <v>108980858</v>
      </c>
      <c r="R1298" s="42">
        <f>+L1298+N1298-P1298</f>
        <v/>
      </c>
      <c r="S1298" s="42">
        <f>+M1298+O1298-Q1298</f>
        <v/>
      </c>
    </row>
    <row r="1299" ht="15" customHeight="1">
      <c r="A1299" s="16" t="n">
        <v>45763</v>
      </c>
      <c r="B1299" s="17" t="inlineStr">
        <is>
          <t>MH2504-45</t>
        </is>
      </c>
      <c r="C1299" s="16" t="n">
        <v>45763</v>
      </c>
      <c r="D1299" s="17" t="inlineStr">
        <is>
          <t>958</t>
        </is>
      </c>
      <c r="E1299" s="16" t="n">
        <v>45763</v>
      </c>
      <c r="F1299" s="16" t="inlineStr">
        <is>
          <t>XK2504-17</t>
        </is>
      </c>
      <c r="G1299" s="16" t="n">
        <v>45763</v>
      </c>
      <c r="H1299" s="17" t="inlineStr">
        <is>
          <t>CÔNG TY TNHH THÉP IPC SÀI GÒN</t>
        </is>
      </c>
      <c r="I1299" s="17" t="inlineStr">
        <is>
          <t>Thép tấm 8x2000x12000</t>
        </is>
      </c>
      <c r="J1299" s="17" t="inlineStr">
        <is>
          <t>kg</t>
        </is>
      </c>
      <c r="K1299" s="19" t="n">
        <v>13772.73</v>
      </c>
      <c r="L1299" s="21" t="n"/>
      <c r="M1299" s="22" t="n"/>
      <c r="N1299" s="22" t="n">
        <v>7536</v>
      </c>
      <c r="O1299" s="22" t="n">
        <v>103791293</v>
      </c>
      <c r="P1299" s="22" t="n">
        <v>7536</v>
      </c>
      <c r="Q1299" s="22" t="n">
        <v>103791293</v>
      </c>
      <c r="R1299" s="42">
        <f>+L1299+N1299-P1299</f>
        <v/>
      </c>
      <c r="S1299" s="42">
        <f>+M1299+O1299-Q1299</f>
        <v/>
      </c>
    </row>
    <row r="1300" ht="15" customHeight="1">
      <c r="A1300" s="16" t="n">
        <v>45763</v>
      </c>
      <c r="B1300" s="17" t="inlineStr">
        <is>
          <t>MH2504-45</t>
        </is>
      </c>
      <c r="C1300" s="16" t="n">
        <v>45763</v>
      </c>
      <c r="D1300" s="17" t="inlineStr">
        <is>
          <t>958</t>
        </is>
      </c>
      <c r="E1300" s="16" t="n">
        <v>45763</v>
      </c>
      <c r="F1300" s="16" t="inlineStr">
        <is>
          <t>XK2504-17</t>
        </is>
      </c>
      <c r="G1300" s="16" t="n">
        <v>45763</v>
      </c>
      <c r="H1300" s="17" t="inlineStr">
        <is>
          <t>CÔNG TY TNHH THÉP IPC SÀI GÒN</t>
        </is>
      </c>
      <c r="I1300" s="17" t="inlineStr">
        <is>
          <t>Thép tấm 10x2000x12000</t>
        </is>
      </c>
      <c r="J1300" s="17" t="inlineStr">
        <is>
          <t>kg</t>
        </is>
      </c>
      <c r="K1300" s="19" t="n">
        <v>13772.73</v>
      </c>
      <c r="L1300" s="21" t="n"/>
      <c r="M1300" s="22" t="n"/>
      <c r="N1300" s="22" t="n">
        <v>22608</v>
      </c>
      <c r="O1300" s="22" t="n">
        <v>311373880</v>
      </c>
      <c r="P1300" s="22" t="n">
        <v>22608</v>
      </c>
      <c r="Q1300" s="22" t="n">
        <v>311373880</v>
      </c>
      <c r="R1300" s="42">
        <f>+L1300+N1300-P1300</f>
        <v/>
      </c>
      <c r="S1300" s="42">
        <f>+M1300+O1300-Q1300</f>
        <v/>
      </c>
    </row>
    <row r="1301" ht="15" customHeight="1">
      <c r="A1301" s="16" t="n">
        <v>45763</v>
      </c>
      <c r="B1301" s="17" t="inlineStr">
        <is>
          <t>MH2504-45</t>
        </is>
      </c>
      <c r="C1301" s="16" t="n">
        <v>45763</v>
      </c>
      <c r="D1301" s="17" t="inlineStr">
        <is>
          <t>958</t>
        </is>
      </c>
      <c r="E1301" s="16" t="n">
        <v>45763</v>
      </c>
      <c r="F1301" s="16" t="inlineStr">
        <is>
          <t>XK2504-17</t>
        </is>
      </c>
      <c r="G1301" s="16" t="n">
        <v>45763</v>
      </c>
      <c r="H1301" s="17" t="inlineStr">
        <is>
          <t>CÔNG TY TNHH THÉP IPC SÀI GÒN</t>
        </is>
      </c>
      <c r="I1301" s="17" t="inlineStr">
        <is>
          <t>Thép tấm 12x2000x12000</t>
        </is>
      </c>
      <c r="J1301" s="17" t="inlineStr">
        <is>
          <t>kg</t>
        </is>
      </c>
      <c r="K1301" s="19" t="n">
        <v>13772.73</v>
      </c>
      <c r="L1301" s="21" t="n"/>
      <c r="M1301" s="22" t="n"/>
      <c r="N1301" s="22" t="n">
        <v>11304</v>
      </c>
      <c r="O1301" s="22" t="n">
        <v>155686940</v>
      </c>
      <c r="P1301" s="22" t="n">
        <v>11304</v>
      </c>
      <c r="Q1301" s="22" t="n">
        <v>155686940</v>
      </c>
      <c r="R1301" s="42">
        <f>+L1301+N1301-P1301</f>
        <v/>
      </c>
      <c r="S1301" s="42">
        <f>+M1301+O1301-Q1301</f>
        <v/>
      </c>
    </row>
    <row r="1302" ht="15" customHeight="1">
      <c r="A1302" s="16" t="n">
        <v>45763</v>
      </c>
      <c r="B1302" s="17" t="inlineStr">
        <is>
          <t>MH2504-45</t>
        </is>
      </c>
      <c r="C1302" s="16" t="n">
        <v>45763</v>
      </c>
      <c r="D1302" s="17" t="inlineStr">
        <is>
          <t>958</t>
        </is>
      </c>
      <c r="E1302" s="16" t="n">
        <v>45763</v>
      </c>
      <c r="F1302" s="16" t="inlineStr">
        <is>
          <t>XK2504-17</t>
        </is>
      </c>
      <c r="G1302" s="16" t="n">
        <v>45763</v>
      </c>
      <c r="H1302" s="17" t="inlineStr">
        <is>
          <t>CÔNG TY TNHH THÉP IPC SÀI GÒN</t>
        </is>
      </c>
      <c r="I1302" s="17" t="inlineStr">
        <is>
          <t>Thép tấm 14x2000x12000</t>
        </is>
      </c>
      <c r="J1302" s="17" t="inlineStr">
        <is>
          <t>kg</t>
        </is>
      </c>
      <c r="K1302" s="19" t="n">
        <v>14545.45</v>
      </c>
      <c r="L1302" s="21" t="n"/>
      <c r="M1302" s="22" t="n"/>
      <c r="N1302" s="22" t="n">
        <v>18463.2</v>
      </c>
      <c r="O1302" s="22" t="n">
        <v>268555552</v>
      </c>
      <c r="P1302" s="22" t="n">
        <v>18463.2</v>
      </c>
      <c r="Q1302" s="22" t="n">
        <v>268555552</v>
      </c>
      <c r="R1302" s="42">
        <f>+L1302+N1302-P1302</f>
        <v/>
      </c>
      <c r="S1302" s="42">
        <f>+M1302+O1302-Q1302</f>
        <v/>
      </c>
    </row>
    <row r="1303" ht="15" customHeight="1">
      <c r="A1303" s="16" t="n">
        <v>45763</v>
      </c>
      <c r="B1303" s="17" t="inlineStr">
        <is>
          <t>MH2504-45</t>
        </is>
      </c>
      <c r="C1303" s="16" t="n">
        <v>45763</v>
      </c>
      <c r="D1303" s="17" t="inlineStr">
        <is>
          <t>958</t>
        </is>
      </c>
      <c r="E1303" s="16" t="n">
        <v>45763</v>
      </c>
      <c r="F1303" s="16" t="inlineStr">
        <is>
          <t>XK2504-17</t>
        </is>
      </c>
      <c r="G1303" s="16" t="n">
        <v>45763</v>
      </c>
      <c r="H1303" s="17" t="inlineStr">
        <is>
          <t>CÔNG TY TNHH THÉP IPC SÀI GÒN</t>
        </is>
      </c>
      <c r="I1303" s="17" t="inlineStr">
        <is>
          <t>Thép tấm 16x2000x12000</t>
        </is>
      </c>
      <c r="J1303" s="17" t="inlineStr">
        <is>
          <t>kg</t>
        </is>
      </c>
      <c r="K1303" s="19" t="n">
        <v>14545.45</v>
      </c>
      <c r="L1303" s="21" t="n"/>
      <c r="M1303" s="22" t="n"/>
      <c r="N1303" s="22" t="n">
        <v>15072</v>
      </c>
      <c r="O1303" s="22" t="n">
        <v>219229022</v>
      </c>
      <c r="P1303" s="22" t="n">
        <v>15072</v>
      </c>
      <c r="Q1303" s="22" t="n">
        <v>219229022</v>
      </c>
      <c r="R1303" s="42">
        <f>+L1303+N1303-P1303</f>
        <v/>
      </c>
      <c r="S1303" s="42">
        <f>+M1303+O1303-Q1303</f>
        <v/>
      </c>
    </row>
    <row r="1304" ht="15" customHeight="1">
      <c r="A1304" s="16" t="n">
        <v>45763</v>
      </c>
      <c r="B1304" s="17" t="inlineStr">
        <is>
          <t>MH2504-45</t>
        </is>
      </c>
      <c r="C1304" s="16" t="n">
        <v>45763</v>
      </c>
      <c r="D1304" s="17" t="inlineStr">
        <is>
          <t>958</t>
        </is>
      </c>
      <c r="E1304" s="16" t="n">
        <v>45763</v>
      </c>
      <c r="F1304" s="16" t="inlineStr">
        <is>
          <t>XK2504-17</t>
        </is>
      </c>
      <c r="G1304" s="16" t="n">
        <v>45763</v>
      </c>
      <c r="H1304" s="17" t="inlineStr">
        <is>
          <t>CÔNG TY TNHH THÉP IPC SÀI GÒN</t>
        </is>
      </c>
      <c r="I1304" s="17" t="inlineStr">
        <is>
          <t>Thép hình  V100x100x8x6000</t>
        </is>
      </c>
      <c r="J1304" s="17" t="inlineStr">
        <is>
          <t>kg</t>
        </is>
      </c>
      <c r="K1304" s="19" t="n">
        <v>15500</v>
      </c>
      <c r="L1304" s="21" t="n"/>
      <c r="M1304" s="22" t="n"/>
      <c r="N1304" s="22" t="n">
        <v>292.8</v>
      </c>
      <c r="O1304" s="22" t="n">
        <v>4538400</v>
      </c>
      <c r="P1304" s="22" t="n">
        <v>292.8</v>
      </c>
      <c r="Q1304" s="22" t="n">
        <v>4538400</v>
      </c>
      <c r="R1304" s="42">
        <f>+L1304+N1304-P1304</f>
        <v/>
      </c>
      <c r="S1304" s="42">
        <f>+M1304+O1304-Q1304</f>
        <v/>
      </c>
    </row>
    <row r="1305" ht="30" customHeight="1">
      <c r="A1305" s="16" t="n">
        <v>45763</v>
      </c>
      <c r="B1305" s="17" t="inlineStr">
        <is>
          <t>MH2504-46</t>
        </is>
      </c>
      <c r="C1305" s="16" t="n">
        <v>45763</v>
      </c>
      <c r="D1305" s="17" t="inlineStr">
        <is>
          <t>00001319</t>
        </is>
      </c>
      <c r="E1305" s="16" t="n">
        <v>45763</v>
      </c>
      <c r="F1305" s="16" t="inlineStr">
        <is>
          <t>XK2504-18</t>
        </is>
      </c>
      <c r="G1305" s="16" t="n">
        <v>45763</v>
      </c>
      <c r="H1305" s="17" t="inlineStr">
        <is>
          <t>CÔNG TY CỔ PHẦN CÔNG NGHIỆP VÀ THƯƠNG MẠI CƯỜNG THỊNH</t>
        </is>
      </c>
      <c r="I1305" s="17" t="inlineStr">
        <is>
          <t>Bulong thường 4.6 ZP M12x40</t>
        </is>
      </c>
      <c r="J1305" s="17" t="inlineStr">
        <is>
          <t>Cái</t>
        </is>
      </c>
      <c r="K1305" s="19" t="n">
        <v>1100</v>
      </c>
      <c r="L1305" s="21" t="n"/>
      <c r="M1305" s="22" t="n"/>
      <c r="N1305" s="22" t="n">
        <v>417</v>
      </c>
      <c r="O1305" s="22" t="n">
        <v>458700</v>
      </c>
      <c r="P1305" s="22" t="n">
        <v>417</v>
      </c>
      <c r="Q1305" s="22" t="n">
        <v>458700</v>
      </c>
      <c r="R1305" s="42">
        <f>+L1305+N1305-P1305</f>
        <v/>
      </c>
      <c r="S1305" s="42">
        <f>+M1305+O1305-Q1305</f>
        <v/>
      </c>
    </row>
    <row r="1306" ht="30" customHeight="1">
      <c r="A1306" s="16" t="n">
        <v>45763</v>
      </c>
      <c r="B1306" s="17" t="inlineStr">
        <is>
          <t>MH2504-46</t>
        </is>
      </c>
      <c r="C1306" s="16" t="n">
        <v>45763</v>
      </c>
      <c r="D1306" s="17" t="inlineStr">
        <is>
          <t>00001319</t>
        </is>
      </c>
      <c r="E1306" s="16" t="n">
        <v>45763</v>
      </c>
      <c r="F1306" s="16" t="inlineStr">
        <is>
          <t>XK2504-18</t>
        </is>
      </c>
      <c r="G1306" s="16" t="n">
        <v>45763</v>
      </c>
      <c r="H1306" s="17" t="inlineStr">
        <is>
          <t>CÔNG TY CỔ PHẦN CÔNG NGHIỆP VÀ THƯƠNG MẠI CƯỜNG THỊNH</t>
        </is>
      </c>
      <c r="I1306" s="17" t="inlineStr">
        <is>
          <t>Bulong Din 933 8.8 ZP M16x50</t>
        </is>
      </c>
      <c r="J1306" s="17" t="inlineStr">
        <is>
          <t>Cái</t>
        </is>
      </c>
      <c r="K1306" s="19" t="n">
        <v>3470</v>
      </c>
      <c r="L1306" s="21" t="n"/>
      <c r="M1306" s="22" t="n"/>
      <c r="N1306" s="22" t="n">
        <v>371</v>
      </c>
      <c r="O1306" s="22" t="n">
        <v>1287370</v>
      </c>
      <c r="P1306" s="22" t="n">
        <v>371</v>
      </c>
      <c r="Q1306" s="22" t="n">
        <v>1287370</v>
      </c>
      <c r="R1306" s="42">
        <f>+L1306+N1306-P1306</f>
        <v/>
      </c>
      <c r="S1306" s="42">
        <f>+M1306+O1306-Q1306</f>
        <v/>
      </c>
    </row>
    <row r="1307" ht="30" customHeight="1">
      <c r="A1307" s="16" t="n">
        <v>45763</v>
      </c>
      <c r="B1307" s="17" t="inlineStr">
        <is>
          <t>MH2504-46</t>
        </is>
      </c>
      <c r="C1307" s="16" t="n">
        <v>45763</v>
      </c>
      <c r="D1307" s="17" t="inlineStr">
        <is>
          <t>00001319</t>
        </is>
      </c>
      <c r="E1307" s="16" t="n">
        <v>45763</v>
      </c>
      <c r="F1307" s="16" t="inlineStr">
        <is>
          <t>XK2504-18</t>
        </is>
      </c>
      <c r="G1307" s="16" t="n">
        <v>45763</v>
      </c>
      <c r="H1307" s="17" t="inlineStr">
        <is>
          <t>CÔNG TY CỔ PHẦN CÔNG NGHIỆP VÀ THƯƠNG MẠI CƯỜNG THỊNH</t>
        </is>
      </c>
      <c r="I1307" s="17" t="inlineStr">
        <is>
          <t>Bulong Din 933 8.8 ZP M20x60</t>
        </is>
      </c>
      <c r="J1307" s="17" t="inlineStr">
        <is>
          <t>Cái</t>
        </is>
      </c>
      <c r="K1307" s="19" t="n">
        <v>6440</v>
      </c>
      <c r="L1307" s="21" t="n"/>
      <c r="M1307" s="22" t="n"/>
      <c r="N1307" s="22" t="n">
        <v>243</v>
      </c>
      <c r="O1307" s="22" t="n">
        <v>1564920</v>
      </c>
      <c r="P1307" s="22" t="n">
        <v>243</v>
      </c>
      <c r="Q1307" s="22" t="n">
        <v>1564920</v>
      </c>
      <c r="R1307" s="42">
        <f>+L1307+N1307-P1307</f>
        <v/>
      </c>
      <c r="S1307" s="42">
        <f>+M1307+O1307-Q1307</f>
        <v/>
      </c>
    </row>
    <row r="1308" ht="30" customHeight="1">
      <c r="A1308" s="16" t="n">
        <v>45763</v>
      </c>
      <c r="B1308" s="17" t="inlineStr">
        <is>
          <t>MH2504-46</t>
        </is>
      </c>
      <c r="C1308" s="16" t="n">
        <v>45763</v>
      </c>
      <c r="D1308" s="17" t="inlineStr">
        <is>
          <t>00001319</t>
        </is>
      </c>
      <c r="E1308" s="16" t="n">
        <v>45763</v>
      </c>
      <c r="F1308" s="16" t="inlineStr">
        <is>
          <t>XK2504-18</t>
        </is>
      </c>
      <c r="G1308" s="16" t="n">
        <v>45763</v>
      </c>
      <c r="H1308" s="17" t="inlineStr">
        <is>
          <t>CÔNG TY CỔ PHẦN CÔNG NGHIỆP VÀ THƯƠNG MẠI CƯỜNG THỊNH</t>
        </is>
      </c>
      <c r="I1308" s="17" t="inlineStr">
        <is>
          <t>Đai ốc thường 4 ZP M12 (8mm)</t>
        </is>
      </c>
      <c r="J1308" s="17" t="inlineStr">
        <is>
          <t>Cái</t>
        </is>
      </c>
      <c r="K1308" s="19" t="n">
        <v>410</v>
      </c>
      <c r="L1308" s="21" t="n"/>
      <c r="M1308" s="22" t="n"/>
      <c r="N1308" s="22" t="n">
        <v>417</v>
      </c>
      <c r="O1308" s="22" t="n">
        <v>170970</v>
      </c>
      <c r="P1308" s="22" t="n">
        <v>417</v>
      </c>
      <c r="Q1308" s="22" t="n">
        <v>170970</v>
      </c>
      <c r="R1308" s="42">
        <f>+L1308+N1308-P1308</f>
        <v/>
      </c>
      <c r="S1308" s="42">
        <f>+M1308+O1308-Q1308</f>
        <v/>
      </c>
    </row>
    <row r="1309" ht="30" customHeight="1">
      <c r="A1309" s="16" t="n">
        <v>45763</v>
      </c>
      <c r="B1309" s="17" t="inlineStr">
        <is>
          <t>MH2504-46</t>
        </is>
      </c>
      <c r="C1309" s="16" t="n">
        <v>45763</v>
      </c>
      <c r="D1309" s="17" t="inlineStr">
        <is>
          <t>00001319</t>
        </is>
      </c>
      <c r="E1309" s="16" t="n">
        <v>45763</v>
      </c>
      <c r="F1309" s="16" t="inlineStr">
        <is>
          <t>XK2504-18</t>
        </is>
      </c>
      <c r="G1309" s="16" t="n">
        <v>45763</v>
      </c>
      <c r="H1309" s="17" t="inlineStr">
        <is>
          <t>CÔNG TY CỔ PHẦN CÔNG NGHIỆP VÀ THƯƠNG MẠI CƯỜNG THỊNH</t>
        </is>
      </c>
      <c r="I1309" s="17" t="inlineStr">
        <is>
          <t>Đai ốc Din 934 8 ZP M16</t>
        </is>
      </c>
      <c r="J1309" s="17" t="inlineStr">
        <is>
          <t>Cái</t>
        </is>
      </c>
      <c r="K1309" s="19" t="n">
        <v>1090</v>
      </c>
      <c r="L1309" s="21" t="n"/>
      <c r="M1309" s="22" t="n"/>
      <c r="N1309" s="22" t="n">
        <v>371</v>
      </c>
      <c r="O1309" s="22" t="n">
        <v>404390</v>
      </c>
      <c r="P1309" s="22" t="n">
        <v>371</v>
      </c>
      <c r="Q1309" s="22" t="n">
        <v>404390</v>
      </c>
      <c r="R1309" s="42">
        <f>+L1309+N1309-P1309</f>
        <v/>
      </c>
      <c r="S1309" s="42">
        <f>+M1309+O1309-Q1309</f>
        <v/>
      </c>
    </row>
    <row r="1310" ht="30" customHeight="1">
      <c r="A1310" s="16" t="n">
        <v>45763</v>
      </c>
      <c r="B1310" s="17" t="inlineStr">
        <is>
          <t>MH2504-46</t>
        </is>
      </c>
      <c r="C1310" s="16" t="n">
        <v>45763</v>
      </c>
      <c r="D1310" s="17" t="inlineStr">
        <is>
          <t>00001319</t>
        </is>
      </c>
      <c r="E1310" s="16" t="n">
        <v>45763</v>
      </c>
      <c r="F1310" s="16" t="inlineStr">
        <is>
          <t>XK2504-18</t>
        </is>
      </c>
      <c r="G1310" s="16" t="n">
        <v>45763</v>
      </c>
      <c r="H1310" s="17" t="inlineStr">
        <is>
          <t>CÔNG TY CỔ PHẦN CÔNG NGHIỆP VÀ THƯƠNG MẠI CƯỜNG THỊNH</t>
        </is>
      </c>
      <c r="I1310" s="17" t="inlineStr">
        <is>
          <t>Đai ốc Din 934 8 ZP M20</t>
        </is>
      </c>
      <c r="J1310" s="17" t="inlineStr">
        <is>
          <t>Cái</t>
        </is>
      </c>
      <c r="K1310" s="19" t="n">
        <v>2030</v>
      </c>
      <c r="L1310" s="21" t="n"/>
      <c r="M1310" s="22" t="n"/>
      <c r="N1310" s="22" t="n">
        <v>243</v>
      </c>
      <c r="O1310" s="22" t="n">
        <v>493290</v>
      </c>
      <c r="P1310" s="22" t="n">
        <v>243</v>
      </c>
      <c r="Q1310" s="22" t="n">
        <v>493290</v>
      </c>
      <c r="R1310" s="42">
        <f>+L1310+N1310-P1310</f>
        <v/>
      </c>
      <c r="S1310" s="42">
        <f>+M1310+O1310-Q1310</f>
        <v/>
      </c>
    </row>
    <row r="1311" ht="30" customHeight="1">
      <c r="A1311" s="16" t="n">
        <v>45763</v>
      </c>
      <c r="B1311" s="17" t="inlineStr">
        <is>
          <t>MH2504-46</t>
        </is>
      </c>
      <c r="C1311" s="16" t="n">
        <v>45763</v>
      </c>
      <c r="D1311" s="17" t="inlineStr">
        <is>
          <t>00001319</t>
        </is>
      </c>
      <c r="E1311" s="16" t="n">
        <v>45763</v>
      </c>
      <c r="F1311" s="16" t="inlineStr">
        <is>
          <t>XK2504-18</t>
        </is>
      </c>
      <c r="G1311" s="16" t="n">
        <v>45763</v>
      </c>
      <c r="H1311" s="17" t="inlineStr">
        <is>
          <t>CÔNG TY CỔ PHẦN CÔNG NGHIỆP VÀ THƯƠNG MẠI CƯỜNG THỊNH</t>
        </is>
      </c>
      <c r="I1311" s="17" t="inlineStr">
        <is>
          <t>Long đền thường ZP M12B23D1</t>
        </is>
      </c>
      <c r="J1311" s="17" t="inlineStr">
        <is>
          <t>Cái</t>
        </is>
      </c>
      <c r="K1311" s="19" t="n">
        <v>100</v>
      </c>
      <c r="L1311" s="21" t="n"/>
      <c r="M1311" s="22" t="n"/>
      <c r="N1311" s="22" t="n">
        <v>834</v>
      </c>
      <c r="O1311" s="22" t="n">
        <v>83400</v>
      </c>
      <c r="P1311" s="22" t="n">
        <v>834</v>
      </c>
      <c r="Q1311" s="22" t="n">
        <v>83400</v>
      </c>
      <c r="R1311" s="42">
        <f>+L1311+N1311-P1311</f>
        <v/>
      </c>
      <c r="S1311" s="42">
        <f>+M1311+O1311-Q1311</f>
        <v/>
      </c>
    </row>
    <row r="1312" ht="30" customHeight="1">
      <c r="A1312" s="16" t="n">
        <v>45763</v>
      </c>
      <c r="B1312" s="17" t="inlineStr">
        <is>
          <t>MH2504-46</t>
        </is>
      </c>
      <c r="C1312" s="16" t="n">
        <v>45763</v>
      </c>
      <c r="D1312" s="17" t="inlineStr">
        <is>
          <t>00001319</t>
        </is>
      </c>
      <c r="E1312" s="16" t="n">
        <v>45763</v>
      </c>
      <c r="F1312" s="16" t="inlineStr">
        <is>
          <t>XK2504-18</t>
        </is>
      </c>
      <c r="G1312" s="16" t="n">
        <v>45763</v>
      </c>
      <c r="H1312" s="17" t="inlineStr">
        <is>
          <t>CÔNG TY CỔ PHẦN CÔNG NGHIỆP VÀ THƯƠNG MẠI CƯỜNG THỊNH</t>
        </is>
      </c>
      <c r="I1312" s="17" t="inlineStr">
        <is>
          <t>Long đền thường ZP M16B30D2</t>
        </is>
      </c>
      <c r="J1312" s="17" t="inlineStr">
        <is>
          <t>Cái</t>
        </is>
      </c>
      <c r="K1312" s="19" t="n">
        <v>340</v>
      </c>
      <c r="L1312" s="21" t="n"/>
      <c r="M1312" s="22" t="n"/>
      <c r="N1312" s="22" t="n">
        <v>371</v>
      </c>
      <c r="O1312" s="22" t="n">
        <v>126140</v>
      </c>
      <c r="P1312" s="22" t="n">
        <v>371</v>
      </c>
      <c r="Q1312" s="22" t="n">
        <v>126140</v>
      </c>
      <c r="R1312" s="42">
        <f>+L1312+N1312-P1312</f>
        <v/>
      </c>
      <c r="S1312" s="42">
        <f>+M1312+O1312-Q1312</f>
        <v/>
      </c>
    </row>
    <row r="1313" ht="30" customHeight="1">
      <c r="A1313" s="16" t="n">
        <v>45763</v>
      </c>
      <c r="B1313" s="17" t="inlineStr">
        <is>
          <t>MH2504-46</t>
        </is>
      </c>
      <c r="C1313" s="16" t="n">
        <v>45763</v>
      </c>
      <c r="D1313" s="17" t="inlineStr">
        <is>
          <t>00001319</t>
        </is>
      </c>
      <c r="E1313" s="16" t="n">
        <v>45763</v>
      </c>
      <c r="F1313" s="16" t="inlineStr">
        <is>
          <t>XK2504-18</t>
        </is>
      </c>
      <c r="G1313" s="16" t="n">
        <v>45763</v>
      </c>
      <c r="H1313" s="17" t="inlineStr">
        <is>
          <t>CÔNG TY CỔ PHẦN CÔNG NGHIỆP VÀ THƯƠNG MẠI CƯỜNG THỊNH</t>
        </is>
      </c>
      <c r="I1313" s="17" t="inlineStr">
        <is>
          <t>Long đền thường ZP M20B35D2</t>
        </is>
      </c>
      <c r="J1313" s="17" t="inlineStr">
        <is>
          <t>Cái</t>
        </is>
      </c>
      <c r="K1313" s="19" t="n">
        <v>350</v>
      </c>
      <c r="L1313" s="21" t="n"/>
      <c r="M1313" s="22" t="n"/>
      <c r="N1313" s="22" t="n">
        <v>243</v>
      </c>
      <c r="O1313" s="22" t="n">
        <v>85050</v>
      </c>
      <c r="P1313" s="22" t="n">
        <v>243</v>
      </c>
      <c r="Q1313" s="22" t="n">
        <v>85050</v>
      </c>
      <c r="R1313" s="42">
        <f>+L1313+N1313-P1313</f>
        <v/>
      </c>
      <c r="S1313" s="42">
        <f>+M1313+O1313-Q1313</f>
        <v/>
      </c>
    </row>
    <row r="1314" ht="30" customHeight="1">
      <c r="A1314" s="16" t="n">
        <v>45763</v>
      </c>
      <c r="B1314" s="17" t="inlineStr">
        <is>
          <t>MH2504-46</t>
        </is>
      </c>
      <c r="C1314" s="16" t="n">
        <v>45763</v>
      </c>
      <c r="D1314" s="17" t="inlineStr">
        <is>
          <t>00001319</t>
        </is>
      </c>
      <c r="E1314" s="16" t="n">
        <v>45763</v>
      </c>
      <c r="F1314" s="16" t="inlineStr">
        <is>
          <t>XK2504-18</t>
        </is>
      </c>
      <c r="G1314" s="16" t="n">
        <v>45763</v>
      </c>
      <c r="H1314" s="17" t="inlineStr">
        <is>
          <t>CÔNG TY CỔ PHẦN CÔNG NGHIỆP VÀ THƯƠNG MẠI CƯỜNG THỊNH</t>
        </is>
      </c>
      <c r="I1314" s="17" t="inlineStr">
        <is>
          <t>Tắc kê ZP (Cr+6) M16x150</t>
        </is>
      </c>
      <c r="J1314" s="17" t="inlineStr">
        <is>
          <t>Cái</t>
        </is>
      </c>
      <c r="K1314" s="19" t="n">
        <v>13870</v>
      </c>
      <c r="L1314" s="21" t="n"/>
      <c r="M1314" s="22" t="n"/>
      <c r="N1314" s="22" t="n">
        <v>40</v>
      </c>
      <c r="O1314" s="22" t="n">
        <v>554800</v>
      </c>
      <c r="P1314" s="22" t="n">
        <v>40</v>
      </c>
      <c r="Q1314" s="22" t="n">
        <v>554800</v>
      </c>
      <c r="R1314" s="42">
        <f>+L1314+N1314-P1314</f>
        <v/>
      </c>
      <c r="S1314" s="42">
        <f>+M1314+O1314-Q1314</f>
        <v/>
      </c>
    </row>
    <row r="1315" ht="30" customHeight="1">
      <c r="A1315" s="16" t="n">
        <v>45763</v>
      </c>
      <c r="B1315" s="17" t="inlineStr">
        <is>
          <t>MH2504-47</t>
        </is>
      </c>
      <c r="C1315" s="16" t="n">
        <v>45763</v>
      </c>
      <c r="D1315" s="17" t="inlineStr">
        <is>
          <t>00001320</t>
        </is>
      </c>
      <c r="E1315" s="16" t="n">
        <v>45763</v>
      </c>
      <c r="F1315" s="16" t="inlineStr">
        <is>
          <t>XK2504-18</t>
        </is>
      </c>
      <c r="G1315" s="16" t="n">
        <v>45763</v>
      </c>
      <c r="H1315" s="17" t="inlineStr">
        <is>
          <t>CÔNG TY CỔ PHẦN CÔNG NGHIỆP VÀ THƯƠNG MẠI CƯỜNG THỊNH</t>
        </is>
      </c>
      <c r="I1315" s="17" t="inlineStr">
        <is>
          <t>Đai ốc Din 934 8 ZP M24</t>
        </is>
      </c>
      <c r="J1315" s="17" t="inlineStr">
        <is>
          <t>Cái</t>
        </is>
      </c>
      <c r="K1315" s="19" t="n">
        <v>3500</v>
      </c>
      <c r="L1315" s="21" t="n"/>
      <c r="M1315" s="22" t="n"/>
      <c r="N1315" s="22" t="n">
        <v>200</v>
      </c>
      <c r="O1315" s="22" t="n">
        <v>700000</v>
      </c>
      <c r="P1315" s="22" t="n">
        <v>200</v>
      </c>
      <c r="Q1315" s="22" t="n">
        <v>700000</v>
      </c>
      <c r="R1315" s="42">
        <f>+L1315+N1315-P1315</f>
        <v/>
      </c>
      <c r="S1315" s="42">
        <f>+M1315+O1315-Q1315</f>
        <v/>
      </c>
    </row>
    <row r="1316" ht="30" customHeight="1">
      <c r="A1316" s="16" t="n">
        <v>45763</v>
      </c>
      <c r="B1316" s="17" t="inlineStr">
        <is>
          <t>MH2504-48</t>
        </is>
      </c>
      <c r="C1316" s="16" t="n">
        <v>45763</v>
      </c>
      <c r="D1316" s="17" t="inlineStr">
        <is>
          <t>00000615</t>
        </is>
      </c>
      <c r="E1316" s="16" t="n">
        <v>45763</v>
      </c>
      <c r="F1316" s="16" t="inlineStr">
        <is>
          <t>XK2504-18</t>
        </is>
      </c>
      <c r="G1316" s="16" t="n">
        <v>45763</v>
      </c>
      <c r="H1316" s="17" t="inlineStr">
        <is>
          <t>CÔNG TY TNHH DỊCH VỤ - THƯƠNG MẠI THÉP THIÊN LONG</t>
        </is>
      </c>
      <c r="I1316" s="17" t="inlineStr">
        <is>
          <t>Thép hình U120</t>
        </is>
      </c>
      <c r="J1316" s="17" t="inlineStr">
        <is>
          <t>kg</t>
        </is>
      </c>
      <c r="K1316" s="19" t="n">
        <v>14181.81</v>
      </c>
      <c r="L1316" s="21" t="n"/>
      <c r="M1316" s="22" t="n"/>
      <c r="N1316" s="22" t="n">
        <v>111.6</v>
      </c>
      <c r="O1316" s="22" t="n">
        <v>1582690</v>
      </c>
      <c r="P1316" s="22" t="n">
        <v>111.6</v>
      </c>
      <c r="Q1316" s="22" t="n">
        <v>1582690</v>
      </c>
      <c r="R1316" s="42">
        <f>+L1316+N1316-P1316</f>
        <v/>
      </c>
      <c r="S1316" s="42">
        <f>+M1316+O1316-Q1316</f>
        <v/>
      </c>
    </row>
    <row r="1317" ht="30" customHeight="1">
      <c r="A1317" s="16" t="n">
        <v>45763</v>
      </c>
      <c r="B1317" s="17" t="inlineStr">
        <is>
          <t>MH2504-48</t>
        </is>
      </c>
      <c r="C1317" s="16" t="n">
        <v>45763</v>
      </c>
      <c r="D1317" s="17" t="inlineStr">
        <is>
          <t>00000615</t>
        </is>
      </c>
      <c r="E1317" s="16" t="n">
        <v>45763</v>
      </c>
      <c r="F1317" s="16" t="inlineStr">
        <is>
          <t>XK2504-18</t>
        </is>
      </c>
      <c r="G1317" s="16" t="n">
        <v>45763</v>
      </c>
      <c r="H1317" s="17" t="inlineStr">
        <is>
          <t>CÔNG TY TNHH DỊCH VỤ - THƯƠNG MẠI THÉP THIÊN LONG</t>
        </is>
      </c>
      <c r="I1317" s="17" t="inlineStr">
        <is>
          <t>Thép hình U250</t>
        </is>
      </c>
      <c r="J1317" s="17" t="inlineStr">
        <is>
          <t>kg</t>
        </is>
      </c>
      <c r="K1317" s="19" t="n">
        <v>14545.45</v>
      </c>
      <c r="L1317" s="21" t="n"/>
      <c r="M1317" s="22" t="n"/>
      <c r="N1317" s="22" t="n">
        <v>1973.52</v>
      </c>
      <c r="O1317" s="22" t="n">
        <v>28705736</v>
      </c>
      <c r="P1317" s="22" t="n">
        <v>1973.52</v>
      </c>
      <c r="Q1317" s="22" t="n">
        <v>28705736</v>
      </c>
      <c r="R1317" s="42">
        <f>+L1317+N1317-P1317</f>
        <v/>
      </c>
      <c r="S1317" s="42">
        <f>+M1317+O1317-Q1317</f>
        <v/>
      </c>
    </row>
    <row r="1318" ht="30" customHeight="1">
      <c r="A1318" s="16" t="n">
        <v>45763</v>
      </c>
      <c r="B1318" s="17" t="inlineStr">
        <is>
          <t>MH2504-48</t>
        </is>
      </c>
      <c r="C1318" s="16" t="n">
        <v>45763</v>
      </c>
      <c r="D1318" s="17" t="inlineStr">
        <is>
          <t>00000615</t>
        </is>
      </c>
      <c r="E1318" s="16" t="n">
        <v>45763</v>
      </c>
      <c r="F1318" s="16" t="inlineStr">
        <is>
          <t>XK2504-18</t>
        </is>
      </c>
      <c r="G1318" s="16" t="n">
        <v>45763</v>
      </c>
      <c r="H1318" s="17" t="inlineStr">
        <is>
          <t>CÔNG TY TNHH DỊCH VỤ - THƯƠNG MẠI THÉP THIÊN LONG</t>
        </is>
      </c>
      <c r="I1318" s="17" t="inlineStr">
        <is>
          <t>Thép góc V50</t>
        </is>
      </c>
      <c r="J1318" s="17" t="inlineStr">
        <is>
          <t>kg</t>
        </is>
      </c>
      <c r="K1318" s="19" t="n">
        <v>14454.54</v>
      </c>
      <c r="L1318" s="21" t="n"/>
      <c r="M1318" s="22" t="n"/>
      <c r="N1318" s="22" t="n">
        <v>110.16</v>
      </c>
      <c r="O1318" s="22" t="n">
        <v>1592312</v>
      </c>
      <c r="P1318" s="22" t="n">
        <v>110.16</v>
      </c>
      <c r="Q1318" s="22" t="n">
        <v>1592312</v>
      </c>
      <c r="R1318" s="42">
        <f>+L1318+N1318-P1318</f>
        <v/>
      </c>
      <c r="S1318" s="42">
        <f>+M1318+O1318-Q1318</f>
        <v/>
      </c>
    </row>
    <row r="1319" ht="30" customHeight="1">
      <c r="A1319" s="16" t="n">
        <v>45763</v>
      </c>
      <c r="B1319" s="17" t="inlineStr">
        <is>
          <t>MH2504-48</t>
        </is>
      </c>
      <c r="C1319" s="16" t="n">
        <v>45763</v>
      </c>
      <c r="D1319" s="17" t="inlineStr">
        <is>
          <t>00000615</t>
        </is>
      </c>
      <c r="E1319" s="16" t="n">
        <v>45763</v>
      </c>
      <c r="F1319" s="16" t="inlineStr">
        <is>
          <t>XK2504-18</t>
        </is>
      </c>
      <c r="G1319" s="16" t="n">
        <v>45763</v>
      </c>
      <c r="H1319" s="17" t="inlineStr">
        <is>
          <t>CÔNG TY TNHH DỊCH VỤ - THƯƠNG MẠI THÉP THIÊN LONG</t>
        </is>
      </c>
      <c r="I1319" s="17" t="inlineStr">
        <is>
          <t>Thép ống đen 26.65</t>
        </is>
      </c>
      <c r="J1319" s="17" t="inlineStr">
        <is>
          <t>kg</t>
        </is>
      </c>
      <c r="K1319" s="19" t="n">
        <v>16272.72</v>
      </c>
      <c r="L1319" s="21" t="n"/>
      <c r="M1319" s="22" t="n"/>
      <c r="N1319" s="22" t="n">
        <v>269.73</v>
      </c>
      <c r="O1319" s="22" t="n">
        <v>4389241</v>
      </c>
      <c r="P1319" s="22" t="n">
        <v>269.73</v>
      </c>
      <c r="Q1319" s="22" t="n">
        <v>4389241</v>
      </c>
      <c r="R1319" s="42">
        <f>+L1319+N1319-P1319</f>
        <v/>
      </c>
      <c r="S1319" s="42">
        <f>+M1319+O1319-Q1319</f>
        <v/>
      </c>
    </row>
    <row r="1320" ht="30" customHeight="1">
      <c r="A1320" s="16" t="n">
        <v>45763</v>
      </c>
      <c r="B1320" s="17" t="inlineStr">
        <is>
          <t>MH2504-48</t>
        </is>
      </c>
      <c r="C1320" s="16" t="n">
        <v>45763</v>
      </c>
      <c r="D1320" s="17" t="inlineStr">
        <is>
          <t>00000615</t>
        </is>
      </c>
      <c r="E1320" s="16" t="n">
        <v>45763</v>
      </c>
      <c r="F1320" s="16" t="inlineStr">
        <is>
          <t>XK2504-18</t>
        </is>
      </c>
      <c r="G1320" s="16" t="n">
        <v>45763</v>
      </c>
      <c r="H1320" s="17" t="inlineStr">
        <is>
          <t>CÔNG TY TNHH DỊCH VỤ - THƯƠNG MẠI THÉP THIÊN LONG</t>
        </is>
      </c>
      <c r="I1320" s="17" t="inlineStr">
        <is>
          <t>Thép ống đen 42.2</t>
        </is>
      </c>
      <c r="J1320" s="17" t="inlineStr">
        <is>
          <t>kg</t>
        </is>
      </c>
      <c r="K1320" s="19" t="n">
        <v>16272.72</v>
      </c>
      <c r="L1320" s="21" t="n"/>
      <c r="M1320" s="22" t="n"/>
      <c r="N1320" s="22" t="n">
        <v>817.8</v>
      </c>
      <c r="O1320" s="22" t="n">
        <v>13307830</v>
      </c>
      <c r="P1320" s="22" t="n">
        <v>817.8</v>
      </c>
      <c r="Q1320" s="22" t="n">
        <v>13307830</v>
      </c>
      <c r="R1320" s="42">
        <f>+L1320+N1320-P1320</f>
        <v/>
      </c>
      <c r="S1320" s="42">
        <f>+M1320+O1320-Q1320</f>
        <v/>
      </c>
    </row>
    <row r="1321" ht="30" customHeight="1">
      <c r="A1321" s="16" t="n">
        <v>45763</v>
      </c>
      <c r="B1321" s="17" t="inlineStr">
        <is>
          <t>MH2504-48</t>
        </is>
      </c>
      <c r="C1321" s="16" t="n">
        <v>45763</v>
      </c>
      <c r="D1321" s="17" t="inlineStr">
        <is>
          <t>00000615</t>
        </is>
      </c>
      <c r="E1321" s="16" t="n">
        <v>45763</v>
      </c>
      <c r="F1321" s="16" t="inlineStr">
        <is>
          <t>XK2504-18</t>
        </is>
      </c>
      <c r="G1321" s="16" t="n">
        <v>45763</v>
      </c>
      <c r="H1321" s="17" t="inlineStr">
        <is>
          <t>CÔNG TY TNHH DỊCH VỤ - THƯƠNG MẠI THÉP THIÊN LONG</t>
        </is>
      </c>
      <c r="I1321" s="17" t="inlineStr">
        <is>
          <t>Thép hình H150</t>
        </is>
      </c>
      <c r="J1321" s="17" t="inlineStr">
        <is>
          <t>kg</t>
        </is>
      </c>
      <c r="K1321" s="19" t="n">
        <v>17181.81</v>
      </c>
      <c r="L1321" s="21" t="n"/>
      <c r="M1321" s="22" t="n"/>
      <c r="N1321" s="22" t="n">
        <v>1512</v>
      </c>
      <c r="O1321" s="22" t="n">
        <v>25978897</v>
      </c>
      <c r="P1321" s="22" t="n">
        <v>1512</v>
      </c>
      <c r="Q1321" s="22" t="n">
        <v>25978897</v>
      </c>
      <c r="R1321" s="42">
        <f>+L1321+N1321-P1321</f>
        <v/>
      </c>
      <c r="S1321" s="42">
        <f>+M1321+O1321-Q1321</f>
        <v/>
      </c>
    </row>
    <row r="1322" ht="30" customHeight="1">
      <c r="A1322" s="16" t="n">
        <v>45763</v>
      </c>
      <c r="B1322" s="17" t="inlineStr">
        <is>
          <t>MH2504-48</t>
        </is>
      </c>
      <c r="C1322" s="16" t="n">
        <v>45763</v>
      </c>
      <c r="D1322" s="17" t="inlineStr">
        <is>
          <t>00000615</t>
        </is>
      </c>
      <c r="E1322" s="16" t="n">
        <v>45763</v>
      </c>
      <c r="F1322" s="16" t="inlineStr">
        <is>
          <t>XK2504-18</t>
        </is>
      </c>
      <c r="G1322" s="16" t="n">
        <v>45763</v>
      </c>
      <c r="H1322" s="17" t="inlineStr">
        <is>
          <t>CÔNG TY TNHH DỊCH VỤ - THƯƠNG MẠI THÉP THIÊN LONG</t>
        </is>
      </c>
      <c r="I1322" s="17" t="inlineStr">
        <is>
          <t>Thép góc V120</t>
        </is>
      </c>
      <c r="J1322" s="17" t="inlineStr">
        <is>
          <t>kg</t>
        </is>
      </c>
      <c r="K1322" s="19" t="n">
        <v>15000</v>
      </c>
      <c r="L1322" s="21" t="n"/>
      <c r="M1322" s="22" t="n"/>
      <c r="N1322" s="22" t="n">
        <v>4410</v>
      </c>
      <c r="O1322" s="22" t="n">
        <v>66150062</v>
      </c>
      <c r="P1322" s="22" t="n">
        <v>4410</v>
      </c>
      <c r="Q1322" s="22" t="n">
        <v>66150062</v>
      </c>
      <c r="R1322" s="42">
        <f>+L1322+N1322-P1322</f>
        <v/>
      </c>
      <c r="S1322" s="42">
        <f>+M1322+O1322-Q1322</f>
        <v/>
      </c>
    </row>
    <row r="1323" ht="30" customHeight="1">
      <c r="A1323" s="16" t="n">
        <v>45763</v>
      </c>
      <c r="B1323" s="17" t="inlineStr">
        <is>
          <t>MH2504-48</t>
        </is>
      </c>
      <c r="C1323" s="16" t="n">
        <v>45763</v>
      </c>
      <c r="D1323" s="17" t="inlineStr">
        <is>
          <t>00000615</t>
        </is>
      </c>
      <c r="E1323" s="16" t="n">
        <v>45763</v>
      </c>
      <c r="F1323" s="16" t="inlineStr">
        <is>
          <t>XK2504-18</t>
        </is>
      </c>
      <c r="G1323" s="16" t="n">
        <v>45763</v>
      </c>
      <c r="H1323" s="17" t="inlineStr">
        <is>
          <t>CÔNG TY TNHH DỊCH VỤ - THƯƠNG MẠI THÉP THIÊN LONG</t>
        </is>
      </c>
      <c r="I1323" s="17" t="inlineStr">
        <is>
          <t>Thép tấm gân 5ly</t>
        </is>
      </c>
      <c r="J1323" s="17" t="inlineStr">
        <is>
          <t>kg</t>
        </is>
      </c>
      <c r="K1323" s="19" t="n">
        <v>12890.9</v>
      </c>
      <c r="L1323" s="21" t="n"/>
      <c r="M1323" s="22" t="n"/>
      <c r="N1323" s="22" t="n">
        <v>3422.25</v>
      </c>
      <c r="O1323" s="22" t="n">
        <v>44115883</v>
      </c>
      <c r="P1323" s="22" t="n">
        <v>3422.25</v>
      </c>
      <c r="Q1323" s="22" t="n">
        <v>44115883</v>
      </c>
      <c r="R1323" s="42">
        <f>+L1323+N1323-P1323</f>
        <v/>
      </c>
      <c r="S1323" s="42">
        <f>+M1323+O1323-Q1323</f>
        <v/>
      </c>
    </row>
    <row r="1324" ht="30" customHeight="1">
      <c r="A1324" s="16" t="n">
        <v>45763</v>
      </c>
      <c r="B1324" s="17" t="inlineStr">
        <is>
          <t>MH2504-49</t>
        </is>
      </c>
      <c r="C1324" s="16" t="n">
        <v>45763</v>
      </c>
      <c r="D1324" s="17" t="inlineStr">
        <is>
          <t>801</t>
        </is>
      </c>
      <c r="E1324" s="16" t="n">
        <v>45763</v>
      </c>
      <c r="F1324" s="16" t="inlineStr">
        <is>
          <t>XK2504-19</t>
        </is>
      </c>
      <c r="G1324" s="16" t="n">
        <v>45763</v>
      </c>
      <c r="H1324" s="17" t="inlineStr">
        <is>
          <t>CÔNG TY TNHH THƯƠNG MẠI THÉP TOÀN THẮNG</t>
        </is>
      </c>
      <c r="I1324" s="17" t="inlineStr">
        <is>
          <t>Thép tấm 20x2000x12000mm</t>
        </is>
      </c>
      <c r="J1324" s="17" t="inlineStr">
        <is>
          <t>kg</t>
        </is>
      </c>
      <c r="K1324" s="19" t="n">
        <v>14636</v>
      </c>
      <c r="L1324" s="21" t="n"/>
      <c r="M1324" s="22" t="n"/>
      <c r="N1324" s="22" t="n">
        <v>11304</v>
      </c>
      <c r="O1324" s="22" t="n">
        <v>165445344</v>
      </c>
      <c r="P1324" s="22" t="n">
        <v>11304</v>
      </c>
      <c r="Q1324" s="22" t="n">
        <v>165445344</v>
      </c>
      <c r="R1324" s="42">
        <f>+L1324+N1324-P1324</f>
        <v/>
      </c>
      <c r="S1324" s="42">
        <f>+M1324+O1324-Q1324</f>
        <v/>
      </c>
    </row>
    <row r="1325" ht="30" customHeight="1">
      <c r="A1325" s="16" t="n">
        <v>45763</v>
      </c>
      <c r="B1325" s="17" t="inlineStr">
        <is>
          <t>MH2504-49</t>
        </is>
      </c>
      <c r="C1325" s="16" t="n">
        <v>45763</v>
      </c>
      <c r="D1325" s="17" t="inlineStr">
        <is>
          <t>801</t>
        </is>
      </c>
      <c r="E1325" s="16" t="n">
        <v>45763</v>
      </c>
      <c r="F1325" s="16" t="inlineStr">
        <is>
          <t>XK2504-19</t>
        </is>
      </c>
      <c r="G1325" s="16" t="n">
        <v>45763</v>
      </c>
      <c r="H1325" s="17" t="inlineStr">
        <is>
          <t>CÔNG TY TNHH THƯƠNG MẠI THÉP TOÀN THẮNG</t>
        </is>
      </c>
      <c r="I1325" s="17" t="inlineStr">
        <is>
          <t>Thép tấm 30x2000x12000mm</t>
        </is>
      </c>
      <c r="J1325" s="17" t="inlineStr">
        <is>
          <t>kg</t>
        </is>
      </c>
      <c r="K1325" s="19" t="n">
        <v>14636</v>
      </c>
      <c r="L1325" s="21" t="n"/>
      <c r="M1325" s="22" t="n"/>
      <c r="N1325" s="22" t="n">
        <v>11304</v>
      </c>
      <c r="O1325" s="22" t="n">
        <v>165445344</v>
      </c>
      <c r="P1325" s="22" t="n">
        <v>11304</v>
      </c>
      <c r="Q1325" s="22" t="n">
        <v>165445344</v>
      </c>
      <c r="R1325" s="42">
        <f>+L1325+N1325-P1325</f>
        <v/>
      </c>
      <c r="S1325" s="42">
        <f>+M1325+O1325-Q1325</f>
        <v/>
      </c>
    </row>
    <row r="1326" ht="30" customHeight="1">
      <c r="A1326" s="16" t="n">
        <v>45763</v>
      </c>
      <c r="B1326" s="17" t="inlineStr">
        <is>
          <t>MH2504-49</t>
        </is>
      </c>
      <c r="C1326" s="16" t="n">
        <v>45763</v>
      </c>
      <c r="D1326" s="17" t="inlineStr">
        <is>
          <t>801</t>
        </is>
      </c>
      <c r="E1326" s="16" t="n">
        <v>45763</v>
      </c>
      <c r="F1326" s="16" t="inlineStr">
        <is>
          <t>XK2504-19</t>
        </is>
      </c>
      <c r="G1326" s="16" t="n">
        <v>45763</v>
      </c>
      <c r="H1326" s="17" t="inlineStr">
        <is>
          <t>CÔNG TY TNHH THƯƠNG MẠI THÉP TOÀN THẮNG</t>
        </is>
      </c>
      <c r="I1326" s="17" t="inlineStr">
        <is>
          <t>Thép tấm 35x2000x12000mm</t>
        </is>
      </c>
      <c r="J1326" s="17" t="inlineStr">
        <is>
          <t>kg</t>
        </is>
      </c>
      <c r="K1326" s="19" t="n">
        <v>14636</v>
      </c>
      <c r="L1326" s="21" t="n"/>
      <c r="M1326" s="22" t="n"/>
      <c r="N1326" s="22" t="n">
        <v>6594</v>
      </c>
      <c r="O1326" s="22" t="n">
        <v>96509784</v>
      </c>
      <c r="P1326" s="22" t="n">
        <v>6594</v>
      </c>
      <c r="Q1326" s="22" t="n">
        <v>96509784</v>
      </c>
      <c r="R1326" s="42">
        <f>+L1326+N1326-P1326</f>
        <v/>
      </c>
      <c r="S1326" s="42">
        <f>+M1326+O1326-Q1326</f>
        <v/>
      </c>
    </row>
    <row r="1327" ht="30" customHeight="1">
      <c r="A1327" s="16" t="n">
        <v>45763</v>
      </c>
      <c r="B1327" s="17" t="inlineStr">
        <is>
          <t>MH2504-49</t>
        </is>
      </c>
      <c r="C1327" s="16" t="n">
        <v>45763</v>
      </c>
      <c r="D1327" s="17" t="inlineStr">
        <is>
          <t>801</t>
        </is>
      </c>
      <c r="E1327" s="16" t="n">
        <v>45763</v>
      </c>
      <c r="F1327" s="16" t="inlineStr">
        <is>
          <t>XK2504-19</t>
        </is>
      </c>
      <c r="G1327" s="16" t="n">
        <v>45763</v>
      </c>
      <c r="H1327" s="17" t="inlineStr">
        <is>
          <t>CÔNG TY TNHH THƯƠNG MẠI THÉP TOÀN THẮNG</t>
        </is>
      </c>
      <c r="I1327" s="17" t="inlineStr">
        <is>
          <t>Thép tấm 25x2000x12000mm</t>
        </is>
      </c>
      <c r="J1327" s="17" t="inlineStr">
        <is>
          <t>kg</t>
        </is>
      </c>
      <c r="K1327" s="19" t="n">
        <v>14636</v>
      </c>
      <c r="L1327" s="21" t="n"/>
      <c r="M1327" s="22" t="n"/>
      <c r="N1327" s="22" t="n">
        <v>18840</v>
      </c>
      <c r="O1327" s="22" t="n">
        <v>275742240</v>
      </c>
      <c r="P1327" s="22" t="n">
        <v>18840</v>
      </c>
      <c r="Q1327" s="22" t="n">
        <v>275742240</v>
      </c>
      <c r="R1327" s="42">
        <f>+L1327+N1327-P1327</f>
        <v/>
      </c>
      <c r="S1327" s="42">
        <f>+M1327+O1327-Q1327</f>
        <v/>
      </c>
    </row>
    <row r="1328" ht="30" customHeight="1">
      <c r="A1328" s="16" t="n">
        <v>45763</v>
      </c>
      <c r="B1328" s="17" t="inlineStr">
        <is>
          <t>MH2504-49</t>
        </is>
      </c>
      <c r="C1328" s="16" t="n">
        <v>45763</v>
      </c>
      <c r="D1328" s="17" t="inlineStr">
        <is>
          <t>801</t>
        </is>
      </c>
      <c r="E1328" s="16" t="n">
        <v>45763</v>
      </c>
      <c r="F1328" s="16" t="inlineStr">
        <is>
          <t>XK2504-19</t>
        </is>
      </c>
      <c r="G1328" s="16" t="n">
        <v>45763</v>
      </c>
      <c r="H1328" s="17" t="inlineStr">
        <is>
          <t>CÔNG TY TNHH THƯƠNG MẠI THÉP TOÀN THẮNG</t>
        </is>
      </c>
      <c r="I1328" s="17" t="inlineStr">
        <is>
          <t>Thép tấm 40x2000x12000mm</t>
        </is>
      </c>
      <c r="J1328" s="17" t="inlineStr">
        <is>
          <t>kg</t>
        </is>
      </c>
      <c r="K1328" s="19" t="n">
        <v>14636</v>
      </c>
      <c r="L1328" s="21" t="n"/>
      <c r="M1328" s="22" t="n"/>
      <c r="N1328" s="22" t="n">
        <v>7536</v>
      </c>
      <c r="O1328" s="22" t="n">
        <v>110296896</v>
      </c>
      <c r="P1328" s="22" t="n">
        <v>7536</v>
      </c>
      <c r="Q1328" s="22" t="n">
        <v>110296896</v>
      </c>
      <c r="R1328" s="42">
        <f>+L1328+N1328-P1328</f>
        <v/>
      </c>
      <c r="S1328" s="42">
        <f>+M1328+O1328-Q1328</f>
        <v/>
      </c>
    </row>
    <row r="1329" ht="30" customHeight="1">
      <c r="A1329" s="16" t="n">
        <v>45763</v>
      </c>
      <c r="B1329" s="17" t="inlineStr">
        <is>
          <t>MH2504-50</t>
        </is>
      </c>
      <c r="C1329" s="16" t="n">
        <v>45763</v>
      </c>
      <c r="D1329" s="17" t="inlineStr">
        <is>
          <t>00000614</t>
        </is>
      </c>
      <c r="E1329" s="16" t="n">
        <v>45763</v>
      </c>
      <c r="F1329" s="16" t="inlineStr">
        <is>
          <t>XK2504-20</t>
        </is>
      </c>
      <c r="G1329" s="16" t="n">
        <v>45763</v>
      </c>
      <c r="H1329" s="17" t="inlineStr">
        <is>
          <t>CÔNG TY TNHH DỊCH VỤ - THƯƠNG MẠI THÉP THIÊN LONG</t>
        </is>
      </c>
      <c r="I1329" s="17" t="inlineStr">
        <is>
          <t>Thép hình H150</t>
        </is>
      </c>
      <c r="J1329" s="17" t="inlineStr">
        <is>
          <t>kg</t>
        </is>
      </c>
      <c r="K1329" s="19" t="n">
        <v>17181.81</v>
      </c>
      <c r="L1329" s="21" t="n"/>
      <c r="M1329" s="22" t="n"/>
      <c r="N1329" s="22" t="n">
        <v>1512</v>
      </c>
      <c r="O1329" s="22" t="n">
        <v>25978909</v>
      </c>
      <c r="P1329" s="22" t="n">
        <v>1512</v>
      </c>
      <c r="Q1329" s="22" t="n">
        <v>25978909</v>
      </c>
      <c r="R1329" s="42">
        <f>+L1329+N1329-P1329</f>
        <v/>
      </c>
      <c r="S1329" s="42">
        <f>+M1329+O1329-Q1329</f>
        <v/>
      </c>
    </row>
    <row r="1330" ht="15" customHeight="1">
      <c r="A1330" s="16" t="n">
        <v>45764</v>
      </c>
      <c r="B1330" s="17" t="inlineStr">
        <is>
          <t>MH2504-51</t>
        </is>
      </c>
      <c r="C1330" s="16" t="n">
        <v>45764</v>
      </c>
      <c r="D1330" s="17" t="inlineStr">
        <is>
          <t>00003533</t>
        </is>
      </c>
      <c r="E1330" s="16" t="n">
        <v>45764</v>
      </c>
      <c r="F1330" s="16" t="inlineStr">
        <is>
          <t>XK2504-21</t>
        </is>
      </c>
      <c r="G1330" s="16" t="n">
        <v>45764</v>
      </c>
      <c r="H1330" s="17" t="inlineStr">
        <is>
          <t>CÔNG TY TNHH SƠN JOTUN VIỆT NAM</t>
        </is>
      </c>
      <c r="I1330" s="17" t="inlineStr">
        <is>
          <t>SƠN JOTAMASTIC 70 GREY 18L</t>
        </is>
      </c>
      <c r="J1330" s="17" t="inlineStr">
        <is>
          <t>Lít</t>
        </is>
      </c>
      <c r="K1330" s="19" t="n">
        <v>90000</v>
      </c>
      <c r="L1330" s="21" t="n"/>
      <c r="M1330" s="22" t="n"/>
      <c r="N1330" s="22" t="n">
        <v>252</v>
      </c>
      <c r="O1330" s="22" t="n">
        <v>22680000</v>
      </c>
      <c r="P1330" s="22" t="n">
        <v>252</v>
      </c>
      <c r="Q1330" s="22" t="n">
        <v>22680000</v>
      </c>
      <c r="R1330" s="42">
        <f>+L1330+N1330-P1330</f>
        <v/>
      </c>
      <c r="S1330" s="42">
        <f>+M1330+O1330-Q1330</f>
        <v/>
      </c>
    </row>
    <row r="1331" ht="15" customHeight="1">
      <c r="A1331" s="16" t="n">
        <v>45764</v>
      </c>
      <c r="B1331" s="17" t="inlineStr">
        <is>
          <t>MH2504-51</t>
        </is>
      </c>
      <c r="C1331" s="16" t="n">
        <v>45764</v>
      </c>
      <c r="D1331" s="17" t="inlineStr">
        <is>
          <t>00003533</t>
        </is>
      </c>
      <c r="E1331" s="16" t="n">
        <v>45764</v>
      </c>
      <c r="F1331" s="16" t="inlineStr">
        <is>
          <t>XK2504-21</t>
        </is>
      </c>
      <c r="G1331" s="16" t="n">
        <v>45764</v>
      </c>
      <c r="H1331" s="17" t="inlineStr">
        <is>
          <t>CÔNG TY TNHH SƠN JOTUN VIỆT NAM</t>
        </is>
      </c>
      <c r="I1331" s="17" t="inlineStr">
        <is>
          <t>SƠN FUTURA CLASSIC STD4066 18.27L</t>
        </is>
      </c>
      <c r="J1331" s="17" t="inlineStr">
        <is>
          <t>Lít</t>
        </is>
      </c>
      <c r="K1331" s="19" t="n">
        <v>155000</v>
      </c>
      <c r="L1331" s="21" t="n"/>
      <c r="M1331" s="22" t="n"/>
      <c r="N1331" s="22" t="n">
        <v>219.24</v>
      </c>
      <c r="O1331" s="22" t="n">
        <v>33982200</v>
      </c>
      <c r="P1331" s="22" t="n">
        <v>219.24</v>
      </c>
      <c r="Q1331" s="22" t="n">
        <v>33982200</v>
      </c>
      <c r="R1331" s="42">
        <f>+L1331+N1331-P1331</f>
        <v/>
      </c>
      <c r="S1331" s="42">
        <f>+M1331+O1331-Q1331</f>
        <v/>
      </c>
    </row>
    <row r="1332" ht="15" customHeight="1">
      <c r="A1332" s="16" t="n">
        <v>45764</v>
      </c>
      <c r="B1332" s="17" t="inlineStr">
        <is>
          <t>MH2504-51</t>
        </is>
      </c>
      <c r="C1332" s="16" t="n">
        <v>45764</v>
      </c>
      <c r="D1332" s="17" t="inlineStr">
        <is>
          <t>00003533</t>
        </is>
      </c>
      <c r="E1332" s="16" t="n">
        <v>45764</v>
      </c>
      <c r="F1332" s="16" t="inlineStr">
        <is>
          <t>XK2504-21</t>
        </is>
      </c>
      <c r="G1332" s="16" t="n">
        <v>45764</v>
      </c>
      <c r="H1332" s="17" t="inlineStr">
        <is>
          <t>CÔNG TY TNHH SƠN JOTUN VIỆT NAM</t>
        </is>
      </c>
      <c r="I1332" s="17" t="inlineStr">
        <is>
          <t>SƠN FUTURA CLASSIC STD4066 4.57L</t>
        </is>
      </c>
      <c r="J1332" s="17" t="inlineStr">
        <is>
          <t>Lít</t>
        </is>
      </c>
      <c r="K1332" s="19" t="n">
        <v>155000</v>
      </c>
      <c r="L1332" s="21" t="n"/>
      <c r="M1332" s="22" t="n"/>
      <c r="N1332" s="22" t="n">
        <v>13.71</v>
      </c>
      <c r="O1332" s="22" t="n">
        <v>2125050</v>
      </c>
      <c r="P1332" s="22" t="n">
        <v>13.71</v>
      </c>
      <c r="Q1332" s="22" t="n">
        <v>2125050</v>
      </c>
      <c r="R1332" s="42">
        <f>+L1332+N1332-P1332</f>
        <v/>
      </c>
      <c r="S1332" s="42">
        <f>+M1332+O1332-Q1332</f>
        <v/>
      </c>
    </row>
    <row r="1333" ht="15" customHeight="1">
      <c r="A1333" s="16" t="n">
        <v>45764</v>
      </c>
      <c r="B1333" s="17" t="inlineStr">
        <is>
          <t>MH2504-51</t>
        </is>
      </c>
      <c r="C1333" s="16" t="n">
        <v>45764</v>
      </c>
      <c r="D1333" s="17" t="inlineStr">
        <is>
          <t>00003533</t>
        </is>
      </c>
      <c r="E1333" s="16" t="n">
        <v>45764</v>
      </c>
      <c r="F1333" s="16" t="inlineStr">
        <is>
          <t>XK2504-21</t>
        </is>
      </c>
      <c r="G1333" s="16" t="n">
        <v>45764</v>
      </c>
      <c r="H1333" s="17" t="inlineStr">
        <is>
          <t>CÔNG TY TNHH SƠN JOTUN VIỆT NAM</t>
        </is>
      </c>
      <c r="I1333" s="17" t="inlineStr">
        <is>
          <t>DUNG MÔI JOTUN THINNER NO. 10 20L</t>
        </is>
      </c>
      <c r="J1333" s="17" t="inlineStr">
        <is>
          <t>Lít</t>
        </is>
      </c>
      <c r="K1333" s="19" t="n">
        <v>60000</v>
      </c>
      <c r="L1333" s="21" t="n"/>
      <c r="M1333" s="22" t="n"/>
      <c r="N1333" s="22" t="n">
        <v>20</v>
      </c>
      <c r="O1333" s="22" t="n">
        <v>1200000</v>
      </c>
      <c r="P1333" s="22" t="n">
        <v>20</v>
      </c>
      <c r="Q1333" s="22" t="n">
        <v>1200000</v>
      </c>
      <c r="R1333" s="42">
        <f>+L1333+N1333-P1333</f>
        <v/>
      </c>
      <c r="S1333" s="42">
        <f>+M1333+O1333-Q1333</f>
        <v/>
      </c>
    </row>
    <row r="1334" ht="15" customHeight="1">
      <c r="A1334" s="16" t="n">
        <v>45764</v>
      </c>
      <c r="B1334" s="17" t="inlineStr">
        <is>
          <t>MH2504-51</t>
        </is>
      </c>
      <c r="C1334" s="16" t="n">
        <v>45764</v>
      </c>
      <c r="D1334" s="17" t="inlineStr">
        <is>
          <t>00003533</t>
        </is>
      </c>
      <c r="E1334" s="16" t="n">
        <v>45764</v>
      </c>
      <c r="F1334" s="16" t="inlineStr">
        <is>
          <t>XK2504-21</t>
        </is>
      </c>
      <c r="G1334" s="16" t="n">
        <v>45764</v>
      </c>
      <c r="H1334" s="17" t="inlineStr">
        <is>
          <t>CÔNG TY TNHH SƠN JOTUN VIỆT NAM</t>
        </is>
      </c>
      <c r="I1334" s="17" t="inlineStr">
        <is>
          <t>DUNG MÔI JOTUN THINNER NO. 10 5L</t>
        </is>
      </c>
      <c r="J1334" s="17" t="inlineStr">
        <is>
          <t>Lít</t>
        </is>
      </c>
      <c r="K1334" s="19" t="n">
        <v>60000</v>
      </c>
      <c r="L1334" s="21" t="n"/>
      <c r="M1334" s="22" t="n"/>
      <c r="N1334" s="22" t="n">
        <v>15</v>
      </c>
      <c r="O1334" s="22" t="n">
        <v>900000</v>
      </c>
      <c r="P1334" s="22" t="n">
        <v>15</v>
      </c>
      <c r="Q1334" s="22" t="n">
        <v>900000</v>
      </c>
      <c r="R1334" s="42">
        <f>+L1334+N1334-P1334</f>
        <v/>
      </c>
      <c r="S1334" s="42">
        <f>+M1334+O1334-Q1334</f>
        <v/>
      </c>
    </row>
    <row r="1335" ht="15" customHeight="1">
      <c r="A1335" s="16" t="n">
        <v>45764</v>
      </c>
      <c r="B1335" s="17" t="inlineStr">
        <is>
          <t>MH2504-51</t>
        </is>
      </c>
      <c r="C1335" s="16" t="n">
        <v>45764</v>
      </c>
      <c r="D1335" s="17" t="inlineStr">
        <is>
          <t>00003533</t>
        </is>
      </c>
      <c r="E1335" s="16" t="n">
        <v>45764</v>
      </c>
      <c r="F1335" s="16" t="inlineStr">
        <is>
          <t>XK2504-21</t>
        </is>
      </c>
      <c r="G1335" s="16" t="n">
        <v>45764</v>
      </c>
      <c r="H1335" s="17" t="inlineStr">
        <is>
          <t>CÔNG TY TNHH SƠN JOTUN VIỆT NAM</t>
        </is>
      </c>
      <c r="I1335" s="17" t="inlineStr">
        <is>
          <t>DUNG MÔI JOTUN THINNER NO. 17 20L</t>
        </is>
      </c>
      <c r="J1335" s="17" t="inlineStr">
        <is>
          <t>Lít</t>
        </is>
      </c>
      <c r="K1335" s="19" t="n">
        <v>60000</v>
      </c>
      <c r="L1335" s="21" t="n"/>
      <c r="M1335" s="22" t="n"/>
      <c r="N1335" s="22" t="n">
        <v>40</v>
      </c>
      <c r="O1335" s="22" t="n">
        <v>2400000</v>
      </c>
      <c r="P1335" s="22" t="n">
        <v>40</v>
      </c>
      <c r="Q1335" s="22" t="n">
        <v>2400000</v>
      </c>
      <c r="R1335" s="42">
        <f>+L1335+N1335-P1335</f>
        <v/>
      </c>
      <c r="S1335" s="42">
        <f>+M1335+O1335-Q1335</f>
        <v/>
      </c>
    </row>
    <row r="1336" ht="15" customHeight="1">
      <c r="A1336" s="16" t="n">
        <v>45764</v>
      </c>
      <c r="B1336" s="17" t="inlineStr">
        <is>
          <t>MH2504-52</t>
        </is>
      </c>
      <c r="C1336" s="16" t="n">
        <v>45764</v>
      </c>
      <c r="D1336" s="17" t="inlineStr">
        <is>
          <t>00000087</t>
        </is>
      </c>
      <c r="E1336" s="16" t="n">
        <v>45764</v>
      </c>
      <c r="F1336" s="16" t="inlineStr">
        <is>
          <t>XK2504-22</t>
        </is>
      </c>
      <c r="G1336" s="16" t="n">
        <v>45764</v>
      </c>
      <c r="H1336" s="17" t="inlineStr">
        <is>
          <t>CÔNG TY TNHH XNK THÉP KIM NAM</t>
        </is>
      </c>
      <c r="I1336" s="17" t="inlineStr">
        <is>
          <t>Thép tấm gân 5lyx1500x6000</t>
        </is>
      </c>
      <c r="J1336" s="17" t="inlineStr">
        <is>
          <t>kg</t>
        </is>
      </c>
      <c r="K1336" s="19" t="n">
        <v>12890.91</v>
      </c>
      <c r="L1336" s="21" t="n"/>
      <c r="M1336" s="22" t="n"/>
      <c r="N1336" s="22" t="n">
        <v>1140.75</v>
      </c>
      <c r="O1336" s="22" t="n">
        <v>14705305</v>
      </c>
      <c r="P1336" s="22" t="n">
        <v>1140.75</v>
      </c>
      <c r="Q1336" s="22" t="n">
        <v>14705305</v>
      </c>
      <c r="R1336" s="42">
        <f>+L1336+N1336-P1336</f>
        <v/>
      </c>
      <c r="S1336" s="42">
        <f>+M1336+O1336-Q1336</f>
        <v/>
      </c>
    </row>
    <row r="1337" ht="15" customHeight="1">
      <c r="A1337" s="16" t="n">
        <v>45764</v>
      </c>
      <c r="B1337" s="17" t="inlineStr">
        <is>
          <t>MH2504-53</t>
        </is>
      </c>
      <c r="C1337" s="16" t="n">
        <v>45764</v>
      </c>
      <c r="D1337" s="17" t="inlineStr">
        <is>
          <t>00000088</t>
        </is>
      </c>
      <c r="E1337" s="16" t="n">
        <v>45764</v>
      </c>
      <c r="F1337" s="16" t="inlineStr">
        <is>
          <t>XK2504-22</t>
        </is>
      </c>
      <c r="G1337" s="16" t="n">
        <v>45764</v>
      </c>
      <c r="H1337" s="17" t="inlineStr">
        <is>
          <t>CÔNG TY TNHH XNK THÉP KIM NAM</t>
        </is>
      </c>
      <c r="I1337" s="17" t="inlineStr">
        <is>
          <t>Thép tấm Q355/A572 18lyx2000x12000</t>
        </is>
      </c>
      <c r="J1337" s="17" t="inlineStr">
        <is>
          <t>kg</t>
        </is>
      </c>
      <c r="K1337" s="19" t="n">
        <v>14772.73</v>
      </c>
      <c r="L1337" s="21" t="n"/>
      <c r="M1337" s="22" t="n"/>
      <c r="N1337" s="22" t="n">
        <v>20347.2</v>
      </c>
      <c r="O1337" s="22" t="n">
        <v>300583636</v>
      </c>
      <c r="P1337" s="22" t="n">
        <v>20347.2</v>
      </c>
      <c r="Q1337" s="22" t="n">
        <v>300583636</v>
      </c>
      <c r="R1337" s="42">
        <f>+L1337+N1337-P1337</f>
        <v/>
      </c>
      <c r="S1337" s="42">
        <f>+M1337+O1337-Q1337</f>
        <v/>
      </c>
    </row>
    <row r="1338" ht="15" customHeight="1">
      <c r="A1338" s="16" t="n">
        <v>45764</v>
      </c>
      <c r="B1338" s="17" t="inlineStr">
        <is>
          <t>MH2504-53</t>
        </is>
      </c>
      <c r="C1338" s="16" t="n">
        <v>45764</v>
      </c>
      <c r="D1338" s="17" t="inlineStr">
        <is>
          <t>00000088</t>
        </is>
      </c>
      <c r="E1338" s="16" t="n">
        <v>45764</v>
      </c>
      <c r="F1338" s="16" t="inlineStr">
        <is>
          <t>XK2504-22</t>
        </is>
      </c>
      <c r="G1338" s="16" t="n">
        <v>45764</v>
      </c>
      <c r="H1338" s="17" t="inlineStr">
        <is>
          <t>CÔNG TY TNHH XNK THÉP KIM NAM</t>
        </is>
      </c>
      <c r="I1338" s="17" t="inlineStr">
        <is>
          <t>Thép tấm Q355/A572 22lyx2000x12000</t>
        </is>
      </c>
      <c r="J1338" s="17" t="inlineStr">
        <is>
          <t>kg</t>
        </is>
      </c>
      <c r="K1338" s="19" t="n">
        <v>14772.73</v>
      </c>
      <c r="L1338" s="21" t="n"/>
      <c r="M1338" s="22" t="n"/>
      <c r="N1338" s="22" t="n">
        <v>29013.6</v>
      </c>
      <c r="O1338" s="22" t="n">
        <v>428610000</v>
      </c>
      <c r="P1338" s="22" t="n">
        <v>29013.6</v>
      </c>
      <c r="Q1338" s="22" t="n">
        <v>428610000</v>
      </c>
      <c r="R1338" s="42">
        <f>+L1338+N1338-P1338</f>
        <v/>
      </c>
      <c r="S1338" s="42">
        <f>+M1338+O1338-Q1338</f>
        <v/>
      </c>
    </row>
    <row r="1339" ht="15" customHeight="1">
      <c r="A1339" s="16" t="n">
        <v>45764</v>
      </c>
      <c r="B1339" s="17" t="inlineStr">
        <is>
          <t>MH2504-53</t>
        </is>
      </c>
      <c r="C1339" s="16" t="n">
        <v>45764</v>
      </c>
      <c r="D1339" s="17" t="inlineStr">
        <is>
          <t>00000088</t>
        </is>
      </c>
      <c r="E1339" s="16" t="n">
        <v>45764</v>
      </c>
      <c r="F1339" s="16" t="inlineStr">
        <is>
          <t>XK2504-22</t>
        </is>
      </c>
      <c r="G1339" s="16" t="n">
        <v>45764</v>
      </c>
      <c r="H1339" s="17" t="inlineStr">
        <is>
          <t>CÔNG TY TNHH XNK THÉP KIM NAM</t>
        </is>
      </c>
      <c r="I1339" s="17" t="inlineStr">
        <is>
          <t>Thép tấm Q355/A572 28lyx2000x12000</t>
        </is>
      </c>
      <c r="J1339" s="17" t="inlineStr">
        <is>
          <t>kg</t>
        </is>
      </c>
      <c r="K1339" s="19" t="n">
        <v>14818.18</v>
      </c>
      <c r="L1339" s="21" t="n"/>
      <c r="M1339" s="22" t="n"/>
      <c r="N1339" s="22" t="n">
        <v>52752</v>
      </c>
      <c r="O1339" s="22" t="n">
        <v>781688727</v>
      </c>
      <c r="P1339" s="22" t="n">
        <v>52752</v>
      </c>
      <c r="Q1339" s="22" t="n">
        <v>781688727</v>
      </c>
      <c r="R1339" s="42">
        <f>+L1339+N1339-P1339</f>
        <v/>
      </c>
      <c r="S1339" s="42">
        <f>+M1339+O1339-Q1339</f>
        <v/>
      </c>
    </row>
    <row r="1340" ht="15" customHeight="1">
      <c r="A1340" s="16" t="n">
        <v>45764</v>
      </c>
      <c r="B1340" s="17" t="inlineStr">
        <is>
          <t>MH2504-53</t>
        </is>
      </c>
      <c r="C1340" s="16" t="n">
        <v>45764</v>
      </c>
      <c r="D1340" s="17" t="inlineStr">
        <is>
          <t>00000088</t>
        </is>
      </c>
      <c r="E1340" s="16" t="n">
        <v>45764</v>
      </c>
      <c r="F1340" s="16" t="inlineStr">
        <is>
          <t>XK2504-22</t>
        </is>
      </c>
      <c r="G1340" s="16" t="n">
        <v>45764</v>
      </c>
      <c r="H1340" s="17" t="inlineStr">
        <is>
          <t>CÔNG TY TNHH XNK THÉP KIM NAM</t>
        </is>
      </c>
      <c r="I1340" s="17" t="inlineStr">
        <is>
          <t>Thép tấm Q355/A572 30lyx2000x12000</t>
        </is>
      </c>
      <c r="J1340" s="17" t="inlineStr">
        <is>
          <t>kg</t>
        </is>
      </c>
      <c r="K1340" s="19" t="n">
        <v>14772.73</v>
      </c>
      <c r="L1340" s="21" t="n"/>
      <c r="M1340" s="22" t="n"/>
      <c r="N1340" s="22" t="n">
        <v>33912</v>
      </c>
      <c r="O1340" s="22" t="n">
        <v>500972727</v>
      </c>
      <c r="P1340" s="22" t="n">
        <v>33912</v>
      </c>
      <c r="Q1340" s="22" t="n">
        <v>500972727</v>
      </c>
      <c r="R1340" s="42">
        <f>+L1340+N1340-P1340</f>
        <v/>
      </c>
      <c r="S1340" s="42">
        <f>+M1340+O1340-Q1340</f>
        <v/>
      </c>
    </row>
    <row r="1341" ht="15" customHeight="1">
      <c r="A1341" s="16" t="n">
        <v>45764</v>
      </c>
      <c r="B1341" s="17" t="inlineStr">
        <is>
          <t>MH2504-53</t>
        </is>
      </c>
      <c r="C1341" s="16" t="n">
        <v>45764</v>
      </c>
      <c r="D1341" s="17" t="inlineStr">
        <is>
          <t>00000088</t>
        </is>
      </c>
      <c r="E1341" s="16" t="n">
        <v>45764</v>
      </c>
      <c r="F1341" s="16" t="inlineStr">
        <is>
          <t>XK2504-22</t>
        </is>
      </c>
      <c r="G1341" s="16" t="n">
        <v>45764</v>
      </c>
      <c r="H1341" s="17" t="inlineStr">
        <is>
          <t>CÔNG TY TNHH XNK THÉP KIM NAM</t>
        </is>
      </c>
      <c r="I1341" s="17" t="inlineStr">
        <is>
          <t>Thép tấm Q355/A572 35lyx2000x12000</t>
        </is>
      </c>
      <c r="J1341" s="17" t="inlineStr">
        <is>
          <t>kg</t>
        </is>
      </c>
      <c r="K1341" s="19" t="n">
        <v>14772.73</v>
      </c>
      <c r="L1341" s="21" t="n"/>
      <c r="M1341" s="22" t="n"/>
      <c r="N1341" s="22" t="n">
        <v>85722</v>
      </c>
      <c r="O1341" s="22" t="n">
        <v>1266347727</v>
      </c>
      <c r="P1341" s="22" t="n">
        <v>85722</v>
      </c>
      <c r="Q1341" s="22" t="n">
        <v>1266347727</v>
      </c>
      <c r="R1341" s="42">
        <f>+L1341+N1341-P1341</f>
        <v/>
      </c>
      <c r="S1341" s="42">
        <f>+M1341+O1341-Q1341</f>
        <v/>
      </c>
    </row>
    <row r="1342" ht="15" customHeight="1">
      <c r="A1342" s="16" t="n">
        <v>45764</v>
      </c>
      <c r="B1342" s="17" t="inlineStr">
        <is>
          <t>MH2504-53</t>
        </is>
      </c>
      <c r="C1342" s="16" t="n">
        <v>45764</v>
      </c>
      <c r="D1342" s="17" t="inlineStr">
        <is>
          <t>00000088</t>
        </is>
      </c>
      <c r="E1342" s="16" t="n">
        <v>45764</v>
      </c>
      <c r="F1342" s="16" t="inlineStr">
        <is>
          <t>XK2504-22</t>
        </is>
      </c>
      <c r="G1342" s="16" t="n">
        <v>45764</v>
      </c>
      <c r="H1342" s="17" t="inlineStr">
        <is>
          <t>CÔNG TY TNHH XNK THÉP KIM NAM</t>
        </is>
      </c>
      <c r="I1342" s="17" t="inlineStr">
        <is>
          <t>Thép tấm Q355/A572 40lyx2000x12000</t>
        </is>
      </c>
      <c r="J1342" s="17" t="inlineStr">
        <is>
          <t>kg</t>
        </is>
      </c>
      <c r="K1342" s="19" t="n">
        <v>14772.73</v>
      </c>
      <c r="L1342" s="21" t="n"/>
      <c r="M1342" s="22" t="n"/>
      <c r="N1342" s="22" t="n">
        <v>7536</v>
      </c>
      <c r="O1342" s="22" t="n">
        <v>111327273</v>
      </c>
      <c r="P1342" s="22" t="n">
        <v>7536</v>
      </c>
      <c r="Q1342" s="22" t="n">
        <v>111327273</v>
      </c>
      <c r="R1342" s="42">
        <f>+L1342+N1342-P1342</f>
        <v/>
      </c>
      <c r="S1342" s="42">
        <f>+M1342+O1342-Q1342</f>
        <v/>
      </c>
    </row>
    <row r="1343" ht="15" customHeight="1">
      <c r="A1343" s="16" t="n">
        <v>45764</v>
      </c>
      <c r="B1343" s="17" t="inlineStr">
        <is>
          <t>MH2504-53</t>
        </is>
      </c>
      <c r="C1343" s="16" t="n">
        <v>45764</v>
      </c>
      <c r="D1343" s="17" t="inlineStr">
        <is>
          <t>00000088</t>
        </is>
      </c>
      <c r="E1343" s="16" t="n">
        <v>45764</v>
      </c>
      <c r="F1343" s="16" t="inlineStr">
        <is>
          <t>XK2504-22</t>
        </is>
      </c>
      <c r="G1343" s="16" t="n">
        <v>45764</v>
      </c>
      <c r="H1343" s="17" t="inlineStr">
        <is>
          <t>CÔNG TY TNHH XNK THÉP KIM NAM</t>
        </is>
      </c>
      <c r="I1343" s="17" t="inlineStr">
        <is>
          <t>Thép tấm Q355/A572 50lyx2000x6000</t>
        </is>
      </c>
      <c r="J1343" s="17" t="inlineStr">
        <is>
          <t>kg</t>
        </is>
      </c>
      <c r="K1343" s="19" t="n">
        <v>15363.64</v>
      </c>
      <c r="L1343" s="21" t="n"/>
      <c r="M1343" s="22" t="n"/>
      <c r="N1343" s="22" t="n">
        <v>4710</v>
      </c>
      <c r="O1343" s="22" t="n">
        <v>72362727</v>
      </c>
      <c r="P1343" s="22" t="n">
        <v>4710</v>
      </c>
      <c r="Q1343" s="22" t="n">
        <v>72362727</v>
      </c>
      <c r="R1343" s="42">
        <f>+L1343+N1343-P1343</f>
        <v/>
      </c>
      <c r="S1343" s="42">
        <f>+M1343+O1343-Q1343</f>
        <v/>
      </c>
    </row>
    <row r="1344" ht="15" customHeight="1">
      <c r="A1344" s="16" t="n">
        <v>45764</v>
      </c>
      <c r="B1344" s="17" t="inlineStr">
        <is>
          <t>MH2504-54</t>
        </is>
      </c>
      <c r="C1344" s="16" t="n">
        <v>45764</v>
      </c>
      <c r="D1344" s="17" t="inlineStr">
        <is>
          <t>00000089</t>
        </is>
      </c>
      <c r="E1344" s="16" t="n">
        <v>45764</v>
      </c>
      <c r="F1344" s="16" t="inlineStr">
        <is>
          <t>XK2504-22</t>
        </is>
      </c>
      <c r="G1344" s="16" t="n">
        <v>45764</v>
      </c>
      <c r="H1344" s="17" t="inlineStr">
        <is>
          <t>CÔNG TY TNHH XNK THÉP KIM NAM</t>
        </is>
      </c>
      <c r="I1344" s="17" t="inlineStr">
        <is>
          <t>Thép tấm Q355/A572 30lyx2000x12000</t>
        </is>
      </c>
      <c r="J1344" s="17" t="inlineStr">
        <is>
          <t>kg</t>
        </is>
      </c>
      <c r="K1344" s="19" t="n">
        <v>14772.73</v>
      </c>
      <c r="L1344" s="21" t="n"/>
      <c r="M1344" s="22" t="n"/>
      <c r="N1344" s="22" t="n">
        <v>22608</v>
      </c>
      <c r="O1344" s="22" t="n">
        <v>333981818</v>
      </c>
      <c r="P1344" s="22" t="n">
        <v>22608</v>
      </c>
      <c r="Q1344" s="22" t="n">
        <v>333981818</v>
      </c>
      <c r="R1344" s="42">
        <f>+L1344+N1344-P1344</f>
        <v/>
      </c>
      <c r="S1344" s="42">
        <f>+M1344+O1344-Q1344</f>
        <v/>
      </c>
    </row>
    <row r="1345" ht="30" customHeight="1">
      <c r="A1345" s="16" t="n">
        <v>45765</v>
      </c>
      <c r="B1345" s="17" t="inlineStr">
        <is>
          <t>MH2504-55</t>
        </is>
      </c>
      <c r="C1345" s="16" t="n">
        <v>45765</v>
      </c>
      <c r="D1345" s="17" t="inlineStr">
        <is>
          <t>00000357</t>
        </is>
      </c>
      <c r="E1345" s="16" t="n">
        <v>45765</v>
      </c>
      <c r="F1345" s="16" t="inlineStr">
        <is>
          <t>XK2504-23</t>
        </is>
      </c>
      <c r="G1345" s="16" t="n">
        <v>45765</v>
      </c>
      <c r="H1345" s="17" t="inlineStr">
        <is>
          <t>CÔNG TY TNHH XUẤT NHẬP KHẨU THƯƠNG MẠI KIÊN HOÀNG</t>
        </is>
      </c>
      <c r="I1345" s="17" t="inlineStr">
        <is>
          <t>Thép tấm (60x260x900mm)</t>
        </is>
      </c>
      <c r="J1345" s="17" t="inlineStr">
        <is>
          <t>kg</t>
        </is>
      </c>
      <c r="K1345" s="19" t="n">
        <v>18181.82</v>
      </c>
      <c r="L1345" s="21" t="n"/>
      <c r="M1345" s="22" t="n"/>
      <c r="N1345" s="22" t="n">
        <v>110.21</v>
      </c>
      <c r="O1345" s="22" t="n">
        <v>2003818</v>
      </c>
      <c r="P1345" s="22" t="n">
        <v>110.21</v>
      </c>
      <c r="Q1345" s="22" t="n">
        <v>2003818</v>
      </c>
      <c r="R1345" s="42">
        <f>+L1345+N1345-P1345</f>
        <v/>
      </c>
      <c r="S1345" s="42">
        <f>+M1345+O1345-Q1345</f>
        <v/>
      </c>
    </row>
    <row r="1346" ht="30" customHeight="1">
      <c r="A1346" s="16" t="n">
        <v>45765</v>
      </c>
      <c r="B1346" s="17" t="inlineStr">
        <is>
          <t>MH2504-55</t>
        </is>
      </c>
      <c r="C1346" s="16" t="n">
        <v>45765</v>
      </c>
      <c r="D1346" s="17" t="inlineStr">
        <is>
          <t>00000357</t>
        </is>
      </c>
      <c r="E1346" s="16" t="n">
        <v>45765</v>
      </c>
      <c r="F1346" s="16" t="inlineStr">
        <is>
          <t>XK2504-23</t>
        </is>
      </c>
      <c r="G1346" s="16" t="n">
        <v>45765</v>
      </c>
      <c r="H1346" s="17" t="inlineStr">
        <is>
          <t>CÔNG TY TNHH XUẤT NHẬP KHẨU THƯƠNG MẠI KIÊN HOÀNG</t>
        </is>
      </c>
      <c r="I1346" s="17" t="inlineStr">
        <is>
          <t>Thép tấm (70x260x900mm)</t>
        </is>
      </c>
      <c r="J1346" s="17" t="inlineStr">
        <is>
          <t>kg</t>
        </is>
      </c>
      <c r="K1346" s="19" t="n">
        <v>18181.82</v>
      </c>
      <c r="L1346" s="21" t="n"/>
      <c r="M1346" s="22" t="n"/>
      <c r="N1346" s="22" t="n">
        <v>128.58</v>
      </c>
      <c r="O1346" s="22" t="n">
        <v>2337818</v>
      </c>
      <c r="P1346" s="22" t="n">
        <v>128.58</v>
      </c>
      <c r="Q1346" s="22" t="n">
        <v>2337818</v>
      </c>
      <c r="R1346" s="42">
        <f>+L1346+N1346-P1346</f>
        <v/>
      </c>
      <c r="S1346" s="42">
        <f>+M1346+O1346-Q1346</f>
        <v/>
      </c>
    </row>
    <row r="1347" ht="30" customHeight="1">
      <c r="A1347" s="16" t="n">
        <v>45765</v>
      </c>
      <c r="B1347" s="17" t="inlineStr">
        <is>
          <t>MH2504-55</t>
        </is>
      </c>
      <c r="C1347" s="16" t="n">
        <v>45765</v>
      </c>
      <c r="D1347" s="17" t="inlineStr">
        <is>
          <t>00000357</t>
        </is>
      </c>
      <c r="E1347" s="16" t="n">
        <v>45765</v>
      </c>
      <c r="F1347" s="16" t="inlineStr">
        <is>
          <t>XK2504-23</t>
        </is>
      </c>
      <c r="G1347" s="16" t="n">
        <v>45765</v>
      </c>
      <c r="H1347" s="17" t="inlineStr">
        <is>
          <t>CÔNG TY TNHH XUẤT NHẬP KHẨU THƯƠNG MẠI KIÊN HOÀNG</t>
        </is>
      </c>
      <c r="I1347" s="17" t="inlineStr">
        <is>
          <t>Thép tấm (80x260x900mm)</t>
        </is>
      </c>
      <c r="J1347" s="17" t="inlineStr">
        <is>
          <t>kg</t>
        </is>
      </c>
      <c r="K1347" s="19" t="n">
        <v>18181.82</v>
      </c>
      <c r="L1347" s="21" t="n"/>
      <c r="M1347" s="22" t="n"/>
      <c r="N1347" s="22" t="n">
        <v>146.95</v>
      </c>
      <c r="O1347" s="22" t="n">
        <v>2671818</v>
      </c>
      <c r="P1347" s="22" t="n">
        <v>146.95</v>
      </c>
      <c r="Q1347" s="22" t="n">
        <v>2671818</v>
      </c>
      <c r="R1347" s="42">
        <f>+L1347+N1347-P1347</f>
        <v/>
      </c>
      <c r="S1347" s="42">
        <f>+M1347+O1347-Q1347</f>
        <v/>
      </c>
    </row>
    <row r="1348" ht="30" customHeight="1">
      <c r="A1348" s="16" t="n">
        <v>45765</v>
      </c>
      <c r="B1348" s="17" t="inlineStr">
        <is>
          <t>MH2504-55</t>
        </is>
      </c>
      <c r="C1348" s="16" t="n">
        <v>45765</v>
      </c>
      <c r="D1348" s="17" t="inlineStr">
        <is>
          <t>00000357</t>
        </is>
      </c>
      <c r="E1348" s="16" t="n">
        <v>45765</v>
      </c>
      <c r="F1348" s="16" t="inlineStr">
        <is>
          <t>XK2504-23</t>
        </is>
      </c>
      <c r="G1348" s="16" t="n">
        <v>45765</v>
      </c>
      <c r="H1348" s="17" t="inlineStr">
        <is>
          <t>CÔNG TY TNHH XUẤT NHẬP KHẨU THƯƠNG MẠI KIÊN HOÀNG</t>
        </is>
      </c>
      <c r="I1348" s="17" t="inlineStr">
        <is>
          <t>Thép tấm (90x260x900mm)</t>
        </is>
      </c>
      <c r="J1348" s="17" t="inlineStr">
        <is>
          <t>kg</t>
        </is>
      </c>
      <c r="K1348" s="19" t="n">
        <v>18181.82</v>
      </c>
      <c r="L1348" s="21" t="n"/>
      <c r="M1348" s="22" t="n"/>
      <c r="N1348" s="22" t="n">
        <v>165.32</v>
      </c>
      <c r="O1348" s="22" t="n">
        <v>3005818</v>
      </c>
      <c r="P1348" s="22" t="n">
        <v>165.32</v>
      </c>
      <c r="Q1348" s="22" t="n">
        <v>3005818</v>
      </c>
      <c r="R1348" s="42">
        <f>+L1348+N1348-P1348</f>
        <v/>
      </c>
      <c r="S1348" s="42">
        <f>+M1348+O1348-Q1348</f>
        <v/>
      </c>
    </row>
    <row r="1349" ht="30" customHeight="1">
      <c r="A1349" s="16" t="n">
        <v>45765</v>
      </c>
      <c r="B1349" s="17" t="inlineStr">
        <is>
          <t>MH2504-55</t>
        </is>
      </c>
      <c r="C1349" s="16" t="n">
        <v>45765</v>
      </c>
      <c r="D1349" s="17" t="inlineStr">
        <is>
          <t>00000357</t>
        </is>
      </c>
      <c r="E1349" s="16" t="n">
        <v>45765</v>
      </c>
      <c r="F1349" s="16" t="inlineStr">
        <is>
          <t>XK2504-23</t>
        </is>
      </c>
      <c r="G1349" s="16" t="n">
        <v>45765</v>
      </c>
      <c r="H1349" s="17" t="inlineStr">
        <is>
          <t>CÔNG TY TNHH XUẤT NHẬP KHẨU THƯƠNG MẠI KIÊN HOÀNG</t>
        </is>
      </c>
      <c r="I1349" s="17" t="inlineStr">
        <is>
          <t>Thép tấm (120x70x860mm)</t>
        </is>
      </c>
      <c r="J1349" s="17" t="inlineStr">
        <is>
          <t>kg</t>
        </is>
      </c>
      <c r="K1349" s="19" t="n">
        <v>20000</v>
      </c>
      <c r="L1349" s="21" t="n"/>
      <c r="M1349" s="22" t="n"/>
      <c r="N1349" s="22" t="n">
        <v>226.83</v>
      </c>
      <c r="O1349" s="22" t="n">
        <v>4536600</v>
      </c>
      <c r="P1349" s="22" t="n">
        <v>226.83</v>
      </c>
      <c r="Q1349" s="22" t="n">
        <v>4536600</v>
      </c>
      <c r="R1349" s="42">
        <f>+L1349+N1349-P1349</f>
        <v/>
      </c>
      <c r="S1349" s="42">
        <f>+M1349+O1349-Q1349</f>
        <v/>
      </c>
    </row>
    <row r="1350" ht="30" customHeight="1">
      <c r="A1350" s="16" t="n">
        <v>45765</v>
      </c>
      <c r="B1350" s="17" t="inlineStr">
        <is>
          <t>MH2504-55</t>
        </is>
      </c>
      <c r="C1350" s="16" t="n">
        <v>45765</v>
      </c>
      <c r="D1350" s="17" t="inlineStr">
        <is>
          <t>00000357</t>
        </is>
      </c>
      <c r="E1350" s="16" t="n">
        <v>45765</v>
      </c>
      <c r="F1350" s="16" t="inlineStr">
        <is>
          <t>XK2504-23</t>
        </is>
      </c>
      <c r="G1350" s="16" t="n">
        <v>45765</v>
      </c>
      <c r="H1350" s="17" t="inlineStr">
        <is>
          <t>CÔNG TY TNHH XUẤT NHẬP KHẨU THƯƠNG MẠI KIÊN HOÀNG</t>
        </is>
      </c>
      <c r="I1350" s="17" t="inlineStr">
        <is>
          <t>Thép tấm (45x2000x12000mm)</t>
        </is>
      </c>
      <c r="J1350" s="17" t="inlineStr">
        <is>
          <t>kg</t>
        </is>
      </c>
      <c r="K1350" s="19" t="n">
        <v>16015.45</v>
      </c>
      <c r="L1350" s="21" t="n"/>
      <c r="M1350" s="22" t="n"/>
      <c r="N1350" s="22" t="n">
        <v>8478</v>
      </c>
      <c r="O1350" s="22" t="n">
        <v>135778985</v>
      </c>
      <c r="P1350" s="22" t="n">
        <v>8478</v>
      </c>
      <c r="Q1350" s="22" t="n">
        <v>135778985</v>
      </c>
      <c r="R1350" s="42">
        <f>+L1350+N1350-P1350</f>
        <v/>
      </c>
      <c r="S1350" s="42">
        <f>+M1350+O1350-Q1350</f>
        <v/>
      </c>
    </row>
    <row r="1351" ht="30" customHeight="1">
      <c r="A1351" s="16" t="n">
        <v>45765</v>
      </c>
      <c r="B1351" s="17" t="inlineStr">
        <is>
          <t>MH2504-55</t>
        </is>
      </c>
      <c r="C1351" s="16" t="n">
        <v>45765</v>
      </c>
      <c r="D1351" s="17" t="inlineStr">
        <is>
          <t>00000357</t>
        </is>
      </c>
      <c r="E1351" s="16" t="n">
        <v>45765</v>
      </c>
      <c r="F1351" s="16" t="inlineStr">
        <is>
          <t>XK2504-23</t>
        </is>
      </c>
      <c r="G1351" s="16" t="n">
        <v>45765</v>
      </c>
      <c r="H1351" s="17" t="inlineStr">
        <is>
          <t>CÔNG TY TNHH XUẤT NHẬP KHẨU THƯƠNG MẠI KIÊN HOÀNG</t>
        </is>
      </c>
      <c r="I1351" s="17" t="inlineStr">
        <is>
          <t>Thép tấm (50x2000x6000mm)</t>
        </is>
      </c>
      <c r="J1351" s="17" t="inlineStr">
        <is>
          <t>kg</t>
        </is>
      </c>
      <c r="K1351" s="19" t="n">
        <v>15833.64</v>
      </c>
      <c r="L1351" s="21" t="n"/>
      <c r="M1351" s="22" t="n"/>
      <c r="N1351" s="22" t="n">
        <v>4710</v>
      </c>
      <c r="O1351" s="22" t="n">
        <v>74576444</v>
      </c>
      <c r="P1351" s="22" t="n">
        <v>4710</v>
      </c>
      <c r="Q1351" s="22" t="n">
        <v>74576444</v>
      </c>
      <c r="R1351" s="42">
        <f>+L1351+N1351-P1351</f>
        <v/>
      </c>
      <c r="S1351" s="42">
        <f>+M1351+O1351-Q1351</f>
        <v/>
      </c>
    </row>
    <row r="1352" ht="30" customHeight="1">
      <c r="A1352" s="16" t="n">
        <v>45765</v>
      </c>
      <c r="B1352" s="17" t="inlineStr">
        <is>
          <t>MH2504-56</t>
        </is>
      </c>
      <c r="C1352" s="16" t="n">
        <v>45765</v>
      </c>
      <c r="D1352" s="17" t="inlineStr">
        <is>
          <t>00000633</t>
        </is>
      </c>
      <c r="E1352" s="16" t="n">
        <v>45765</v>
      </c>
      <c r="F1352" s="16" t="inlineStr">
        <is>
          <t>XK2504-23</t>
        </is>
      </c>
      <c r="G1352" s="16" t="n">
        <v>45765</v>
      </c>
      <c r="H1352" s="17" t="inlineStr">
        <is>
          <t>CÔNG TY TNHH DỊCH VỤ - THƯƠNG MẠI THÉP THIÊN LONG</t>
        </is>
      </c>
      <c r="I1352" s="17" t="inlineStr">
        <is>
          <t>Thép tấm 25ly</t>
        </is>
      </c>
      <c r="J1352" s="17" t="inlineStr">
        <is>
          <t>kg</t>
        </is>
      </c>
      <c r="K1352" s="19" t="n">
        <v>14772.72</v>
      </c>
      <c r="L1352" s="21" t="n"/>
      <c r="M1352" s="22" t="n"/>
      <c r="N1352" s="22" t="n">
        <v>4710</v>
      </c>
      <c r="O1352" s="22" t="n">
        <v>69579915</v>
      </c>
      <c r="P1352" s="22" t="n">
        <v>4710</v>
      </c>
      <c r="Q1352" s="22" t="n">
        <v>69579915</v>
      </c>
      <c r="R1352" s="42">
        <f>+L1352+N1352-P1352</f>
        <v/>
      </c>
      <c r="S1352" s="42">
        <f>+M1352+O1352-Q1352</f>
        <v/>
      </c>
    </row>
    <row r="1353" ht="30" customHeight="1">
      <c r="A1353" s="16" t="n">
        <v>45765</v>
      </c>
      <c r="B1353" s="17" t="inlineStr">
        <is>
          <t>MH2504-56</t>
        </is>
      </c>
      <c r="C1353" s="16" t="n">
        <v>45765</v>
      </c>
      <c r="D1353" s="17" t="inlineStr">
        <is>
          <t>00000633</t>
        </is>
      </c>
      <c r="E1353" s="16" t="n">
        <v>45765</v>
      </c>
      <c r="F1353" s="16" t="inlineStr">
        <is>
          <t>XK2504-23</t>
        </is>
      </c>
      <c r="G1353" s="16" t="n">
        <v>45765</v>
      </c>
      <c r="H1353" s="17" t="inlineStr">
        <is>
          <t>CÔNG TY TNHH DỊCH VỤ - THƯƠNG MẠI THÉP THIÊN LONG</t>
        </is>
      </c>
      <c r="I1353" s="17" t="inlineStr">
        <is>
          <t>Thép tấm 45ly</t>
        </is>
      </c>
      <c r="J1353" s="17" t="inlineStr">
        <is>
          <t>kg</t>
        </is>
      </c>
      <c r="K1353" s="19" t="n">
        <v>15454.54</v>
      </c>
      <c r="L1353" s="21" t="n"/>
      <c r="M1353" s="22" t="n"/>
      <c r="N1353" s="22" t="n">
        <v>67824</v>
      </c>
      <c r="O1353" s="22" t="n">
        <v>1048188721</v>
      </c>
      <c r="P1353" s="22" t="n">
        <v>67824</v>
      </c>
      <c r="Q1353" s="22" t="n">
        <v>1048188721</v>
      </c>
      <c r="R1353" s="42">
        <f>+L1353+N1353-P1353</f>
        <v/>
      </c>
      <c r="S1353" s="42">
        <f>+M1353+O1353-Q1353</f>
        <v/>
      </c>
    </row>
    <row r="1354" ht="30" customHeight="1">
      <c r="A1354" s="16" t="n">
        <v>45769</v>
      </c>
      <c r="B1354" s="17" t="inlineStr">
        <is>
          <t>MH2504-59</t>
        </is>
      </c>
      <c r="C1354" s="16" t="n">
        <v>45769</v>
      </c>
      <c r="D1354" s="17" t="inlineStr">
        <is>
          <t>00001437</t>
        </is>
      </c>
      <c r="E1354" s="16" t="n">
        <v>45769</v>
      </c>
      <c r="F1354" s="16" t="inlineStr">
        <is>
          <t>XK2504-24</t>
        </is>
      </c>
      <c r="G1354" s="16" t="n">
        <v>45769</v>
      </c>
      <c r="H1354" s="17" t="inlineStr">
        <is>
          <t>CÔNG TY CỔ PHẦN CÔNG NGHIỆP VÀ THƯƠNG MẠI CƯỜNG THỊNH</t>
        </is>
      </c>
      <c r="I1354" s="17" t="inlineStr">
        <is>
          <t>Vít B2 Dacromet 12-24x32 HWFS (lục giác)</t>
        </is>
      </c>
      <c r="J1354" s="17" t="inlineStr">
        <is>
          <t>Cái</t>
        </is>
      </c>
      <c r="K1354" s="19" t="n">
        <v>1920</v>
      </c>
      <c r="L1354" s="21" t="n"/>
      <c r="M1354" s="22" t="n"/>
      <c r="N1354" s="22" t="n">
        <v>2200</v>
      </c>
      <c r="O1354" s="22" t="n">
        <v>4224000</v>
      </c>
      <c r="P1354" s="22" t="n">
        <v>2200</v>
      </c>
      <c r="Q1354" s="22" t="n">
        <v>4224000</v>
      </c>
      <c r="R1354" s="42">
        <f>+L1354+N1354-P1354</f>
        <v/>
      </c>
      <c r="S1354" s="42">
        <f>+M1354+O1354-Q1354</f>
        <v/>
      </c>
    </row>
    <row r="1355" ht="30" customHeight="1">
      <c r="A1355" s="16" t="n">
        <v>45770</v>
      </c>
      <c r="B1355" s="17" t="inlineStr">
        <is>
          <t>MH2504-60</t>
        </is>
      </c>
      <c r="C1355" s="16" t="n">
        <v>45770</v>
      </c>
      <c r="D1355" s="17" t="inlineStr">
        <is>
          <t>00001454</t>
        </is>
      </c>
      <c r="E1355" s="16" t="n">
        <v>45770</v>
      </c>
      <c r="F1355" s="16" t="inlineStr">
        <is>
          <t>XK2504-24</t>
        </is>
      </c>
      <c r="G1355" s="16" t="n">
        <v>45770</v>
      </c>
      <c r="H1355" s="17" t="inlineStr">
        <is>
          <t>CÔNG TY CỔ PHẦN CÔNG NGHIỆP VÀ THƯƠNG MẠI CƯỜNG THỊNH</t>
        </is>
      </c>
      <c r="I1355" s="17" t="inlineStr">
        <is>
          <t>Ty giằng 2 đầu ren 4.6 ZP M16</t>
        </is>
      </c>
      <c r="J1355" s="17" t="inlineStr">
        <is>
          <t>Mét</t>
        </is>
      </c>
      <c r="K1355" s="19" t="n">
        <v>48000</v>
      </c>
      <c r="L1355" s="21" t="n"/>
      <c r="M1355" s="22" t="n"/>
      <c r="N1355" s="22" t="n">
        <v>837.25</v>
      </c>
      <c r="O1355" s="22" t="n">
        <v>40188000</v>
      </c>
      <c r="P1355" s="22" t="n">
        <v>837.25</v>
      </c>
      <c r="Q1355" s="22" t="n">
        <v>40188000</v>
      </c>
      <c r="R1355" s="42">
        <f>+L1355+N1355-P1355</f>
        <v/>
      </c>
      <c r="S1355" s="42">
        <f>+M1355+O1355-Q1355</f>
        <v/>
      </c>
    </row>
    <row r="1356" ht="30" customHeight="1">
      <c r="A1356" s="16" t="n">
        <v>45770</v>
      </c>
      <c r="B1356" s="17" t="inlineStr">
        <is>
          <t>MH2504-60</t>
        </is>
      </c>
      <c r="C1356" s="16" t="n">
        <v>45770</v>
      </c>
      <c r="D1356" s="17" t="inlineStr">
        <is>
          <t>00001454</t>
        </is>
      </c>
      <c r="E1356" s="16" t="n">
        <v>45770</v>
      </c>
      <c r="F1356" s="16" t="inlineStr">
        <is>
          <t>XK2504-24</t>
        </is>
      </c>
      <c r="G1356" s="16" t="n">
        <v>45770</v>
      </c>
      <c r="H1356" s="17" t="inlineStr">
        <is>
          <t>CÔNG TY CỔ PHẦN CÔNG NGHIỆP VÀ THƯƠNG MẠI CƯỜNG THỊNH</t>
        </is>
      </c>
      <c r="I1356" s="17" t="inlineStr">
        <is>
          <t>Đai ốc Din 934 5 ZP M16</t>
        </is>
      </c>
      <c r="J1356" s="17" t="inlineStr">
        <is>
          <t>Cái</t>
        </is>
      </c>
      <c r="K1356" s="19" t="n">
        <v>1110</v>
      </c>
      <c r="L1356" s="21" t="n"/>
      <c r="M1356" s="22" t="n"/>
      <c r="N1356" s="22" t="n">
        <v>192</v>
      </c>
      <c r="O1356" s="22" t="n">
        <v>213120</v>
      </c>
      <c r="P1356" s="22" t="n">
        <v>192</v>
      </c>
      <c r="Q1356" s="22" t="n">
        <v>213120</v>
      </c>
      <c r="R1356" s="42">
        <f>+L1356+N1356-P1356</f>
        <v/>
      </c>
      <c r="S1356" s="42">
        <f>+M1356+O1356-Q1356</f>
        <v/>
      </c>
    </row>
    <row r="1357" ht="30" customHeight="1">
      <c r="A1357" s="16" t="n">
        <v>45770</v>
      </c>
      <c r="B1357" s="17" t="inlineStr">
        <is>
          <t>MH2504-60</t>
        </is>
      </c>
      <c r="C1357" s="16" t="n">
        <v>45770</v>
      </c>
      <c r="D1357" s="17" t="inlineStr">
        <is>
          <t>00001454</t>
        </is>
      </c>
      <c r="E1357" s="16" t="n">
        <v>45770</v>
      </c>
      <c r="F1357" s="16" t="inlineStr">
        <is>
          <t>XK2504-24</t>
        </is>
      </c>
      <c r="G1357" s="16" t="n">
        <v>45770</v>
      </c>
      <c r="H1357" s="17" t="inlineStr">
        <is>
          <t>CÔNG TY CỔ PHẦN CÔNG NGHIỆP VÀ THƯƠNG MẠI CƯỜNG THỊNH</t>
        </is>
      </c>
      <c r="I1357" s="17" t="inlineStr">
        <is>
          <t>Long đền thường ZP M16B42D2</t>
        </is>
      </c>
      <c r="J1357" s="17" t="inlineStr">
        <is>
          <t>Cái</t>
        </is>
      </c>
      <c r="K1357" s="19" t="n">
        <v>800</v>
      </c>
      <c r="L1357" s="21" t="n"/>
      <c r="M1357" s="22" t="n"/>
      <c r="N1357" s="22" t="n">
        <v>192</v>
      </c>
      <c r="O1357" s="22" t="n">
        <v>153600</v>
      </c>
      <c r="P1357" s="22" t="n">
        <v>192</v>
      </c>
      <c r="Q1357" s="22" t="n">
        <v>153600</v>
      </c>
      <c r="R1357" s="42">
        <f>+L1357+N1357-P1357</f>
        <v/>
      </c>
      <c r="S1357" s="42">
        <f>+M1357+O1357-Q1357</f>
        <v/>
      </c>
    </row>
    <row r="1358" ht="30" customHeight="1">
      <c r="A1358" s="16" t="n">
        <v>45770</v>
      </c>
      <c r="B1358" s="17" t="inlineStr">
        <is>
          <t>MH2504-60</t>
        </is>
      </c>
      <c r="C1358" s="16" t="n">
        <v>45770</v>
      </c>
      <c r="D1358" s="17" t="inlineStr">
        <is>
          <t>00001454</t>
        </is>
      </c>
      <c r="E1358" s="16" t="n">
        <v>45770</v>
      </c>
      <c r="F1358" s="16" t="inlineStr">
        <is>
          <t>XK2504-24</t>
        </is>
      </c>
      <c r="G1358" s="16" t="n">
        <v>45770</v>
      </c>
      <c r="H1358" s="17" t="inlineStr">
        <is>
          <t>CÔNG TY CỔ PHẦN CÔNG NGHIỆP VÀ THƯƠNG MẠI CƯỜNG THỊNH</t>
        </is>
      </c>
      <c r="I1358" s="17" t="inlineStr">
        <is>
          <t>Long đền móng ngựa ZP M16</t>
        </is>
      </c>
      <c r="J1358" s="17" t="inlineStr">
        <is>
          <t>Cái</t>
        </is>
      </c>
      <c r="K1358" s="19" t="n">
        <v>15670</v>
      </c>
      <c r="L1358" s="21" t="n"/>
      <c r="M1358" s="22" t="n"/>
      <c r="N1358" s="22" t="n">
        <v>192</v>
      </c>
      <c r="O1358" s="22" t="n">
        <v>3008640</v>
      </c>
      <c r="P1358" s="22" t="n">
        <v>192</v>
      </c>
      <c r="Q1358" s="22" t="n">
        <v>3008640</v>
      </c>
      <c r="R1358" s="42">
        <f>+L1358+N1358-P1358</f>
        <v/>
      </c>
      <c r="S1358" s="42">
        <f>+M1358+O1358-Q1358</f>
        <v/>
      </c>
    </row>
    <row r="1359" ht="30" customHeight="1">
      <c r="A1359" s="16" t="n">
        <v>45770</v>
      </c>
      <c r="B1359" s="17" t="inlineStr">
        <is>
          <t>MH2504-60</t>
        </is>
      </c>
      <c r="C1359" s="16" t="n">
        <v>45770</v>
      </c>
      <c r="D1359" s="17" t="inlineStr">
        <is>
          <t>00001454</t>
        </is>
      </c>
      <c r="E1359" s="16" t="n">
        <v>45770</v>
      </c>
      <c r="F1359" s="16" t="inlineStr">
        <is>
          <t>XK2504-24</t>
        </is>
      </c>
      <c r="G1359" s="16" t="n">
        <v>45770</v>
      </c>
      <c r="H1359" s="17" t="inlineStr">
        <is>
          <t>CÔNG TY CỔ PHẦN CÔNG NGHIỆP VÀ THƯƠNG MẠI CƯỜNG THỊNH</t>
        </is>
      </c>
      <c r="I1359" s="17" t="inlineStr">
        <is>
          <t>Nối Ty ZP M16x100 (23mm)</t>
        </is>
      </c>
      <c r="J1359" s="17" t="inlineStr">
        <is>
          <t>Cái</t>
        </is>
      </c>
      <c r="K1359" s="19" t="n">
        <v>24160</v>
      </c>
      <c r="L1359" s="21" t="n"/>
      <c r="M1359" s="22" t="n"/>
      <c r="N1359" s="22" t="n">
        <v>96</v>
      </c>
      <c r="O1359" s="22" t="n">
        <v>2319360</v>
      </c>
      <c r="P1359" s="22" t="n">
        <v>96</v>
      </c>
      <c r="Q1359" s="22" t="n">
        <v>2319360</v>
      </c>
      <c r="R1359" s="42">
        <f>+L1359+N1359-P1359</f>
        <v/>
      </c>
      <c r="S1359" s="42">
        <f>+M1359+O1359-Q1359</f>
        <v/>
      </c>
    </row>
    <row r="1360" ht="30" customHeight="1">
      <c r="A1360" s="16" t="n">
        <v>45770</v>
      </c>
      <c r="B1360" s="17" t="inlineStr">
        <is>
          <t>MH2504-60</t>
        </is>
      </c>
      <c r="C1360" s="16" t="n">
        <v>45770</v>
      </c>
      <c r="D1360" s="17" t="inlineStr">
        <is>
          <t>00001454</t>
        </is>
      </c>
      <c r="E1360" s="16" t="n">
        <v>45770</v>
      </c>
      <c r="F1360" s="16" t="inlineStr">
        <is>
          <t>XK2504-24</t>
        </is>
      </c>
      <c r="G1360" s="16" t="n">
        <v>45770</v>
      </c>
      <c r="H1360" s="17" t="inlineStr">
        <is>
          <t>CÔNG TY CỔ PHẦN CÔNG NGHIỆP VÀ THƯƠNG MẠI CƯỜNG THỊNH</t>
        </is>
      </c>
      <c r="I1360" s="17" t="inlineStr">
        <is>
          <t>Ty giằng 2 đầu ren 4.6 Ф11.3-11.5mm ZP M12</t>
        </is>
      </c>
      <c r="J1360" s="17" t="inlineStr">
        <is>
          <t>Mét</t>
        </is>
      </c>
      <c r="K1360" s="19" t="n">
        <v>20500</v>
      </c>
      <c r="L1360" s="21" t="n"/>
      <c r="M1360" s="22" t="n"/>
      <c r="N1360" s="22" t="n">
        <v>2595.57</v>
      </c>
      <c r="O1360" s="22" t="n">
        <v>53209185</v>
      </c>
      <c r="P1360" s="22" t="n">
        <v>2595.57</v>
      </c>
      <c r="Q1360" s="22" t="n">
        <v>53209185</v>
      </c>
      <c r="R1360" s="42">
        <f>+L1360+N1360-P1360</f>
        <v/>
      </c>
      <c r="S1360" s="42">
        <f>+M1360+O1360-Q1360</f>
        <v/>
      </c>
    </row>
    <row r="1361" ht="30" customHeight="1">
      <c r="A1361" s="16" t="n">
        <v>45770</v>
      </c>
      <c r="B1361" s="17" t="inlineStr">
        <is>
          <t>MH2504-60</t>
        </is>
      </c>
      <c r="C1361" s="16" t="n">
        <v>45770</v>
      </c>
      <c r="D1361" s="17" t="inlineStr">
        <is>
          <t>00001454</t>
        </is>
      </c>
      <c r="E1361" s="16" t="n">
        <v>45770</v>
      </c>
      <c r="F1361" s="16" t="inlineStr">
        <is>
          <t>XK2504-24</t>
        </is>
      </c>
      <c r="G1361" s="16" t="n">
        <v>45770</v>
      </c>
      <c r="H1361" s="17" t="inlineStr">
        <is>
          <t>CÔNG TY CỔ PHẦN CÔNG NGHIỆP VÀ THƯƠNG MẠI CƯỜNG THỊNH</t>
        </is>
      </c>
      <c r="I1361" s="17" t="inlineStr">
        <is>
          <t>Đai ốc thường 4 ZP M12 (9mm)</t>
        </is>
      </c>
      <c r="J1361" s="17" t="inlineStr">
        <is>
          <t>Cái</t>
        </is>
      </c>
      <c r="K1361" s="19" t="n">
        <v>360</v>
      </c>
      <c r="L1361" s="21" t="n"/>
      <c r="M1361" s="22" t="n"/>
      <c r="N1361" s="22" t="n">
        <v>10084</v>
      </c>
      <c r="O1361" s="22" t="n">
        <v>3630240</v>
      </c>
      <c r="P1361" s="22" t="n">
        <v>10084</v>
      </c>
      <c r="Q1361" s="22" t="n">
        <v>3630240</v>
      </c>
      <c r="R1361" s="42">
        <f>+L1361+N1361-P1361</f>
        <v/>
      </c>
      <c r="S1361" s="42">
        <f>+M1361+O1361-Q1361</f>
        <v/>
      </c>
    </row>
    <row r="1362" ht="30" customHeight="1">
      <c r="A1362" s="16" t="n">
        <v>45770</v>
      </c>
      <c r="B1362" s="17" t="inlineStr">
        <is>
          <t>MH2504-60</t>
        </is>
      </c>
      <c r="C1362" s="16" t="n">
        <v>45770</v>
      </c>
      <c r="D1362" s="17" t="inlineStr">
        <is>
          <t>00001454</t>
        </is>
      </c>
      <c r="E1362" s="16" t="n">
        <v>45770</v>
      </c>
      <c r="F1362" s="16" t="inlineStr">
        <is>
          <t>XK2504-24</t>
        </is>
      </c>
      <c r="G1362" s="16" t="n">
        <v>45770</v>
      </c>
      <c r="H1362" s="17" t="inlineStr">
        <is>
          <t>CÔNG TY CỔ PHẦN CÔNG NGHIỆP VÀ THƯƠNG MẠI CƯỜNG THỊNH</t>
        </is>
      </c>
      <c r="I1362" s="17" t="inlineStr">
        <is>
          <t>Long đền thường ZP M12B26D1.5</t>
        </is>
      </c>
      <c r="J1362" s="17" t="inlineStr">
        <is>
          <t>Cái</t>
        </is>
      </c>
      <c r="K1362" s="19" t="n">
        <v>190</v>
      </c>
      <c r="L1362" s="21" t="n"/>
      <c r="M1362" s="22" t="n"/>
      <c r="N1362" s="22" t="n">
        <v>10084</v>
      </c>
      <c r="O1362" s="22" t="n">
        <v>1915960</v>
      </c>
      <c r="P1362" s="22" t="n">
        <v>10084</v>
      </c>
      <c r="Q1362" s="22" t="n">
        <v>1915960</v>
      </c>
      <c r="R1362" s="42">
        <f>+L1362+N1362-P1362</f>
        <v/>
      </c>
      <c r="S1362" s="42">
        <f>+M1362+O1362-Q1362</f>
        <v/>
      </c>
    </row>
    <row r="1363" ht="30" customHeight="1">
      <c r="A1363" s="16" t="n">
        <v>45770</v>
      </c>
      <c r="B1363" s="17" t="inlineStr">
        <is>
          <t>MH2504-61</t>
        </is>
      </c>
      <c r="C1363" s="16" t="n">
        <v>45770</v>
      </c>
      <c r="D1363" s="17" t="inlineStr">
        <is>
          <t>00001455</t>
        </is>
      </c>
      <c r="E1363" s="16" t="n">
        <v>45770</v>
      </c>
      <c r="F1363" s="16" t="inlineStr">
        <is>
          <t>XK2504-24</t>
        </is>
      </c>
      <c r="G1363" s="16" t="n">
        <v>45770</v>
      </c>
      <c r="H1363" s="17" t="inlineStr">
        <is>
          <t>CÔNG TY CỔ PHẦN CÔNG NGHIỆP VÀ THƯƠNG MẠI CƯỜNG THỊNH</t>
        </is>
      </c>
      <c r="I1363" s="17" t="inlineStr">
        <is>
          <t>Bulong thường 4.6 ZP M12x30</t>
        </is>
      </c>
      <c r="J1363" s="17" t="inlineStr">
        <is>
          <t>Cái</t>
        </is>
      </c>
      <c r="K1363" s="19" t="n">
        <v>950</v>
      </c>
      <c r="L1363" s="21" t="n"/>
      <c r="M1363" s="22" t="n"/>
      <c r="N1363" s="22" t="n">
        <v>4483</v>
      </c>
      <c r="O1363" s="22" t="n">
        <v>4258850</v>
      </c>
      <c r="P1363" s="22" t="n">
        <v>4483</v>
      </c>
      <c r="Q1363" s="22" t="n">
        <v>4258850</v>
      </c>
      <c r="R1363" s="42">
        <f>+L1363+N1363-P1363</f>
        <v/>
      </c>
      <c r="S1363" s="42">
        <f>+M1363+O1363-Q1363</f>
        <v/>
      </c>
    </row>
    <row r="1364" ht="30" customHeight="1">
      <c r="A1364" s="16" t="n">
        <v>45770</v>
      </c>
      <c r="B1364" s="17" t="inlineStr">
        <is>
          <t>MH2504-61</t>
        </is>
      </c>
      <c r="C1364" s="16" t="n">
        <v>45770</v>
      </c>
      <c r="D1364" s="17" t="inlineStr">
        <is>
          <t>00001455</t>
        </is>
      </c>
      <c r="E1364" s="16" t="n">
        <v>45770</v>
      </c>
      <c r="F1364" s="16" t="inlineStr">
        <is>
          <t>XK2504-24</t>
        </is>
      </c>
      <c r="G1364" s="16" t="n">
        <v>45770</v>
      </c>
      <c r="H1364" s="17" t="inlineStr">
        <is>
          <t>CÔNG TY CỔ PHẦN CÔNG NGHIỆP VÀ THƯƠNG MẠI CƯỜNG THỊNH</t>
        </is>
      </c>
      <c r="I1364" s="17" t="inlineStr">
        <is>
          <t>Đai ốc thường 4 ZP M12 (9mm)</t>
        </is>
      </c>
      <c r="J1364" s="17" t="inlineStr">
        <is>
          <t>Cái</t>
        </is>
      </c>
      <c r="K1364" s="19" t="n">
        <v>360</v>
      </c>
      <c r="L1364" s="21" t="n"/>
      <c r="M1364" s="22" t="n"/>
      <c r="N1364" s="22" t="n">
        <v>4483</v>
      </c>
      <c r="O1364" s="22" t="n">
        <v>1613880</v>
      </c>
      <c r="P1364" s="22" t="n">
        <v>4483</v>
      </c>
      <c r="Q1364" s="22" t="n">
        <v>1613880</v>
      </c>
      <c r="R1364" s="42">
        <f>+L1364+N1364-P1364</f>
        <v/>
      </c>
      <c r="S1364" s="42">
        <f>+M1364+O1364-Q1364</f>
        <v/>
      </c>
    </row>
    <row r="1365" ht="30" customHeight="1">
      <c r="A1365" s="16" t="n">
        <v>45770</v>
      </c>
      <c r="B1365" s="17" t="inlineStr">
        <is>
          <t>MH2504-61</t>
        </is>
      </c>
      <c r="C1365" s="16" t="n">
        <v>45770</v>
      </c>
      <c r="D1365" s="17" t="inlineStr">
        <is>
          <t>00001455</t>
        </is>
      </c>
      <c r="E1365" s="16" t="n">
        <v>45770</v>
      </c>
      <c r="F1365" s="16" t="inlineStr">
        <is>
          <t>XK2504-24</t>
        </is>
      </c>
      <c r="G1365" s="16" t="n">
        <v>45770</v>
      </c>
      <c r="H1365" s="17" t="inlineStr">
        <is>
          <t>CÔNG TY CỔ PHẦN CÔNG NGHIỆP VÀ THƯƠNG MẠI CƯỜNG THỊNH</t>
        </is>
      </c>
      <c r="I1365" s="17" t="inlineStr">
        <is>
          <t>Long đền thường ZP M12B23D1</t>
        </is>
      </c>
      <c r="J1365" s="17" t="inlineStr">
        <is>
          <t>Cái</t>
        </is>
      </c>
      <c r="K1365" s="19" t="n">
        <v>100</v>
      </c>
      <c r="L1365" s="21" t="n"/>
      <c r="M1365" s="22" t="n"/>
      <c r="N1365" s="22" t="n">
        <v>8966</v>
      </c>
      <c r="O1365" s="22" t="n">
        <v>896600</v>
      </c>
      <c r="P1365" s="22" t="n">
        <v>8966</v>
      </c>
      <c r="Q1365" s="22" t="n">
        <v>896600</v>
      </c>
      <c r="R1365" s="42">
        <f>+L1365+N1365-P1365</f>
        <v/>
      </c>
      <c r="S1365" s="42">
        <f>+M1365+O1365-Q1365</f>
        <v/>
      </c>
    </row>
    <row r="1366" ht="30" customHeight="1">
      <c r="A1366" s="16" t="n">
        <v>45770</v>
      </c>
      <c r="B1366" s="17" t="inlineStr">
        <is>
          <t>MH2504-61</t>
        </is>
      </c>
      <c r="C1366" s="16" t="n">
        <v>45770</v>
      </c>
      <c r="D1366" s="17" t="inlineStr">
        <is>
          <t>00001455</t>
        </is>
      </c>
      <c r="E1366" s="16" t="n">
        <v>45770</v>
      </c>
      <c r="F1366" s="16" t="inlineStr">
        <is>
          <t>XK2504-24</t>
        </is>
      </c>
      <c r="G1366" s="16" t="n">
        <v>45770</v>
      </c>
      <c r="H1366" s="17" t="inlineStr">
        <is>
          <t>CÔNG TY CỔ PHẦN CÔNG NGHIỆP VÀ THƯƠNG MẠI CƯỜNG THỊNH</t>
        </is>
      </c>
      <c r="I1366" s="17" t="inlineStr">
        <is>
          <t>Bulong Din 933 8.8 ZP M20x80</t>
        </is>
      </c>
      <c r="J1366" s="17" t="inlineStr">
        <is>
          <t>Cái</t>
        </is>
      </c>
      <c r="K1366" s="19" t="n">
        <v>7730</v>
      </c>
      <c r="L1366" s="21" t="n"/>
      <c r="M1366" s="22" t="n"/>
      <c r="N1366" s="22" t="n">
        <v>38</v>
      </c>
      <c r="O1366" s="22" t="n">
        <v>293740</v>
      </c>
      <c r="P1366" s="22" t="n">
        <v>38</v>
      </c>
      <c r="Q1366" s="22" t="n">
        <v>293740</v>
      </c>
      <c r="R1366" s="42">
        <f>+L1366+N1366-P1366</f>
        <v/>
      </c>
      <c r="S1366" s="42">
        <f>+M1366+O1366-Q1366</f>
        <v/>
      </c>
    </row>
    <row r="1367" ht="30" customHeight="1">
      <c r="A1367" s="16" t="n">
        <v>45770</v>
      </c>
      <c r="B1367" s="17" t="inlineStr">
        <is>
          <t>MH2504-61</t>
        </is>
      </c>
      <c r="C1367" s="16" t="n">
        <v>45770</v>
      </c>
      <c r="D1367" s="17" t="inlineStr">
        <is>
          <t>00001455</t>
        </is>
      </c>
      <c r="E1367" s="16" t="n">
        <v>45770</v>
      </c>
      <c r="F1367" s="16" t="inlineStr">
        <is>
          <t>XK2504-24</t>
        </is>
      </c>
      <c r="G1367" s="16" t="n">
        <v>45770</v>
      </c>
      <c r="H1367" s="17" t="inlineStr">
        <is>
          <t>CÔNG TY CỔ PHẦN CÔNG NGHIỆP VÀ THƯƠNG MẠI CƯỜNG THỊNH</t>
        </is>
      </c>
      <c r="I1367" s="17" t="inlineStr">
        <is>
          <t>Đai ốc Din 934 8 ZP M20</t>
        </is>
      </c>
      <c r="J1367" s="17" t="inlineStr">
        <is>
          <t>Cái</t>
        </is>
      </c>
      <c r="K1367" s="19" t="n">
        <v>2030</v>
      </c>
      <c r="L1367" s="21" t="n"/>
      <c r="M1367" s="22" t="n"/>
      <c r="N1367" s="22" t="n">
        <v>38</v>
      </c>
      <c r="O1367" s="22" t="n">
        <v>77140</v>
      </c>
      <c r="P1367" s="22" t="n">
        <v>38</v>
      </c>
      <c r="Q1367" s="22" t="n">
        <v>77140</v>
      </c>
      <c r="R1367" s="42">
        <f>+L1367+N1367-P1367</f>
        <v/>
      </c>
      <c r="S1367" s="42">
        <f>+M1367+O1367-Q1367</f>
        <v/>
      </c>
    </row>
    <row r="1368" ht="30" customHeight="1">
      <c r="A1368" s="16" t="n">
        <v>45770</v>
      </c>
      <c r="B1368" s="17" t="inlineStr">
        <is>
          <t>MH2504-61</t>
        </is>
      </c>
      <c r="C1368" s="16" t="n">
        <v>45770</v>
      </c>
      <c r="D1368" s="17" t="inlineStr">
        <is>
          <t>00001455</t>
        </is>
      </c>
      <c r="E1368" s="16" t="n">
        <v>45770</v>
      </c>
      <c r="F1368" s="16" t="inlineStr">
        <is>
          <t>XK2504-24</t>
        </is>
      </c>
      <c r="G1368" s="16" t="n">
        <v>45770</v>
      </c>
      <c r="H1368" s="17" t="inlineStr">
        <is>
          <t>CÔNG TY CỔ PHẦN CÔNG NGHIỆP VÀ THƯƠNG MẠI CƯỜNG THỊNH</t>
        </is>
      </c>
      <c r="I1368" s="17" t="inlineStr">
        <is>
          <t>Long đền thường ZP M20B35D2</t>
        </is>
      </c>
      <c r="J1368" s="17" t="inlineStr">
        <is>
          <t>Cái</t>
        </is>
      </c>
      <c r="K1368" s="19" t="n">
        <v>350</v>
      </c>
      <c r="L1368" s="21" t="n"/>
      <c r="M1368" s="22" t="n"/>
      <c r="N1368" s="22" t="n">
        <v>38</v>
      </c>
      <c r="O1368" s="22" t="n">
        <v>13300</v>
      </c>
      <c r="P1368" s="22" t="n">
        <v>38</v>
      </c>
      <c r="Q1368" s="22" t="n">
        <v>13300</v>
      </c>
      <c r="R1368" s="42">
        <f>+L1368+N1368-P1368</f>
        <v/>
      </c>
      <c r="S1368" s="42">
        <f>+M1368+O1368-Q1368</f>
        <v/>
      </c>
    </row>
    <row r="1369" ht="30" customHeight="1">
      <c r="A1369" s="16" t="n">
        <v>45770</v>
      </c>
      <c r="B1369" s="17" t="inlineStr">
        <is>
          <t>MH2504-61</t>
        </is>
      </c>
      <c r="C1369" s="16" t="n">
        <v>45770</v>
      </c>
      <c r="D1369" s="17" t="inlineStr">
        <is>
          <t>00001455</t>
        </is>
      </c>
      <c r="E1369" s="16" t="n">
        <v>45770</v>
      </c>
      <c r="F1369" s="16" t="inlineStr">
        <is>
          <t>XK2504-24</t>
        </is>
      </c>
      <c r="G1369" s="16" t="n">
        <v>45770</v>
      </c>
      <c r="H1369" s="17" t="inlineStr">
        <is>
          <t>CÔNG TY CỔ PHẦN CÔNG NGHIỆP VÀ THƯƠNG MẠI CƯỜNG THỊNH</t>
        </is>
      </c>
      <c r="I1369" s="17" t="inlineStr">
        <is>
          <t>Bulong Din 933 8.8 ZP M20x60</t>
        </is>
      </c>
      <c r="J1369" s="17" t="inlineStr">
        <is>
          <t>Cái</t>
        </is>
      </c>
      <c r="K1369" s="19" t="n">
        <v>6440</v>
      </c>
      <c r="L1369" s="21" t="n"/>
      <c r="M1369" s="22" t="n"/>
      <c r="N1369" s="22" t="n">
        <v>1038</v>
      </c>
      <c r="O1369" s="22" t="n">
        <v>6684720</v>
      </c>
      <c r="P1369" s="22" t="n">
        <v>1038</v>
      </c>
      <c r="Q1369" s="22" t="n">
        <v>6684720</v>
      </c>
      <c r="R1369" s="42">
        <f>+L1369+N1369-P1369</f>
        <v/>
      </c>
      <c r="S1369" s="42">
        <f>+M1369+O1369-Q1369</f>
        <v/>
      </c>
    </row>
    <row r="1370" ht="30" customHeight="1">
      <c r="A1370" s="16" t="n">
        <v>45770</v>
      </c>
      <c r="B1370" s="17" t="inlineStr">
        <is>
          <t>MH2504-61</t>
        </is>
      </c>
      <c r="C1370" s="16" t="n">
        <v>45770</v>
      </c>
      <c r="D1370" s="17" t="inlineStr">
        <is>
          <t>00001455</t>
        </is>
      </c>
      <c r="E1370" s="16" t="n">
        <v>45770</v>
      </c>
      <c r="F1370" s="16" t="inlineStr">
        <is>
          <t>XK2504-24</t>
        </is>
      </c>
      <c r="G1370" s="16" t="n">
        <v>45770</v>
      </c>
      <c r="H1370" s="17" t="inlineStr">
        <is>
          <t>CÔNG TY CỔ PHẦN CÔNG NGHIỆP VÀ THƯƠNG MẠI CƯỜNG THỊNH</t>
        </is>
      </c>
      <c r="I1370" s="17" t="inlineStr">
        <is>
          <t>Đai ốc Din 934 8 ZP M20</t>
        </is>
      </c>
      <c r="J1370" s="17" t="inlineStr">
        <is>
          <t>Cái</t>
        </is>
      </c>
      <c r="K1370" s="19" t="n">
        <v>2030</v>
      </c>
      <c r="L1370" s="21" t="n"/>
      <c r="M1370" s="22" t="n"/>
      <c r="N1370" s="22" t="n">
        <v>1038</v>
      </c>
      <c r="O1370" s="22" t="n">
        <v>2107140</v>
      </c>
      <c r="P1370" s="22" t="n">
        <v>1038</v>
      </c>
      <c r="Q1370" s="22" t="n">
        <v>2107140</v>
      </c>
      <c r="R1370" s="42">
        <f>+L1370+N1370-P1370</f>
        <v/>
      </c>
      <c r="S1370" s="42">
        <f>+M1370+O1370-Q1370</f>
        <v/>
      </c>
    </row>
    <row r="1371" ht="30" customHeight="1">
      <c r="A1371" s="16" t="n">
        <v>45770</v>
      </c>
      <c r="B1371" s="17" t="inlineStr">
        <is>
          <t>MH2504-61</t>
        </is>
      </c>
      <c r="C1371" s="16" t="n">
        <v>45770</v>
      </c>
      <c r="D1371" s="17" t="inlineStr">
        <is>
          <t>00001455</t>
        </is>
      </c>
      <c r="E1371" s="16" t="n">
        <v>45770</v>
      </c>
      <c r="F1371" s="16" t="inlineStr">
        <is>
          <t>XK2504-24</t>
        </is>
      </c>
      <c r="G1371" s="16" t="n">
        <v>45770</v>
      </c>
      <c r="H1371" s="17" t="inlineStr">
        <is>
          <t>CÔNG TY CỔ PHẦN CÔNG NGHIỆP VÀ THƯƠNG MẠI CƯỜNG THỊNH</t>
        </is>
      </c>
      <c r="I1371" s="17" t="inlineStr">
        <is>
          <t>Long đền thường ZP M20B35D2</t>
        </is>
      </c>
      <c r="J1371" s="17" t="inlineStr">
        <is>
          <t>Cái</t>
        </is>
      </c>
      <c r="K1371" s="19" t="n">
        <v>350</v>
      </c>
      <c r="L1371" s="21" t="n"/>
      <c r="M1371" s="22" t="n"/>
      <c r="N1371" s="22" t="n">
        <v>1038</v>
      </c>
      <c r="O1371" s="22" t="n">
        <v>363300</v>
      </c>
      <c r="P1371" s="22" t="n">
        <v>1038</v>
      </c>
      <c r="Q1371" s="22" t="n">
        <v>363300</v>
      </c>
      <c r="R1371" s="42">
        <f>+L1371+N1371-P1371</f>
        <v/>
      </c>
      <c r="S1371" s="42">
        <f>+M1371+O1371-Q1371</f>
        <v/>
      </c>
    </row>
    <row r="1372" ht="30" customHeight="1">
      <c r="A1372" s="16" t="n">
        <v>45770</v>
      </c>
      <c r="B1372" s="17" t="inlineStr">
        <is>
          <t>MH2504-61</t>
        </is>
      </c>
      <c r="C1372" s="16" t="n">
        <v>45770</v>
      </c>
      <c r="D1372" s="17" t="inlineStr">
        <is>
          <t>00001455</t>
        </is>
      </c>
      <c r="E1372" s="16" t="n">
        <v>45770</v>
      </c>
      <c r="F1372" s="16" t="inlineStr">
        <is>
          <t>XK2504-24</t>
        </is>
      </c>
      <c r="G1372" s="16" t="n">
        <v>45770</v>
      </c>
      <c r="H1372" s="17" t="inlineStr">
        <is>
          <t>CÔNG TY CỔ PHẦN CÔNG NGHIỆP VÀ THƯƠNG MẠI CƯỜNG THỊNH</t>
        </is>
      </c>
      <c r="I1372" s="17" t="inlineStr">
        <is>
          <t>Bulong Din 933 8.8 ZP M24x70</t>
        </is>
      </c>
      <c r="J1372" s="17" t="inlineStr">
        <is>
          <t>Cái</t>
        </is>
      </c>
      <c r="K1372" s="19" t="n">
        <v>11010</v>
      </c>
      <c r="L1372" s="21" t="n"/>
      <c r="M1372" s="22" t="n"/>
      <c r="N1372" s="22" t="n">
        <v>156</v>
      </c>
      <c r="O1372" s="22" t="n">
        <v>1717560</v>
      </c>
      <c r="P1372" s="22" t="n">
        <v>156</v>
      </c>
      <c r="Q1372" s="22" t="n">
        <v>1717560</v>
      </c>
      <c r="R1372" s="42">
        <f>+L1372+N1372-P1372</f>
        <v/>
      </c>
      <c r="S1372" s="42">
        <f>+M1372+O1372-Q1372</f>
        <v/>
      </c>
    </row>
    <row r="1373" ht="30" customHeight="1">
      <c r="A1373" s="16" t="n">
        <v>45770</v>
      </c>
      <c r="B1373" s="17" t="inlineStr">
        <is>
          <t>MH2504-61</t>
        </is>
      </c>
      <c r="C1373" s="16" t="n">
        <v>45770</v>
      </c>
      <c r="D1373" s="17" t="inlineStr">
        <is>
          <t>00001455</t>
        </is>
      </c>
      <c r="E1373" s="16" t="n">
        <v>45770</v>
      </c>
      <c r="F1373" s="16" t="inlineStr">
        <is>
          <t>XK2504-24</t>
        </is>
      </c>
      <c r="G1373" s="16" t="n">
        <v>45770</v>
      </c>
      <c r="H1373" s="17" t="inlineStr">
        <is>
          <t>CÔNG TY CỔ PHẦN CÔNG NGHIỆP VÀ THƯƠNG MẠI CƯỜNG THỊNH</t>
        </is>
      </c>
      <c r="I1373" s="17" t="inlineStr">
        <is>
          <t>Đai ốc Din 934 8 ZP M24</t>
        </is>
      </c>
      <c r="J1373" s="17" t="inlineStr">
        <is>
          <t>Cái</t>
        </is>
      </c>
      <c r="K1373" s="19" t="n">
        <v>3500</v>
      </c>
      <c r="L1373" s="21" t="n"/>
      <c r="M1373" s="22" t="n"/>
      <c r="N1373" s="22" t="n">
        <v>156</v>
      </c>
      <c r="O1373" s="22" t="n">
        <v>546000</v>
      </c>
      <c r="P1373" s="22" t="n">
        <v>156</v>
      </c>
      <c r="Q1373" s="22" t="n">
        <v>546000</v>
      </c>
      <c r="R1373" s="42">
        <f>+L1373+N1373-P1373</f>
        <v/>
      </c>
      <c r="S1373" s="42">
        <f>+M1373+O1373-Q1373</f>
        <v/>
      </c>
    </row>
    <row r="1374" ht="30" customHeight="1">
      <c r="A1374" s="16" t="n">
        <v>45770</v>
      </c>
      <c r="B1374" s="17" t="inlineStr">
        <is>
          <t>MH2504-61</t>
        </is>
      </c>
      <c r="C1374" s="16" t="n">
        <v>45770</v>
      </c>
      <c r="D1374" s="17" t="inlineStr">
        <is>
          <t>00001455</t>
        </is>
      </c>
      <c r="E1374" s="16" t="n">
        <v>45770</v>
      </c>
      <c r="F1374" s="16" t="inlineStr">
        <is>
          <t>XK2504-24</t>
        </is>
      </c>
      <c r="G1374" s="16" t="n">
        <v>45770</v>
      </c>
      <c r="H1374" s="17" t="inlineStr">
        <is>
          <t>CÔNG TY CỔ PHẦN CÔNG NGHIỆP VÀ THƯƠNG MẠI CƯỜNG THỊNH</t>
        </is>
      </c>
      <c r="I1374" s="17" t="inlineStr">
        <is>
          <t>Long đền thường ZP M24B40-42D2</t>
        </is>
      </c>
      <c r="J1374" s="17" t="inlineStr">
        <is>
          <t>Cái</t>
        </is>
      </c>
      <c r="K1374" s="19" t="n">
        <v>710</v>
      </c>
      <c r="L1374" s="21" t="n"/>
      <c r="M1374" s="22" t="n"/>
      <c r="N1374" s="22" t="n">
        <v>156</v>
      </c>
      <c r="O1374" s="22" t="n">
        <v>110760</v>
      </c>
      <c r="P1374" s="22" t="n">
        <v>156</v>
      </c>
      <c r="Q1374" s="22" t="n">
        <v>110760</v>
      </c>
      <c r="R1374" s="42">
        <f>+L1374+N1374-P1374</f>
        <v/>
      </c>
      <c r="S1374" s="42">
        <f>+M1374+O1374-Q1374</f>
        <v/>
      </c>
    </row>
    <row r="1375" ht="30" customHeight="1">
      <c r="A1375" s="16" t="n">
        <v>45770</v>
      </c>
      <c r="B1375" s="17" t="inlineStr">
        <is>
          <t>MH2504-61</t>
        </is>
      </c>
      <c r="C1375" s="16" t="n">
        <v>45770</v>
      </c>
      <c r="D1375" s="17" t="inlineStr">
        <is>
          <t>00001455</t>
        </is>
      </c>
      <c r="E1375" s="16" t="n">
        <v>45770</v>
      </c>
      <c r="F1375" s="16" t="inlineStr">
        <is>
          <t>XK2504-24</t>
        </is>
      </c>
      <c r="G1375" s="16" t="n">
        <v>45770</v>
      </c>
      <c r="H1375" s="17" t="inlineStr">
        <is>
          <t>CÔNG TY CỔ PHẦN CÔNG NGHIỆP VÀ THƯƠNG MẠI CƯỜNG THỊNH</t>
        </is>
      </c>
      <c r="I1375" s="17" t="inlineStr">
        <is>
          <t>Bulong Din 933 8.8 ZP M24x90</t>
        </is>
      </c>
      <c r="J1375" s="17" t="inlineStr">
        <is>
          <t>Cái</t>
        </is>
      </c>
      <c r="K1375" s="19" t="n">
        <v>12950</v>
      </c>
      <c r="L1375" s="21" t="n"/>
      <c r="M1375" s="22" t="n"/>
      <c r="N1375" s="22" t="n">
        <v>74</v>
      </c>
      <c r="O1375" s="22" t="n">
        <v>958300</v>
      </c>
      <c r="P1375" s="22" t="n">
        <v>74</v>
      </c>
      <c r="Q1375" s="22" t="n">
        <v>958300</v>
      </c>
      <c r="R1375" s="42">
        <f>+L1375+N1375-P1375</f>
        <v/>
      </c>
      <c r="S1375" s="42">
        <f>+M1375+O1375-Q1375</f>
        <v/>
      </c>
    </row>
    <row r="1376" ht="30" customHeight="1">
      <c r="A1376" s="16" t="n">
        <v>45770</v>
      </c>
      <c r="B1376" s="17" t="inlineStr">
        <is>
          <t>MH2504-61</t>
        </is>
      </c>
      <c r="C1376" s="16" t="n">
        <v>45770</v>
      </c>
      <c r="D1376" s="17" t="inlineStr">
        <is>
          <t>00001455</t>
        </is>
      </c>
      <c r="E1376" s="16" t="n">
        <v>45770</v>
      </c>
      <c r="F1376" s="16" t="inlineStr">
        <is>
          <t>XK2504-24</t>
        </is>
      </c>
      <c r="G1376" s="16" t="n">
        <v>45770</v>
      </c>
      <c r="H1376" s="17" t="inlineStr">
        <is>
          <t>CÔNG TY CỔ PHẦN CÔNG NGHIỆP VÀ THƯƠNG MẠI CƯỜNG THỊNH</t>
        </is>
      </c>
      <c r="I1376" s="17" t="inlineStr">
        <is>
          <t>Đai ốc Din 934 8 ZP M24</t>
        </is>
      </c>
      <c r="J1376" s="17" t="inlineStr">
        <is>
          <t>Cái</t>
        </is>
      </c>
      <c r="K1376" s="19" t="n">
        <v>3500</v>
      </c>
      <c r="L1376" s="21" t="n"/>
      <c r="M1376" s="22" t="n"/>
      <c r="N1376" s="22" t="n">
        <v>74</v>
      </c>
      <c r="O1376" s="22" t="n">
        <v>259000</v>
      </c>
      <c r="P1376" s="22" t="n">
        <v>74</v>
      </c>
      <c r="Q1376" s="22" t="n">
        <v>259000</v>
      </c>
      <c r="R1376" s="42">
        <f>+L1376+N1376-P1376</f>
        <v/>
      </c>
      <c r="S1376" s="42">
        <f>+M1376+O1376-Q1376</f>
        <v/>
      </c>
    </row>
    <row r="1377" ht="30" customHeight="1">
      <c r="A1377" s="16" t="n">
        <v>45770</v>
      </c>
      <c r="B1377" s="17" t="inlineStr">
        <is>
          <t>MH2504-61</t>
        </is>
      </c>
      <c r="C1377" s="16" t="n">
        <v>45770</v>
      </c>
      <c r="D1377" s="17" t="inlineStr">
        <is>
          <t>00001455</t>
        </is>
      </c>
      <c r="E1377" s="16" t="n">
        <v>45770</v>
      </c>
      <c r="F1377" s="16" t="inlineStr">
        <is>
          <t>XK2504-24</t>
        </is>
      </c>
      <c r="G1377" s="16" t="n">
        <v>45770</v>
      </c>
      <c r="H1377" s="17" t="inlineStr">
        <is>
          <t>CÔNG TY CỔ PHẦN CÔNG NGHIỆP VÀ THƯƠNG MẠI CƯỜNG THỊNH</t>
        </is>
      </c>
      <c r="I1377" s="17" t="inlineStr">
        <is>
          <t>Long đền thường ZP M24B40-42D2</t>
        </is>
      </c>
      <c r="J1377" s="17" t="inlineStr">
        <is>
          <t>Cái</t>
        </is>
      </c>
      <c r="K1377" s="19" t="n">
        <v>710</v>
      </c>
      <c r="L1377" s="21" t="n"/>
      <c r="M1377" s="22" t="n"/>
      <c r="N1377" s="22" t="n">
        <v>74</v>
      </c>
      <c r="O1377" s="22" t="n">
        <v>52540</v>
      </c>
      <c r="P1377" s="22" t="n">
        <v>74</v>
      </c>
      <c r="Q1377" s="22" t="n">
        <v>52540</v>
      </c>
      <c r="R1377" s="42">
        <f>+L1377+N1377-P1377</f>
        <v/>
      </c>
      <c r="S1377" s="42">
        <f>+M1377+O1377-Q1377</f>
        <v/>
      </c>
    </row>
    <row r="1378" ht="30" customHeight="1">
      <c r="A1378" s="16" t="n">
        <v>45770</v>
      </c>
      <c r="B1378" s="17" t="inlineStr">
        <is>
          <t>MH2504-61</t>
        </is>
      </c>
      <c r="C1378" s="16" t="n">
        <v>45770</v>
      </c>
      <c r="D1378" s="17" t="inlineStr">
        <is>
          <t>00001455</t>
        </is>
      </c>
      <c r="E1378" s="16" t="n">
        <v>45770</v>
      </c>
      <c r="F1378" s="16" t="inlineStr">
        <is>
          <t>XK2504-24</t>
        </is>
      </c>
      <c r="G1378" s="16" t="n">
        <v>45770</v>
      </c>
      <c r="H1378" s="17" t="inlineStr">
        <is>
          <t>CÔNG TY CỔ PHẦN CÔNG NGHIỆP VÀ THƯƠNG MẠI CƯỜNG THỊNH</t>
        </is>
      </c>
      <c r="I1378" s="17" t="inlineStr">
        <is>
          <t>Vít B2 Dacromet 10-24x22 WAF (bake)</t>
        </is>
      </c>
      <c r="J1378" s="17" t="inlineStr">
        <is>
          <t>Cái</t>
        </is>
      </c>
      <c r="K1378" s="19" t="n">
        <v>380</v>
      </c>
      <c r="L1378" s="21" t="n"/>
      <c r="M1378" s="22" t="n"/>
      <c r="N1378" s="22" t="n">
        <v>200</v>
      </c>
      <c r="O1378" s="22" t="n">
        <v>76000</v>
      </c>
      <c r="P1378" s="22" t="n">
        <v>200</v>
      </c>
      <c r="Q1378" s="22" t="n">
        <v>76000</v>
      </c>
      <c r="R1378" s="42">
        <f>+L1378+N1378-P1378</f>
        <v/>
      </c>
      <c r="S1378" s="42">
        <f>+M1378+O1378-Q1378</f>
        <v/>
      </c>
    </row>
    <row r="1379" ht="30" customHeight="1">
      <c r="A1379" s="16" t="n">
        <v>45770</v>
      </c>
      <c r="B1379" s="17" t="inlineStr">
        <is>
          <t>MH2504-62</t>
        </is>
      </c>
      <c r="C1379" s="16" t="n">
        <v>45770</v>
      </c>
      <c r="D1379" s="17" t="inlineStr">
        <is>
          <t>00001456</t>
        </is>
      </c>
      <c r="E1379" s="16" t="n">
        <v>45770</v>
      </c>
      <c r="F1379" s="16" t="inlineStr">
        <is>
          <t>XK2504-24</t>
        </is>
      </c>
      <c r="G1379" s="16" t="n">
        <v>45770</v>
      </c>
      <c r="H1379" s="17" t="inlineStr">
        <is>
          <t>CÔNG TY CỔ PHẦN CÔNG NGHIỆP VÀ THƯƠNG MẠI CƯỜNG THỊNH</t>
        </is>
      </c>
      <c r="I1379" s="17" t="inlineStr">
        <is>
          <t>Ty giằng 2 đầu ren 4.6 ZP M20</t>
        </is>
      </c>
      <c r="J1379" s="17" t="inlineStr">
        <is>
          <t>Mét</t>
        </is>
      </c>
      <c r="K1379" s="19" t="n">
        <v>74000</v>
      </c>
      <c r="L1379" s="21" t="n"/>
      <c r="M1379" s="22" t="n"/>
      <c r="N1379" s="22" t="n">
        <v>142.79</v>
      </c>
      <c r="O1379" s="22" t="n">
        <v>10566460</v>
      </c>
      <c r="P1379" s="22" t="n">
        <v>142.79</v>
      </c>
      <c r="Q1379" s="22" t="n">
        <v>10566460</v>
      </c>
      <c r="R1379" s="42">
        <f>+L1379+N1379-P1379</f>
        <v/>
      </c>
      <c r="S1379" s="42">
        <f>+M1379+O1379-Q1379</f>
        <v/>
      </c>
    </row>
    <row r="1380" ht="30" customHeight="1">
      <c r="A1380" s="16" t="n">
        <v>45770</v>
      </c>
      <c r="B1380" s="17" t="inlineStr">
        <is>
          <t>MH2504-62</t>
        </is>
      </c>
      <c r="C1380" s="16" t="n">
        <v>45770</v>
      </c>
      <c r="D1380" s="17" t="inlineStr">
        <is>
          <t>00001456</t>
        </is>
      </c>
      <c r="E1380" s="16" t="n">
        <v>45770</v>
      </c>
      <c r="F1380" s="16" t="inlineStr">
        <is>
          <t>XK2504-24</t>
        </is>
      </c>
      <c r="G1380" s="16" t="n">
        <v>45770</v>
      </c>
      <c r="H1380" s="17" t="inlineStr">
        <is>
          <t>CÔNG TY CỔ PHẦN CÔNG NGHIỆP VÀ THƯƠNG MẠI CƯỜNG THỊNH</t>
        </is>
      </c>
      <c r="I1380" s="17" t="inlineStr">
        <is>
          <t>Đai ốc Din 934 5 ZP M20</t>
        </is>
      </c>
      <c r="J1380" s="17" t="inlineStr">
        <is>
          <t>Cái</t>
        </is>
      </c>
      <c r="K1380" s="19" t="n">
        <v>1910</v>
      </c>
      <c r="L1380" s="21" t="n"/>
      <c r="M1380" s="22" t="n"/>
      <c r="N1380" s="22" t="n">
        <v>40</v>
      </c>
      <c r="O1380" s="22" t="n">
        <v>76400</v>
      </c>
      <c r="P1380" s="22" t="n">
        <v>40</v>
      </c>
      <c r="Q1380" s="22" t="n">
        <v>76400</v>
      </c>
      <c r="R1380" s="42">
        <f>+L1380+N1380-P1380</f>
        <v/>
      </c>
      <c r="S1380" s="42">
        <f>+M1380+O1380-Q1380</f>
        <v/>
      </c>
    </row>
    <row r="1381" ht="30" customHeight="1">
      <c r="A1381" s="16" t="n">
        <v>45770</v>
      </c>
      <c r="B1381" s="17" t="inlineStr">
        <is>
          <t>MH2504-62</t>
        </is>
      </c>
      <c r="C1381" s="16" t="n">
        <v>45770</v>
      </c>
      <c r="D1381" s="17" t="inlineStr">
        <is>
          <t>00001456</t>
        </is>
      </c>
      <c r="E1381" s="16" t="n">
        <v>45770</v>
      </c>
      <c r="F1381" s="16" t="inlineStr">
        <is>
          <t>XK2504-24</t>
        </is>
      </c>
      <c r="G1381" s="16" t="n">
        <v>45770</v>
      </c>
      <c r="H1381" s="17" t="inlineStr">
        <is>
          <t>CÔNG TY CỔ PHẦN CÔNG NGHIỆP VÀ THƯƠNG MẠI CƯỜNG THỊNH</t>
        </is>
      </c>
      <c r="I1381" s="17" t="inlineStr">
        <is>
          <t>Long đền thường ZP M20B42D2</t>
        </is>
      </c>
      <c r="J1381" s="17" t="inlineStr">
        <is>
          <t>Cái</t>
        </is>
      </c>
      <c r="K1381" s="19" t="n">
        <v>700</v>
      </c>
      <c r="L1381" s="21" t="n"/>
      <c r="M1381" s="22" t="n"/>
      <c r="N1381" s="22" t="n">
        <v>40</v>
      </c>
      <c r="O1381" s="22" t="n">
        <v>28000</v>
      </c>
      <c r="P1381" s="22" t="n">
        <v>40</v>
      </c>
      <c r="Q1381" s="22" t="n">
        <v>28000</v>
      </c>
      <c r="R1381" s="42">
        <f>+L1381+N1381-P1381</f>
        <v/>
      </c>
      <c r="S1381" s="42">
        <f>+M1381+O1381-Q1381</f>
        <v/>
      </c>
    </row>
    <row r="1382" ht="30" customHeight="1">
      <c r="A1382" s="16" t="n">
        <v>45770</v>
      </c>
      <c r="B1382" s="17" t="inlineStr">
        <is>
          <t>MH2504-62</t>
        </is>
      </c>
      <c r="C1382" s="16" t="n">
        <v>45770</v>
      </c>
      <c r="D1382" s="17" t="inlineStr">
        <is>
          <t>00001456</t>
        </is>
      </c>
      <c r="E1382" s="16" t="n">
        <v>45770</v>
      </c>
      <c r="F1382" s="16" t="inlineStr">
        <is>
          <t>XK2504-24</t>
        </is>
      </c>
      <c r="G1382" s="16" t="n">
        <v>45770</v>
      </c>
      <c r="H1382" s="17" t="inlineStr">
        <is>
          <t>CÔNG TY CỔ PHẦN CÔNG NGHIỆP VÀ THƯƠNG MẠI CƯỜNG THỊNH</t>
        </is>
      </c>
      <c r="I1382" s="17" t="inlineStr">
        <is>
          <t>Long đền móng ngựa ZP M20</t>
        </is>
      </c>
      <c r="J1382" s="17" t="inlineStr">
        <is>
          <t>Cái</t>
        </is>
      </c>
      <c r="K1382" s="19" t="n">
        <v>16900</v>
      </c>
      <c r="L1382" s="21" t="n"/>
      <c r="M1382" s="22" t="n"/>
      <c r="N1382" s="22" t="n">
        <v>40</v>
      </c>
      <c r="O1382" s="22" t="n">
        <v>676000</v>
      </c>
      <c r="P1382" s="22" t="n">
        <v>40</v>
      </c>
      <c r="Q1382" s="22" t="n">
        <v>676000</v>
      </c>
      <c r="R1382" s="42">
        <f>+L1382+N1382-P1382</f>
        <v/>
      </c>
      <c r="S1382" s="42">
        <f>+M1382+O1382-Q1382</f>
        <v/>
      </c>
    </row>
    <row r="1383" ht="30" customHeight="1">
      <c r="A1383" s="16" t="n">
        <v>45770</v>
      </c>
      <c r="B1383" s="17" t="inlineStr">
        <is>
          <t>MH2504-62</t>
        </is>
      </c>
      <c r="C1383" s="16" t="n">
        <v>45770</v>
      </c>
      <c r="D1383" s="17" t="inlineStr">
        <is>
          <t>00001456</t>
        </is>
      </c>
      <c r="E1383" s="16" t="n">
        <v>45770</v>
      </c>
      <c r="F1383" s="16" t="inlineStr">
        <is>
          <t>XK2504-24</t>
        </is>
      </c>
      <c r="G1383" s="16" t="n">
        <v>45770</v>
      </c>
      <c r="H1383" s="17" t="inlineStr">
        <is>
          <t>CÔNG TY CỔ PHẦN CÔNG NGHIỆP VÀ THƯƠNG MẠI CƯỜNG THỊNH</t>
        </is>
      </c>
      <c r="I1383" s="17" t="inlineStr">
        <is>
          <t>Nối Ty ZP M20x100(28mm)</t>
        </is>
      </c>
      <c r="J1383" s="17" t="inlineStr">
        <is>
          <t>Cái</t>
        </is>
      </c>
      <c r="K1383" s="19" t="n">
        <v>30250</v>
      </c>
      <c r="L1383" s="21" t="n"/>
      <c r="M1383" s="22" t="n"/>
      <c r="N1383" s="22" t="n">
        <v>16</v>
      </c>
      <c r="O1383" s="22" t="n">
        <v>484000</v>
      </c>
      <c r="P1383" s="22" t="n">
        <v>16</v>
      </c>
      <c r="Q1383" s="22" t="n">
        <v>484000</v>
      </c>
      <c r="R1383" s="42">
        <f>+L1383+N1383-P1383</f>
        <v/>
      </c>
      <c r="S1383" s="42">
        <f>+M1383+O1383-Q1383</f>
        <v/>
      </c>
    </row>
    <row r="1384" ht="30" customHeight="1">
      <c r="A1384" s="16" t="n">
        <v>45770</v>
      </c>
      <c r="B1384" s="17" t="inlineStr">
        <is>
          <t>MH2504-62</t>
        </is>
      </c>
      <c r="C1384" s="16" t="n">
        <v>45770</v>
      </c>
      <c r="D1384" s="17" t="inlineStr">
        <is>
          <t>00001456</t>
        </is>
      </c>
      <c r="E1384" s="16" t="n">
        <v>45770</v>
      </c>
      <c r="F1384" s="16" t="inlineStr">
        <is>
          <t>XK2504-24</t>
        </is>
      </c>
      <c r="G1384" s="16" t="n">
        <v>45770</v>
      </c>
      <c r="H1384" s="17" t="inlineStr">
        <is>
          <t>CÔNG TY CỔ PHẦN CÔNG NGHIỆP VÀ THƯƠNG MẠI CƯỜNG THỊNH</t>
        </is>
      </c>
      <c r="I1384" s="17" t="inlineStr">
        <is>
          <t>Ty giằng 2 đầu ren 4.6 Ф11.3-11.5mm ZP M12</t>
        </is>
      </c>
      <c r="J1384" s="17" t="inlineStr">
        <is>
          <t>Mét</t>
        </is>
      </c>
      <c r="K1384" s="19" t="n">
        <v>20500</v>
      </c>
      <c r="L1384" s="21" t="n"/>
      <c r="M1384" s="22" t="n"/>
      <c r="N1384" s="22" t="n">
        <v>367.51</v>
      </c>
      <c r="O1384" s="22" t="n">
        <v>7533955</v>
      </c>
      <c r="P1384" s="22" t="n">
        <v>367.51</v>
      </c>
      <c r="Q1384" s="22" t="n">
        <v>7533955</v>
      </c>
      <c r="R1384" s="42">
        <f>+L1384+N1384-P1384</f>
        <v/>
      </c>
      <c r="S1384" s="42">
        <f>+M1384+O1384-Q1384</f>
        <v/>
      </c>
    </row>
    <row r="1385" ht="30" customHeight="1">
      <c r="A1385" s="16" t="n">
        <v>45770</v>
      </c>
      <c r="B1385" s="17" t="inlineStr">
        <is>
          <t>MH2504-62</t>
        </is>
      </c>
      <c r="C1385" s="16" t="n">
        <v>45770</v>
      </c>
      <c r="D1385" s="17" t="inlineStr">
        <is>
          <t>00001456</t>
        </is>
      </c>
      <c r="E1385" s="16" t="n">
        <v>45770</v>
      </c>
      <c r="F1385" s="16" t="inlineStr">
        <is>
          <t>XK2504-24</t>
        </is>
      </c>
      <c r="G1385" s="16" t="n">
        <v>45770</v>
      </c>
      <c r="H1385" s="17" t="inlineStr">
        <is>
          <t>CÔNG TY CỔ PHẦN CÔNG NGHIỆP VÀ THƯƠNG MẠI CƯỜNG THỊNH</t>
        </is>
      </c>
      <c r="I1385" s="17" t="inlineStr">
        <is>
          <t>Ty giằng 2 đầu ren 4.6 Ф11.3-11.5mm ZP M12</t>
        </is>
      </c>
      <c r="J1385" s="17" t="inlineStr">
        <is>
          <t>Mét</t>
        </is>
      </c>
      <c r="K1385" s="19" t="n">
        <v>22500</v>
      </c>
      <c r="L1385" s="21" t="n"/>
      <c r="M1385" s="22" t="n"/>
      <c r="N1385" s="22" t="n">
        <v>87.98</v>
      </c>
      <c r="O1385" s="22" t="n">
        <v>1979550</v>
      </c>
      <c r="P1385" s="22" t="n">
        <v>87.98</v>
      </c>
      <c r="Q1385" s="22" t="n">
        <v>1979550</v>
      </c>
      <c r="R1385" s="42">
        <f>+L1385+N1385-P1385</f>
        <v/>
      </c>
      <c r="S1385" s="42">
        <f>+M1385+O1385-Q1385</f>
        <v/>
      </c>
    </row>
    <row r="1386" ht="30" customHeight="1">
      <c r="A1386" s="16" t="n">
        <v>45770</v>
      </c>
      <c r="B1386" s="17" t="inlineStr">
        <is>
          <t>MH2504-62</t>
        </is>
      </c>
      <c r="C1386" s="16" t="n">
        <v>45770</v>
      </c>
      <c r="D1386" s="17" t="inlineStr">
        <is>
          <t>00001456</t>
        </is>
      </c>
      <c r="E1386" s="16" t="n">
        <v>45770</v>
      </c>
      <c r="F1386" s="16" t="inlineStr">
        <is>
          <t>XK2504-24</t>
        </is>
      </c>
      <c r="G1386" s="16" t="n">
        <v>45770</v>
      </c>
      <c r="H1386" s="17" t="inlineStr">
        <is>
          <t>CÔNG TY CỔ PHẦN CÔNG NGHIỆP VÀ THƯƠNG MẠI CƯỜNG THỊNH</t>
        </is>
      </c>
      <c r="I1386" s="17" t="inlineStr">
        <is>
          <t>Đai ốc thường 4 ZP M12 (9mm)</t>
        </is>
      </c>
      <c r="J1386" s="17" t="inlineStr">
        <is>
          <t>Cái</t>
        </is>
      </c>
      <c r="K1386" s="19" t="n">
        <v>360</v>
      </c>
      <c r="L1386" s="21" t="n"/>
      <c r="M1386" s="22" t="n"/>
      <c r="N1386" s="22" t="n">
        <v>2056</v>
      </c>
      <c r="O1386" s="22" t="n">
        <v>740160</v>
      </c>
      <c r="P1386" s="22" t="n">
        <v>2056</v>
      </c>
      <c r="Q1386" s="22" t="n">
        <v>740160</v>
      </c>
      <c r="R1386" s="42">
        <f>+L1386+N1386-P1386</f>
        <v/>
      </c>
      <c r="S1386" s="42">
        <f>+M1386+O1386-Q1386</f>
        <v/>
      </c>
    </row>
    <row r="1387" ht="30" customHeight="1">
      <c r="A1387" s="16" t="n">
        <v>45770</v>
      </c>
      <c r="B1387" s="17" t="inlineStr">
        <is>
          <t>MH2504-62</t>
        </is>
      </c>
      <c r="C1387" s="16" t="n">
        <v>45770</v>
      </c>
      <c r="D1387" s="17" t="inlineStr">
        <is>
          <t>00001456</t>
        </is>
      </c>
      <c r="E1387" s="16" t="n">
        <v>45770</v>
      </c>
      <c r="F1387" s="16" t="inlineStr">
        <is>
          <t>XK2504-24</t>
        </is>
      </c>
      <c r="G1387" s="16" t="n">
        <v>45770</v>
      </c>
      <c r="H1387" s="17" t="inlineStr">
        <is>
          <t>CÔNG TY CỔ PHẦN CÔNG NGHIỆP VÀ THƯƠNG MẠI CƯỜNG THỊNH</t>
        </is>
      </c>
      <c r="I1387" s="17" t="inlineStr">
        <is>
          <t>Long đền thường ZP M12B26D1.5</t>
        </is>
      </c>
      <c r="J1387" s="17" t="inlineStr">
        <is>
          <t>Cái</t>
        </is>
      </c>
      <c r="K1387" s="19" t="n">
        <v>190</v>
      </c>
      <c r="L1387" s="21" t="n"/>
      <c r="M1387" s="22" t="n"/>
      <c r="N1387" s="22" t="n">
        <v>2056</v>
      </c>
      <c r="O1387" s="22" t="n">
        <v>390640</v>
      </c>
      <c r="P1387" s="22" t="n">
        <v>2056</v>
      </c>
      <c r="Q1387" s="22" t="n">
        <v>390640</v>
      </c>
      <c r="R1387" s="42">
        <f>+L1387+N1387-P1387</f>
        <v/>
      </c>
      <c r="S1387" s="42">
        <f>+M1387+O1387-Q1387</f>
        <v/>
      </c>
    </row>
    <row r="1388" ht="30" customHeight="1">
      <c r="A1388" s="16" t="n">
        <v>45770</v>
      </c>
      <c r="B1388" s="17" t="inlineStr">
        <is>
          <t>MH2504-62</t>
        </is>
      </c>
      <c r="C1388" s="16" t="n">
        <v>45770</v>
      </c>
      <c r="D1388" s="17" t="inlineStr">
        <is>
          <t>00001456</t>
        </is>
      </c>
      <c r="E1388" s="16" t="n">
        <v>45770</v>
      </c>
      <c r="F1388" s="16" t="inlineStr">
        <is>
          <t>XK2504-24</t>
        </is>
      </c>
      <c r="G1388" s="16" t="n">
        <v>45770</v>
      </c>
      <c r="H1388" s="17" t="inlineStr">
        <is>
          <t>CÔNG TY CỔ PHẦN CÔNG NGHIỆP VÀ THƯƠNG MẠI CƯỜNG THỊNH</t>
        </is>
      </c>
      <c r="I1388" s="17" t="inlineStr">
        <is>
          <t>Ty giằng 2 đầu ren 5.6 ZP M24</t>
        </is>
      </c>
      <c r="J1388" s="17" t="inlineStr">
        <is>
          <t>Cái</t>
        </is>
      </c>
      <c r="K1388" s="19" t="n">
        <v>106000</v>
      </c>
      <c r="L1388" s="21" t="n"/>
      <c r="M1388" s="22" t="n"/>
      <c r="N1388" s="22" t="n">
        <v>326.52</v>
      </c>
      <c r="O1388" s="22" t="n">
        <v>34611120</v>
      </c>
      <c r="P1388" s="22" t="n">
        <v>326.52</v>
      </c>
      <c r="Q1388" s="22" t="n">
        <v>34611120</v>
      </c>
      <c r="R1388" s="42">
        <f>+L1388+N1388-P1388</f>
        <v/>
      </c>
      <c r="S1388" s="42">
        <f>+M1388+O1388-Q1388</f>
        <v/>
      </c>
    </row>
    <row r="1389" ht="30" customHeight="1">
      <c r="A1389" s="16" t="n">
        <v>45770</v>
      </c>
      <c r="B1389" s="17" t="inlineStr">
        <is>
          <t>MH2504-62</t>
        </is>
      </c>
      <c r="C1389" s="16" t="n">
        <v>45770</v>
      </c>
      <c r="D1389" s="17" t="inlineStr">
        <is>
          <t>00001456</t>
        </is>
      </c>
      <c r="E1389" s="16" t="n">
        <v>45770</v>
      </c>
      <c r="F1389" s="16" t="inlineStr">
        <is>
          <t>XK2504-24</t>
        </is>
      </c>
      <c r="G1389" s="16" t="n">
        <v>45770</v>
      </c>
      <c r="H1389" s="17" t="inlineStr">
        <is>
          <t>CÔNG TY CỔ PHẦN CÔNG NGHIỆP VÀ THƯƠNG MẠI CƯỜNG THỊNH</t>
        </is>
      </c>
      <c r="I1389" s="17" t="inlineStr">
        <is>
          <t>Đai ốc Din 934 5 ZP M24</t>
        </is>
      </c>
      <c r="J1389" s="17" t="inlineStr">
        <is>
          <t>Cái</t>
        </is>
      </c>
      <c r="K1389" s="19" t="n">
        <v>2980</v>
      </c>
      <c r="L1389" s="21" t="n"/>
      <c r="M1389" s="22" t="n"/>
      <c r="N1389" s="22" t="n">
        <v>96</v>
      </c>
      <c r="O1389" s="22" t="n">
        <v>286080</v>
      </c>
      <c r="P1389" s="22" t="n">
        <v>96</v>
      </c>
      <c r="Q1389" s="22" t="n">
        <v>286080</v>
      </c>
      <c r="R1389" s="42">
        <f>+L1389+N1389-P1389</f>
        <v/>
      </c>
      <c r="S1389" s="42">
        <f>+M1389+O1389-Q1389</f>
        <v/>
      </c>
    </row>
    <row r="1390" ht="30" customHeight="1">
      <c r="A1390" s="16" t="n">
        <v>45770</v>
      </c>
      <c r="B1390" s="17" t="inlineStr">
        <is>
          <t>MH2504-62</t>
        </is>
      </c>
      <c r="C1390" s="16" t="n">
        <v>45770</v>
      </c>
      <c r="D1390" s="17" t="inlineStr">
        <is>
          <t>00001456</t>
        </is>
      </c>
      <c r="E1390" s="16" t="n">
        <v>45770</v>
      </c>
      <c r="F1390" s="16" t="inlineStr">
        <is>
          <t>XK2504-24</t>
        </is>
      </c>
      <c r="G1390" s="16" t="n">
        <v>45770</v>
      </c>
      <c r="H1390" s="17" t="inlineStr">
        <is>
          <t>CÔNG TY CỔ PHẦN CÔNG NGHIỆP VÀ THƯƠNG MẠI CƯỜNG THỊNH</t>
        </is>
      </c>
      <c r="I1390" s="17" t="inlineStr">
        <is>
          <t>Long đền thường ZP M24B45D2</t>
        </is>
      </c>
      <c r="J1390" s="17" t="inlineStr">
        <is>
          <t>Cái</t>
        </is>
      </c>
      <c r="K1390" s="19" t="n">
        <v>820</v>
      </c>
      <c r="L1390" s="21" t="n"/>
      <c r="M1390" s="22" t="n"/>
      <c r="N1390" s="22" t="n">
        <v>96</v>
      </c>
      <c r="O1390" s="22" t="n">
        <v>78720</v>
      </c>
      <c r="P1390" s="22" t="n">
        <v>96</v>
      </c>
      <c r="Q1390" s="22" t="n">
        <v>78720</v>
      </c>
      <c r="R1390" s="42">
        <f>+L1390+N1390-P1390</f>
        <v/>
      </c>
      <c r="S1390" s="42">
        <f>+M1390+O1390-Q1390</f>
        <v/>
      </c>
    </row>
    <row r="1391" ht="30" customHeight="1">
      <c r="A1391" s="16" t="n">
        <v>45770</v>
      </c>
      <c r="B1391" s="17" t="inlineStr">
        <is>
          <t>MH2504-62</t>
        </is>
      </c>
      <c r="C1391" s="16" t="n">
        <v>45770</v>
      </c>
      <c r="D1391" s="17" t="inlineStr">
        <is>
          <t>00001456</t>
        </is>
      </c>
      <c r="E1391" s="16" t="n">
        <v>45770</v>
      </c>
      <c r="F1391" s="16" t="inlineStr">
        <is>
          <t>XK2504-24</t>
        </is>
      </c>
      <c r="G1391" s="16" t="n">
        <v>45770</v>
      </c>
      <c r="H1391" s="17" t="inlineStr">
        <is>
          <t>CÔNG TY CỔ PHẦN CÔNG NGHIỆP VÀ THƯƠNG MẠI CƯỜNG THỊNH</t>
        </is>
      </c>
      <c r="I1391" s="17" t="inlineStr">
        <is>
          <t>Long đền móng ngựa ZP M24</t>
        </is>
      </c>
      <c r="J1391" s="17" t="inlineStr">
        <is>
          <t>Cái</t>
        </is>
      </c>
      <c r="K1391" s="19" t="n">
        <v>23500</v>
      </c>
      <c r="L1391" s="21" t="n"/>
      <c r="M1391" s="22" t="n"/>
      <c r="N1391" s="22" t="n">
        <v>96</v>
      </c>
      <c r="O1391" s="22" t="n">
        <v>2256000</v>
      </c>
      <c r="P1391" s="22" t="n">
        <v>96</v>
      </c>
      <c r="Q1391" s="22" t="n">
        <v>2256000</v>
      </c>
      <c r="R1391" s="42">
        <f>+L1391+N1391-P1391</f>
        <v/>
      </c>
      <c r="S1391" s="42">
        <f>+M1391+O1391-Q1391</f>
        <v/>
      </c>
    </row>
    <row r="1392" ht="30" customHeight="1">
      <c r="A1392" s="16" t="n">
        <v>45770</v>
      </c>
      <c r="B1392" s="17" t="inlineStr">
        <is>
          <t>MH2504-62</t>
        </is>
      </c>
      <c r="C1392" s="16" t="n">
        <v>45770</v>
      </c>
      <c r="D1392" s="17" t="inlineStr">
        <is>
          <t>00001456</t>
        </is>
      </c>
      <c r="E1392" s="16" t="n">
        <v>45770</v>
      </c>
      <c r="F1392" s="16" t="inlineStr">
        <is>
          <t>XK2504-24</t>
        </is>
      </c>
      <c r="G1392" s="16" t="n">
        <v>45770</v>
      </c>
      <c r="H1392" s="17" t="inlineStr">
        <is>
          <t>CÔNG TY CỔ PHẦN CÔNG NGHIỆP VÀ THƯƠNG MẠI CƯỜNG THỊNH</t>
        </is>
      </c>
      <c r="I1392" s="17" t="inlineStr">
        <is>
          <t>Nối Ty ZP M24x100 (34mm)</t>
        </is>
      </c>
      <c r="J1392" s="17" t="inlineStr">
        <is>
          <t>Cái</t>
        </is>
      </c>
      <c r="K1392" s="19" t="n">
        <v>35220</v>
      </c>
      <c r="L1392" s="21" t="n"/>
      <c r="M1392" s="22" t="n"/>
      <c r="N1392" s="22" t="n">
        <v>36</v>
      </c>
      <c r="O1392" s="22" t="n">
        <v>1267920</v>
      </c>
      <c r="P1392" s="22" t="n">
        <v>36</v>
      </c>
      <c r="Q1392" s="22" t="n">
        <v>1267920</v>
      </c>
      <c r="R1392" s="42">
        <f>+L1392+N1392-P1392</f>
        <v/>
      </c>
      <c r="S1392" s="42">
        <f>+M1392+O1392-Q1392</f>
        <v/>
      </c>
    </row>
    <row r="1393" ht="30" customHeight="1">
      <c r="A1393" s="16" t="n">
        <v>45770</v>
      </c>
      <c r="B1393" s="17" t="inlineStr">
        <is>
          <t>MH2504-63</t>
        </is>
      </c>
      <c r="C1393" s="16" t="n">
        <v>45770</v>
      </c>
      <c r="D1393" s="17" t="inlineStr">
        <is>
          <t>00001901</t>
        </is>
      </c>
      <c r="E1393" s="16" t="n">
        <v>45770</v>
      </c>
      <c r="F1393" s="16" t="inlineStr">
        <is>
          <t>XK2504-24</t>
        </is>
      </c>
      <c r="G1393" s="16" t="n">
        <v>45770</v>
      </c>
      <c r="H1393" s="17" t="inlineStr">
        <is>
          <t>CÔNG TY TNHH MTV SẢN XUẤT THƯƠNG MẠI DỊCH VỤ THANH HUYỀN</t>
        </is>
      </c>
      <c r="I1393" s="17" t="inlineStr">
        <is>
          <t>Thép mạ kẽm chấn</t>
        </is>
      </c>
      <c r="J1393" s="17" t="inlineStr">
        <is>
          <t>kg</t>
        </is>
      </c>
      <c r="K1393" s="19" t="n">
        <v>21865.33</v>
      </c>
      <c r="L1393" s="21" t="n"/>
      <c r="M1393" s="22" t="n"/>
      <c r="N1393" s="22" t="n">
        <v>333</v>
      </c>
      <c r="O1393" s="22" t="n">
        <v>7281155</v>
      </c>
      <c r="P1393" s="22" t="n">
        <v>333</v>
      </c>
      <c r="Q1393" s="22" t="n">
        <v>7281155</v>
      </c>
      <c r="R1393" s="42">
        <f>+L1393+N1393-P1393</f>
        <v/>
      </c>
      <c r="S1393" s="42">
        <f>+M1393+O1393-Q1393</f>
        <v/>
      </c>
    </row>
    <row r="1394" ht="30" customHeight="1">
      <c r="A1394" s="28" t="n">
        <v>45770</v>
      </c>
      <c r="B1394" s="29" t="inlineStr">
        <is>
          <t>MH2504-63</t>
        </is>
      </c>
      <c r="C1394" s="28" t="n">
        <v>45770</v>
      </c>
      <c r="D1394" s="29" t="inlineStr">
        <is>
          <t>00001901</t>
        </is>
      </c>
      <c r="E1394" s="28" t="n">
        <v>45770</v>
      </c>
      <c r="F1394" s="16" t="inlineStr">
        <is>
          <t>XK2504-24</t>
        </is>
      </c>
      <c r="G1394" s="28" t="n">
        <v>45770</v>
      </c>
      <c r="H1394" s="29" t="inlineStr">
        <is>
          <t>CÔNG TY TNHH MTV SẢN XUẤT THƯƠNG MẠI DỊCH VỤ THANH HUYỀN</t>
        </is>
      </c>
      <c r="I1394" s="29" t="inlineStr">
        <is>
          <t>Xà gồ mạ kẽm</t>
        </is>
      </c>
      <c r="J1394" s="29" t="inlineStr">
        <is>
          <t>kg</t>
        </is>
      </c>
      <c r="K1394" s="30" t="n">
        <v>18394.22</v>
      </c>
      <c r="L1394" s="31" t="n"/>
      <c r="M1394" s="32" t="n"/>
      <c r="N1394" s="32" t="n">
        <v>7087</v>
      </c>
      <c r="O1394" s="32" t="n">
        <v>130359802</v>
      </c>
      <c r="P1394" s="32" t="n">
        <v>7087</v>
      </c>
      <c r="Q1394" s="32" t="n">
        <v>130359802</v>
      </c>
      <c r="R1394" s="42">
        <f>+L1394+N1394-P1394</f>
        <v/>
      </c>
      <c r="S1394" s="42">
        <f>+M1394+O1394-Q1394</f>
        <v/>
      </c>
    </row>
    <row r="1395" ht="30.75" customHeight="1">
      <c r="A1395" s="16" t="n">
        <v>45783</v>
      </c>
      <c r="B1395" s="17" t="inlineStr">
        <is>
          <t>MH2505-01</t>
        </is>
      </c>
      <c r="C1395" s="16" t="n">
        <v>45783</v>
      </c>
      <c r="D1395" s="17" t="inlineStr">
        <is>
          <t>00001610</t>
        </is>
      </c>
      <c r="E1395" s="16" t="n">
        <v>45783</v>
      </c>
      <c r="F1395" s="16" t="inlineStr">
        <is>
          <t>XK2505-01</t>
        </is>
      </c>
      <c r="G1395" s="16" t="n">
        <v>45783</v>
      </c>
      <c r="H1395" s="17" t="inlineStr">
        <is>
          <t>CÔNG TY CỔ PHẦN CÔNG NGHIỆP VÀ THƯƠNG MẠI CƯỜNG THỊNH</t>
        </is>
      </c>
      <c r="I1395" s="17" t="inlineStr">
        <is>
          <t>W F436M Type 1 ZP M16</t>
        </is>
      </c>
      <c r="J1395" s="17" t="inlineStr">
        <is>
          <t>Cái</t>
        </is>
      </c>
      <c r="K1395" s="21" t="n">
        <v>830</v>
      </c>
      <c r="L1395" s="20" t="n"/>
      <c r="M1395" s="27" t="n"/>
      <c r="N1395" s="43" t="n">
        <v>74</v>
      </c>
      <c r="O1395" s="27" t="n">
        <v>61420</v>
      </c>
      <c r="P1395" s="43" t="n">
        <v>74</v>
      </c>
      <c r="Q1395" s="27" t="n">
        <v>61420</v>
      </c>
      <c r="R1395" s="42">
        <f>+L1395+N1395-P1395</f>
        <v/>
      </c>
      <c r="S1395" s="42">
        <f>+M1395+O1395-Q1395</f>
        <v/>
      </c>
    </row>
    <row r="1396" ht="30" customHeight="1">
      <c r="A1396" s="16" t="n">
        <v>45783</v>
      </c>
      <c r="B1396" s="17" t="inlineStr">
        <is>
          <t>MH2505-01</t>
        </is>
      </c>
      <c r="C1396" s="16" t="n">
        <v>45783</v>
      </c>
      <c r="D1396" s="17" t="inlineStr">
        <is>
          <t>00001610</t>
        </is>
      </c>
      <c r="E1396" s="16" t="n">
        <v>45783</v>
      </c>
      <c r="F1396" s="16" t="inlineStr">
        <is>
          <t>XK2505-01</t>
        </is>
      </c>
      <c r="G1396" s="16" t="n">
        <v>45783</v>
      </c>
      <c r="H1396" s="17" t="inlineStr">
        <is>
          <t>CÔNG TY CỔ PHẦN CÔNG NGHIỆP VÀ THƯƠNG MẠI CƯỜNG THỊNH</t>
        </is>
      </c>
      <c r="I1396" s="17" t="inlineStr">
        <is>
          <t>H/H N A563M 10 ZP M16</t>
        </is>
      </c>
      <c r="J1396" s="17" t="inlineStr">
        <is>
          <t>Cái</t>
        </is>
      </c>
      <c r="K1396" s="21" t="n">
        <v>2420</v>
      </c>
      <c r="L1396" s="20" t="n"/>
      <c r="M1396" s="20" t="n"/>
      <c r="N1396" s="43" t="n">
        <v>74</v>
      </c>
      <c r="O1396" s="20" t="n">
        <v>179080</v>
      </c>
      <c r="P1396" s="43" t="n">
        <v>74</v>
      </c>
      <c r="Q1396" s="20" t="n">
        <v>179080</v>
      </c>
      <c r="R1396" s="42">
        <f>+L1396+N1396-P1396</f>
        <v/>
      </c>
      <c r="S1396" s="42">
        <f>+M1396+O1396-Q1396</f>
        <v/>
      </c>
    </row>
    <row r="1397" ht="30" customHeight="1">
      <c r="A1397" s="16" t="n">
        <v>45783</v>
      </c>
      <c r="B1397" s="17" t="inlineStr">
        <is>
          <t>MH2505-01</t>
        </is>
      </c>
      <c r="C1397" s="16" t="n">
        <v>45783</v>
      </c>
      <c r="D1397" s="17" t="inlineStr">
        <is>
          <t>00001610</t>
        </is>
      </c>
      <c r="E1397" s="16" t="n">
        <v>45783</v>
      </c>
      <c r="F1397" s="16" t="inlineStr">
        <is>
          <t>XK2505-01</t>
        </is>
      </c>
      <c r="G1397" s="16" t="n">
        <v>45783</v>
      </c>
      <c r="H1397" s="17" t="inlineStr">
        <is>
          <t>CÔNG TY CỔ PHẦN CÔNG NGHIỆP VÀ THƯƠNG MẠI CƯỜNG THỊNH</t>
        </is>
      </c>
      <c r="I1397" s="17" t="inlineStr">
        <is>
          <t>STR H/H B A325M Type 1 ZP M16x50(50)</t>
        </is>
      </c>
      <c r="J1397" s="17" t="inlineStr">
        <is>
          <t>Cái</t>
        </is>
      </c>
      <c r="K1397" s="21" t="n">
        <v>5250</v>
      </c>
      <c r="L1397" s="20" t="n"/>
      <c r="M1397" s="20" t="n"/>
      <c r="N1397" s="43" t="n">
        <v>74</v>
      </c>
      <c r="O1397" s="20" t="n">
        <v>388500</v>
      </c>
      <c r="P1397" s="43" t="n">
        <v>74</v>
      </c>
      <c r="Q1397" s="20" t="n">
        <v>388500</v>
      </c>
      <c r="R1397" s="42">
        <f>+L1397+N1397-P1397</f>
        <v/>
      </c>
      <c r="S1397" s="42">
        <f>+M1397+O1397-Q1397</f>
        <v/>
      </c>
    </row>
    <row r="1398" ht="30" customHeight="1">
      <c r="A1398" s="16" t="n">
        <v>45783</v>
      </c>
      <c r="B1398" s="17" t="inlineStr">
        <is>
          <t>MH2505-01</t>
        </is>
      </c>
      <c r="C1398" s="16" t="n">
        <v>45783</v>
      </c>
      <c r="D1398" s="17" t="inlineStr">
        <is>
          <t>00001610</t>
        </is>
      </c>
      <c r="E1398" s="16" t="n">
        <v>45783</v>
      </c>
      <c r="F1398" s="16" t="inlineStr">
        <is>
          <t>XK2505-01</t>
        </is>
      </c>
      <c r="G1398" s="16" t="n">
        <v>45783</v>
      </c>
      <c r="H1398" s="17" t="inlineStr">
        <is>
          <t>CÔNG TY CỔ PHẦN CÔNG NGHIỆP VÀ THƯƠNG MẠI CƯỜNG THỊNH</t>
        </is>
      </c>
      <c r="I1398" s="17" t="inlineStr">
        <is>
          <t>H/H N A563M 10 ZP M16</t>
        </is>
      </c>
      <c r="J1398" s="17" t="inlineStr">
        <is>
          <t>Cái</t>
        </is>
      </c>
      <c r="K1398" s="21" t="n">
        <v>2420</v>
      </c>
      <c r="L1398" s="20" t="n"/>
      <c r="M1398" s="20" t="n"/>
      <c r="N1398" s="43" t="n">
        <v>99</v>
      </c>
      <c r="O1398" s="20" t="n">
        <v>239580</v>
      </c>
      <c r="P1398" s="43" t="n">
        <v>99</v>
      </c>
      <c r="Q1398" s="20" t="n">
        <v>239580</v>
      </c>
      <c r="R1398" s="42">
        <f>+L1398+N1398-P1398</f>
        <v/>
      </c>
      <c r="S1398" s="42">
        <f>+M1398+O1398-Q1398</f>
        <v/>
      </c>
    </row>
    <row r="1399" ht="30" customHeight="1">
      <c r="A1399" s="16" t="n">
        <v>45783</v>
      </c>
      <c r="B1399" s="17" t="inlineStr">
        <is>
          <t>MH2505-01</t>
        </is>
      </c>
      <c r="C1399" s="16" t="n">
        <v>45783</v>
      </c>
      <c r="D1399" s="17" t="inlineStr">
        <is>
          <t>00001610</t>
        </is>
      </c>
      <c r="E1399" s="16" t="n">
        <v>45783</v>
      </c>
      <c r="F1399" s="16" t="inlineStr">
        <is>
          <t>XK2505-01</t>
        </is>
      </c>
      <c r="G1399" s="16" t="n">
        <v>45783</v>
      </c>
      <c r="H1399" s="17" t="inlineStr">
        <is>
          <t>CÔNG TY CỔ PHẦN CÔNG NGHIỆP VÀ THƯƠNG MẠI CƯỜNG THỊNH</t>
        </is>
      </c>
      <c r="I1399" s="17" t="inlineStr">
        <is>
          <t>W F436M Type 1 ZP M16</t>
        </is>
      </c>
      <c r="J1399" s="17" t="inlineStr">
        <is>
          <t>Cái</t>
        </is>
      </c>
      <c r="K1399" s="21" t="n">
        <v>830</v>
      </c>
      <c r="L1399" s="20" t="n"/>
      <c r="M1399" s="20" t="n"/>
      <c r="N1399" s="43" t="n">
        <v>99</v>
      </c>
      <c r="O1399" s="20" t="n">
        <v>82170</v>
      </c>
      <c r="P1399" s="43" t="n">
        <v>99</v>
      </c>
      <c r="Q1399" s="20" t="n">
        <v>82170</v>
      </c>
      <c r="R1399" s="42">
        <f>+L1399+N1399-P1399</f>
        <v/>
      </c>
      <c r="S1399" s="42">
        <f>+M1399+O1399-Q1399</f>
        <v/>
      </c>
    </row>
    <row r="1400" ht="30" customHeight="1">
      <c r="A1400" s="16" t="n">
        <v>45783</v>
      </c>
      <c r="B1400" s="17" t="inlineStr">
        <is>
          <t>MH2505-01</t>
        </is>
      </c>
      <c r="C1400" s="16" t="n">
        <v>45783</v>
      </c>
      <c r="D1400" s="17" t="inlineStr">
        <is>
          <t>00001610</t>
        </is>
      </c>
      <c r="E1400" s="16" t="n">
        <v>45783</v>
      </c>
      <c r="F1400" s="16" t="inlineStr">
        <is>
          <t>XK2505-01</t>
        </is>
      </c>
      <c r="G1400" s="16" t="n">
        <v>45783</v>
      </c>
      <c r="H1400" s="17" t="inlineStr">
        <is>
          <t>CÔNG TY CỔ PHẦN CÔNG NGHIỆP VÀ THƯƠNG MẠI CƯỜNG THỊNH</t>
        </is>
      </c>
      <c r="I1400" s="17" t="inlineStr">
        <is>
          <t>STR H/H B A325M Type 1 ZP M16x60(60)</t>
        </is>
      </c>
      <c r="J1400" s="17" t="inlineStr">
        <is>
          <t>Cái</t>
        </is>
      </c>
      <c r="K1400" s="21" t="n">
        <v>5780</v>
      </c>
      <c r="L1400" s="20" t="n"/>
      <c r="M1400" s="20" t="n"/>
      <c r="N1400" s="43" t="n">
        <v>99</v>
      </c>
      <c r="O1400" s="20" t="n">
        <v>572220</v>
      </c>
      <c r="P1400" s="43" t="n">
        <v>99</v>
      </c>
      <c r="Q1400" s="20" t="n">
        <v>572220</v>
      </c>
      <c r="R1400" s="42">
        <f>+L1400+N1400-P1400</f>
        <v/>
      </c>
      <c r="S1400" s="42">
        <f>+M1400+O1400-Q1400</f>
        <v/>
      </c>
    </row>
    <row r="1401" ht="30" customHeight="1">
      <c r="A1401" s="16" t="n">
        <v>45783</v>
      </c>
      <c r="B1401" s="17" t="inlineStr">
        <is>
          <t>MH2505-01</t>
        </is>
      </c>
      <c r="C1401" s="16" t="n">
        <v>45783</v>
      </c>
      <c r="D1401" s="17" t="inlineStr">
        <is>
          <t>00001610</t>
        </is>
      </c>
      <c r="E1401" s="16" t="n">
        <v>45783</v>
      </c>
      <c r="F1401" s="16" t="inlineStr">
        <is>
          <t>XK2505-01</t>
        </is>
      </c>
      <c r="G1401" s="16" t="n">
        <v>45783</v>
      </c>
      <c r="H1401" s="17" t="inlineStr">
        <is>
          <t>CÔNG TY CỔ PHẦN CÔNG NGHIỆP VÀ THƯƠNG MẠI CƯỜNG THỊNH</t>
        </is>
      </c>
      <c r="I1401" s="17" t="inlineStr">
        <is>
          <t>W F436M Type 1 ZP M16</t>
        </is>
      </c>
      <c r="J1401" s="17" t="inlineStr">
        <is>
          <t>Cái</t>
        </is>
      </c>
      <c r="K1401" s="21" t="n">
        <v>830</v>
      </c>
      <c r="L1401" s="20" t="n"/>
      <c r="M1401" s="20" t="n"/>
      <c r="N1401" s="43" t="n">
        <v>264</v>
      </c>
      <c r="O1401" s="20" t="n">
        <v>219120</v>
      </c>
      <c r="P1401" s="43" t="n">
        <v>264</v>
      </c>
      <c r="Q1401" s="20" t="n">
        <v>219120</v>
      </c>
      <c r="R1401" s="42">
        <f>+L1401+N1401-P1401</f>
        <v/>
      </c>
      <c r="S1401" s="42">
        <f>+M1401+O1401-Q1401</f>
        <v/>
      </c>
    </row>
    <row r="1402" ht="30" customHeight="1">
      <c r="A1402" s="16" t="n">
        <v>45783</v>
      </c>
      <c r="B1402" s="17" t="inlineStr">
        <is>
          <t>MH2505-01</t>
        </is>
      </c>
      <c r="C1402" s="16" t="n">
        <v>45783</v>
      </c>
      <c r="D1402" s="17" t="inlineStr">
        <is>
          <t>00001610</t>
        </is>
      </c>
      <c r="E1402" s="16" t="n">
        <v>45783</v>
      </c>
      <c r="F1402" s="16" t="inlineStr">
        <is>
          <t>XK2505-01</t>
        </is>
      </c>
      <c r="G1402" s="16" t="n">
        <v>45783</v>
      </c>
      <c r="H1402" s="17" t="inlineStr">
        <is>
          <t>CÔNG TY CỔ PHẦN CÔNG NGHIỆP VÀ THƯƠNG MẠI CƯỜNG THỊNH</t>
        </is>
      </c>
      <c r="I1402" s="17" t="inlineStr">
        <is>
          <t>H/H N A563M 10 ZP M16</t>
        </is>
      </c>
      <c r="J1402" s="17" t="inlineStr">
        <is>
          <t>Cái</t>
        </is>
      </c>
      <c r="K1402" s="21" t="n">
        <v>2420</v>
      </c>
      <c r="L1402" s="20" t="n"/>
      <c r="M1402" s="20" t="n"/>
      <c r="N1402" s="43" t="n">
        <v>264</v>
      </c>
      <c r="O1402" s="20" t="n">
        <v>638880</v>
      </c>
      <c r="P1402" s="43" t="n">
        <v>264</v>
      </c>
      <c r="Q1402" s="20" t="n">
        <v>638880</v>
      </c>
      <c r="R1402" s="42">
        <f>+L1402+N1402-P1402</f>
        <v/>
      </c>
      <c r="S1402" s="42">
        <f>+M1402+O1402-Q1402</f>
        <v/>
      </c>
    </row>
    <row r="1403" ht="30" customHeight="1">
      <c r="A1403" s="16" t="n">
        <v>45783</v>
      </c>
      <c r="B1403" s="17" t="inlineStr">
        <is>
          <t>MH2505-01</t>
        </is>
      </c>
      <c r="C1403" s="16" t="n">
        <v>45783</v>
      </c>
      <c r="D1403" s="17" t="inlineStr">
        <is>
          <t>00001610</t>
        </is>
      </c>
      <c r="E1403" s="16" t="n">
        <v>45783</v>
      </c>
      <c r="F1403" s="16" t="inlineStr">
        <is>
          <t>XK2505-01</t>
        </is>
      </c>
      <c r="G1403" s="16" t="n">
        <v>45783</v>
      </c>
      <c r="H1403" s="17" t="inlineStr">
        <is>
          <t>CÔNG TY CỔ PHẦN CÔNG NGHIỆP VÀ THƯƠNG MẠI CƯỜNG THỊNH</t>
        </is>
      </c>
      <c r="I1403" s="17" t="inlineStr">
        <is>
          <t>STR H/H B A325M Type 1 ZP M16x180(180)</t>
        </is>
      </c>
      <c r="J1403" s="17" t="inlineStr">
        <is>
          <t>Cái</t>
        </is>
      </c>
      <c r="K1403" s="21" t="n">
        <v>13580</v>
      </c>
      <c r="L1403" s="20" t="n"/>
      <c r="M1403" s="20" t="n"/>
      <c r="N1403" s="43" t="n">
        <v>264</v>
      </c>
      <c r="O1403" s="20" t="n">
        <v>3585120</v>
      </c>
      <c r="P1403" s="43" t="n">
        <v>264</v>
      </c>
      <c r="Q1403" s="20" t="n">
        <v>3585120</v>
      </c>
      <c r="R1403" s="42">
        <f>+L1403+N1403-P1403</f>
        <v/>
      </c>
      <c r="S1403" s="42">
        <f>+M1403+O1403-Q1403</f>
        <v/>
      </c>
    </row>
    <row r="1404" ht="30" customHeight="1">
      <c r="A1404" s="16" t="n">
        <v>45783</v>
      </c>
      <c r="B1404" s="17" t="inlineStr">
        <is>
          <t>MH2505-01</t>
        </is>
      </c>
      <c r="C1404" s="16" t="n">
        <v>45783</v>
      </c>
      <c r="D1404" s="17" t="inlineStr">
        <is>
          <t>00001610</t>
        </is>
      </c>
      <c r="E1404" s="16" t="n">
        <v>45783</v>
      </c>
      <c r="F1404" s="16" t="inlineStr">
        <is>
          <t>XK2505-01</t>
        </is>
      </c>
      <c r="G1404" s="16" t="n">
        <v>45783</v>
      </c>
      <c r="H1404" s="17" t="inlineStr">
        <is>
          <t>CÔNG TY CỔ PHẦN CÔNG NGHIỆP VÀ THƯƠNG MẠI CƯỜNG THỊNH</t>
        </is>
      </c>
      <c r="I1404" s="17" t="inlineStr">
        <is>
          <t>W F436M Type 1 ZP M16</t>
        </is>
      </c>
      <c r="J1404" s="17" t="inlineStr">
        <is>
          <t>Cái</t>
        </is>
      </c>
      <c r="K1404" s="21" t="n">
        <v>830</v>
      </c>
      <c r="L1404" s="20" t="n"/>
      <c r="M1404" s="20" t="n"/>
      <c r="N1404" s="43" t="n">
        <v>132</v>
      </c>
      <c r="O1404" s="20" t="n">
        <v>109560</v>
      </c>
      <c r="P1404" s="43" t="n">
        <v>132</v>
      </c>
      <c r="Q1404" s="20" t="n">
        <v>109560</v>
      </c>
      <c r="R1404" s="42">
        <f>+L1404+N1404-P1404</f>
        <v/>
      </c>
      <c r="S1404" s="42">
        <f>+M1404+O1404-Q1404</f>
        <v/>
      </c>
    </row>
    <row r="1405" ht="30" customHeight="1">
      <c r="A1405" s="16" t="n">
        <v>45783</v>
      </c>
      <c r="B1405" s="17" t="inlineStr">
        <is>
          <t>MH2505-01</t>
        </is>
      </c>
      <c r="C1405" s="16" t="n">
        <v>45783</v>
      </c>
      <c r="D1405" s="17" t="inlineStr">
        <is>
          <t>00001610</t>
        </is>
      </c>
      <c r="E1405" s="16" t="n">
        <v>45783</v>
      </c>
      <c r="F1405" s="16" t="inlineStr">
        <is>
          <t>XK2505-01</t>
        </is>
      </c>
      <c r="G1405" s="16" t="n">
        <v>45783</v>
      </c>
      <c r="H1405" s="17" t="inlineStr">
        <is>
          <t>CÔNG TY CỔ PHẦN CÔNG NGHIỆP VÀ THƯƠNG MẠI CƯỜNG THỊNH</t>
        </is>
      </c>
      <c r="I1405" s="17" t="inlineStr">
        <is>
          <t>H/H N A563M 10 ZP M16</t>
        </is>
      </c>
      <c r="J1405" s="17" t="inlineStr">
        <is>
          <t>Cái</t>
        </is>
      </c>
      <c r="K1405" s="21" t="n">
        <v>2420</v>
      </c>
      <c r="L1405" s="20" t="n"/>
      <c r="M1405" s="20" t="n"/>
      <c r="N1405" s="43" t="n">
        <v>132</v>
      </c>
      <c r="O1405" s="20" t="n">
        <v>319440</v>
      </c>
      <c r="P1405" s="43" t="n">
        <v>132</v>
      </c>
      <c r="Q1405" s="20" t="n">
        <v>319440</v>
      </c>
      <c r="R1405" s="42">
        <f>+L1405+N1405-P1405</f>
        <v/>
      </c>
      <c r="S1405" s="42">
        <f>+M1405+O1405-Q1405</f>
        <v/>
      </c>
    </row>
    <row r="1406" ht="30" customHeight="1">
      <c r="A1406" s="16" t="n">
        <v>45783</v>
      </c>
      <c r="B1406" s="17" t="inlineStr">
        <is>
          <t>MH2505-01</t>
        </is>
      </c>
      <c r="C1406" s="16" t="n">
        <v>45783</v>
      </c>
      <c r="D1406" s="17" t="inlineStr">
        <is>
          <t>00001610</t>
        </is>
      </c>
      <c r="E1406" s="16" t="n">
        <v>45783</v>
      </c>
      <c r="F1406" s="16" t="inlineStr">
        <is>
          <t>XK2505-01</t>
        </is>
      </c>
      <c r="G1406" s="16" t="n">
        <v>45783</v>
      </c>
      <c r="H1406" s="17" t="inlineStr">
        <is>
          <t>CÔNG TY CỔ PHẦN CÔNG NGHIỆP VÀ THƯƠNG MẠI CƯỜNG THỊNH</t>
        </is>
      </c>
      <c r="I1406" s="17" t="inlineStr">
        <is>
          <t>STR H/H B A325M Type 1 ZP M16x200(200)</t>
        </is>
      </c>
      <c r="J1406" s="17" t="inlineStr">
        <is>
          <t>Cái</t>
        </is>
      </c>
      <c r="K1406" s="21" t="n">
        <v>14880</v>
      </c>
      <c r="L1406" s="20" t="n"/>
      <c r="M1406" s="20" t="n"/>
      <c r="N1406" s="43" t="n">
        <v>132</v>
      </c>
      <c r="O1406" s="20" t="n">
        <v>1964160</v>
      </c>
      <c r="P1406" s="43" t="n">
        <v>132</v>
      </c>
      <c r="Q1406" s="20" t="n">
        <v>1964160</v>
      </c>
      <c r="R1406" s="42">
        <f>+L1406+N1406-P1406</f>
        <v/>
      </c>
      <c r="S1406" s="42">
        <f>+M1406+O1406-Q1406</f>
        <v/>
      </c>
    </row>
    <row r="1407" ht="30" customHeight="1">
      <c r="A1407" s="16" t="n">
        <v>45783</v>
      </c>
      <c r="B1407" s="17" t="inlineStr">
        <is>
          <t>MH2505-01</t>
        </is>
      </c>
      <c r="C1407" s="16" t="n">
        <v>45783</v>
      </c>
      <c r="D1407" s="17" t="inlineStr">
        <is>
          <t>00001610</t>
        </is>
      </c>
      <c r="E1407" s="16" t="n">
        <v>45783</v>
      </c>
      <c r="F1407" s="16" t="inlineStr">
        <is>
          <t>XK2505-01</t>
        </is>
      </c>
      <c r="G1407" s="16" t="n">
        <v>45783</v>
      </c>
      <c r="H1407" s="17" t="inlineStr">
        <is>
          <t>CÔNG TY CỔ PHẦN CÔNG NGHIỆP VÀ THƯƠNG MẠI CƯỜNG THỊNH</t>
        </is>
      </c>
      <c r="I1407" s="17" t="inlineStr">
        <is>
          <t>STR H/H B A325M Type 1 ZP M24x80(80)</t>
        </is>
      </c>
      <c r="J1407" s="17" t="inlineStr">
        <is>
          <t>Cái</t>
        </is>
      </c>
      <c r="K1407" s="21" t="n">
        <v>18000</v>
      </c>
      <c r="L1407" s="20" t="n"/>
      <c r="M1407" s="20" t="n"/>
      <c r="N1407" s="43" t="n">
        <v>80</v>
      </c>
      <c r="O1407" s="20" t="n">
        <v>1440000</v>
      </c>
      <c r="P1407" s="43" t="n">
        <v>80</v>
      </c>
      <c r="Q1407" s="20" t="n">
        <v>1440000</v>
      </c>
      <c r="R1407" s="42">
        <f>+L1407+N1407-P1407</f>
        <v/>
      </c>
      <c r="S1407" s="42">
        <f>+M1407+O1407-Q1407</f>
        <v/>
      </c>
    </row>
    <row r="1408" ht="30" customHeight="1">
      <c r="A1408" s="16" t="n">
        <v>45783</v>
      </c>
      <c r="B1408" s="17" t="inlineStr">
        <is>
          <t>MH2505-01</t>
        </is>
      </c>
      <c r="C1408" s="16" t="n">
        <v>45783</v>
      </c>
      <c r="D1408" s="17" t="inlineStr">
        <is>
          <t>00001610</t>
        </is>
      </c>
      <c r="E1408" s="16" t="n">
        <v>45783</v>
      </c>
      <c r="F1408" s="16" t="inlineStr">
        <is>
          <t>XK2505-01</t>
        </is>
      </c>
      <c r="G1408" s="16" t="n">
        <v>45783</v>
      </c>
      <c r="H1408" s="17" t="inlineStr">
        <is>
          <t>CÔNG TY CỔ PHẦN CÔNG NGHIỆP VÀ THƯƠNG MẠI CƯỜNG THỊNH</t>
        </is>
      </c>
      <c r="I1408" s="17" t="inlineStr">
        <is>
          <t>W F436M Type 1 ZP M24</t>
        </is>
      </c>
      <c r="J1408" s="17" t="inlineStr">
        <is>
          <t>Cái</t>
        </is>
      </c>
      <c r="K1408" s="21" t="n">
        <v>1910</v>
      </c>
      <c r="L1408" s="20" t="n"/>
      <c r="M1408" s="20" t="n"/>
      <c r="N1408" s="43" t="n">
        <v>80</v>
      </c>
      <c r="O1408" s="20" t="n">
        <v>152800</v>
      </c>
      <c r="P1408" s="43" t="n">
        <v>80</v>
      </c>
      <c r="Q1408" s="20" t="n">
        <v>152800</v>
      </c>
      <c r="R1408" s="42">
        <f>+L1408+N1408-P1408</f>
        <v/>
      </c>
      <c r="S1408" s="42">
        <f>+M1408+O1408-Q1408</f>
        <v/>
      </c>
    </row>
    <row r="1409" ht="30" customHeight="1">
      <c r="A1409" s="16" t="n">
        <v>45783</v>
      </c>
      <c r="B1409" s="17" t="inlineStr">
        <is>
          <t>MH2505-01</t>
        </is>
      </c>
      <c r="C1409" s="16" t="n">
        <v>45783</v>
      </c>
      <c r="D1409" s="17" t="inlineStr">
        <is>
          <t>00001610</t>
        </is>
      </c>
      <c r="E1409" s="16" t="n">
        <v>45783</v>
      </c>
      <c r="F1409" s="16" t="inlineStr">
        <is>
          <t>XK2505-01</t>
        </is>
      </c>
      <c r="G1409" s="16" t="n">
        <v>45783</v>
      </c>
      <c r="H1409" s="17" t="inlineStr">
        <is>
          <t>CÔNG TY CỔ PHẦN CÔNG NGHIỆP VÀ THƯƠNG MẠI CƯỜNG THỊNH</t>
        </is>
      </c>
      <c r="I1409" s="17" t="inlineStr">
        <is>
          <t>H/H N A563M 10 ZP M24</t>
        </is>
      </c>
      <c r="J1409" s="17" t="inlineStr">
        <is>
          <t>Cái</t>
        </is>
      </c>
      <c r="K1409" s="21" t="n">
        <v>8540</v>
      </c>
      <c r="L1409" s="20" t="n"/>
      <c r="M1409" s="20" t="n"/>
      <c r="N1409" s="43" t="n">
        <v>80</v>
      </c>
      <c r="O1409" s="20" t="n">
        <v>683200</v>
      </c>
      <c r="P1409" s="43" t="n">
        <v>80</v>
      </c>
      <c r="Q1409" s="20" t="n">
        <v>683200</v>
      </c>
      <c r="R1409" s="42">
        <f>+L1409+N1409-P1409</f>
        <v/>
      </c>
      <c r="S1409" s="42">
        <f>+M1409+O1409-Q1409</f>
        <v/>
      </c>
    </row>
    <row r="1410" ht="30" customHeight="1">
      <c r="A1410" s="16" t="n">
        <v>45783</v>
      </c>
      <c r="B1410" s="17" t="inlineStr">
        <is>
          <t>MH2505-01</t>
        </is>
      </c>
      <c r="C1410" s="16" t="n">
        <v>45783</v>
      </c>
      <c r="D1410" s="17" t="inlineStr">
        <is>
          <t>00001610</t>
        </is>
      </c>
      <c r="E1410" s="16" t="n">
        <v>45783</v>
      </c>
      <c r="F1410" s="16" t="inlineStr">
        <is>
          <t>XK2505-01</t>
        </is>
      </c>
      <c r="G1410" s="16" t="n">
        <v>45783</v>
      </c>
      <c r="H1410" s="17" t="inlineStr">
        <is>
          <t>CÔNG TY CỔ PHẦN CÔNG NGHIỆP VÀ THƯƠNG MẠI CƯỜNG THỊNH</t>
        </is>
      </c>
      <c r="I1410" s="17" t="inlineStr">
        <is>
          <t>W F436M Type 1 ZP M24</t>
        </is>
      </c>
      <c r="J1410" s="17" t="inlineStr">
        <is>
          <t>Cái</t>
        </is>
      </c>
      <c r="K1410" s="21" t="n">
        <v>1910</v>
      </c>
      <c r="L1410" s="20" t="n"/>
      <c r="M1410" s="20" t="n"/>
      <c r="N1410" s="43" t="n">
        <v>80</v>
      </c>
      <c r="O1410" s="20" t="n">
        <v>152800</v>
      </c>
      <c r="P1410" s="43" t="n">
        <v>80</v>
      </c>
      <c r="Q1410" s="20" t="n">
        <v>152800</v>
      </c>
      <c r="R1410" s="42">
        <f>+L1410+N1410-P1410</f>
        <v/>
      </c>
      <c r="S1410" s="42">
        <f>+M1410+O1410-Q1410</f>
        <v/>
      </c>
    </row>
    <row r="1411" ht="30" customHeight="1">
      <c r="A1411" s="16" t="n">
        <v>45783</v>
      </c>
      <c r="B1411" s="17" t="inlineStr">
        <is>
          <t>MH2505-01</t>
        </is>
      </c>
      <c r="C1411" s="16" t="n">
        <v>45783</v>
      </c>
      <c r="D1411" s="17" t="inlineStr">
        <is>
          <t>00001610</t>
        </is>
      </c>
      <c r="E1411" s="16" t="n">
        <v>45783</v>
      </c>
      <c r="F1411" s="16" t="inlineStr">
        <is>
          <t>XK2505-01</t>
        </is>
      </c>
      <c r="G1411" s="16" t="n">
        <v>45783</v>
      </c>
      <c r="H1411" s="17" t="inlineStr">
        <is>
          <t>CÔNG TY CỔ PHẦN CÔNG NGHIỆP VÀ THƯƠNG MẠI CƯỜNG THỊNH</t>
        </is>
      </c>
      <c r="I1411" s="17" t="inlineStr">
        <is>
          <t>H/H N A563M 10 ZP M24</t>
        </is>
      </c>
      <c r="J1411" s="17" t="inlineStr">
        <is>
          <t>Cái</t>
        </is>
      </c>
      <c r="K1411" s="21" t="n">
        <v>8540</v>
      </c>
      <c r="L1411" s="20" t="n"/>
      <c r="M1411" s="20" t="n"/>
      <c r="N1411" s="43" t="n">
        <v>80</v>
      </c>
      <c r="O1411" s="20" t="n">
        <v>683200</v>
      </c>
      <c r="P1411" s="43" t="n">
        <v>80</v>
      </c>
      <c r="Q1411" s="20" t="n">
        <v>683200</v>
      </c>
      <c r="R1411" s="42">
        <f>+L1411+N1411-P1411</f>
        <v/>
      </c>
      <c r="S1411" s="42">
        <f>+M1411+O1411-Q1411</f>
        <v/>
      </c>
    </row>
    <row r="1412" ht="30" customHeight="1">
      <c r="A1412" s="16" t="n">
        <v>45783</v>
      </c>
      <c r="B1412" s="17" t="inlineStr">
        <is>
          <t>MH2505-01</t>
        </is>
      </c>
      <c r="C1412" s="16" t="n">
        <v>45783</v>
      </c>
      <c r="D1412" s="17" t="inlineStr">
        <is>
          <t>00001610</t>
        </is>
      </c>
      <c r="E1412" s="16" t="n">
        <v>45783</v>
      </c>
      <c r="F1412" s="16" t="inlineStr">
        <is>
          <t>XK2505-01</t>
        </is>
      </c>
      <c r="G1412" s="16" t="n">
        <v>45783</v>
      </c>
      <c r="H1412" s="17" t="inlineStr">
        <is>
          <t>CÔNG TY CỔ PHẦN CÔNG NGHIỆP VÀ THƯƠNG MẠI CƯỜNG THỊNH</t>
        </is>
      </c>
      <c r="I1412" s="17" t="inlineStr">
        <is>
          <t>STR H/H B A325M Type 1 ZP M24x80(80)</t>
        </is>
      </c>
      <c r="J1412" s="17" t="inlineStr">
        <is>
          <t>Cái</t>
        </is>
      </c>
      <c r="K1412" s="21" t="n">
        <v>18000</v>
      </c>
      <c r="L1412" s="20" t="n"/>
      <c r="M1412" s="20" t="n"/>
      <c r="N1412" s="43" t="n">
        <v>80</v>
      </c>
      <c r="O1412" s="20" t="n">
        <v>1440000</v>
      </c>
      <c r="P1412" s="43" t="n">
        <v>80</v>
      </c>
      <c r="Q1412" s="20" t="n">
        <v>1440000</v>
      </c>
      <c r="R1412" s="42">
        <f>+L1412+N1412-P1412</f>
        <v/>
      </c>
      <c r="S1412" s="42">
        <f>+M1412+O1412-Q1412</f>
        <v/>
      </c>
    </row>
    <row r="1413" ht="30" customHeight="1">
      <c r="A1413" s="16" t="n">
        <v>45783</v>
      </c>
      <c r="B1413" s="17" t="inlineStr">
        <is>
          <t>MH2505-01</t>
        </is>
      </c>
      <c r="C1413" s="16" t="n">
        <v>45783</v>
      </c>
      <c r="D1413" s="17" t="inlineStr">
        <is>
          <t>00001610</t>
        </is>
      </c>
      <c r="E1413" s="16" t="n">
        <v>45783</v>
      </c>
      <c r="F1413" s="16" t="inlineStr">
        <is>
          <t>XK2505-01</t>
        </is>
      </c>
      <c r="G1413" s="16" t="n">
        <v>45783</v>
      </c>
      <c r="H1413" s="17" t="inlineStr">
        <is>
          <t>CÔNG TY CỔ PHẦN CÔNG NGHIỆP VÀ THƯƠNG MẠI CƯỜNG THỊNH</t>
        </is>
      </c>
      <c r="I1413" s="17" t="inlineStr">
        <is>
          <t>H/H N A563M 10 ZP M24</t>
        </is>
      </c>
      <c r="J1413" s="17" t="inlineStr">
        <is>
          <t>Cái</t>
        </is>
      </c>
      <c r="K1413" s="21" t="n">
        <v>8540</v>
      </c>
      <c r="L1413" s="20" t="n"/>
      <c r="M1413" s="20" t="n"/>
      <c r="N1413" s="43" t="n">
        <v>303</v>
      </c>
      <c r="O1413" s="20" t="n">
        <v>2587620</v>
      </c>
      <c r="P1413" s="43" t="n">
        <v>303</v>
      </c>
      <c r="Q1413" s="20" t="n">
        <v>2587620</v>
      </c>
      <c r="R1413" s="42">
        <f>+L1413+N1413-P1413</f>
        <v/>
      </c>
      <c r="S1413" s="42">
        <f>+M1413+O1413-Q1413</f>
        <v/>
      </c>
    </row>
    <row r="1414" ht="30" customHeight="1">
      <c r="A1414" s="16" t="n">
        <v>45783</v>
      </c>
      <c r="B1414" s="17" t="inlineStr">
        <is>
          <t>MH2505-01</t>
        </is>
      </c>
      <c r="C1414" s="16" t="n">
        <v>45783</v>
      </c>
      <c r="D1414" s="17" t="inlineStr">
        <is>
          <t>00001610</t>
        </is>
      </c>
      <c r="E1414" s="16" t="n">
        <v>45783</v>
      </c>
      <c r="F1414" s="16" t="inlineStr">
        <is>
          <t>XK2505-01</t>
        </is>
      </c>
      <c r="G1414" s="16" t="n">
        <v>45783</v>
      </c>
      <c r="H1414" s="17" t="inlineStr">
        <is>
          <t>CÔNG TY CỔ PHẦN CÔNG NGHIỆP VÀ THƯƠNG MẠI CƯỜNG THỊNH</t>
        </is>
      </c>
      <c r="I1414" s="17" t="inlineStr">
        <is>
          <t>W F436M Type 1 ZP M24</t>
        </is>
      </c>
      <c r="J1414" s="17" t="inlineStr">
        <is>
          <t>Cái</t>
        </is>
      </c>
      <c r="K1414" s="21" t="n">
        <v>1910</v>
      </c>
      <c r="L1414" s="21" t="n"/>
      <c r="M1414" s="22" t="n"/>
      <c r="N1414" s="22" t="n">
        <v>303</v>
      </c>
      <c r="O1414" s="22" t="n">
        <v>578730</v>
      </c>
      <c r="P1414" s="22" t="n">
        <v>303</v>
      </c>
      <c r="Q1414" s="22" t="n">
        <v>578730</v>
      </c>
      <c r="R1414" s="42">
        <f>+L1414+N1414-P1414</f>
        <v/>
      </c>
      <c r="S1414" s="42">
        <f>+M1414+O1414-Q1414</f>
        <v/>
      </c>
    </row>
    <row r="1415" ht="30" customHeight="1">
      <c r="A1415" s="16" t="n">
        <v>45783</v>
      </c>
      <c r="B1415" s="17" t="inlineStr">
        <is>
          <t>MH2505-01</t>
        </is>
      </c>
      <c r="C1415" s="16" t="n">
        <v>45783</v>
      </c>
      <c r="D1415" s="17" t="inlineStr">
        <is>
          <t>00001610</t>
        </is>
      </c>
      <c r="E1415" s="16" t="n">
        <v>45783</v>
      </c>
      <c r="F1415" s="16" t="inlineStr">
        <is>
          <t>XK2505-01</t>
        </is>
      </c>
      <c r="G1415" s="16" t="n">
        <v>45783</v>
      </c>
      <c r="H1415" s="17" t="inlineStr">
        <is>
          <t>CÔNG TY CỔ PHẦN CÔNG NGHIỆP VÀ THƯƠNG MẠI CƯỜNG THỊNH</t>
        </is>
      </c>
      <c r="I1415" s="17" t="inlineStr">
        <is>
          <t>STR H/H B A325M Type 1 ZP M24x90(90)</t>
        </is>
      </c>
      <c r="J1415" s="17" t="inlineStr">
        <is>
          <t>Cái</t>
        </is>
      </c>
      <c r="K1415" s="21" t="n">
        <v>19480</v>
      </c>
      <c r="L1415" s="21" t="n"/>
      <c r="M1415" s="22" t="n"/>
      <c r="N1415" s="22" t="n">
        <v>303</v>
      </c>
      <c r="O1415" s="22" t="n">
        <v>5902440</v>
      </c>
      <c r="P1415" s="22" t="n">
        <v>303</v>
      </c>
      <c r="Q1415" s="22" t="n">
        <v>5902440</v>
      </c>
      <c r="R1415" s="42">
        <f>+L1415+N1415-P1415</f>
        <v/>
      </c>
      <c r="S1415" s="42">
        <f>+M1415+O1415-Q1415</f>
        <v/>
      </c>
    </row>
    <row r="1416" ht="30" customHeight="1">
      <c r="A1416" s="16" t="n">
        <v>45783</v>
      </c>
      <c r="B1416" s="17" t="inlineStr">
        <is>
          <t>MH2505-01</t>
        </is>
      </c>
      <c r="C1416" s="16" t="n">
        <v>45783</v>
      </c>
      <c r="D1416" s="17" t="inlineStr">
        <is>
          <t>00001610</t>
        </is>
      </c>
      <c r="E1416" s="16" t="n">
        <v>45783</v>
      </c>
      <c r="F1416" s="16" t="inlineStr">
        <is>
          <t>XK2505-01</t>
        </is>
      </c>
      <c r="G1416" s="16" t="n">
        <v>45783</v>
      </c>
      <c r="H1416" s="17" t="inlineStr">
        <is>
          <t>CÔNG TY CỔ PHẦN CÔNG NGHIỆP VÀ THƯƠNG MẠI CƯỜNG THỊNH</t>
        </is>
      </c>
      <c r="I1416" s="17" t="inlineStr">
        <is>
          <t>H/H N A563M 10 ZP M24</t>
        </is>
      </c>
      <c r="J1416" s="17" t="inlineStr">
        <is>
          <t>Cái</t>
        </is>
      </c>
      <c r="K1416" s="21" t="n">
        <v>8540</v>
      </c>
      <c r="L1416" s="21" t="n"/>
      <c r="M1416" s="22" t="n"/>
      <c r="N1416" s="22" t="n">
        <v>486</v>
      </c>
      <c r="O1416" s="22" t="n">
        <v>4150440</v>
      </c>
      <c r="P1416" s="22" t="n">
        <v>486</v>
      </c>
      <c r="Q1416" s="22" t="n">
        <v>4150440</v>
      </c>
      <c r="R1416" s="42">
        <f>+L1416+N1416-P1416</f>
        <v/>
      </c>
      <c r="S1416" s="42">
        <f>+M1416+O1416-Q1416</f>
        <v/>
      </c>
    </row>
    <row r="1417" ht="30" customHeight="1">
      <c r="A1417" s="16" t="n">
        <v>45783</v>
      </c>
      <c r="B1417" s="17" t="inlineStr">
        <is>
          <t>MH2505-01</t>
        </is>
      </c>
      <c r="C1417" s="16" t="n">
        <v>45783</v>
      </c>
      <c r="D1417" s="17" t="inlineStr">
        <is>
          <t>00001610</t>
        </is>
      </c>
      <c r="E1417" s="16" t="n">
        <v>45783</v>
      </c>
      <c r="F1417" s="16" t="inlineStr">
        <is>
          <t>XK2505-01</t>
        </is>
      </c>
      <c r="G1417" s="16" t="n">
        <v>45783</v>
      </c>
      <c r="H1417" s="17" t="inlineStr">
        <is>
          <t>CÔNG TY CỔ PHẦN CÔNG NGHIỆP VÀ THƯƠNG MẠI CƯỜNG THỊNH</t>
        </is>
      </c>
      <c r="I1417" s="17" t="inlineStr">
        <is>
          <t>W F436M Type 1 ZP M24</t>
        </is>
      </c>
      <c r="J1417" s="17" t="inlineStr">
        <is>
          <t>Cái</t>
        </is>
      </c>
      <c r="K1417" s="21" t="n">
        <v>1910</v>
      </c>
      <c r="L1417" s="21" t="n"/>
      <c r="M1417" s="22" t="n"/>
      <c r="N1417" s="22" t="n">
        <v>486</v>
      </c>
      <c r="O1417" s="22" t="n">
        <v>928260</v>
      </c>
      <c r="P1417" s="22" t="n">
        <v>486</v>
      </c>
      <c r="Q1417" s="22" t="n">
        <v>928260</v>
      </c>
      <c r="R1417" s="42">
        <f>+L1417+N1417-P1417</f>
        <v/>
      </c>
      <c r="S1417" s="42">
        <f>+M1417+O1417-Q1417</f>
        <v/>
      </c>
    </row>
    <row r="1418" ht="30" customHeight="1">
      <c r="A1418" s="16" t="n">
        <v>45783</v>
      </c>
      <c r="B1418" s="17" t="inlineStr">
        <is>
          <t>MH2505-01</t>
        </is>
      </c>
      <c r="C1418" s="16" t="n">
        <v>45783</v>
      </c>
      <c r="D1418" s="17" t="inlineStr">
        <is>
          <t>00001610</t>
        </is>
      </c>
      <c r="E1418" s="16" t="n">
        <v>45783</v>
      </c>
      <c r="F1418" s="16" t="inlineStr">
        <is>
          <t>XK2505-01</t>
        </is>
      </c>
      <c r="G1418" s="16" t="n">
        <v>45783</v>
      </c>
      <c r="H1418" s="17" t="inlineStr">
        <is>
          <t>CÔNG TY CỔ PHẦN CÔNG NGHIỆP VÀ THƯƠNG MẠI CƯỜNG THỊNH</t>
        </is>
      </c>
      <c r="I1418" s="17" t="inlineStr">
        <is>
          <t>STR H/H B A325M Type 1 ZP M24x100(100)</t>
        </is>
      </c>
      <c r="J1418" s="17" t="inlineStr">
        <is>
          <t>Cái</t>
        </is>
      </c>
      <c r="K1418" s="21" t="n">
        <v>20850</v>
      </c>
      <c r="L1418" s="21" t="n"/>
      <c r="M1418" s="22" t="n"/>
      <c r="N1418" s="22" t="n">
        <v>486</v>
      </c>
      <c r="O1418" s="22" t="n">
        <v>10133100</v>
      </c>
      <c r="P1418" s="22" t="n">
        <v>486</v>
      </c>
      <c r="Q1418" s="22" t="n">
        <v>10133100</v>
      </c>
      <c r="R1418" s="42">
        <f>+L1418+N1418-P1418</f>
        <v/>
      </c>
      <c r="S1418" s="42">
        <f>+M1418+O1418-Q1418</f>
        <v/>
      </c>
    </row>
    <row r="1419" ht="30" customHeight="1">
      <c r="A1419" s="16" t="n">
        <v>45783</v>
      </c>
      <c r="B1419" s="17" t="inlineStr">
        <is>
          <t>MH2505-01</t>
        </is>
      </c>
      <c r="C1419" s="16" t="n">
        <v>45783</v>
      </c>
      <c r="D1419" s="17" t="inlineStr">
        <is>
          <t>00001610</t>
        </is>
      </c>
      <c r="E1419" s="16" t="n">
        <v>45783</v>
      </c>
      <c r="F1419" s="16" t="inlineStr">
        <is>
          <t>XK2505-01</t>
        </is>
      </c>
      <c r="G1419" s="16" t="n">
        <v>45783</v>
      </c>
      <c r="H1419" s="17" t="inlineStr">
        <is>
          <t>CÔNG TY CỔ PHẦN CÔNG NGHIỆP VÀ THƯƠNG MẠI CƯỜNG THỊNH</t>
        </is>
      </c>
      <c r="I1419" s="17" t="inlineStr">
        <is>
          <t>W F436M Type 1 ZP M24</t>
        </is>
      </c>
      <c r="J1419" s="17" t="inlineStr">
        <is>
          <t>Cái</t>
        </is>
      </c>
      <c r="K1419" s="21" t="n">
        <v>1910</v>
      </c>
      <c r="L1419" s="21" t="n"/>
      <c r="M1419" s="22" t="n"/>
      <c r="N1419" s="22" t="n">
        <v>62</v>
      </c>
      <c r="O1419" s="22" t="n">
        <v>118420</v>
      </c>
      <c r="P1419" s="22" t="n">
        <v>62</v>
      </c>
      <c r="Q1419" s="22" t="n">
        <v>118420</v>
      </c>
      <c r="R1419" s="42">
        <f>+L1419+N1419-P1419</f>
        <v/>
      </c>
      <c r="S1419" s="42">
        <f>+M1419+O1419-Q1419</f>
        <v/>
      </c>
    </row>
    <row r="1420" ht="30" customHeight="1">
      <c r="A1420" s="16" t="n">
        <v>45783</v>
      </c>
      <c r="B1420" s="17" t="inlineStr">
        <is>
          <t>MH2505-01</t>
        </is>
      </c>
      <c r="C1420" s="16" t="n">
        <v>45783</v>
      </c>
      <c r="D1420" s="17" t="inlineStr">
        <is>
          <t>00001610</t>
        </is>
      </c>
      <c r="E1420" s="16" t="n">
        <v>45783</v>
      </c>
      <c r="F1420" s="16" t="inlineStr">
        <is>
          <t>XK2505-01</t>
        </is>
      </c>
      <c r="G1420" s="16" t="n">
        <v>45783</v>
      </c>
      <c r="H1420" s="17" t="inlineStr">
        <is>
          <t>CÔNG TY CỔ PHẦN CÔNG NGHIỆP VÀ THƯƠNG MẠI CƯỜNG THỊNH</t>
        </is>
      </c>
      <c r="I1420" s="17" t="inlineStr">
        <is>
          <t>H/H N A563M 10 ZP M24</t>
        </is>
      </c>
      <c r="J1420" s="17" t="inlineStr">
        <is>
          <t>Cái</t>
        </is>
      </c>
      <c r="K1420" s="21" t="n">
        <v>8540</v>
      </c>
      <c r="L1420" s="21" t="n"/>
      <c r="M1420" s="22" t="n"/>
      <c r="N1420" s="22" t="n">
        <v>62</v>
      </c>
      <c r="O1420" s="22" t="n">
        <v>529480</v>
      </c>
      <c r="P1420" s="22" t="n">
        <v>62</v>
      </c>
      <c r="Q1420" s="22" t="n">
        <v>529480</v>
      </c>
      <c r="R1420" s="42">
        <f>+L1420+N1420-P1420</f>
        <v/>
      </c>
      <c r="S1420" s="42">
        <f>+M1420+O1420-Q1420</f>
        <v/>
      </c>
    </row>
    <row r="1421" ht="30" customHeight="1">
      <c r="A1421" s="16" t="n">
        <v>45783</v>
      </c>
      <c r="B1421" s="17" t="inlineStr">
        <is>
          <t>MH2505-01</t>
        </is>
      </c>
      <c r="C1421" s="16" t="n">
        <v>45783</v>
      </c>
      <c r="D1421" s="17" t="inlineStr">
        <is>
          <t>00001610</t>
        </is>
      </c>
      <c r="E1421" s="16" t="n">
        <v>45783</v>
      </c>
      <c r="F1421" s="16" t="inlineStr">
        <is>
          <t>XK2505-01</t>
        </is>
      </c>
      <c r="G1421" s="16" t="n">
        <v>45783</v>
      </c>
      <c r="H1421" s="17" t="inlineStr">
        <is>
          <t>CÔNG TY CỔ PHẦN CÔNG NGHIỆP VÀ THƯƠNG MẠI CƯỜNG THỊNH</t>
        </is>
      </c>
      <c r="I1421" s="17" t="inlineStr">
        <is>
          <t>STR H/H B A325M Type 1 ZP M24x120(120)</t>
        </is>
      </c>
      <c r="J1421" s="17" t="inlineStr">
        <is>
          <t>Cái</t>
        </is>
      </c>
      <c r="K1421" s="21" t="n">
        <v>23710</v>
      </c>
      <c r="L1421" s="21" t="n"/>
      <c r="M1421" s="22" t="n"/>
      <c r="N1421" s="22" t="n">
        <v>62</v>
      </c>
      <c r="O1421" s="22" t="n">
        <v>1470020</v>
      </c>
      <c r="P1421" s="22" t="n">
        <v>62</v>
      </c>
      <c r="Q1421" s="22" t="n">
        <v>1470020</v>
      </c>
      <c r="R1421" s="42">
        <f>+L1421+N1421-P1421</f>
        <v/>
      </c>
      <c r="S1421" s="42">
        <f>+M1421+O1421-Q1421</f>
        <v/>
      </c>
    </row>
    <row r="1422" ht="30" customHeight="1">
      <c r="A1422" s="16" t="n">
        <v>45783</v>
      </c>
      <c r="B1422" s="17" t="inlineStr">
        <is>
          <t>MH2505-01</t>
        </is>
      </c>
      <c r="C1422" s="16" t="n">
        <v>45783</v>
      </c>
      <c r="D1422" s="17" t="inlineStr">
        <is>
          <t>00001610</t>
        </is>
      </c>
      <c r="E1422" s="16" t="n">
        <v>45783</v>
      </c>
      <c r="F1422" s="16" t="inlineStr">
        <is>
          <t>XK2505-01</t>
        </is>
      </c>
      <c r="G1422" s="16" t="n">
        <v>45783</v>
      </c>
      <c r="H1422" s="17" t="inlineStr">
        <is>
          <t>CÔNG TY CỔ PHẦN CÔNG NGHIỆP VÀ THƯƠNG MẠI CƯỜNG THỊNH</t>
        </is>
      </c>
      <c r="I1422" s="17" t="inlineStr">
        <is>
          <t>H/H N A563M 10 ZP M24</t>
        </is>
      </c>
      <c r="J1422" s="17" t="inlineStr">
        <is>
          <t>Cái</t>
        </is>
      </c>
      <c r="K1422" s="21" t="n">
        <v>8540</v>
      </c>
      <c r="L1422" s="21" t="n"/>
      <c r="M1422" s="22" t="n"/>
      <c r="N1422" s="22" t="n">
        <v>16</v>
      </c>
      <c r="O1422" s="22" t="n">
        <v>136640</v>
      </c>
      <c r="P1422" s="22" t="n">
        <v>16</v>
      </c>
      <c r="Q1422" s="22" t="n">
        <v>136640</v>
      </c>
      <c r="R1422" s="42">
        <f>+L1422+N1422-P1422</f>
        <v/>
      </c>
      <c r="S1422" s="42">
        <f>+M1422+O1422-Q1422</f>
        <v/>
      </c>
    </row>
    <row r="1423" ht="30" customHeight="1">
      <c r="A1423" s="16" t="n">
        <v>45783</v>
      </c>
      <c r="B1423" s="17" t="inlineStr">
        <is>
          <t>MH2505-01</t>
        </is>
      </c>
      <c r="C1423" s="16" t="n">
        <v>45783</v>
      </c>
      <c r="D1423" s="17" t="inlineStr">
        <is>
          <t>00001610</t>
        </is>
      </c>
      <c r="E1423" s="16" t="n">
        <v>45783</v>
      </c>
      <c r="F1423" s="16" t="inlineStr">
        <is>
          <t>XK2505-01</t>
        </is>
      </c>
      <c r="G1423" s="16" t="n">
        <v>45783</v>
      </c>
      <c r="H1423" s="17" t="inlineStr">
        <is>
          <t>CÔNG TY CỔ PHẦN CÔNG NGHIỆP VÀ THƯƠNG MẠI CƯỜNG THỊNH</t>
        </is>
      </c>
      <c r="I1423" s="17" t="inlineStr">
        <is>
          <t>W F436M Type 1 ZP M24</t>
        </is>
      </c>
      <c r="J1423" s="17" t="inlineStr">
        <is>
          <t>Cái</t>
        </is>
      </c>
      <c r="K1423" s="21" t="n">
        <v>1910</v>
      </c>
      <c r="L1423" s="21" t="n"/>
      <c r="M1423" s="22" t="n"/>
      <c r="N1423" s="22" t="n">
        <v>16</v>
      </c>
      <c r="O1423" s="22" t="n">
        <v>30560</v>
      </c>
      <c r="P1423" s="22" t="n">
        <v>16</v>
      </c>
      <c r="Q1423" s="22" t="n">
        <v>30560</v>
      </c>
      <c r="R1423" s="42">
        <f>+L1423+N1423-P1423</f>
        <v/>
      </c>
      <c r="S1423" s="42">
        <f>+M1423+O1423-Q1423</f>
        <v/>
      </c>
    </row>
    <row r="1424" ht="30" customHeight="1">
      <c r="A1424" s="16" t="n">
        <v>45783</v>
      </c>
      <c r="B1424" s="17" t="inlineStr">
        <is>
          <t>MH2505-01</t>
        </is>
      </c>
      <c r="C1424" s="16" t="n">
        <v>45783</v>
      </c>
      <c r="D1424" s="17" t="inlineStr">
        <is>
          <t>00001610</t>
        </is>
      </c>
      <c r="E1424" s="16" t="n">
        <v>45783</v>
      </c>
      <c r="F1424" s="16" t="inlineStr">
        <is>
          <t>XK2505-01</t>
        </is>
      </c>
      <c r="G1424" s="16" t="n">
        <v>45783</v>
      </c>
      <c r="H1424" s="17" t="inlineStr">
        <is>
          <t>CÔNG TY CỔ PHẦN CÔNG NGHIỆP VÀ THƯƠNG MẠI CƯỜNG THỊNH</t>
        </is>
      </c>
      <c r="I1424" s="17" t="inlineStr">
        <is>
          <t>STR H/H B A325M Type 1 ZP M24x120(120)</t>
        </is>
      </c>
      <c r="J1424" s="17" t="inlineStr">
        <is>
          <t>Cái</t>
        </is>
      </c>
      <c r="K1424" s="21" t="n">
        <v>23710</v>
      </c>
      <c r="L1424" s="21" t="n"/>
      <c r="M1424" s="22" t="n"/>
      <c r="N1424" s="22" t="n">
        <v>16</v>
      </c>
      <c r="O1424" s="22" t="n">
        <v>379360</v>
      </c>
      <c r="P1424" s="22" t="n">
        <v>16</v>
      </c>
      <c r="Q1424" s="22" t="n">
        <v>379360</v>
      </c>
      <c r="R1424" s="42">
        <f>+L1424+N1424-P1424</f>
        <v/>
      </c>
      <c r="S1424" s="42">
        <f>+M1424+O1424-Q1424</f>
        <v/>
      </c>
    </row>
    <row r="1425" ht="30" customHeight="1">
      <c r="A1425" s="16" t="n">
        <v>45783</v>
      </c>
      <c r="B1425" s="17" t="inlineStr">
        <is>
          <t>MH2505-01</t>
        </is>
      </c>
      <c r="C1425" s="16" t="n">
        <v>45783</v>
      </c>
      <c r="D1425" s="17" t="inlineStr">
        <is>
          <t>00001610</t>
        </is>
      </c>
      <c r="E1425" s="16" t="n">
        <v>45783</v>
      </c>
      <c r="F1425" s="16" t="inlineStr">
        <is>
          <t>XK2505-01</t>
        </is>
      </c>
      <c r="G1425" s="16" t="n">
        <v>45783</v>
      </c>
      <c r="H1425" s="17" t="inlineStr">
        <is>
          <t>CÔNG TY CỔ PHẦN CÔNG NGHIỆP VÀ THƯƠNG MẠI CƯỜNG THỊNH</t>
        </is>
      </c>
      <c r="I1425" s="17" t="inlineStr">
        <is>
          <t>H/H N A563M 10 ZP M30</t>
        </is>
      </c>
      <c r="J1425" s="17" t="inlineStr">
        <is>
          <t>Cái</t>
        </is>
      </c>
      <c r="K1425" s="21" t="n">
        <v>16790</v>
      </c>
      <c r="L1425" s="21" t="n"/>
      <c r="M1425" s="22" t="n"/>
      <c r="N1425" s="22" t="n">
        <v>330</v>
      </c>
      <c r="O1425" s="22" t="n">
        <v>5540700</v>
      </c>
      <c r="P1425" s="22" t="n">
        <v>330</v>
      </c>
      <c r="Q1425" s="22" t="n">
        <v>5540700</v>
      </c>
      <c r="R1425" s="42">
        <f>+L1425+N1425-P1425</f>
        <v/>
      </c>
      <c r="S1425" s="42">
        <f>+M1425+O1425-Q1425</f>
        <v/>
      </c>
    </row>
    <row r="1426" ht="30" customHeight="1">
      <c r="A1426" s="16" t="n">
        <v>45783</v>
      </c>
      <c r="B1426" s="17" t="inlineStr">
        <is>
          <t>MH2505-01</t>
        </is>
      </c>
      <c r="C1426" s="16" t="n">
        <v>45783</v>
      </c>
      <c r="D1426" s="17" t="inlineStr">
        <is>
          <t>00001610</t>
        </is>
      </c>
      <c r="E1426" s="16" t="n">
        <v>45783</v>
      </c>
      <c r="F1426" s="16" t="inlineStr">
        <is>
          <t>XK2505-01</t>
        </is>
      </c>
      <c r="G1426" s="16" t="n">
        <v>45783</v>
      </c>
      <c r="H1426" s="17" t="inlineStr">
        <is>
          <t>CÔNG TY CỔ PHẦN CÔNG NGHIỆP VÀ THƯƠNG MẠI CƯỜNG THỊNH</t>
        </is>
      </c>
      <c r="I1426" s="17" t="inlineStr">
        <is>
          <t>W F436M Type 1 ZP M30</t>
        </is>
      </c>
      <c r="J1426" s="17" t="inlineStr">
        <is>
          <t>Cái</t>
        </is>
      </c>
      <c r="K1426" s="21" t="n">
        <v>2630</v>
      </c>
      <c r="L1426" s="21" t="n"/>
      <c r="M1426" s="22" t="n"/>
      <c r="N1426" s="22" t="n">
        <v>330</v>
      </c>
      <c r="O1426" s="22" t="n">
        <v>867900</v>
      </c>
      <c r="P1426" s="22" t="n">
        <v>330</v>
      </c>
      <c r="Q1426" s="22" t="n">
        <v>867900</v>
      </c>
      <c r="R1426" s="42">
        <f>+L1426+N1426-P1426</f>
        <v/>
      </c>
      <c r="S1426" s="42">
        <f>+M1426+O1426-Q1426</f>
        <v/>
      </c>
    </row>
    <row r="1427" ht="30" customHeight="1">
      <c r="A1427" s="16" t="n">
        <v>45783</v>
      </c>
      <c r="B1427" s="17" t="inlineStr">
        <is>
          <t>MH2505-01</t>
        </is>
      </c>
      <c r="C1427" s="16" t="n">
        <v>45783</v>
      </c>
      <c r="D1427" s="17" t="inlineStr">
        <is>
          <t>00001610</t>
        </is>
      </c>
      <c r="E1427" s="16" t="n">
        <v>45783</v>
      </c>
      <c r="F1427" s="16" t="inlineStr">
        <is>
          <t>XK2505-01</t>
        </is>
      </c>
      <c r="G1427" s="16" t="n">
        <v>45783</v>
      </c>
      <c r="H1427" s="17" t="inlineStr">
        <is>
          <t>CÔNG TY CỔ PHẦN CÔNG NGHIỆP VÀ THƯƠNG MẠI CƯỜNG THỊNH</t>
        </is>
      </c>
      <c r="I1427" s="17" t="inlineStr">
        <is>
          <t>STR H/H B A325M Type 1 ZP M30x100(100)</t>
        </is>
      </c>
      <c r="J1427" s="17" t="inlineStr">
        <is>
          <t>Cái</t>
        </is>
      </c>
      <c r="K1427" s="21" t="n">
        <v>32910</v>
      </c>
      <c r="L1427" s="21" t="n"/>
      <c r="M1427" s="22" t="n"/>
      <c r="N1427" s="22" t="n">
        <v>330</v>
      </c>
      <c r="O1427" s="22" t="n">
        <v>10860300</v>
      </c>
      <c r="P1427" s="22" t="n">
        <v>330</v>
      </c>
      <c r="Q1427" s="22" t="n">
        <v>10860300</v>
      </c>
      <c r="R1427" s="42">
        <f>+L1427+N1427-P1427</f>
        <v/>
      </c>
      <c r="S1427" s="42">
        <f>+M1427+O1427-Q1427</f>
        <v/>
      </c>
    </row>
    <row r="1428" ht="30" customHeight="1">
      <c r="A1428" s="16" t="n">
        <v>45783</v>
      </c>
      <c r="B1428" s="17" t="inlineStr">
        <is>
          <t>MH2505-01</t>
        </is>
      </c>
      <c r="C1428" s="16" t="n">
        <v>45783</v>
      </c>
      <c r="D1428" s="17" t="inlineStr">
        <is>
          <t>00001610</t>
        </is>
      </c>
      <c r="E1428" s="16" t="n">
        <v>45783</v>
      </c>
      <c r="F1428" s="16" t="inlineStr">
        <is>
          <t>XK2505-01</t>
        </is>
      </c>
      <c r="G1428" s="16" t="n">
        <v>45783</v>
      </c>
      <c r="H1428" s="17" t="inlineStr">
        <is>
          <t>CÔNG TY CỔ PHẦN CÔNG NGHIỆP VÀ THƯƠNG MẠI CƯỜNG THỊNH</t>
        </is>
      </c>
      <c r="I1428" s="17" t="inlineStr">
        <is>
          <t>H/H N A563M 10 ZP M30</t>
        </is>
      </c>
      <c r="J1428" s="17" t="inlineStr">
        <is>
          <t>Cái</t>
        </is>
      </c>
      <c r="K1428" s="21" t="n">
        <v>16790</v>
      </c>
      <c r="L1428" s="21" t="n"/>
      <c r="M1428" s="22" t="n"/>
      <c r="N1428" s="22" t="n">
        <v>440</v>
      </c>
      <c r="O1428" s="22" t="n">
        <v>7387600</v>
      </c>
      <c r="P1428" s="22" t="n">
        <v>440</v>
      </c>
      <c r="Q1428" s="22" t="n">
        <v>7387600</v>
      </c>
      <c r="R1428" s="42">
        <f>+L1428+N1428-P1428</f>
        <v/>
      </c>
      <c r="S1428" s="42">
        <f>+M1428+O1428-Q1428</f>
        <v/>
      </c>
    </row>
    <row r="1429" ht="30" customHeight="1">
      <c r="A1429" s="16" t="n">
        <v>45783</v>
      </c>
      <c r="B1429" s="17" t="inlineStr">
        <is>
          <t>MH2505-01</t>
        </is>
      </c>
      <c r="C1429" s="16" t="n">
        <v>45783</v>
      </c>
      <c r="D1429" s="17" t="inlineStr">
        <is>
          <t>00001610</t>
        </is>
      </c>
      <c r="E1429" s="16" t="n">
        <v>45783</v>
      </c>
      <c r="F1429" s="16" t="inlineStr">
        <is>
          <t>XK2505-01</t>
        </is>
      </c>
      <c r="G1429" s="16" t="n">
        <v>45783</v>
      </c>
      <c r="H1429" s="17" t="inlineStr">
        <is>
          <t>CÔNG TY CỔ PHẦN CÔNG NGHIỆP VÀ THƯƠNG MẠI CƯỜNG THỊNH</t>
        </is>
      </c>
      <c r="I1429" s="17" t="inlineStr">
        <is>
          <t>W F436M Type 1 ZP M30</t>
        </is>
      </c>
      <c r="J1429" s="17" t="inlineStr">
        <is>
          <t>Cái</t>
        </is>
      </c>
      <c r="K1429" s="21" t="n">
        <v>2630</v>
      </c>
      <c r="L1429" s="21" t="n"/>
      <c r="M1429" s="22" t="n"/>
      <c r="N1429" s="22" t="n">
        <v>440</v>
      </c>
      <c r="O1429" s="22" t="n">
        <v>1157200</v>
      </c>
      <c r="P1429" s="22" t="n">
        <v>440</v>
      </c>
      <c r="Q1429" s="22" t="n">
        <v>1157200</v>
      </c>
      <c r="R1429" s="42">
        <f>+L1429+N1429-P1429</f>
        <v/>
      </c>
      <c r="S1429" s="42">
        <f>+M1429+O1429-Q1429</f>
        <v/>
      </c>
    </row>
    <row r="1430" ht="30" customHeight="1">
      <c r="A1430" s="16" t="n">
        <v>45783</v>
      </c>
      <c r="B1430" s="17" t="inlineStr">
        <is>
          <t>MH2505-01</t>
        </is>
      </c>
      <c r="C1430" s="16" t="n">
        <v>45783</v>
      </c>
      <c r="D1430" s="17" t="inlineStr">
        <is>
          <t>00001610</t>
        </is>
      </c>
      <c r="E1430" s="16" t="n">
        <v>45783</v>
      </c>
      <c r="F1430" s="16" t="inlineStr">
        <is>
          <t>XK2505-01</t>
        </is>
      </c>
      <c r="G1430" s="16" t="n">
        <v>45783</v>
      </c>
      <c r="H1430" s="17" t="inlineStr">
        <is>
          <t>CÔNG TY CỔ PHẦN CÔNG NGHIỆP VÀ THƯƠNG MẠI CƯỜNG THỊNH</t>
        </is>
      </c>
      <c r="I1430" s="17" t="inlineStr">
        <is>
          <t>STR H/H B A325M Type 1 ZP M30x110(110)</t>
        </is>
      </c>
      <c r="J1430" s="17" t="inlineStr">
        <is>
          <t>Cái</t>
        </is>
      </c>
      <c r="K1430" s="21" t="n">
        <v>34410</v>
      </c>
      <c r="L1430" s="21" t="n"/>
      <c r="M1430" s="22" t="n"/>
      <c r="N1430" s="22" t="n">
        <v>440</v>
      </c>
      <c r="O1430" s="22" t="n">
        <v>15140400</v>
      </c>
      <c r="P1430" s="22" t="n">
        <v>440</v>
      </c>
      <c r="Q1430" s="22" t="n">
        <v>15140400</v>
      </c>
      <c r="R1430" s="42">
        <f>+L1430+N1430-P1430</f>
        <v/>
      </c>
      <c r="S1430" s="42">
        <f>+M1430+O1430-Q1430</f>
        <v/>
      </c>
    </row>
    <row r="1431" ht="30" customHeight="1">
      <c r="A1431" s="16" t="n">
        <v>45783</v>
      </c>
      <c r="B1431" s="17" t="inlineStr">
        <is>
          <t>MH2505-01</t>
        </is>
      </c>
      <c r="C1431" s="16" t="n">
        <v>45783</v>
      </c>
      <c r="D1431" s="17" t="inlineStr">
        <is>
          <t>00001610</t>
        </is>
      </c>
      <c r="E1431" s="16" t="n">
        <v>45783</v>
      </c>
      <c r="F1431" s="16" t="inlineStr">
        <is>
          <t>XK2505-01</t>
        </is>
      </c>
      <c r="G1431" s="16" t="n">
        <v>45783</v>
      </c>
      <c r="H1431" s="17" t="inlineStr">
        <is>
          <t>CÔNG TY CỔ PHẦN CÔNG NGHIỆP VÀ THƯƠNG MẠI CƯỜNG THỊNH</t>
        </is>
      </c>
      <c r="I1431" s="17" t="inlineStr">
        <is>
          <t>W F436M Type 1 ZP M30</t>
        </is>
      </c>
      <c r="J1431" s="17" t="inlineStr">
        <is>
          <t>Cái</t>
        </is>
      </c>
      <c r="K1431" s="21" t="n">
        <v>2630</v>
      </c>
      <c r="L1431" s="21" t="n"/>
      <c r="M1431" s="22" t="n"/>
      <c r="N1431" s="22" t="n">
        <v>740</v>
      </c>
      <c r="O1431" s="22" t="n">
        <v>1946200</v>
      </c>
      <c r="P1431" s="22" t="n">
        <v>740</v>
      </c>
      <c r="Q1431" s="22" t="n">
        <v>1946200</v>
      </c>
      <c r="R1431" s="42">
        <f>+L1431+N1431-P1431</f>
        <v/>
      </c>
      <c r="S1431" s="42">
        <f>+M1431+O1431-Q1431</f>
        <v/>
      </c>
    </row>
    <row r="1432" ht="30" customHeight="1">
      <c r="A1432" s="16" t="n">
        <v>45783</v>
      </c>
      <c r="B1432" s="17" t="inlineStr">
        <is>
          <t>MH2505-01</t>
        </is>
      </c>
      <c r="C1432" s="16" t="n">
        <v>45783</v>
      </c>
      <c r="D1432" s="17" t="inlineStr">
        <is>
          <t>00001610</t>
        </is>
      </c>
      <c r="E1432" s="16" t="n">
        <v>45783</v>
      </c>
      <c r="F1432" s="16" t="inlineStr">
        <is>
          <t>XK2505-01</t>
        </is>
      </c>
      <c r="G1432" s="16" t="n">
        <v>45783</v>
      </c>
      <c r="H1432" s="17" t="inlineStr">
        <is>
          <t>CÔNG TY CỔ PHẦN CÔNG NGHIỆP VÀ THƯƠNG MẠI CƯỜNG THỊNH</t>
        </is>
      </c>
      <c r="I1432" s="17" t="inlineStr">
        <is>
          <t>H/H N A563M 10 ZP M30</t>
        </is>
      </c>
      <c r="J1432" s="17" t="inlineStr">
        <is>
          <t>Cái</t>
        </is>
      </c>
      <c r="K1432" s="21" t="n">
        <v>16790</v>
      </c>
      <c r="L1432" s="21" t="n"/>
      <c r="M1432" s="22" t="n"/>
      <c r="N1432" s="22" t="n">
        <v>740</v>
      </c>
      <c r="O1432" s="22" t="n">
        <v>12424600</v>
      </c>
      <c r="P1432" s="22" t="n">
        <v>740</v>
      </c>
      <c r="Q1432" s="22" t="n">
        <v>12424600</v>
      </c>
      <c r="R1432" s="42">
        <f>+L1432+N1432-P1432</f>
        <v/>
      </c>
      <c r="S1432" s="42">
        <f>+M1432+O1432-Q1432</f>
        <v/>
      </c>
    </row>
    <row r="1433" ht="30" customHeight="1">
      <c r="A1433" s="16" t="n">
        <v>45783</v>
      </c>
      <c r="B1433" s="17" t="inlineStr">
        <is>
          <t>MH2505-01</t>
        </is>
      </c>
      <c r="C1433" s="16" t="n">
        <v>45783</v>
      </c>
      <c r="D1433" s="17" t="inlineStr">
        <is>
          <t>00001610</t>
        </is>
      </c>
      <c r="E1433" s="16" t="n">
        <v>45783</v>
      </c>
      <c r="F1433" s="16" t="inlineStr">
        <is>
          <t>XK2505-01</t>
        </is>
      </c>
      <c r="G1433" s="16" t="n">
        <v>45783</v>
      </c>
      <c r="H1433" s="17" t="inlineStr">
        <is>
          <t>CÔNG TY CỔ PHẦN CÔNG NGHIỆP VÀ THƯƠNG MẠI CƯỜNG THỊNH</t>
        </is>
      </c>
      <c r="I1433" s="17" t="inlineStr">
        <is>
          <t>STR H/H B A325M Type 1 ZP M30x120(120)</t>
        </is>
      </c>
      <c r="J1433" s="17" t="inlineStr">
        <is>
          <t>Cái</t>
        </is>
      </c>
      <c r="K1433" s="21" t="n">
        <v>36120</v>
      </c>
      <c r="L1433" s="21" t="n"/>
      <c r="M1433" s="22" t="n"/>
      <c r="N1433" s="22" t="n">
        <v>740</v>
      </c>
      <c r="O1433" s="22" t="n">
        <v>26728800</v>
      </c>
      <c r="P1433" s="22" t="n">
        <v>740</v>
      </c>
      <c r="Q1433" s="22" t="n">
        <v>26728800</v>
      </c>
      <c r="R1433" s="42">
        <f>+L1433+N1433-P1433</f>
        <v/>
      </c>
      <c r="S1433" s="42">
        <f>+M1433+O1433-Q1433</f>
        <v/>
      </c>
    </row>
    <row r="1434" ht="30" customHeight="1">
      <c r="A1434" s="16" t="n">
        <v>45783</v>
      </c>
      <c r="B1434" s="17" t="inlineStr">
        <is>
          <t>MH2505-01</t>
        </is>
      </c>
      <c r="C1434" s="16" t="n">
        <v>45783</v>
      </c>
      <c r="D1434" s="17" t="inlineStr">
        <is>
          <t>00001610</t>
        </is>
      </c>
      <c r="E1434" s="16" t="n">
        <v>45783</v>
      </c>
      <c r="F1434" s="16" t="inlineStr">
        <is>
          <t>XK2505-01</t>
        </is>
      </c>
      <c r="G1434" s="16" t="n">
        <v>45783</v>
      </c>
      <c r="H1434" s="17" t="inlineStr">
        <is>
          <t>CÔNG TY CỔ PHẦN CÔNG NGHIỆP VÀ THƯƠNG MẠI CƯỜNG THỊNH</t>
        </is>
      </c>
      <c r="I1434" s="17" t="inlineStr">
        <is>
          <t>H/H N A563M 10 ZP M30</t>
        </is>
      </c>
      <c r="J1434" s="17" t="inlineStr">
        <is>
          <t>Cái</t>
        </is>
      </c>
      <c r="K1434" s="21" t="n">
        <v>16790</v>
      </c>
      <c r="L1434" s="21" t="n"/>
      <c r="M1434" s="22" t="n"/>
      <c r="N1434" s="22" t="n">
        <v>420</v>
      </c>
      <c r="O1434" s="22" t="n">
        <v>7051800</v>
      </c>
      <c r="P1434" s="22" t="n">
        <v>420</v>
      </c>
      <c r="Q1434" s="22" t="n">
        <v>7051800</v>
      </c>
      <c r="R1434" s="42">
        <f>+L1434+N1434-P1434</f>
        <v/>
      </c>
      <c r="S1434" s="42">
        <f>+M1434+O1434-Q1434</f>
        <v/>
      </c>
    </row>
    <row r="1435" ht="30" customHeight="1">
      <c r="A1435" s="16" t="n">
        <v>45783</v>
      </c>
      <c r="B1435" s="17" t="inlineStr">
        <is>
          <t>MH2505-01</t>
        </is>
      </c>
      <c r="C1435" s="16" t="n">
        <v>45783</v>
      </c>
      <c r="D1435" s="17" t="inlineStr">
        <is>
          <t>00001610</t>
        </is>
      </c>
      <c r="E1435" s="16" t="n">
        <v>45783</v>
      </c>
      <c r="F1435" s="16" t="inlineStr">
        <is>
          <t>XK2505-01</t>
        </is>
      </c>
      <c r="G1435" s="16" t="n">
        <v>45783</v>
      </c>
      <c r="H1435" s="17" t="inlineStr">
        <is>
          <t>CÔNG TY CỔ PHẦN CÔNG NGHIỆP VÀ THƯƠNG MẠI CƯỜNG THỊNH</t>
        </is>
      </c>
      <c r="I1435" s="17" t="inlineStr">
        <is>
          <t>W F436M Type 1 ZP M30</t>
        </is>
      </c>
      <c r="J1435" s="17" t="inlineStr">
        <is>
          <t>Cái</t>
        </is>
      </c>
      <c r="K1435" s="21" t="n">
        <v>2630</v>
      </c>
      <c r="L1435" s="21" t="n"/>
      <c r="M1435" s="22" t="n"/>
      <c r="N1435" s="22" t="n">
        <v>420</v>
      </c>
      <c r="O1435" s="22" t="n">
        <v>1104600</v>
      </c>
      <c r="P1435" s="22" t="n">
        <v>420</v>
      </c>
      <c r="Q1435" s="22" t="n">
        <v>1104600</v>
      </c>
      <c r="R1435" s="42">
        <f>+L1435+N1435-P1435</f>
        <v/>
      </c>
      <c r="S1435" s="42">
        <f>+M1435+O1435-Q1435</f>
        <v/>
      </c>
    </row>
    <row r="1436" ht="30" customHeight="1">
      <c r="A1436" s="16" t="n">
        <v>45783</v>
      </c>
      <c r="B1436" s="17" t="inlineStr">
        <is>
          <t>MH2505-01</t>
        </is>
      </c>
      <c r="C1436" s="16" t="n">
        <v>45783</v>
      </c>
      <c r="D1436" s="17" t="inlineStr">
        <is>
          <t>00001610</t>
        </is>
      </c>
      <c r="E1436" s="16" t="n">
        <v>45783</v>
      </c>
      <c r="F1436" s="16" t="inlineStr">
        <is>
          <t>XK2505-01</t>
        </is>
      </c>
      <c r="G1436" s="16" t="n">
        <v>45783</v>
      </c>
      <c r="H1436" s="17" t="inlineStr">
        <is>
          <t>CÔNG TY CỔ PHẦN CÔNG NGHIỆP VÀ THƯƠNG MẠI CƯỜNG THỊNH</t>
        </is>
      </c>
      <c r="I1436" s="17" t="inlineStr">
        <is>
          <t>STR H/H B A325M Type 1 ZP M30x130(130)</t>
        </is>
      </c>
      <c r="J1436" s="17" t="inlineStr">
        <is>
          <t>Cái</t>
        </is>
      </c>
      <c r="K1436" s="21" t="n">
        <v>38690</v>
      </c>
      <c r="L1436" s="21" t="n"/>
      <c r="M1436" s="22" t="n"/>
      <c r="N1436" s="22" t="n">
        <v>420</v>
      </c>
      <c r="O1436" s="22" t="n">
        <v>16249800</v>
      </c>
      <c r="P1436" s="22" t="n">
        <v>420</v>
      </c>
      <c r="Q1436" s="22" t="n">
        <v>16249800</v>
      </c>
      <c r="R1436" s="42">
        <f>+L1436+N1436-P1436</f>
        <v/>
      </c>
      <c r="S1436" s="42">
        <f>+M1436+O1436-Q1436</f>
        <v/>
      </c>
    </row>
    <row r="1437" ht="30" customHeight="1">
      <c r="A1437" s="16" t="n">
        <v>45783</v>
      </c>
      <c r="B1437" s="17" t="inlineStr">
        <is>
          <t>MH2505-01</t>
        </is>
      </c>
      <c r="C1437" s="16" t="n">
        <v>45783</v>
      </c>
      <c r="D1437" s="17" t="inlineStr">
        <is>
          <t>00001610</t>
        </is>
      </c>
      <c r="E1437" s="16" t="n">
        <v>45783</v>
      </c>
      <c r="F1437" s="16" t="inlineStr">
        <is>
          <t>XK2505-01</t>
        </is>
      </c>
      <c r="G1437" s="16" t="n">
        <v>45783</v>
      </c>
      <c r="H1437" s="17" t="inlineStr">
        <is>
          <t>CÔNG TY CỔ PHẦN CÔNG NGHIỆP VÀ THƯƠNG MẠI CƯỜNG THỊNH</t>
        </is>
      </c>
      <c r="I1437" s="17" t="inlineStr">
        <is>
          <t>W F436M Type 1 ZP M30</t>
        </is>
      </c>
      <c r="J1437" s="17" t="inlineStr">
        <is>
          <t>Cái</t>
        </is>
      </c>
      <c r="K1437" s="21" t="n">
        <v>2630</v>
      </c>
      <c r="L1437" s="21" t="n"/>
      <c r="M1437" s="22" t="n"/>
      <c r="N1437" s="22" t="n">
        <v>540</v>
      </c>
      <c r="O1437" s="22" t="n">
        <v>1420200</v>
      </c>
      <c r="P1437" s="22" t="n">
        <v>540</v>
      </c>
      <c r="Q1437" s="22" t="n">
        <v>1420200</v>
      </c>
      <c r="R1437" s="42">
        <f>+L1437+N1437-P1437</f>
        <v/>
      </c>
      <c r="S1437" s="42">
        <f>+M1437+O1437-Q1437</f>
        <v/>
      </c>
    </row>
    <row r="1438" ht="30" customHeight="1">
      <c r="A1438" s="16" t="n">
        <v>45783</v>
      </c>
      <c r="B1438" s="17" t="inlineStr">
        <is>
          <t>MH2505-01</t>
        </is>
      </c>
      <c r="C1438" s="16" t="n">
        <v>45783</v>
      </c>
      <c r="D1438" s="17" t="inlineStr">
        <is>
          <t>00001610</t>
        </is>
      </c>
      <c r="E1438" s="16" t="n">
        <v>45783</v>
      </c>
      <c r="F1438" s="16" t="inlineStr">
        <is>
          <t>XK2505-01</t>
        </is>
      </c>
      <c r="G1438" s="16" t="n">
        <v>45783</v>
      </c>
      <c r="H1438" s="17" t="inlineStr">
        <is>
          <t>CÔNG TY CỔ PHẦN CÔNG NGHIỆP VÀ THƯƠNG MẠI CƯỜNG THỊNH</t>
        </is>
      </c>
      <c r="I1438" s="17" t="inlineStr">
        <is>
          <t>H/H N A563M 10 ZP M30</t>
        </is>
      </c>
      <c r="J1438" s="17" t="inlineStr">
        <is>
          <t>Cái</t>
        </is>
      </c>
      <c r="K1438" s="21" t="n">
        <v>16790</v>
      </c>
      <c r="L1438" s="21" t="n"/>
      <c r="M1438" s="22" t="n"/>
      <c r="N1438" s="22" t="n">
        <v>540</v>
      </c>
      <c r="O1438" s="22" t="n">
        <v>9066600</v>
      </c>
      <c r="P1438" s="22" t="n">
        <v>540</v>
      </c>
      <c r="Q1438" s="22" t="n">
        <v>9066600</v>
      </c>
      <c r="R1438" s="42">
        <f>+L1438+N1438-P1438</f>
        <v/>
      </c>
      <c r="S1438" s="42">
        <f>+M1438+O1438-Q1438</f>
        <v/>
      </c>
    </row>
    <row r="1439" ht="30" customHeight="1">
      <c r="A1439" s="16" t="n">
        <v>45783</v>
      </c>
      <c r="B1439" s="17" t="inlineStr">
        <is>
          <t>MH2505-01</t>
        </is>
      </c>
      <c r="C1439" s="16" t="n">
        <v>45783</v>
      </c>
      <c r="D1439" s="17" t="inlineStr">
        <is>
          <t>00001610</t>
        </is>
      </c>
      <c r="E1439" s="16" t="n">
        <v>45783</v>
      </c>
      <c r="F1439" s="16" t="inlineStr">
        <is>
          <t>XK2505-01</t>
        </is>
      </c>
      <c r="G1439" s="16" t="n">
        <v>45783</v>
      </c>
      <c r="H1439" s="17" t="inlineStr">
        <is>
          <t>CÔNG TY CỔ PHẦN CÔNG NGHIỆP VÀ THƯƠNG MẠI CƯỜNG THỊNH</t>
        </is>
      </c>
      <c r="I1439" s="17" t="inlineStr">
        <is>
          <t>STR H/H B A325M Type 1 ZP M30x140(140)</t>
        </is>
      </c>
      <c r="J1439" s="17" t="inlineStr">
        <is>
          <t>Cái</t>
        </is>
      </c>
      <c r="K1439" s="21" t="n">
        <v>40820</v>
      </c>
      <c r="L1439" s="21" t="n"/>
      <c r="M1439" s="22" t="n"/>
      <c r="N1439" s="22" t="n">
        <v>540</v>
      </c>
      <c r="O1439" s="22" t="n">
        <v>22042800</v>
      </c>
      <c r="P1439" s="22" t="n">
        <v>540</v>
      </c>
      <c r="Q1439" s="22" t="n">
        <v>22042800</v>
      </c>
      <c r="R1439" s="42">
        <f>+L1439+N1439-P1439</f>
        <v/>
      </c>
      <c r="S1439" s="42">
        <f>+M1439+O1439-Q1439</f>
        <v/>
      </c>
    </row>
    <row r="1440" ht="30" customHeight="1">
      <c r="A1440" s="16" t="n">
        <v>45783</v>
      </c>
      <c r="B1440" s="17" t="inlineStr">
        <is>
          <t>MH2505-01</t>
        </is>
      </c>
      <c r="C1440" s="16" t="n">
        <v>45783</v>
      </c>
      <c r="D1440" s="17" t="inlineStr">
        <is>
          <t>00001610</t>
        </is>
      </c>
      <c r="E1440" s="16" t="n">
        <v>45783</v>
      </c>
      <c r="F1440" s="16" t="inlineStr">
        <is>
          <t>XK2505-01</t>
        </is>
      </c>
      <c r="G1440" s="16" t="n">
        <v>45783</v>
      </c>
      <c r="H1440" s="17" t="inlineStr">
        <is>
          <t>CÔNG TY CỔ PHẦN CÔNG NGHIỆP VÀ THƯƠNG MẠI CƯỜNG THỊNH</t>
        </is>
      </c>
      <c r="I1440" s="17" t="inlineStr">
        <is>
          <t>H/H N A563M 10 ZP M30</t>
        </is>
      </c>
      <c r="J1440" s="17" t="inlineStr">
        <is>
          <t>Cái</t>
        </is>
      </c>
      <c r="K1440" s="21" t="n">
        <v>16790</v>
      </c>
      <c r="L1440" s="21" t="n"/>
      <c r="M1440" s="22" t="n"/>
      <c r="N1440" s="22" t="n">
        <v>580</v>
      </c>
      <c r="O1440" s="22" t="n">
        <v>9738200</v>
      </c>
      <c r="P1440" s="22" t="n">
        <v>580</v>
      </c>
      <c r="Q1440" s="22" t="n">
        <v>9738200</v>
      </c>
      <c r="R1440" s="42">
        <f>+L1440+N1440-P1440</f>
        <v/>
      </c>
      <c r="S1440" s="42">
        <f>+M1440+O1440-Q1440</f>
        <v/>
      </c>
    </row>
    <row r="1441" ht="30" customHeight="1">
      <c r="A1441" s="16" t="n">
        <v>45783</v>
      </c>
      <c r="B1441" s="17" t="inlineStr">
        <is>
          <t>MH2505-01</t>
        </is>
      </c>
      <c r="C1441" s="16" t="n">
        <v>45783</v>
      </c>
      <c r="D1441" s="17" t="inlineStr">
        <is>
          <t>00001610</t>
        </is>
      </c>
      <c r="E1441" s="16" t="n">
        <v>45783</v>
      </c>
      <c r="F1441" s="16" t="inlineStr">
        <is>
          <t>XK2505-01</t>
        </is>
      </c>
      <c r="G1441" s="16" t="n">
        <v>45783</v>
      </c>
      <c r="H1441" s="17" t="inlineStr">
        <is>
          <t>CÔNG TY CỔ PHẦN CÔNG NGHIỆP VÀ THƯƠNG MẠI CƯỜNG THỊNH</t>
        </is>
      </c>
      <c r="I1441" s="17" t="inlineStr">
        <is>
          <t>W F436M Type 1 ZP M30</t>
        </is>
      </c>
      <c r="J1441" s="17" t="inlineStr">
        <is>
          <t>Cái</t>
        </is>
      </c>
      <c r="K1441" s="21" t="n">
        <v>2630</v>
      </c>
      <c r="L1441" s="21" t="n"/>
      <c r="M1441" s="22" t="n"/>
      <c r="N1441" s="22" t="n">
        <v>580</v>
      </c>
      <c r="O1441" s="22" t="n">
        <v>1525400</v>
      </c>
      <c r="P1441" s="22" t="n">
        <v>580</v>
      </c>
      <c r="Q1441" s="22" t="n">
        <v>1525400</v>
      </c>
      <c r="R1441" s="42">
        <f>+L1441+N1441-P1441</f>
        <v/>
      </c>
      <c r="S1441" s="42">
        <f>+M1441+O1441-Q1441</f>
        <v/>
      </c>
    </row>
    <row r="1442" ht="30" customHeight="1">
      <c r="A1442" s="16" t="n">
        <v>45783</v>
      </c>
      <c r="B1442" s="17" t="inlineStr">
        <is>
          <t>MH2505-01</t>
        </is>
      </c>
      <c r="C1442" s="16" t="n">
        <v>45783</v>
      </c>
      <c r="D1442" s="17" t="inlineStr">
        <is>
          <t>00001610</t>
        </is>
      </c>
      <c r="E1442" s="16" t="n">
        <v>45783</v>
      </c>
      <c r="F1442" s="16" t="inlineStr">
        <is>
          <t>XK2505-01</t>
        </is>
      </c>
      <c r="G1442" s="16" t="n">
        <v>45783</v>
      </c>
      <c r="H1442" s="17" t="inlineStr">
        <is>
          <t>CÔNG TY CỔ PHẦN CÔNG NGHIỆP VÀ THƯƠNG MẠI CƯỜNG THỊNH</t>
        </is>
      </c>
      <c r="I1442" s="17" t="inlineStr">
        <is>
          <t>STR H/H B A325M Type 1 ZP M30x150(150)</t>
        </is>
      </c>
      <c r="J1442" s="17" t="inlineStr">
        <is>
          <t>Cái</t>
        </is>
      </c>
      <c r="K1442" s="21" t="n">
        <v>42860</v>
      </c>
      <c r="L1442" s="21" t="n"/>
      <c r="M1442" s="22" t="n"/>
      <c r="N1442" s="22" t="n">
        <v>580</v>
      </c>
      <c r="O1442" s="22" t="n">
        <v>24858800</v>
      </c>
      <c r="P1442" s="22" t="n">
        <v>580</v>
      </c>
      <c r="Q1442" s="22" t="n">
        <v>24858800</v>
      </c>
      <c r="R1442" s="42">
        <f>+L1442+N1442-P1442</f>
        <v/>
      </c>
      <c r="S1442" s="42">
        <f>+M1442+O1442-Q1442</f>
        <v/>
      </c>
    </row>
    <row r="1443" ht="30" customHeight="1">
      <c r="A1443" s="16" t="n">
        <v>45783</v>
      </c>
      <c r="B1443" s="17" t="inlineStr">
        <is>
          <t>MH2505-01</t>
        </is>
      </c>
      <c r="C1443" s="16" t="n">
        <v>45783</v>
      </c>
      <c r="D1443" s="17" t="inlineStr">
        <is>
          <t>00001610</t>
        </is>
      </c>
      <c r="E1443" s="16" t="n">
        <v>45783</v>
      </c>
      <c r="F1443" s="16" t="inlineStr">
        <is>
          <t>XK2505-01</t>
        </is>
      </c>
      <c r="G1443" s="16" t="n">
        <v>45783</v>
      </c>
      <c r="H1443" s="17" t="inlineStr">
        <is>
          <t>CÔNG TY CỔ PHẦN CÔNG NGHIỆP VÀ THƯƠNG MẠI CƯỜNG THỊNH</t>
        </is>
      </c>
      <c r="I1443" s="17" t="inlineStr">
        <is>
          <t>H/H N A563M 10 ZP M36</t>
        </is>
      </c>
      <c r="J1443" s="17" t="inlineStr">
        <is>
          <t>Cái</t>
        </is>
      </c>
      <c r="K1443" s="21" t="n">
        <v>27370</v>
      </c>
      <c r="L1443" s="21" t="n"/>
      <c r="M1443" s="22" t="n"/>
      <c r="N1443" s="22" t="n">
        <v>14</v>
      </c>
      <c r="O1443" s="22" t="n">
        <v>383180</v>
      </c>
      <c r="P1443" s="22" t="n">
        <v>14</v>
      </c>
      <c r="Q1443" s="22" t="n">
        <v>383180</v>
      </c>
      <c r="R1443" s="42">
        <f>+L1443+N1443-P1443</f>
        <v/>
      </c>
      <c r="S1443" s="42">
        <f>+M1443+O1443-Q1443</f>
        <v/>
      </c>
    </row>
    <row r="1444" ht="30" customHeight="1">
      <c r="A1444" s="16" t="n">
        <v>45783</v>
      </c>
      <c r="B1444" s="17" t="inlineStr">
        <is>
          <t>MH2505-01</t>
        </is>
      </c>
      <c r="C1444" s="16" t="n">
        <v>45783</v>
      </c>
      <c r="D1444" s="17" t="inlineStr">
        <is>
          <t>00001610</t>
        </is>
      </c>
      <c r="E1444" s="16" t="n">
        <v>45783</v>
      </c>
      <c r="F1444" s="16" t="inlineStr">
        <is>
          <t>XK2505-01</t>
        </is>
      </c>
      <c r="G1444" s="16" t="n">
        <v>45783</v>
      </c>
      <c r="H1444" s="17" t="inlineStr">
        <is>
          <t>CÔNG TY CỔ PHẦN CÔNG NGHIỆP VÀ THƯƠNG MẠI CƯỜNG THỊNH</t>
        </is>
      </c>
      <c r="I1444" s="17" t="inlineStr">
        <is>
          <t>W F436M Type 1 ZP M36</t>
        </is>
      </c>
      <c r="J1444" s="17" t="inlineStr">
        <is>
          <t>Cái</t>
        </is>
      </c>
      <c r="K1444" s="21" t="n">
        <v>3840</v>
      </c>
      <c r="L1444" s="21" t="n"/>
      <c r="M1444" s="22" t="n"/>
      <c r="N1444" s="22" t="n">
        <v>14</v>
      </c>
      <c r="O1444" s="22" t="n">
        <v>53760</v>
      </c>
      <c r="P1444" s="22" t="n">
        <v>14</v>
      </c>
      <c r="Q1444" s="22" t="n">
        <v>53760</v>
      </c>
      <c r="R1444" s="42">
        <f>+L1444+N1444-P1444</f>
        <v/>
      </c>
      <c r="S1444" s="42">
        <f>+M1444+O1444-Q1444</f>
        <v/>
      </c>
    </row>
    <row r="1445" ht="30" customHeight="1">
      <c r="A1445" s="16" t="n">
        <v>45783</v>
      </c>
      <c r="B1445" s="17" t="inlineStr">
        <is>
          <t>MH2505-01</t>
        </is>
      </c>
      <c r="C1445" s="16" t="n">
        <v>45783</v>
      </c>
      <c r="D1445" s="17" t="inlineStr">
        <is>
          <t>00001610</t>
        </is>
      </c>
      <c r="E1445" s="16" t="n">
        <v>45783</v>
      </c>
      <c r="F1445" s="16" t="inlineStr">
        <is>
          <t>XK2505-01</t>
        </is>
      </c>
      <c r="G1445" s="16" t="n">
        <v>45783</v>
      </c>
      <c r="H1445" s="17" t="inlineStr">
        <is>
          <t>CÔNG TY CỔ PHẦN CÔNG NGHIỆP VÀ THƯƠNG MẠI CƯỜNG THỊNH</t>
        </is>
      </c>
      <c r="I1445" s="17" t="inlineStr">
        <is>
          <t>STR H/H B A325M Type 1 ZP M36x100(100)</t>
        </is>
      </c>
      <c r="J1445" s="17" t="inlineStr">
        <is>
          <t>Cái</t>
        </is>
      </c>
      <c r="K1445" s="21" t="n">
        <v>70190</v>
      </c>
      <c r="L1445" s="21" t="n"/>
      <c r="M1445" s="22" t="n"/>
      <c r="N1445" s="22" t="n">
        <v>14</v>
      </c>
      <c r="O1445" s="22" t="n">
        <v>982660</v>
      </c>
      <c r="P1445" s="22" t="n">
        <v>14</v>
      </c>
      <c r="Q1445" s="22" t="n">
        <v>982660</v>
      </c>
      <c r="R1445" s="42">
        <f>+L1445+N1445-P1445</f>
        <v/>
      </c>
      <c r="S1445" s="42">
        <f>+M1445+O1445-Q1445</f>
        <v/>
      </c>
    </row>
    <row r="1446" ht="30" customHeight="1">
      <c r="A1446" s="16" t="n">
        <v>45783</v>
      </c>
      <c r="B1446" s="17" t="inlineStr">
        <is>
          <t>MH2505-01</t>
        </is>
      </c>
      <c r="C1446" s="16" t="n">
        <v>45783</v>
      </c>
      <c r="D1446" s="17" t="inlineStr">
        <is>
          <t>00001610</t>
        </is>
      </c>
      <c r="E1446" s="16" t="n">
        <v>45783</v>
      </c>
      <c r="F1446" s="16" t="inlineStr">
        <is>
          <t>XK2505-01</t>
        </is>
      </c>
      <c r="G1446" s="16" t="n">
        <v>45783</v>
      </c>
      <c r="H1446" s="17" t="inlineStr">
        <is>
          <t>CÔNG TY CỔ PHẦN CÔNG NGHIỆP VÀ THƯƠNG MẠI CƯỜNG THỊNH</t>
        </is>
      </c>
      <c r="I1446" s="17" t="inlineStr">
        <is>
          <t>W F436M Type 1 ZP M36</t>
        </is>
      </c>
      <c r="J1446" s="17" t="inlineStr">
        <is>
          <t>Cái</t>
        </is>
      </c>
      <c r="K1446" s="21" t="n">
        <v>3840</v>
      </c>
      <c r="L1446" s="21" t="n"/>
      <c r="M1446" s="22" t="n"/>
      <c r="N1446" s="22" t="n">
        <v>41</v>
      </c>
      <c r="O1446" s="22" t="n">
        <v>157440</v>
      </c>
      <c r="P1446" s="22" t="n">
        <v>41</v>
      </c>
      <c r="Q1446" s="22" t="n">
        <v>157440</v>
      </c>
      <c r="R1446" s="42">
        <f>+L1446+N1446-P1446</f>
        <v/>
      </c>
      <c r="S1446" s="42">
        <f>+M1446+O1446-Q1446</f>
        <v/>
      </c>
    </row>
    <row r="1447" ht="30" customHeight="1">
      <c r="A1447" s="16" t="n">
        <v>45783</v>
      </c>
      <c r="B1447" s="17" t="inlineStr">
        <is>
          <t>MH2505-01</t>
        </is>
      </c>
      <c r="C1447" s="16" t="n">
        <v>45783</v>
      </c>
      <c r="D1447" s="17" t="inlineStr">
        <is>
          <t>00001610</t>
        </is>
      </c>
      <c r="E1447" s="16" t="n">
        <v>45783</v>
      </c>
      <c r="F1447" s="16" t="inlineStr">
        <is>
          <t>XK2505-01</t>
        </is>
      </c>
      <c r="G1447" s="16" t="n">
        <v>45783</v>
      </c>
      <c r="H1447" s="17" t="inlineStr">
        <is>
          <t>CÔNG TY CỔ PHẦN CÔNG NGHIỆP VÀ THƯƠNG MẠI CƯỜNG THỊNH</t>
        </is>
      </c>
      <c r="I1447" s="17" t="inlineStr">
        <is>
          <t>H/H N A563M 10 ZP M36</t>
        </is>
      </c>
      <c r="J1447" s="17" t="inlineStr">
        <is>
          <t>Cái</t>
        </is>
      </c>
      <c r="K1447" s="21" t="n">
        <v>27370</v>
      </c>
      <c r="L1447" s="21" t="n"/>
      <c r="M1447" s="22" t="n"/>
      <c r="N1447" s="22" t="n">
        <v>41</v>
      </c>
      <c r="O1447" s="22" t="n">
        <v>1122170</v>
      </c>
      <c r="P1447" s="22" t="n">
        <v>41</v>
      </c>
      <c r="Q1447" s="22" t="n">
        <v>1122170</v>
      </c>
      <c r="R1447" s="42">
        <f>+L1447+N1447-P1447</f>
        <v/>
      </c>
      <c r="S1447" s="42">
        <f>+M1447+O1447-Q1447</f>
        <v/>
      </c>
    </row>
    <row r="1448" ht="30" customHeight="1">
      <c r="A1448" s="16" t="n">
        <v>45783</v>
      </c>
      <c r="B1448" s="17" t="inlineStr">
        <is>
          <t>MH2505-01</t>
        </is>
      </c>
      <c r="C1448" s="16" t="n">
        <v>45783</v>
      </c>
      <c r="D1448" s="17" t="inlineStr">
        <is>
          <t>00001610</t>
        </is>
      </c>
      <c r="E1448" s="16" t="n">
        <v>45783</v>
      </c>
      <c r="F1448" s="16" t="inlineStr">
        <is>
          <t>XK2505-01</t>
        </is>
      </c>
      <c r="G1448" s="16" t="n">
        <v>45783</v>
      </c>
      <c r="H1448" s="17" t="inlineStr">
        <is>
          <t>CÔNG TY CỔ PHẦN CÔNG NGHIỆP VÀ THƯƠNG MẠI CƯỜNG THỊNH</t>
        </is>
      </c>
      <c r="I1448" s="17" t="inlineStr">
        <is>
          <t>STR H/H B A325M Type 1 ZP M36x130(130)</t>
        </is>
      </c>
      <c r="J1448" s="17" t="inlineStr">
        <is>
          <t>Cái</t>
        </is>
      </c>
      <c r="K1448" s="21" t="n">
        <v>77650</v>
      </c>
      <c r="L1448" s="21" t="n"/>
      <c r="M1448" s="22" t="n"/>
      <c r="N1448" s="22" t="n">
        <v>41</v>
      </c>
      <c r="O1448" s="22" t="n">
        <v>3183650</v>
      </c>
      <c r="P1448" s="22" t="n">
        <v>41</v>
      </c>
      <c r="Q1448" s="22" t="n">
        <v>3183650</v>
      </c>
      <c r="R1448" s="42">
        <f>+L1448+N1448-P1448</f>
        <v/>
      </c>
      <c r="S1448" s="42">
        <f>+M1448+O1448-Q1448</f>
        <v/>
      </c>
    </row>
    <row r="1449" ht="15" customHeight="1">
      <c r="A1449" s="16" t="n">
        <v>45783</v>
      </c>
      <c r="B1449" s="17" t="inlineStr">
        <is>
          <t>MH2505-02</t>
        </is>
      </c>
      <c r="C1449" s="16" t="n">
        <v>45783</v>
      </c>
      <c r="D1449" s="17" t="inlineStr">
        <is>
          <t>00004054</t>
        </is>
      </c>
      <c r="E1449" s="16" t="n">
        <v>45783</v>
      </c>
      <c r="F1449" s="16" t="inlineStr">
        <is>
          <t>XK2505-02</t>
        </is>
      </c>
      <c r="G1449" s="16" t="n">
        <v>45783</v>
      </c>
      <c r="H1449" s="17" t="inlineStr">
        <is>
          <t>CÔNG TY TNHH SƠN JOTUN VIỆT NAM</t>
        </is>
      </c>
      <c r="I1449" s="17" t="inlineStr">
        <is>
          <t>SƠN JOTAMASTIC 70 GREY 18L</t>
        </is>
      </c>
      <c r="J1449" s="17" t="inlineStr">
        <is>
          <t>Lít</t>
        </is>
      </c>
      <c r="K1449" s="21" t="n">
        <v>90000</v>
      </c>
      <c r="L1449" s="21" t="n"/>
      <c r="M1449" s="22" t="n"/>
      <c r="N1449" s="22" t="n">
        <v>1242</v>
      </c>
      <c r="O1449" s="22" t="n">
        <v>111780000</v>
      </c>
      <c r="P1449" s="22" t="n">
        <v>1242</v>
      </c>
      <c r="Q1449" s="22" t="n">
        <v>111780000</v>
      </c>
      <c r="R1449" s="42">
        <f>+L1449+N1449-P1449</f>
        <v/>
      </c>
      <c r="S1449" s="42">
        <f>+M1449+O1449-Q1449</f>
        <v/>
      </c>
    </row>
    <row r="1450" ht="15" customHeight="1">
      <c r="A1450" s="16" t="n">
        <v>45783</v>
      </c>
      <c r="B1450" s="17" t="inlineStr">
        <is>
          <t>MH2505-02</t>
        </is>
      </c>
      <c r="C1450" s="16" t="n">
        <v>45783</v>
      </c>
      <c r="D1450" s="17" t="inlineStr">
        <is>
          <t>00004054</t>
        </is>
      </c>
      <c r="E1450" s="16" t="n">
        <v>45783</v>
      </c>
      <c r="F1450" s="16" t="inlineStr">
        <is>
          <t>XK2505-02</t>
        </is>
      </c>
      <c r="G1450" s="16" t="n">
        <v>45783</v>
      </c>
      <c r="H1450" s="17" t="inlineStr">
        <is>
          <t>CÔNG TY TNHH SƠN JOTUN VIỆT NAM</t>
        </is>
      </c>
      <c r="I1450" s="17" t="inlineStr">
        <is>
          <t>SƠN FUTURA CLASSIC STD 7395 19.15L</t>
        </is>
      </c>
      <c r="J1450" s="17" t="inlineStr">
        <is>
          <t>Lít</t>
        </is>
      </c>
      <c r="K1450" s="21" t="n">
        <v>155000</v>
      </c>
      <c r="L1450" s="21" t="n"/>
      <c r="M1450" s="22" t="n"/>
      <c r="N1450" s="22" t="n">
        <v>1149</v>
      </c>
      <c r="O1450" s="22" t="n">
        <v>178095000</v>
      </c>
      <c r="P1450" s="22" t="n">
        <v>1149</v>
      </c>
      <c r="Q1450" s="22" t="n">
        <v>178095000</v>
      </c>
      <c r="R1450" s="42">
        <f>+L1450+N1450-P1450</f>
        <v/>
      </c>
      <c r="S1450" s="42">
        <f>+M1450+O1450-Q1450</f>
        <v/>
      </c>
    </row>
    <row r="1451" ht="15" customHeight="1">
      <c r="A1451" s="16" t="n">
        <v>45783</v>
      </c>
      <c r="B1451" s="17" t="inlineStr">
        <is>
          <t>MH2505-02</t>
        </is>
      </c>
      <c r="C1451" s="16" t="n">
        <v>45783</v>
      </c>
      <c r="D1451" s="17" t="inlineStr">
        <is>
          <t>00004054</t>
        </is>
      </c>
      <c r="E1451" s="16" t="n">
        <v>45783</v>
      </c>
      <c r="F1451" s="16" t="inlineStr">
        <is>
          <t>XK2505-02</t>
        </is>
      </c>
      <c r="G1451" s="16" t="n">
        <v>45783</v>
      </c>
      <c r="H1451" s="17" t="inlineStr">
        <is>
          <t>CÔNG TY TNHH SƠN JOTUN VIỆT NAM</t>
        </is>
      </c>
      <c r="I1451" s="17" t="inlineStr">
        <is>
          <t>SƠN FUTURA CLASSIC STD7395 4.79L</t>
        </is>
      </c>
      <c r="J1451" s="17" t="inlineStr">
        <is>
          <t>Lít</t>
        </is>
      </c>
      <c r="K1451" s="21" t="n">
        <v>155000</v>
      </c>
      <c r="L1451" s="21" t="n"/>
      <c r="M1451" s="22" t="n"/>
      <c r="N1451" s="22" t="n">
        <v>19.16</v>
      </c>
      <c r="O1451" s="22" t="n">
        <v>2969800</v>
      </c>
      <c r="P1451" s="22" t="n">
        <v>19.16</v>
      </c>
      <c r="Q1451" s="22" t="n">
        <v>2969800</v>
      </c>
      <c r="R1451" s="42">
        <f>+L1451+N1451-P1451</f>
        <v/>
      </c>
      <c r="S1451" s="42">
        <f>+M1451+O1451-Q1451</f>
        <v/>
      </c>
    </row>
    <row r="1452" ht="15" customHeight="1">
      <c r="A1452" s="16" t="n">
        <v>45783</v>
      </c>
      <c r="B1452" s="17" t="inlineStr">
        <is>
          <t>MH2505-02</t>
        </is>
      </c>
      <c r="C1452" s="16" t="n">
        <v>45783</v>
      </c>
      <c r="D1452" s="17" t="inlineStr">
        <is>
          <t>00004054</t>
        </is>
      </c>
      <c r="E1452" s="16" t="n">
        <v>45783</v>
      </c>
      <c r="F1452" s="16" t="inlineStr">
        <is>
          <t>XK2505-02</t>
        </is>
      </c>
      <c r="G1452" s="16" t="n">
        <v>45783</v>
      </c>
      <c r="H1452" s="17" t="inlineStr">
        <is>
          <t>CÔNG TY TNHH SƠN JOTUN VIỆT NAM</t>
        </is>
      </c>
      <c r="I1452" s="17" t="inlineStr">
        <is>
          <t>DUNG MÔI JOTUN THINNER NO. 10 20L</t>
        </is>
      </c>
      <c r="J1452" s="17" t="inlineStr">
        <is>
          <t>Lít</t>
        </is>
      </c>
      <c r="K1452" s="21" t="n">
        <v>60000</v>
      </c>
      <c r="L1452" s="21" t="n"/>
      <c r="M1452" s="22" t="n"/>
      <c r="N1452" s="22" t="n">
        <v>180</v>
      </c>
      <c r="O1452" s="22" t="n">
        <v>10800000</v>
      </c>
      <c r="P1452" s="22" t="n">
        <v>180</v>
      </c>
      <c r="Q1452" s="22" t="n">
        <v>10800000</v>
      </c>
      <c r="R1452" s="42">
        <f>+L1452+N1452-P1452</f>
        <v/>
      </c>
      <c r="S1452" s="42">
        <f>+M1452+O1452-Q1452</f>
        <v/>
      </c>
    </row>
    <row r="1453" ht="15" customHeight="1">
      <c r="A1453" s="16" t="n">
        <v>45783</v>
      </c>
      <c r="B1453" s="17" t="inlineStr">
        <is>
          <t>MH2505-02</t>
        </is>
      </c>
      <c r="C1453" s="16" t="n">
        <v>45783</v>
      </c>
      <c r="D1453" s="17" t="inlineStr">
        <is>
          <t>00004054</t>
        </is>
      </c>
      <c r="E1453" s="16" t="n">
        <v>45783</v>
      </c>
      <c r="F1453" s="16" t="inlineStr">
        <is>
          <t>XK2505-02</t>
        </is>
      </c>
      <c r="G1453" s="16" t="n">
        <v>45783</v>
      </c>
      <c r="H1453" s="17" t="inlineStr">
        <is>
          <t>CÔNG TY TNHH SƠN JOTUN VIỆT NAM</t>
        </is>
      </c>
      <c r="I1453" s="17" t="inlineStr">
        <is>
          <t>DUNG MÔI JOTUN THINNER NO. 17 20L</t>
        </is>
      </c>
      <c r="J1453" s="17" t="inlineStr">
        <is>
          <t>Lít</t>
        </is>
      </c>
      <c r="K1453" s="21" t="n">
        <v>60000</v>
      </c>
      <c r="L1453" s="21" t="n"/>
      <c r="M1453" s="22" t="n"/>
      <c r="N1453" s="22" t="n">
        <v>200</v>
      </c>
      <c r="O1453" s="22" t="n">
        <v>12000000</v>
      </c>
      <c r="P1453" s="22" t="n">
        <v>200</v>
      </c>
      <c r="Q1453" s="22" t="n">
        <v>12000000</v>
      </c>
      <c r="R1453" s="42">
        <f>+L1453+N1453-P1453</f>
        <v/>
      </c>
      <c r="S1453" s="42">
        <f>+M1453+O1453-Q1453</f>
        <v/>
      </c>
    </row>
    <row r="1454" ht="15" customHeight="1">
      <c r="A1454" s="16" t="n">
        <v>45784</v>
      </c>
      <c r="B1454" s="17" t="inlineStr">
        <is>
          <t>MH2505-05</t>
        </is>
      </c>
      <c r="C1454" s="16" t="n">
        <v>45784</v>
      </c>
      <c r="D1454" s="17" t="inlineStr">
        <is>
          <t>00004114</t>
        </is>
      </c>
      <c r="E1454" s="16" t="n">
        <v>45784</v>
      </c>
      <c r="F1454" s="16" t="inlineStr">
        <is>
          <t>XK2505-02</t>
        </is>
      </c>
      <c r="G1454" s="16" t="n">
        <v>45784</v>
      </c>
      <c r="H1454" s="17" t="inlineStr">
        <is>
          <t>CÔNG TY TNHH SƠN JOTUN VIỆT NAM</t>
        </is>
      </c>
      <c r="I1454" s="17" t="inlineStr">
        <is>
          <t>SƠN JOTAMASTIC 70 GREY 18L</t>
        </is>
      </c>
      <c r="J1454" s="17" t="inlineStr">
        <is>
          <t>Lít</t>
        </is>
      </c>
      <c r="K1454" s="21" t="n">
        <v>90000</v>
      </c>
      <c r="L1454" s="21" t="n"/>
      <c r="M1454" s="22" t="n"/>
      <c r="N1454" s="22" t="n">
        <v>1584</v>
      </c>
      <c r="O1454" s="22" t="n">
        <v>142560000</v>
      </c>
      <c r="P1454" s="22" t="n">
        <v>1584</v>
      </c>
      <c r="Q1454" s="22" t="n">
        <v>142560000</v>
      </c>
      <c r="R1454" s="42">
        <f>+L1454+N1454-P1454</f>
        <v/>
      </c>
      <c r="S1454" s="42">
        <f>+M1454+O1454-Q1454</f>
        <v/>
      </c>
    </row>
    <row r="1455" ht="15" customHeight="1">
      <c r="A1455" s="16" t="n">
        <v>45784</v>
      </c>
      <c r="B1455" s="17" t="inlineStr">
        <is>
          <t>MH2505-05</t>
        </is>
      </c>
      <c r="C1455" s="16" t="n">
        <v>45784</v>
      </c>
      <c r="D1455" s="17" t="inlineStr">
        <is>
          <t>00004114</t>
        </is>
      </c>
      <c r="E1455" s="16" t="n">
        <v>45784</v>
      </c>
      <c r="F1455" s="16" t="inlineStr">
        <is>
          <t>XK2505-02</t>
        </is>
      </c>
      <c r="G1455" s="16" t="n">
        <v>45784</v>
      </c>
      <c r="H1455" s="17" t="inlineStr">
        <is>
          <t>CÔNG TY TNHH SƠN JOTUN VIỆT NAM</t>
        </is>
      </c>
      <c r="I1455" s="17" t="inlineStr">
        <is>
          <t>DUNG MÔI JOTUN THINNER NO. 17 20L</t>
        </is>
      </c>
      <c r="J1455" s="17" t="inlineStr">
        <is>
          <t>Lít</t>
        </is>
      </c>
      <c r="K1455" s="21" t="n">
        <v>60000</v>
      </c>
      <c r="L1455" s="21" t="n"/>
      <c r="M1455" s="22" t="n"/>
      <c r="N1455" s="22" t="n">
        <v>240</v>
      </c>
      <c r="O1455" s="22" t="n">
        <v>14400000</v>
      </c>
      <c r="P1455" s="22" t="n">
        <v>240</v>
      </c>
      <c r="Q1455" s="22" t="n">
        <v>14400000</v>
      </c>
      <c r="R1455" s="42">
        <f>+L1455+N1455-P1455</f>
        <v/>
      </c>
      <c r="S1455" s="42">
        <f>+M1455+O1455-Q1455</f>
        <v/>
      </c>
    </row>
    <row r="1456" ht="30" customHeight="1">
      <c r="A1456" s="16" t="n">
        <v>45785</v>
      </c>
      <c r="B1456" s="17" t="inlineStr">
        <is>
          <t>MH2505-06</t>
        </is>
      </c>
      <c r="C1456" s="16" t="n">
        <v>45785</v>
      </c>
      <c r="D1456" s="17" t="inlineStr">
        <is>
          <t>00000773</t>
        </is>
      </c>
      <c r="E1456" s="16" t="n">
        <v>45785</v>
      </c>
      <c r="F1456" s="16" t="inlineStr">
        <is>
          <t>XK2505-03</t>
        </is>
      </c>
      <c r="G1456" s="16" t="n">
        <v>45785</v>
      </c>
      <c r="H1456" s="17" t="inlineStr">
        <is>
          <t>CÔNG TY TNHH DỊCH VỤ - THƯƠNG MẠI THÉP THIÊN LONG</t>
        </is>
      </c>
      <c r="I1456" s="17" t="inlineStr">
        <is>
          <t>Thép tấm 6ly</t>
        </is>
      </c>
      <c r="J1456" s="17" t="inlineStr">
        <is>
          <t>kg</t>
        </is>
      </c>
      <c r="K1456" s="21" t="n">
        <v>13454.54</v>
      </c>
      <c r="L1456" s="21" t="n"/>
      <c r="M1456" s="22" t="n"/>
      <c r="N1456" s="22" t="n">
        <v>5652</v>
      </c>
      <c r="O1456" s="22" t="n">
        <v>76045060</v>
      </c>
      <c r="P1456" s="22" t="n">
        <v>5652</v>
      </c>
      <c r="Q1456" s="22" t="n">
        <v>76045060</v>
      </c>
      <c r="R1456" s="42">
        <f>+L1456+N1456-P1456</f>
        <v/>
      </c>
      <c r="S1456" s="42">
        <f>+M1456+O1456-Q1456</f>
        <v/>
      </c>
    </row>
    <row r="1457" ht="30" customHeight="1">
      <c r="A1457" s="16" t="n">
        <v>45785</v>
      </c>
      <c r="B1457" s="17" t="inlineStr">
        <is>
          <t>MH2505-06</t>
        </is>
      </c>
      <c r="C1457" s="16" t="n">
        <v>45785</v>
      </c>
      <c r="D1457" s="17" t="inlineStr">
        <is>
          <t>00000773</t>
        </is>
      </c>
      <c r="E1457" s="16" t="n">
        <v>45785</v>
      </c>
      <c r="F1457" s="16" t="inlineStr">
        <is>
          <t>XK2505-03</t>
        </is>
      </c>
      <c r="G1457" s="16" t="n">
        <v>45785</v>
      </c>
      <c r="H1457" s="17" t="inlineStr">
        <is>
          <t>CÔNG TY TNHH DỊCH VỤ - THƯƠNG MẠI THÉP THIÊN LONG</t>
        </is>
      </c>
      <c r="I1457" s="17" t="inlineStr">
        <is>
          <t>Thép tấm 8ly</t>
        </is>
      </c>
      <c r="J1457" s="17" t="inlineStr">
        <is>
          <t>kg</t>
        </is>
      </c>
      <c r="K1457" s="21" t="n">
        <v>13454.54</v>
      </c>
      <c r="L1457" s="21" t="n"/>
      <c r="M1457" s="22" t="n"/>
      <c r="N1457" s="22" t="n">
        <v>1507.2</v>
      </c>
      <c r="O1457" s="22" t="n">
        <v>20278683</v>
      </c>
      <c r="P1457" s="22" t="n">
        <v>1507.2</v>
      </c>
      <c r="Q1457" s="22" t="n">
        <v>20278683</v>
      </c>
      <c r="R1457" s="42">
        <f>+L1457+N1457-P1457</f>
        <v/>
      </c>
      <c r="S1457" s="42">
        <f>+M1457+O1457-Q1457</f>
        <v/>
      </c>
    </row>
    <row r="1458" ht="30" customHeight="1">
      <c r="A1458" s="16" t="n">
        <v>45785</v>
      </c>
      <c r="B1458" s="17" t="inlineStr">
        <is>
          <t>MH2505-06</t>
        </is>
      </c>
      <c r="C1458" s="16" t="n">
        <v>45785</v>
      </c>
      <c r="D1458" s="17" t="inlineStr">
        <is>
          <t>00000773</t>
        </is>
      </c>
      <c r="E1458" s="16" t="n">
        <v>45785</v>
      </c>
      <c r="F1458" s="16" t="inlineStr">
        <is>
          <t>XK2505-03</t>
        </is>
      </c>
      <c r="G1458" s="16" t="n">
        <v>45785</v>
      </c>
      <c r="H1458" s="17" t="inlineStr">
        <is>
          <t>CÔNG TY TNHH DỊCH VỤ - THƯƠNG MẠI THÉP THIÊN LONG</t>
        </is>
      </c>
      <c r="I1458" s="17" t="inlineStr">
        <is>
          <t>Thép tấm 10ly</t>
        </is>
      </c>
      <c r="J1458" s="17" t="inlineStr">
        <is>
          <t>kg</t>
        </is>
      </c>
      <c r="K1458" s="21" t="n">
        <v>13454.54</v>
      </c>
      <c r="L1458" s="21" t="n"/>
      <c r="M1458" s="22" t="n"/>
      <c r="N1458" s="22" t="n">
        <v>5652</v>
      </c>
      <c r="O1458" s="22" t="n">
        <v>76045154</v>
      </c>
      <c r="P1458" s="22" t="n">
        <v>5652</v>
      </c>
      <c r="Q1458" s="22" t="n">
        <v>76045154</v>
      </c>
      <c r="R1458" s="42">
        <f>+L1458+N1458-P1458</f>
        <v/>
      </c>
      <c r="S1458" s="42">
        <f>+M1458+O1458-Q1458</f>
        <v/>
      </c>
    </row>
    <row r="1459" ht="30" customHeight="1">
      <c r="A1459" s="16" t="n">
        <v>45785</v>
      </c>
      <c r="B1459" s="17" t="inlineStr">
        <is>
          <t>MH2505-06</t>
        </is>
      </c>
      <c r="C1459" s="16" t="n">
        <v>45785</v>
      </c>
      <c r="D1459" s="17" t="inlineStr">
        <is>
          <t>00000773</t>
        </is>
      </c>
      <c r="E1459" s="16" t="n">
        <v>45785</v>
      </c>
      <c r="F1459" s="16" t="inlineStr">
        <is>
          <t>XK2505-03</t>
        </is>
      </c>
      <c r="G1459" s="16" t="n">
        <v>45785</v>
      </c>
      <c r="H1459" s="17" t="inlineStr">
        <is>
          <t>CÔNG TY TNHH DỊCH VỤ - THƯƠNG MẠI THÉP THIÊN LONG</t>
        </is>
      </c>
      <c r="I1459" s="17" t="inlineStr">
        <is>
          <t>Thép tấm 20ly</t>
        </is>
      </c>
      <c r="J1459" s="17" t="inlineStr">
        <is>
          <t>kg</t>
        </is>
      </c>
      <c r="K1459" s="21" t="n">
        <v>14363.63</v>
      </c>
      <c r="L1459" s="21" t="n"/>
      <c r="M1459" s="22" t="n"/>
      <c r="N1459" s="22" t="n">
        <v>3768</v>
      </c>
      <c r="O1459" s="22" t="n">
        <v>54122158</v>
      </c>
      <c r="P1459" s="22" t="n">
        <v>3768</v>
      </c>
      <c r="Q1459" s="22" t="n">
        <v>54122158</v>
      </c>
      <c r="R1459" s="42">
        <f>+L1459+N1459-P1459</f>
        <v/>
      </c>
      <c r="S1459" s="42">
        <f>+M1459+O1459-Q1459</f>
        <v/>
      </c>
    </row>
    <row r="1460" ht="30" customHeight="1">
      <c r="A1460" s="16" t="n">
        <v>45785</v>
      </c>
      <c r="B1460" s="17" t="inlineStr">
        <is>
          <t>MH2505-06</t>
        </is>
      </c>
      <c r="C1460" s="16" t="n">
        <v>45785</v>
      </c>
      <c r="D1460" s="17" t="inlineStr">
        <is>
          <t>00000773</t>
        </is>
      </c>
      <c r="E1460" s="16" t="n">
        <v>45785</v>
      </c>
      <c r="F1460" s="16" t="inlineStr">
        <is>
          <t>XK2505-03</t>
        </is>
      </c>
      <c r="G1460" s="16" t="n">
        <v>45785</v>
      </c>
      <c r="H1460" s="17" t="inlineStr">
        <is>
          <t>CÔNG TY TNHH DỊCH VỤ - THƯƠNG MẠI THÉP THIÊN LONG</t>
        </is>
      </c>
      <c r="I1460" s="17" t="inlineStr">
        <is>
          <t>Thép ống đen 141</t>
        </is>
      </c>
      <c r="J1460" s="17" t="inlineStr">
        <is>
          <t>kg</t>
        </is>
      </c>
      <c r="K1460" s="21" t="n">
        <v>16818.18</v>
      </c>
      <c r="L1460" s="21" t="n"/>
      <c r="M1460" s="22" t="n"/>
      <c r="N1460" s="22" t="n">
        <v>482.76</v>
      </c>
      <c r="O1460" s="22" t="n">
        <v>8119145</v>
      </c>
      <c r="P1460" s="22" t="n">
        <v>482.76</v>
      </c>
      <c r="Q1460" s="22" t="n">
        <v>8119145</v>
      </c>
      <c r="R1460" s="42">
        <f>+L1460+N1460-P1460</f>
        <v/>
      </c>
      <c r="S1460" s="42">
        <f>+M1460+O1460-Q1460</f>
        <v/>
      </c>
    </row>
    <row r="1461" ht="30" customHeight="1">
      <c r="A1461" s="16" t="n">
        <v>45785</v>
      </c>
      <c r="B1461" s="17" t="inlineStr">
        <is>
          <t>MH2505-06</t>
        </is>
      </c>
      <c r="C1461" s="16" t="n">
        <v>45785</v>
      </c>
      <c r="D1461" s="17" t="inlineStr">
        <is>
          <t>00000773</t>
        </is>
      </c>
      <c r="E1461" s="16" t="n">
        <v>45785</v>
      </c>
      <c r="F1461" s="16" t="inlineStr">
        <is>
          <t>XK2505-03</t>
        </is>
      </c>
      <c r="G1461" s="16" t="n">
        <v>45785</v>
      </c>
      <c r="H1461" s="17" t="inlineStr">
        <is>
          <t>CÔNG TY TNHH DỊCH VỤ - THƯƠNG MẠI THÉP THIÊN LONG</t>
        </is>
      </c>
      <c r="I1461" s="17" t="inlineStr">
        <is>
          <t>Thép ống đen 90</t>
        </is>
      </c>
      <c r="J1461" s="17" t="inlineStr">
        <is>
          <t>kg</t>
        </is>
      </c>
      <c r="K1461" s="21" t="n">
        <v>16818.18</v>
      </c>
      <c r="L1461" s="21" t="n"/>
      <c r="M1461" s="22" t="n"/>
      <c r="N1461" s="22" t="n">
        <v>246.52</v>
      </c>
      <c r="O1461" s="22" t="n">
        <v>4146018</v>
      </c>
      <c r="P1461" s="22" t="n">
        <v>246.52</v>
      </c>
      <c r="Q1461" s="22" t="n">
        <v>4146018</v>
      </c>
      <c r="R1461" s="42">
        <f>+L1461+N1461-P1461</f>
        <v/>
      </c>
      <c r="S1461" s="42">
        <f>+M1461+O1461-Q1461</f>
        <v/>
      </c>
    </row>
    <row r="1462" ht="30" customHeight="1">
      <c r="A1462" s="16" t="n">
        <v>45785</v>
      </c>
      <c r="B1462" s="17" t="inlineStr">
        <is>
          <t>MH2505-07</t>
        </is>
      </c>
      <c r="C1462" s="16" t="n">
        <v>45785</v>
      </c>
      <c r="D1462" s="17" t="inlineStr">
        <is>
          <t>00000774</t>
        </is>
      </c>
      <c r="E1462" s="16" t="n">
        <v>45785</v>
      </c>
      <c r="F1462" s="16" t="inlineStr">
        <is>
          <t>XK2505-03</t>
        </is>
      </c>
      <c r="G1462" s="16" t="n">
        <v>45785</v>
      </c>
      <c r="H1462" s="17" t="inlineStr">
        <is>
          <t>CÔNG TY TNHH DỊCH VỤ - THƯƠNG MẠI THÉP THIÊN LONG</t>
        </is>
      </c>
      <c r="I1462" s="17" t="inlineStr">
        <is>
          <t>Thép tấm 5ly</t>
        </is>
      </c>
      <c r="J1462" s="17" t="inlineStr">
        <is>
          <t>kg</t>
        </is>
      </c>
      <c r="K1462" s="21" t="n">
        <v>13454.54</v>
      </c>
      <c r="L1462" s="21" t="n"/>
      <c r="M1462" s="22" t="n"/>
      <c r="N1462" s="22" t="n">
        <v>53223</v>
      </c>
      <c r="O1462" s="22" t="n">
        <v>716090982</v>
      </c>
      <c r="P1462" s="22" t="n">
        <v>53223</v>
      </c>
      <c r="Q1462" s="22" t="n">
        <v>716090982</v>
      </c>
      <c r="R1462" s="42">
        <f>+L1462+N1462-P1462</f>
        <v/>
      </c>
      <c r="S1462" s="42">
        <f>+M1462+O1462-Q1462</f>
        <v/>
      </c>
    </row>
    <row r="1463" ht="30" customHeight="1">
      <c r="A1463" s="16" t="n">
        <v>45785</v>
      </c>
      <c r="B1463" s="17" t="inlineStr">
        <is>
          <t>MH2505-07</t>
        </is>
      </c>
      <c r="C1463" s="16" t="n">
        <v>45785</v>
      </c>
      <c r="D1463" s="17" t="inlineStr">
        <is>
          <t>00000774</t>
        </is>
      </c>
      <c r="E1463" s="16" t="n">
        <v>45785</v>
      </c>
      <c r="F1463" s="16" t="inlineStr">
        <is>
          <t>XK2505-03</t>
        </is>
      </c>
      <c r="G1463" s="16" t="n">
        <v>45785</v>
      </c>
      <c r="H1463" s="17" t="inlineStr">
        <is>
          <t>CÔNG TY TNHH DỊCH VỤ - THƯƠNG MẠI THÉP THIÊN LONG</t>
        </is>
      </c>
      <c r="I1463" s="17" t="inlineStr">
        <is>
          <t>Thép tấm 6ly</t>
        </is>
      </c>
      <c r="J1463" s="17" t="inlineStr">
        <is>
          <t>kg</t>
        </is>
      </c>
      <c r="K1463" s="21" t="n">
        <v>13454.54</v>
      </c>
      <c r="L1463" s="21" t="n"/>
      <c r="M1463" s="22" t="n"/>
      <c r="N1463" s="22" t="n">
        <v>28825.2</v>
      </c>
      <c r="O1463" s="22" t="n">
        <v>387829806</v>
      </c>
      <c r="P1463" s="22" t="n">
        <v>28825.2</v>
      </c>
      <c r="Q1463" s="22" t="n">
        <v>387829806</v>
      </c>
      <c r="R1463" s="42">
        <f>+L1463+N1463-P1463</f>
        <v/>
      </c>
      <c r="S1463" s="42">
        <f>+M1463+O1463-Q1463</f>
        <v/>
      </c>
    </row>
    <row r="1464" ht="30" customHeight="1">
      <c r="A1464" s="16" t="n">
        <v>45785</v>
      </c>
      <c r="B1464" s="17" t="inlineStr">
        <is>
          <t>MH2505-07</t>
        </is>
      </c>
      <c r="C1464" s="16" t="n">
        <v>45785</v>
      </c>
      <c r="D1464" s="17" t="inlineStr">
        <is>
          <t>00000774</t>
        </is>
      </c>
      <c r="E1464" s="16" t="n">
        <v>45785</v>
      </c>
      <c r="F1464" s="16" t="inlineStr">
        <is>
          <t>XK2505-03</t>
        </is>
      </c>
      <c r="G1464" s="16" t="n">
        <v>45785</v>
      </c>
      <c r="H1464" s="17" t="inlineStr">
        <is>
          <t>CÔNG TY TNHH DỊCH VỤ - THƯƠNG MẠI THÉP THIÊN LONG</t>
        </is>
      </c>
      <c r="I1464" s="17" t="inlineStr">
        <is>
          <t>Thép tấm 8ly</t>
        </is>
      </c>
      <c r="J1464" s="17" t="inlineStr">
        <is>
          <t>kg</t>
        </is>
      </c>
      <c r="K1464" s="21" t="n">
        <v>13454.54</v>
      </c>
      <c r="L1464" s="21" t="n"/>
      <c r="M1464" s="22" t="n"/>
      <c r="N1464" s="22" t="n">
        <v>30144</v>
      </c>
      <c r="O1464" s="22" t="n">
        <v>405573654</v>
      </c>
      <c r="P1464" s="22" t="n">
        <v>30144</v>
      </c>
      <c r="Q1464" s="22" t="n">
        <v>405573654</v>
      </c>
      <c r="R1464" s="42">
        <f>+L1464+N1464-P1464</f>
        <v/>
      </c>
      <c r="S1464" s="42">
        <f>+M1464+O1464-Q1464</f>
        <v/>
      </c>
    </row>
    <row r="1465" ht="30" customHeight="1">
      <c r="A1465" s="16" t="n">
        <v>45785</v>
      </c>
      <c r="B1465" s="17" t="inlineStr">
        <is>
          <t>MH2505-07</t>
        </is>
      </c>
      <c r="C1465" s="16" t="n">
        <v>45785</v>
      </c>
      <c r="D1465" s="17" t="inlineStr">
        <is>
          <t>00000774</t>
        </is>
      </c>
      <c r="E1465" s="16" t="n">
        <v>45785</v>
      </c>
      <c r="F1465" s="16" t="inlineStr">
        <is>
          <t>XK2505-03</t>
        </is>
      </c>
      <c r="G1465" s="16" t="n">
        <v>45785</v>
      </c>
      <c r="H1465" s="17" t="inlineStr">
        <is>
          <t>CÔNG TY TNHH DỊCH VỤ - THƯƠNG MẠI THÉP THIÊN LONG</t>
        </is>
      </c>
      <c r="I1465" s="17" t="inlineStr">
        <is>
          <t>Thép tấm 10ly</t>
        </is>
      </c>
      <c r="J1465" s="17" t="inlineStr">
        <is>
          <t>kg</t>
        </is>
      </c>
      <c r="K1465" s="21" t="n">
        <v>13454.54</v>
      </c>
      <c r="L1465" s="21" t="n"/>
      <c r="M1465" s="22" t="n"/>
      <c r="N1465" s="22" t="n">
        <v>15072</v>
      </c>
      <c r="O1465" s="22" t="n">
        <v>202786827</v>
      </c>
      <c r="P1465" s="22" t="n">
        <v>15072</v>
      </c>
      <c r="Q1465" s="22" t="n">
        <v>202786827</v>
      </c>
      <c r="R1465" s="42">
        <f>+L1465+N1465-P1465</f>
        <v/>
      </c>
      <c r="S1465" s="42">
        <f>+M1465+O1465-Q1465</f>
        <v/>
      </c>
    </row>
    <row r="1466" ht="30" customHeight="1">
      <c r="A1466" s="16" t="n">
        <v>45785</v>
      </c>
      <c r="B1466" s="17" t="inlineStr">
        <is>
          <t>MH2505-07</t>
        </is>
      </c>
      <c r="C1466" s="16" t="n">
        <v>45785</v>
      </c>
      <c r="D1466" s="17" t="inlineStr">
        <is>
          <t>00000774</t>
        </is>
      </c>
      <c r="E1466" s="16" t="n">
        <v>45785</v>
      </c>
      <c r="F1466" s="16" t="inlineStr">
        <is>
          <t>XK2505-03</t>
        </is>
      </c>
      <c r="G1466" s="16" t="n">
        <v>45785</v>
      </c>
      <c r="H1466" s="17" t="inlineStr">
        <is>
          <t>CÔNG TY TNHH DỊCH VỤ - THƯƠNG MẠI THÉP THIÊN LONG</t>
        </is>
      </c>
      <c r="I1466" s="17" t="inlineStr">
        <is>
          <t>Thép tấm 12ly</t>
        </is>
      </c>
      <c r="J1466" s="17" t="inlineStr">
        <is>
          <t>kg</t>
        </is>
      </c>
      <c r="K1466" s="21" t="n">
        <v>13454.54</v>
      </c>
      <c r="L1466" s="21" t="n"/>
      <c r="M1466" s="22" t="n"/>
      <c r="N1466" s="22" t="n">
        <v>4521.6</v>
      </c>
      <c r="O1466" s="22" t="n">
        <v>60836935</v>
      </c>
      <c r="P1466" s="22" t="n">
        <v>4521.6</v>
      </c>
      <c r="Q1466" s="22" t="n">
        <v>60836935</v>
      </c>
      <c r="R1466" s="42">
        <f>+L1466+N1466-P1466</f>
        <v/>
      </c>
      <c r="S1466" s="42">
        <f>+M1466+O1466-Q1466</f>
        <v/>
      </c>
    </row>
    <row r="1467" ht="30" customHeight="1">
      <c r="A1467" s="16" t="n">
        <v>45785</v>
      </c>
      <c r="B1467" s="17" t="inlineStr">
        <is>
          <t>MH2505-07</t>
        </is>
      </c>
      <c r="C1467" s="16" t="n">
        <v>45785</v>
      </c>
      <c r="D1467" s="17" t="inlineStr">
        <is>
          <t>00000774</t>
        </is>
      </c>
      <c r="E1467" s="16" t="n">
        <v>45785</v>
      </c>
      <c r="F1467" s="16" t="inlineStr">
        <is>
          <t>XK2505-03</t>
        </is>
      </c>
      <c r="G1467" s="16" t="n">
        <v>45785</v>
      </c>
      <c r="H1467" s="17" t="inlineStr">
        <is>
          <t>CÔNG TY TNHH DỊCH VỤ - THƯƠNG MẠI THÉP THIÊN LONG</t>
        </is>
      </c>
      <c r="I1467" s="17" t="inlineStr">
        <is>
          <t>Thép tấm 14ly</t>
        </is>
      </c>
      <c r="J1467" s="17" t="inlineStr">
        <is>
          <t>kg</t>
        </is>
      </c>
      <c r="K1467" s="21" t="n">
        <v>14363.63</v>
      </c>
      <c r="L1467" s="21" t="n"/>
      <c r="M1467" s="22" t="n"/>
      <c r="N1467" s="22" t="n">
        <v>18463.2</v>
      </c>
      <c r="O1467" s="22" t="n">
        <v>265198573</v>
      </c>
      <c r="P1467" s="22" t="n">
        <v>18463.2</v>
      </c>
      <c r="Q1467" s="22" t="n">
        <v>265198573</v>
      </c>
      <c r="R1467" s="42">
        <f>+L1467+N1467-P1467</f>
        <v/>
      </c>
      <c r="S1467" s="42">
        <f>+M1467+O1467-Q1467</f>
        <v/>
      </c>
    </row>
    <row r="1468" ht="30" customHeight="1">
      <c r="A1468" s="16" t="n">
        <v>45785</v>
      </c>
      <c r="B1468" s="17" t="inlineStr">
        <is>
          <t>MH2505-07</t>
        </is>
      </c>
      <c r="C1468" s="16" t="n">
        <v>45785</v>
      </c>
      <c r="D1468" s="17" t="inlineStr">
        <is>
          <t>00000774</t>
        </is>
      </c>
      <c r="E1468" s="16" t="n">
        <v>45785</v>
      </c>
      <c r="F1468" s="16" t="inlineStr">
        <is>
          <t>XK2505-03</t>
        </is>
      </c>
      <c r="G1468" s="16" t="n">
        <v>45785</v>
      </c>
      <c r="H1468" s="17" t="inlineStr">
        <is>
          <t>CÔNG TY TNHH DỊCH VỤ - THƯƠNG MẠI THÉP THIÊN LONG</t>
        </is>
      </c>
      <c r="I1468" s="17" t="inlineStr">
        <is>
          <t>Thép tấm 16ly</t>
        </is>
      </c>
      <c r="J1468" s="17" t="inlineStr">
        <is>
          <t>kg</t>
        </is>
      </c>
      <c r="K1468" s="21" t="n">
        <v>14363.63</v>
      </c>
      <c r="L1468" s="21" t="n"/>
      <c r="M1468" s="22" t="n"/>
      <c r="N1468" s="22" t="n">
        <v>3014.4</v>
      </c>
      <c r="O1468" s="22" t="n">
        <v>43297726</v>
      </c>
      <c r="P1468" s="22" t="n">
        <v>3014.4</v>
      </c>
      <c r="Q1468" s="22" t="n">
        <v>43297726</v>
      </c>
      <c r="R1468" s="42">
        <f>+L1468+N1468-P1468</f>
        <v/>
      </c>
      <c r="S1468" s="42">
        <f>+M1468+O1468-Q1468</f>
        <v/>
      </c>
    </row>
    <row r="1469" ht="30" customHeight="1">
      <c r="A1469" s="16" t="n">
        <v>45785</v>
      </c>
      <c r="B1469" s="17" t="inlineStr">
        <is>
          <t>MH2505-07</t>
        </is>
      </c>
      <c r="C1469" s="16" t="n">
        <v>45785</v>
      </c>
      <c r="D1469" s="17" t="inlineStr">
        <is>
          <t>00000774</t>
        </is>
      </c>
      <c r="E1469" s="16" t="n">
        <v>45785</v>
      </c>
      <c r="F1469" s="16" t="inlineStr">
        <is>
          <t>XK2505-03</t>
        </is>
      </c>
      <c r="G1469" s="16" t="n">
        <v>45785</v>
      </c>
      <c r="H1469" s="17" t="inlineStr">
        <is>
          <t>CÔNG TY TNHH DỊCH VỤ - THƯƠNG MẠI THÉP THIÊN LONG</t>
        </is>
      </c>
      <c r="I1469" s="17" t="inlineStr">
        <is>
          <t>Thép tấm 25ly</t>
        </is>
      </c>
      <c r="J1469" s="17" t="inlineStr">
        <is>
          <t>kg</t>
        </is>
      </c>
      <c r="K1469" s="21" t="n">
        <v>14363.63</v>
      </c>
      <c r="L1469" s="21" t="n"/>
      <c r="M1469" s="22" t="n"/>
      <c r="N1469" s="22" t="n">
        <v>4710</v>
      </c>
      <c r="O1469" s="22" t="n">
        <v>67652697</v>
      </c>
      <c r="P1469" s="22" t="n">
        <v>4710</v>
      </c>
      <c r="Q1469" s="22" t="n">
        <v>67652697</v>
      </c>
      <c r="R1469" s="42">
        <f>+L1469+N1469-P1469</f>
        <v/>
      </c>
      <c r="S1469" s="42">
        <f>+M1469+O1469-Q1469</f>
        <v/>
      </c>
    </row>
    <row r="1470" ht="30" customHeight="1">
      <c r="A1470" s="16" t="n">
        <v>45785</v>
      </c>
      <c r="B1470" s="17" t="inlineStr">
        <is>
          <t>MH2505-08</t>
        </is>
      </c>
      <c r="C1470" s="16" t="n">
        <v>45785</v>
      </c>
      <c r="D1470" s="17" t="inlineStr">
        <is>
          <t>00000778</t>
        </is>
      </c>
      <c r="E1470" s="16" t="n">
        <v>45785</v>
      </c>
      <c r="F1470" s="16" t="inlineStr">
        <is>
          <t>XK2505-03</t>
        </is>
      </c>
      <c r="G1470" s="16" t="n">
        <v>45785</v>
      </c>
      <c r="H1470" s="17" t="inlineStr">
        <is>
          <t>CÔNG TY TNHH DỊCH VỤ - THƯƠNG MẠI THÉP THIÊN LONG</t>
        </is>
      </c>
      <c r="I1470" s="17" t="inlineStr">
        <is>
          <t>Thép hình I346</t>
        </is>
      </c>
      <c r="J1470" s="17" t="inlineStr">
        <is>
          <t>kg</t>
        </is>
      </c>
      <c r="K1470" s="21" t="n">
        <v>16800</v>
      </c>
      <c r="L1470" s="21" t="n"/>
      <c r="M1470" s="22" t="n"/>
      <c r="N1470" s="22" t="n">
        <v>8694</v>
      </c>
      <c r="O1470" s="22" t="n">
        <v>146059200</v>
      </c>
      <c r="P1470" s="22" t="n">
        <v>8694</v>
      </c>
      <c r="Q1470" s="22" t="n">
        <v>146059200</v>
      </c>
      <c r="R1470" s="42">
        <f>+L1470+N1470-P1470</f>
        <v/>
      </c>
      <c r="S1470" s="42">
        <f>+M1470+O1470-Q1470</f>
        <v/>
      </c>
    </row>
    <row r="1471" ht="30" customHeight="1">
      <c r="A1471" s="16" t="n">
        <v>45785</v>
      </c>
      <c r="B1471" s="17" t="inlineStr">
        <is>
          <t>MH2505-08</t>
        </is>
      </c>
      <c r="C1471" s="16" t="n">
        <v>45785</v>
      </c>
      <c r="D1471" s="17" t="inlineStr">
        <is>
          <t>00000778</t>
        </is>
      </c>
      <c r="E1471" s="16" t="n">
        <v>45785</v>
      </c>
      <c r="F1471" s="16" t="inlineStr">
        <is>
          <t>XK2505-03</t>
        </is>
      </c>
      <c r="G1471" s="16" t="n">
        <v>45785</v>
      </c>
      <c r="H1471" s="17" t="inlineStr">
        <is>
          <t>CÔNG TY TNHH DỊCH VỤ - THƯƠNG MẠI THÉP THIÊN LONG</t>
        </is>
      </c>
      <c r="I1471" s="17" t="inlineStr">
        <is>
          <t>Thép hình I198</t>
        </is>
      </c>
      <c r="J1471" s="17" t="inlineStr">
        <is>
          <t>kg</t>
        </is>
      </c>
      <c r="K1471" s="21" t="n">
        <v>16800</v>
      </c>
      <c r="L1471" s="21" t="n"/>
      <c r="M1471" s="22" t="n"/>
      <c r="N1471" s="22" t="n">
        <v>7515</v>
      </c>
      <c r="O1471" s="22" t="n">
        <v>126252000</v>
      </c>
      <c r="P1471" s="22" t="n">
        <v>7515</v>
      </c>
      <c r="Q1471" s="22" t="n">
        <v>126252000</v>
      </c>
      <c r="R1471" s="42">
        <f>+L1471+N1471-P1471</f>
        <v/>
      </c>
      <c r="S1471" s="42">
        <f>+M1471+O1471-Q1471</f>
        <v/>
      </c>
    </row>
    <row r="1472" ht="30" customHeight="1">
      <c r="A1472" s="16" t="n">
        <v>45785</v>
      </c>
      <c r="B1472" s="17" t="inlineStr">
        <is>
          <t>MH2505-08</t>
        </is>
      </c>
      <c r="C1472" s="16" t="n">
        <v>45785</v>
      </c>
      <c r="D1472" s="17" t="inlineStr">
        <is>
          <t>00000778</t>
        </is>
      </c>
      <c r="E1472" s="16" t="n">
        <v>45785</v>
      </c>
      <c r="F1472" s="16" t="inlineStr">
        <is>
          <t>XK2505-03</t>
        </is>
      </c>
      <c r="G1472" s="16" t="n">
        <v>45785</v>
      </c>
      <c r="H1472" s="17" t="inlineStr">
        <is>
          <t>CÔNG TY TNHH DỊCH VỤ - THƯƠNG MẠI THÉP THIÊN LONG</t>
        </is>
      </c>
      <c r="I1472" s="17" t="inlineStr">
        <is>
          <t>Thép góc V50</t>
        </is>
      </c>
      <c r="J1472" s="17" t="inlineStr">
        <is>
          <t>kg</t>
        </is>
      </c>
      <c r="K1472" s="21" t="n">
        <v>14000</v>
      </c>
      <c r="L1472" s="21" t="n"/>
      <c r="M1472" s="22" t="n"/>
      <c r="N1472" s="22" t="n">
        <v>7280.04</v>
      </c>
      <c r="O1472" s="22" t="n">
        <v>101920560</v>
      </c>
      <c r="P1472" s="22" t="n">
        <v>7280.04</v>
      </c>
      <c r="Q1472" s="22" t="n">
        <v>101920560</v>
      </c>
      <c r="R1472" s="42">
        <f>+L1472+N1472-P1472</f>
        <v/>
      </c>
      <c r="S1472" s="42">
        <f>+M1472+O1472-Q1472</f>
        <v/>
      </c>
    </row>
    <row r="1473" ht="30" customHeight="1">
      <c r="A1473" s="16" t="n">
        <v>45785</v>
      </c>
      <c r="B1473" s="17" t="inlineStr">
        <is>
          <t>MH2505-08</t>
        </is>
      </c>
      <c r="C1473" s="16" t="n">
        <v>45785</v>
      </c>
      <c r="D1473" s="17" t="inlineStr">
        <is>
          <t>00000778</t>
        </is>
      </c>
      <c r="E1473" s="16" t="n">
        <v>45785</v>
      </c>
      <c r="F1473" s="16" t="inlineStr">
        <is>
          <t>XK2505-03</t>
        </is>
      </c>
      <c r="G1473" s="16" t="n">
        <v>45785</v>
      </c>
      <c r="H1473" s="17" t="inlineStr">
        <is>
          <t>CÔNG TY TNHH DỊCH VỤ - THƯƠNG MẠI THÉP THIÊN LONG</t>
        </is>
      </c>
      <c r="I1473" s="17" t="inlineStr">
        <is>
          <t>Thép tấm 8ly</t>
        </is>
      </c>
      <c r="J1473" s="17" t="inlineStr">
        <is>
          <t>kg</t>
        </is>
      </c>
      <c r="K1473" s="21" t="n">
        <v>13454.54</v>
      </c>
      <c r="L1473" s="21" t="n"/>
      <c r="M1473" s="22" t="n"/>
      <c r="N1473" s="22" t="n">
        <v>11304</v>
      </c>
      <c r="O1473" s="22" t="n">
        <v>152090120</v>
      </c>
      <c r="P1473" s="22" t="n">
        <v>11304</v>
      </c>
      <c r="Q1473" s="22" t="n">
        <v>152090120</v>
      </c>
      <c r="R1473" s="42">
        <f>+L1473+N1473-P1473</f>
        <v/>
      </c>
      <c r="S1473" s="42">
        <f>+M1473+O1473-Q1473</f>
        <v/>
      </c>
    </row>
    <row r="1474" ht="30" customHeight="1">
      <c r="A1474" s="16" t="n">
        <v>45785</v>
      </c>
      <c r="B1474" s="17" t="inlineStr">
        <is>
          <t>MH2505-08</t>
        </is>
      </c>
      <c r="C1474" s="16" t="n">
        <v>45785</v>
      </c>
      <c r="D1474" s="17" t="inlineStr">
        <is>
          <t>00000778</t>
        </is>
      </c>
      <c r="E1474" s="16" t="n">
        <v>45785</v>
      </c>
      <c r="F1474" s="16" t="inlineStr">
        <is>
          <t>XK2505-03</t>
        </is>
      </c>
      <c r="G1474" s="16" t="n">
        <v>45785</v>
      </c>
      <c r="H1474" s="17" t="inlineStr">
        <is>
          <t>CÔNG TY TNHH DỊCH VỤ - THƯƠNG MẠI THÉP THIÊN LONG</t>
        </is>
      </c>
      <c r="I1474" s="17" t="inlineStr">
        <is>
          <t>Thép tấm 10ly</t>
        </is>
      </c>
      <c r="J1474" s="17" t="inlineStr">
        <is>
          <t>kg</t>
        </is>
      </c>
      <c r="K1474" s="21" t="n">
        <v>13454.54</v>
      </c>
      <c r="L1474" s="21" t="n"/>
      <c r="M1474" s="22" t="n"/>
      <c r="N1474" s="22" t="n">
        <v>14130</v>
      </c>
      <c r="O1474" s="22" t="n">
        <v>190112650</v>
      </c>
      <c r="P1474" s="22" t="n">
        <v>14130</v>
      </c>
      <c r="Q1474" s="22" t="n">
        <v>190112650</v>
      </c>
      <c r="R1474" s="42">
        <f>+L1474+N1474-P1474</f>
        <v/>
      </c>
      <c r="S1474" s="42">
        <f>+M1474+O1474-Q1474</f>
        <v/>
      </c>
    </row>
    <row r="1475" ht="15" customHeight="1">
      <c r="A1475" s="16" t="n">
        <v>45786</v>
      </c>
      <c r="B1475" s="17" t="inlineStr">
        <is>
          <t>MH2505-09A</t>
        </is>
      </c>
      <c r="C1475" s="16" t="n">
        <v>45786</v>
      </c>
      <c r="D1475" s="17" t="inlineStr">
        <is>
          <t>34699436</t>
        </is>
      </c>
      <c r="E1475" s="16" t="n">
        <v>45774</v>
      </c>
      <c r="F1475" s="16" t="inlineStr">
        <is>
          <t>XK2505-04</t>
        </is>
      </c>
      <c r="G1475" s="16" t="n">
        <v>45786</v>
      </c>
      <c r="H1475" s="17" t="inlineStr">
        <is>
          <t>Jiujiang Group Co., Limited</t>
        </is>
      </c>
      <c r="I1475" s="17" t="inlineStr">
        <is>
          <t>Steel Plate 70*1800*9400 (mm)</t>
        </is>
      </c>
      <c r="J1475" s="17" t="inlineStr">
        <is>
          <t>kg</t>
        </is>
      </c>
      <c r="K1475" s="21" t="n">
        <v>16209.9</v>
      </c>
      <c r="L1475" s="21" t="n"/>
      <c r="M1475" s="22" t="n"/>
      <c r="N1475" s="22" t="n">
        <v>28340</v>
      </c>
      <c r="O1475" s="22" t="n">
        <v>467694345</v>
      </c>
      <c r="P1475" s="22" t="n">
        <v>28340</v>
      </c>
      <c r="Q1475" s="22" t="n">
        <v>467694345</v>
      </c>
      <c r="R1475" s="42">
        <f>+L1475+N1475-P1475</f>
        <v/>
      </c>
      <c r="S1475" s="42">
        <f>+M1475+O1475-Q1475</f>
        <v/>
      </c>
    </row>
    <row r="1476" ht="15" customHeight="1">
      <c r="A1476" s="16" t="n">
        <v>45786</v>
      </c>
      <c r="B1476" s="17" t="inlineStr">
        <is>
          <t>MH2505-09A</t>
        </is>
      </c>
      <c r="C1476" s="16" t="n">
        <v>45786</v>
      </c>
      <c r="D1476" s="17" t="inlineStr">
        <is>
          <t>34699436</t>
        </is>
      </c>
      <c r="E1476" s="16" t="n">
        <v>45774</v>
      </c>
      <c r="F1476" s="16" t="inlineStr">
        <is>
          <t>XK2505-04</t>
        </is>
      </c>
      <c r="G1476" s="16" t="n">
        <v>45786</v>
      </c>
      <c r="H1476" s="17" t="inlineStr">
        <is>
          <t>Jiujiang Group Co., Limited</t>
        </is>
      </c>
      <c r="I1476" s="17" t="inlineStr">
        <is>
          <t>Steel Plate 90*2000*9610 (mm)</t>
        </is>
      </c>
      <c r="J1476" s="17" t="inlineStr">
        <is>
          <t>kg</t>
        </is>
      </c>
      <c r="K1476" s="21" t="n">
        <v>16994.25</v>
      </c>
      <c r="L1476" s="21" t="n"/>
      <c r="M1476" s="22" t="n"/>
      <c r="N1476" s="22" t="n">
        <v>4504.34</v>
      </c>
      <c r="O1476" s="22" t="n">
        <v>76585289</v>
      </c>
      <c r="P1476" s="22" t="n">
        <v>4504.34</v>
      </c>
      <c r="Q1476" s="22" t="n">
        <v>76585289</v>
      </c>
      <c r="R1476" s="42">
        <f>+L1476+N1476-P1476</f>
        <v/>
      </c>
      <c r="S1476" s="42">
        <f>+M1476+O1476-Q1476</f>
        <v/>
      </c>
    </row>
    <row r="1477" ht="15" customHeight="1">
      <c r="A1477" s="16" t="n">
        <v>45786</v>
      </c>
      <c r="B1477" s="17" t="inlineStr">
        <is>
          <t>MH2505-09A</t>
        </is>
      </c>
      <c r="C1477" s="16" t="n">
        <v>45786</v>
      </c>
      <c r="D1477" s="17" t="inlineStr">
        <is>
          <t>34699436</t>
        </is>
      </c>
      <c r="E1477" s="16" t="n">
        <v>45774</v>
      </c>
      <c r="F1477" s="16" t="inlineStr">
        <is>
          <t>XK2505-04</t>
        </is>
      </c>
      <c r="G1477" s="16" t="n">
        <v>45786</v>
      </c>
      <c r="H1477" s="17" t="inlineStr">
        <is>
          <t>Jiujiang Group Co., Limited</t>
        </is>
      </c>
      <c r="I1477" s="17" t="inlineStr">
        <is>
          <t>Steel Plate 90*2000*9610 (mm)</t>
        </is>
      </c>
      <c r="J1477" s="17" t="inlineStr">
        <is>
          <t>kg</t>
        </is>
      </c>
      <c r="K1477" s="21" t="n">
        <v>16994.25</v>
      </c>
      <c r="L1477" s="21" t="n"/>
      <c r="M1477" s="22" t="n"/>
      <c r="N1477" s="22" t="n">
        <v>22875.66</v>
      </c>
      <c r="O1477" s="22" t="n">
        <v>403293843</v>
      </c>
      <c r="P1477" s="22" t="n">
        <v>22875.66</v>
      </c>
      <c r="Q1477" s="22" t="n">
        <v>403293843</v>
      </c>
      <c r="R1477" s="42">
        <f>+L1477+N1477-P1477</f>
        <v/>
      </c>
      <c r="S1477" s="42">
        <f>+M1477+O1477-Q1477</f>
        <v/>
      </c>
    </row>
    <row r="1478" ht="15" customHeight="1">
      <c r="A1478" s="16" t="n">
        <v>45786</v>
      </c>
      <c r="B1478" s="17" t="inlineStr">
        <is>
          <t>MH2505-09B</t>
        </is>
      </c>
      <c r="C1478" s="16" t="n">
        <v>45786</v>
      </c>
      <c r="D1478" s="17" t="inlineStr">
        <is>
          <t>34699437</t>
        </is>
      </c>
      <c r="E1478" s="16" t="n">
        <v>45778</v>
      </c>
      <c r="F1478" s="16" t="inlineStr">
        <is>
          <t>XK2505-04</t>
        </is>
      </c>
      <c r="G1478" s="16" t="n">
        <v>45786</v>
      </c>
      <c r="H1478" s="17" t="inlineStr">
        <is>
          <t>Jiujiang Group Co., Limited</t>
        </is>
      </c>
      <c r="I1478" s="17" t="inlineStr">
        <is>
          <t>Steel Plate 70*1800*9400</t>
        </is>
      </c>
      <c r="J1478" s="17" t="inlineStr">
        <is>
          <t>kg</t>
        </is>
      </c>
      <c r="K1478" s="21" t="n">
        <v>16209.9</v>
      </c>
      <c r="L1478" s="21" t="n"/>
      <c r="M1478" s="22" t="n"/>
      <c r="N1478" s="22" t="n">
        <v>28540</v>
      </c>
      <c r="O1478" s="22" t="n">
        <v>479993762</v>
      </c>
      <c r="P1478" s="22" t="n">
        <v>28540</v>
      </c>
      <c r="Q1478" s="22" t="n">
        <v>479993762</v>
      </c>
      <c r="R1478" s="42">
        <f>+L1478+N1478-P1478</f>
        <v/>
      </c>
      <c r="S1478" s="42">
        <f>+M1478+O1478-Q1478</f>
        <v/>
      </c>
    </row>
    <row r="1479" ht="15" customHeight="1">
      <c r="A1479" s="16" t="n">
        <v>45786</v>
      </c>
      <c r="B1479" s="17" t="inlineStr">
        <is>
          <t>MH2505-09B</t>
        </is>
      </c>
      <c r="C1479" s="16" t="n">
        <v>45786</v>
      </c>
      <c r="D1479" s="17" t="inlineStr">
        <is>
          <t>34699437</t>
        </is>
      </c>
      <c r="E1479" s="16" t="n">
        <v>45778</v>
      </c>
      <c r="F1479" s="16" t="inlineStr">
        <is>
          <t>XK2505-04</t>
        </is>
      </c>
      <c r="G1479" s="16" t="n">
        <v>45786</v>
      </c>
      <c r="H1479" s="17" t="inlineStr">
        <is>
          <t>Jiujiang Group Co., Limited</t>
        </is>
      </c>
      <c r="I1479" s="17" t="inlineStr">
        <is>
          <t>Steel Plate 90*2000*9610</t>
        </is>
      </c>
      <c r="J1479" s="17" t="inlineStr">
        <is>
          <t>kg</t>
        </is>
      </c>
      <c r="K1479" s="21" t="n">
        <v>16994.25</v>
      </c>
      <c r="L1479" s="21" t="n"/>
      <c r="M1479" s="22" t="n"/>
      <c r="N1479" s="22" t="n">
        <v>4310.54</v>
      </c>
      <c r="O1479" s="22" t="n">
        <v>74744259</v>
      </c>
      <c r="P1479" s="22" t="n">
        <v>4310.54</v>
      </c>
      <c r="Q1479" s="22" t="n">
        <v>74744259</v>
      </c>
      <c r="R1479" s="42">
        <f>+L1479+N1479-P1479</f>
        <v/>
      </c>
      <c r="S1479" s="42">
        <f>+M1479+O1479-Q1479</f>
        <v/>
      </c>
    </row>
    <row r="1480" ht="15" customHeight="1">
      <c r="A1480" s="16" t="n">
        <v>45786</v>
      </c>
      <c r="B1480" s="17" t="inlineStr">
        <is>
          <t>MH2505-09B</t>
        </is>
      </c>
      <c r="C1480" s="16" t="n">
        <v>45786</v>
      </c>
      <c r="D1480" s="17" t="inlineStr">
        <is>
          <t>34699437</t>
        </is>
      </c>
      <c r="E1480" s="16" t="n">
        <v>45778</v>
      </c>
      <c r="F1480" s="16" t="inlineStr">
        <is>
          <t>XK2505-04</t>
        </is>
      </c>
      <c r="G1480" s="16" t="n">
        <v>45786</v>
      </c>
      <c r="H1480" s="17" t="inlineStr">
        <is>
          <t>Jiujiang Group Co., Limited</t>
        </is>
      </c>
      <c r="I1480" s="17" t="inlineStr">
        <is>
          <t>Steel Plate 90*2000*9610</t>
        </is>
      </c>
      <c r="J1480" s="17" t="inlineStr">
        <is>
          <t>kg</t>
        </is>
      </c>
      <c r="K1480" s="21" t="n">
        <v>16994.25</v>
      </c>
      <c r="L1480" s="21" t="n"/>
      <c r="M1480" s="22" t="n"/>
      <c r="N1480" s="22" t="n">
        <v>23069.46</v>
      </c>
      <c r="O1480" s="22" t="n">
        <v>405089280</v>
      </c>
      <c r="P1480" s="22" t="n">
        <v>23069.46</v>
      </c>
      <c r="Q1480" s="22" t="n">
        <v>405089280</v>
      </c>
      <c r="R1480" s="42">
        <f>+L1480+N1480-P1480</f>
        <v/>
      </c>
      <c r="S1480" s="42">
        <f>+M1480+O1480-Q1480</f>
        <v/>
      </c>
    </row>
    <row r="1481" ht="15" customHeight="1">
      <c r="A1481" s="16" t="n">
        <v>45789</v>
      </c>
      <c r="B1481" s="17" t="inlineStr">
        <is>
          <t>MH2505-09</t>
        </is>
      </c>
      <c r="C1481" s="16" t="n">
        <v>45789</v>
      </c>
      <c r="D1481" s="17" t="inlineStr">
        <is>
          <t>00004244</t>
        </is>
      </c>
      <c r="E1481" s="16" t="n">
        <v>45789</v>
      </c>
      <c r="F1481" s="16" t="inlineStr">
        <is>
          <t>XK2505-05</t>
        </is>
      </c>
      <c r="G1481" s="16" t="n">
        <v>45789</v>
      </c>
      <c r="H1481" s="17" t="inlineStr">
        <is>
          <t>CÔNG TY TNHH SƠN JOTUN VIỆT NAM</t>
        </is>
      </c>
      <c r="I1481" s="17" t="inlineStr">
        <is>
          <t>SƠN JOTAMASTIC 70 GREY 18L</t>
        </is>
      </c>
      <c r="J1481" s="17" t="inlineStr">
        <is>
          <t>Lít</t>
        </is>
      </c>
      <c r="K1481" s="21" t="n">
        <v>90000</v>
      </c>
      <c r="L1481" s="21" t="n"/>
      <c r="M1481" s="22" t="n"/>
      <c r="N1481" s="22" t="n">
        <v>162</v>
      </c>
      <c r="O1481" s="22" t="n">
        <v>14580000</v>
      </c>
      <c r="P1481" s="22" t="n">
        <v>162</v>
      </c>
      <c r="Q1481" s="22" t="n">
        <v>14580000</v>
      </c>
      <c r="R1481" s="42">
        <f>+L1481+N1481-P1481</f>
        <v/>
      </c>
      <c r="S1481" s="42">
        <f>+M1481+O1481-Q1481</f>
        <v/>
      </c>
    </row>
    <row r="1482" ht="15" customHeight="1">
      <c r="A1482" s="16" t="n">
        <v>45789</v>
      </c>
      <c r="B1482" s="17" t="inlineStr">
        <is>
          <t>MH2505-09</t>
        </is>
      </c>
      <c r="C1482" s="16" t="n">
        <v>45789</v>
      </c>
      <c r="D1482" s="17" t="inlineStr">
        <is>
          <t>00004244</t>
        </is>
      </c>
      <c r="E1482" s="16" t="n">
        <v>45789</v>
      </c>
      <c r="F1482" s="16" t="inlineStr">
        <is>
          <t>XK2505-05</t>
        </is>
      </c>
      <c r="G1482" s="16" t="n">
        <v>45789</v>
      </c>
      <c r="H1482" s="17" t="inlineStr">
        <is>
          <t>CÔNG TY TNHH SƠN JOTUN VIỆT NAM</t>
        </is>
      </c>
      <c r="I1482" s="17" t="inlineStr">
        <is>
          <t>SƠN FUTURA CLASSIC STD4224 19.93L</t>
        </is>
      </c>
      <c r="J1482" s="17" t="inlineStr">
        <is>
          <t>Lít</t>
        </is>
      </c>
      <c r="K1482" s="21" t="n">
        <v>155000</v>
      </c>
      <c r="L1482" s="21" t="n"/>
      <c r="M1482" s="22" t="n"/>
      <c r="N1482" s="22" t="n">
        <v>159.44</v>
      </c>
      <c r="O1482" s="22" t="n">
        <v>24713200</v>
      </c>
      <c r="P1482" s="22" t="n">
        <v>159.44</v>
      </c>
      <c r="Q1482" s="22" t="n">
        <v>24713200</v>
      </c>
      <c r="R1482" s="42">
        <f>+L1482+N1482-P1482</f>
        <v/>
      </c>
      <c r="S1482" s="42">
        <f>+M1482+O1482-Q1482</f>
        <v/>
      </c>
    </row>
    <row r="1483" ht="15" customHeight="1">
      <c r="A1483" s="16" t="n">
        <v>45789</v>
      </c>
      <c r="B1483" s="17" t="inlineStr">
        <is>
          <t>MH2505-09</t>
        </is>
      </c>
      <c r="C1483" s="16" t="n">
        <v>45789</v>
      </c>
      <c r="D1483" s="17" t="inlineStr">
        <is>
          <t>00004244</t>
        </is>
      </c>
      <c r="E1483" s="16" t="n">
        <v>45789</v>
      </c>
      <c r="F1483" s="16" t="inlineStr">
        <is>
          <t>XK2505-05</t>
        </is>
      </c>
      <c r="G1483" s="16" t="n">
        <v>45789</v>
      </c>
      <c r="H1483" s="17" t="inlineStr">
        <is>
          <t>CÔNG TY TNHH SƠN JOTUN VIỆT NAM</t>
        </is>
      </c>
      <c r="I1483" s="17" t="inlineStr">
        <is>
          <t>DUNG MÔI JOTUN THINNER NO. 10 20L</t>
        </is>
      </c>
      <c r="J1483" s="17" t="inlineStr">
        <is>
          <t>Lít</t>
        </is>
      </c>
      <c r="K1483" s="21" t="n">
        <v>60000</v>
      </c>
      <c r="L1483" s="21" t="n"/>
      <c r="M1483" s="22" t="n"/>
      <c r="N1483" s="22" t="n">
        <v>20</v>
      </c>
      <c r="O1483" s="22" t="n">
        <v>1200000</v>
      </c>
      <c r="P1483" s="22" t="n">
        <v>20</v>
      </c>
      <c r="Q1483" s="22" t="n">
        <v>1200000</v>
      </c>
      <c r="R1483" s="42">
        <f>+L1483+N1483-P1483</f>
        <v/>
      </c>
      <c r="S1483" s="42">
        <f>+M1483+O1483-Q1483</f>
        <v/>
      </c>
    </row>
    <row r="1484" ht="15" customHeight="1">
      <c r="A1484" s="16" t="n">
        <v>45789</v>
      </c>
      <c r="B1484" s="17" t="inlineStr">
        <is>
          <t>MH2505-09</t>
        </is>
      </c>
      <c r="C1484" s="16" t="n">
        <v>45789</v>
      </c>
      <c r="D1484" s="17" t="inlineStr">
        <is>
          <t>00004244</t>
        </is>
      </c>
      <c r="E1484" s="16" t="n">
        <v>45789</v>
      </c>
      <c r="F1484" s="16" t="inlineStr">
        <is>
          <t>XK2505-05</t>
        </is>
      </c>
      <c r="G1484" s="16" t="n">
        <v>45789</v>
      </c>
      <c r="H1484" s="17" t="inlineStr">
        <is>
          <t>CÔNG TY TNHH SƠN JOTUN VIỆT NAM</t>
        </is>
      </c>
      <c r="I1484" s="17" t="inlineStr">
        <is>
          <t>DUNG MÔI JOTUN THINNER NO. 17 20L</t>
        </is>
      </c>
      <c r="J1484" s="17" t="inlineStr">
        <is>
          <t>Lít</t>
        </is>
      </c>
      <c r="K1484" s="21" t="n">
        <v>60000</v>
      </c>
      <c r="L1484" s="21" t="n"/>
      <c r="M1484" s="22" t="n"/>
      <c r="N1484" s="22" t="n">
        <v>20</v>
      </c>
      <c r="O1484" s="22" t="n">
        <v>1200000</v>
      </c>
      <c r="P1484" s="22" t="n">
        <v>20</v>
      </c>
      <c r="Q1484" s="22" t="n">
        <v>1200000</v>
      </c>
      <c r="R1484" s="42">
        <f>+L1484+N1484-P1484</f>
        <v/>
      </c>
      <c r="S1484" s="42">
        <f>+M1484+O1484-Q1484</f>
        <v/>
      </c>
    </row>
    <row r="1485" ht="15" customHeight="1">
      <c r="A1485" s="16" t="n">
        <v>45789</v>
      </c>
      <c r="B1485" s="17" t="inlineStr">
        <is>
          <t>MH2505-10</t>
        </is>
      </c>
      <c r="C1485" s="16" t="n">
        <v>45789</v>
      </c>
      <c r="D1485" s="17" t="inlineStr">
        <is>
          <t>00004245</t>
        </is>
      </c>
      <c r="E1485" s="16" t="n">
        <v>45789</v>
      </c>
      <c r="F1485" s="16" t="inlineStr">
        <is>
          <t>XK2505-05</t>
        </is>
      </c>
      <c r="G1485" s="16" t="n">
        <v>45789</v>
      </c>
      <c r="H1485" s="17" t="inlineStr">
        <is>
          <t>CÔNG TY TNHH SƠN JOTUN VIỆT NAM</t>
        </is>
      </c>
      <c r="I1485" s="17" t="inlineStr">
        <is>
          <t>SƠN FUTURA CLASSIC RAL9010 18.22L</t>
        </is>
      </c>
      <c r="J1485" s="17" t="inlineStr">
        <is>
          <t>Lít</t>
        </is>
      </c>
      <c r="K1485" s="21" t="n">
        <v>160000</v>
      </c>
      <c r="L1485" s="21" t="n"/>
      <c r="M1485" s="22" t="n"/>
      <c r="N1485" s="22" t="n">
        <v>182.2</v>
      </c>
      <c r="O1485" s="22" t="n">
        <v>29152000</v>
      </c>
      <c r="P1485" s="22" t="n">
        <v>182.2</v>
      </c>
      <c r="Q1485" s="22" t="n">
        <v>29152000</v>
      </c>
      <c r="R1485" s="42">
        <f>+L1485+N1485-P1485</f>
        <v/>
      </c>
      <c r="S1485" s="42">
        <f>+M1485+O1485-Q1485</f>
        <v/>
      </c>
    </row>
    <row r="1486" ht="15" customHeight="1">
      <c r="A1486" s="16" t="n">
        <v>45789</v>
      </c>
      <c r="B1486" s="17" t="inlineStr">
        <is>
          <t>MH2505-11</t>
        </is>
      </c>
      <c r="C1486" s="16" t="n">
        <v>45789</v>
      </c>
      <c r="D1486" s="17" t="inlineStr">
        <is>
          <t>00004246</t>
        </is>
      </c>
      <c r="E1486" s="16" t="n">
        <v>45789</v>
      </c>
      <c r="F1486" s="16" t="inlineStr">
        <is>
          <t>XK2505-05</t>
        </is>
      </c>
      <c r="G1486" s="16" t="n">
        <v>45789</v>
      </c>
      <c r="H1486" s="17" t="inlineStr">
        <is>
          <t>CÔNG TY TNHH SƠN JOTUN VIỆT NAM</t>
        </is>
      </c>
      <c r="I1486" s="17" t="inlineStr">
        <is>
          <t>SƠN JOTAMASTIC 70 GREY 18L</t>
        </is>
      </c>
      <c r="J1486" s="17" t="inlineStr">
        <is>
          <t>Lít</t>
        </is>
      </c>
      <c r="K1486" s="21" t="n">
        <v>90000</v>
      </c>
      <c r="L1486" s="21" t="n"/>
      <c r="M1486" s="22" t="n"/>
      <c r="N1486" s="22" t="n">
        <v>288</v>
      </c>
      <c r="O1486" s="22" t="n">
        <v>25920000</v>
      </c>
      <c r="P1486" s="22" t="n">
        <v>288</v>
      </c>
      <c r="Q1486" s="22" t="n">
        <v>25920000</v>
      </c>
      <c r="R1486" s="42">
        <f>+L1486+N1486-P1486</f>
        <v/>
      </c>
      <c r="S1486" s="42">
        <f>+M1486+O1486-Q1486</f>
        <v/>
      </c>
    </row>
    <row r="1487" ht="15" customHeight="1">
      <c r="A1487" s="16" t="n">
        <v>45789</v>
      </c>
      <c r="B1487" s="17" t="inlineStr">
        <is>
          <t>MH2505-11</t>
        </is>
      </c>
      <c r="C1487" s="16" t="n">
        <v>45789</v>
      </c>
      <c r="D1487" s="17" t="inlineStr">
        <is>
          <t>00004246</t>
        </is>
      </c>
      <c r="E1487" s="16" t="n">
        <v>45789</v>
      </c>
      <c r="F1487" s="16" t="inlineStr">
        <is>
          <t>XK2505-05</t>
        </is>
      </c>
      <c r="G1487" s="16" t="n">
        <v>45789</v>
      </c>
      <c r="H1487" s="17" t="inlineStr">
        <is>
          <t>CÔNG TY TNHH SƠN JOTUN VIỆT NAM</t>
        </is>
      </c>
      <c r="I1487" s="17" t="inlineStr">
        <is>
          <t>SƠN FUTURA CLASSIC STD4224 19.93L</t>
        </is>
      </c>
      <c r="J1487" s="17" t="inlineStr">
        <is>
          <t>Lít</t>
        </is>
      </c>
      <c r="K1487" s="21" t="n">
        <v>155000</v>
      </c>
      <c r="L1487" s="21" t="n"/>
      <c r="M1487" s="22" t="n"/>
      <c r="N1487" s="22" t="n">
        <v>279.02</v>
      </c>
      <c r="O1487" s="22" t="n">
        <v>43248100</v>
      </c>
      <c r="P1487" s="22" t="n">
        <v>279.02</v>
      </c>
      <c r="Q1487" s="22" t="n">
        <v>43248100</v>
      </c>
      <c r="R1487" s="42">
        <f>+L1487+N1487-P1487</f>
        <v/>
      </c>
      <c r="S1487" s="42">
        <f>+M1487+O1487-Q1487</f>
        <v/>
      </c>
    </row>
    <row r="1488" ht="15" customHeight="1">
      <c r="A1488" s="16" t="n">
        <v>45789</v>
      </c>
      <c r="B1488" s="17" t="inlineStr">
        <is>
          <t>MH2505-11</t>
        </is>
      </c>
      <c r="C1488" s="16" t="n">
        <v>45789</v>
      </c>
      <c r="D1488" s="17" t="inlineStr">
        <is>
          <t>00004246</t>
        </is>
      </c>
      <c r="E1488" s="16" t="n">
        <v>45789</v>
      </c>
      <c r="F1488" s="16" t="inlineStr">
        <is>
          <t>XK2505-05</t>
        </is>
      </c>
      <c r="G1488" s="16" t="n">
        <v>45789</v>
      </c>
      <c r="H1488" s="17" t="inlineStr">
        <is>
          <t>CÔNG TY TNHH SƠN JOTUN VIỆT NAM</t>
        </is>
      </c>
      <c r="I1488" s="17" t="inlineStr">
        <is>
          <t>DUNG MÔI JOTUN THINNER NO. 10 20L</t>
        </is>
      </c>
      <c r="J1488" s="17" t="inlineStr">
        <is>
          <t>Lít</t>
        </is>
      </c>
      <c r="K1488" s="21" t="n">
        <v>60000</v>
      </c>
      <c r="L1488" s="21" t="n"/>
      <c r="M1488" s="22" t="n"/>
      <c r="N1488" s="22" t="n">
        <v>40</v>
      </c>
      <c r="O1488" s="22" t="n">
        <v>2400000</v>
      </c>
      <c r="P1488" s="22" t="n">
        <v>40</v>
      </c>
      <c r="Q1488" s="22" t="n">
        <v>2400000</v>
      </c>
      <c r="R1488" s="42">
        <f>+L1488+N1488-P1488</f>
        <v/>
      </c>
      <c r="S1488" s="42">
        <f>+M1488+O1488-Q1488</f>
        <v/>
      </c>
    </row>
    <row r="1489" ht="15" customHeight="1">
      <c r="A1489" s="16" t="n">
        <v>45789</v>
      </c>
      <c r="B1489" s="17" t="inlineStr">
        <is>
          <t>MH2505-11</t>
        </is>
      </c>
      <c r="C1489" s="16" t="n">
        <v>45789</v>
      </c>
      <c r="D1489" s="17" t="inlineStr">
        <is>
          <t>00004246</t>
        </is>
      </c>
      <c r="E1489" s="16" t="n">
        <v>45789</v>
      </c>
      <c r="F1489" s="16" t="inlineStr">
        <is>
          <t>XK2505-05</t>
        </is>
      </c>
      <c r="G1489" s="16" t="n">
        <v>45789</v>
      </c>
      <c r="H1489" s="17" t="inlineStr">
        <is>
          <t>CÔNG TY TNHH SƠN JOTUN VIỆT NAM</t>
        </is>
      </c>
      <c r="I1489" s="17" t="inlineStr">
        <is>
          <t>DUNG MÔI JOTUN THINNER NO. 17 20L</t>
        </is>
      </c>
      <c r="J1489" s="17" t="inlineStr">
        <is>
          <t>Lít</t>
        </is>
      </c>
      <c r="K1489" s="21" t="n">
        <v>60000</v>
      </c>
      <c r="L1489" s="21" t="n"/>
      <c r="M1489" s="22" t="n"/>
      <c r="N1489" s="22" t="n">
        <v>40</v>
      </c>
      <c r="O1489" s="22" t="n">
        <v>2400000</v>
      </c>
      <c r="P1489" s="22" t="n">
        <v>40</v>
      </c>
      <c r="Q1489" s="22" t="n">
        <v>2400000</v>
      </c>
      <c r="R1489" s="42">
        <f>+L1489+N1489-P1489</f>
        <v/>
      </c>
      <c r="S1489" s="42">
        <f>+M1489+O1489-Q1489</f>
        <v/>
      </c>
    </row>
    <row r="1490" ht="15" customHeight="1">
      <c r="A1490" s="16" t="n">
        <v>45789</v>
      </c>
      <c r="B1490" s="17" t="inlineStr">
        <is>
          <t>MH2505-12</t>
        </is>
      </c>
      <c r="C1490" s="16" t="n">
        <v>45789</v>
      </c>
      <c r="D1490" s="17" t="inlineStr">
        <is>
          <t>00004247</t>
        </is>
      </c>
      <c r="E1490" s="16" t="n">
        <v>45789</v>
      </c>
      <c r="F1490" s="16" t="inlineStr">
        <is>
          <t>XK2505-05</t>
        </is>
      </c>
      <c r="G1490" s="16" t="n">
        <v>45789</v>
      </c>
      <c r="H1490" s="17" t="inlineStr">
        <is>
          <t>CÔNG TY TNHH SƠN JOTUN VIỆT NAM</t>
        </is>
      </c>
      <c r="I1490" s="17" t="inlineStr">
        <is>
          <t>SƠN JOTAMASTIC 70 GREY 18L</t>
        </is>
      </c>
      <c r="J1490" s="17" t="inlineStr">
        <is>
          <t>Lít</t>
        </is>
      </c>
      <c r="K1490" s="21" t="n">
        <v>90000</v>
      </c>
      <c r="L1490" s="21" t="n"/>
      <c r="M1490" s="22" t="n"/>
      <c r="N1490" s="22" t="n">
        <v>216</v>
      </c>
      <c r="O1490" s="22" t="n">
        <v>19440000</v>
      </c>
      <c r="P1490" s="22" t="n">
        <v>216</v>
      </c>
      <c r="Q1490" s="22" t="n">
        <v>19440000</v>
      </c>
      <c r="R1490" s="42">
        <f>+L1490+N1490-P1490</f>
        <v/>
      </c>
      <c r="S1490" s="42">
        <f>+M1490+O1490-Q1490</f>
        <v/>
      </c>
    </row>
    <row r="1491" ht="15" customHeight="1">
      <c r="A1491" s="16" t="n">
        <v>45789</v>
      </c>
      <c r="B1491" s="17" t="inlineStr">
        <is>
          <t>MH2505-12</t>
        </is>
      </c>
      <c r="C1491" s="16" t="n">
        <v>45789</v>
      </c>
      <c r="D1491" s="17" t="inlineStr">
        <is>
          <t>00004247</t>
        </is>
      </c>
      <c r="E1491" s="16" t="n">
        <v>45789</v>
      </c>
      <c r="F1491" s="16" t="inlineStr">
        <is>
          <t>XK2505-05</t>
        </is>
      </c>
      <c r="G1491" s="16" t="n">
        <v>45789</v>
      </c>
      <c r="H1491" s="17" t="inlineStr">
        <is>
          <t>CÔNG TY TNHH SƠN JOTUN VIỆT NAM</t>
        </is>
      </c>
      <c r="I1491" s="17" t="inlineStr">
        <is>
          <t>SƠN FUTURA CLASSIC RAL9005 19.06L</t>
        </is>
      </c>
      <c r="J1491" s="17" t="inlineStr">
        <is>
          <t>Lít</t>
        </is>
      </c>
      <c r="K1491" s="21" t="n">
        <v>155000</v>
      </c>
      <c r="L1491" s="21" t="n"/>
      <c r="M1491" s="22" t="n"/>
      <c r="N1491" s="22" t="n">
        <v>190.6</v>
      </c>
      <c r="O1491" s="22" t="n">
        <v>29543000</v>
      </c>
      <c r="P1491" s="22" t="n">
        <v>190.6</v>
      </c>
      <c r="Q1491" s="22" t="n">
        <v>29543000</v>
      </c>
      <c r="R1491" s="42">
        <f>+L1491+N1491-P1491</f>
        <v/>
      </c>
      <c r="S1491" s="42">
        <f>+M1491+O1491-Q1491</f>
        <v/>
      </c>
    </row>
    <row r="1492" ht="15" customHeight="1">
      <c r="A1492" s="16" t="n">
        <v>45789</v>
      </c>
      <c r="B1492" s="17" t="inlineStr">
        <is>
          <t>MH2505-12</t>
        </is>
      </c>
      <c r="C1492" s="16" t="n">
        <v>45789</v>
      </c>
      <c r="D1492" s="17" t="inlineStr">
        <is>
          <t>00004247</t>
        </is>
      </c>
      <c r="E1492" s="16" t="n">
        <v>45789</v>
      </c>
      <c r="F1492" s="16" t="inlineStr">
        <is>
          <t>XK2505-05</t>
        </is>
      </c>
      <c r="G1492" s="16" t="n">
        <v>45789</v>
      </c>
      <c r="H1492" s="17" t="inlineStr">
        <is>
          <t>CÔNG TY TNHH SƠN JOTUN VIỆT NAM</t>
        </is>
      </c>
      <c r="I1492" s="17" t="inlineStr">
        <is>
          <t>DUNG MÔI JOTUN THINNER NO. 10 20L</t>
        </is>
      </c>
      <c r="J1492" s="17" t="inlineStr">
        <is>
          <t>Lít</t>
        </is>
      </c>
      <c r="K1492" s="21" t="n">
        <v>60000</v>
      </c>
      <c r="L1492" s="21" t="n"/>
      <c r="M1492" s="22" t="n"/>
      <c r="N1492" s="22" t="n">
        <v>40</v>
      </c>
      <c r="O1492" s="22" t="n">
        <v>2400000</v>
      </c>
      <c r="P1492" s="22" t="n">
        <v>40</v>
      </c>
      <c r="Q1492" s="22" t="n">
        <v>2400000</v>
      </c>
      <c r="R1492" s="42">
        <f>+L1492+N1492-P1492</f>
        <v/>
      </c>
      <c r="S1492" s="42">
        <f>+M1492+O1492-Q1492</f>
        <v/>
      </c>
    </row>
    <row r="1493" ht="15" customHeight="1">
      <c r="A1493" s="16" t="n">
        <v>45789</v>
      </c>
      <c r="B1493" s="17" t="inlineStr">
        <is>
          <t>MH2505-12</t>
        </is>
      </c>
      <c r="C1493" s="16" t="n">
        <v>45789</v>
      </c>
      <c r="D1493" s="17" t="inlineStr">
        <is>
          <t>00004247</t>
        </is>
      </c>
      <c r="E1493" s="16" t="n">
        <v>45789</v>
      </c>
      <c r="F1493" s="16" t="inlineStr">
        <is>
          <t>XK2505-05</t>
        </is>
      </c>
      <c r="G1493" s="16" t="n">
        <v>45789</v>
      </c>
      <c r="H1493" s="17" t="inlineStr">
        <is>
          <t>CÔNG TY TNHH SƠN JOTUN VIỆT NAM</t>
        </is>
      </c>
      <c r="I1493" s="17" t="inlineStr">
        <is>
          <t>DUNG MÔI JOTUN THINNER NO. 17 20L</t>
        </is>
      </c>
      <c r="J1493" s="17" t="inlineStr">
        <is>
          <t>Lít</t>
        </is>
      </c>
      <c r="K1493" s="21" t="n">
        <v>60000</v>
      </c>
      <c r="L1493" s="21" t="n"/>
      <c r="M1493" s="22" t="n"/>
      <c r="N1493" s="22" t="n">
        <v>40</v>
      </c>
      <c r="O1493" s="22" t="n">
        <v>2400000</v>
      </c>
      <c r="P1493" s="22" t="n">
        <v>40</v>
      </c>
      <c r="Q1493" s="22" t="n">
        <v>2400000</v>
      </c>
      <c r="R1493" s="42">
        <f>+L1493+N1493-P1493</f>
        <v/>
      </c>
      <c r="S1493" s="42">
        <f>+M1493+O1493-Q1493</f>
        <v/>
      </c>
    </row>
    <row r="1494" ht="30" customHeight="1">
      <c r="A1494" s="16" t="n">
        <v>45789</v>
      </c>
      <c r="B1494" s="17" t="inlineStr">
        <is>
          <t>MH2505-13</t>
        </is>
      </c>
      <c r="C1494" s="16" t="n">
        <v>45789</v>
      </c>
      <c r="D1494" s="17" t="inlineStr">
        <is>
          <t>00001711</t>
        </is>
      </c>
      <c r="E1494" s="16" t="n">
        <v>45789</v>
      </c>
      <c r="F1494" s="16" t="inlineStr">
        <is>
          <t>XK2505-06</t>
        </is>
      </c>
      <c r="G1494" s="16" t="n">
        <v>45789</v>
      </c>
      <c r="H1494" s="17" t="inlineStr">
        <is>
          <t>CÔNG TY CỔ PHẦN CÔNG NGHIỆP VÀ THƯƠNG MẠI CƯỜNG THỊNH</t>
        </is>
      </c>
      <c r="I1494" s="17" t="inlineStr">
        <is>
          <t>Long đền thường ZP M24B45D2</t>
        </is>
      </c>
      <c r="J1494" s="17" t="inlineStr">
        <is>
          <t>Cái</t>
        </is>
      </c>
      <c r="K1494" s="21" t="n">
        <v>820</v>
      </c>
      <c r="L1494" s="21" t="n"/>
      <c r="M1494" s="22" t="n"/>
      <c r="N1494" s="22" t="n">
        <v>24</v>
      </c>
      <c r="O1494" s="22" t="n">
        <v>19680</v>
      </c>
      <c r="P1494" s="22" t="n">
        <v>24</v>
      </c>
      <c r="Q1494" s="22" t="n">
        <v>19680</v>
      </c>
      <c r="R1494" s="42">
        <f>+L1494+N1494-P1494</f>
        <v/>
      </c>
      <c r="S1494" s="42">
        <f>+M1494+O1494-Q1494</f>
        <v/>
      </c>
    </row>
    <row r="1495" ht="30" customHeight="1">
      <c r="A1495" s="16" t="n">
        <v>45789</v>
      </c>
      <c r="B1495" s="17" t="inlineStr">
        <is>
          <t>MH2505-13</t>
        </is>
      </c>
      <c r="C1495" s="16" t="n">
        <v>45789</v>
      </c>
      <c r="D1495" s="17" t="inlineStr">
        <is>
          <t>00001711</t>
        </is>
      </c>
      <c r="E1495" s="16" t="n">
        <v>45789</v>
      </c>
      <c r="F1495" s="16" t="inlineStr">
        <is>
          <t>XK2505-06</t>
        </is>
      </c>
      <c r="G1495" s="16" t="n">
        <v>45789</v>
      </c>
      <c r="H1495" s="17" t="inlineStr">
        <is>
          <t>CÔNG TY CỔ PHẦN CÔNG NGHIỆP VÀ THƯƠNG MẠI CƯỜNG THỊNH</t>
        </is>
      </c>
      <c r="I1495" s="17" t="inlineStr">
        <is>
          <t>Đai ốc Din 934 5 ZP M24</t>
        </is>
      </c>
      <c r="J1495" s="17" t="inlineStr">
        <is>
          <t>Cái</t>
        </is>
      </c>
      <c r="K1495" s="21" t="n">
        <v>2980</v>
      </c>
      <c r="L1495" s="21" t="n"/>
      <c r="M1495" s="22" t="n"/>
      <c r="N1495" s="22" t="n">
        <v>24</v>
      </c>
      <c r="O1495" s="22" t="n">
        <v>71520</v>
      </c>
      <c r="P1495" s="22" t="n">
        <v>24</v>
      </c>
      <c r="Q1495" s="22" t="n">
        <v>71520</v>
      </c>
      <c r="R1495" s="42">
        <f>+L1495+N1495-P1495</f>
        <v/>
      </c>
      <c r="S1495" s="42">
        <f>+M1495+O1495-Q1495</f>
        <v/>
      </c>
    </row>
    <row r="1496" ht="30" customHeight="1">
      <c r="A1496" s="16" t="n">
        <v>45789</v>
      </c>
      <c r="B1496" s="17" t="inlineStr">
        <is>
          <t>MH2505-13</t>
        </is>
      </c>
      <c r="C1496" s="16" t="n">
        <v>45789</v>
      </c>
      <c r="D1496" s="17" t="inlineStr">
        <is>
          <t>00001711</t>
        </is>
      </c>
      <c r="E1496" s="16" t="n">
        <v>45789</v>
      </c>
      <c r="F1496" s="16" t="inlineStr">
        <is>
          <t>XK2505-06</t>
        </is>
      </c>
      <c r="G1496" s="16" t="n">
        <v>45789</v>
      </c>
      <c r="H1496" s="17" t="inlineStr">
        <is>
          <t>CÔNG TY CỔ PHẦN CÔNG NGHIỆP VÀ THƯƠNG MẠI CƯỜNG THỊNH</t>
        </is>
      </c>
      <c r="I1496" s="17" t="inlineStr">
        <is>
          <t>Long đền móng ngựa ZP M24</t>
        </is>
      </c>
      <c r="J1496" s="17" t="inlineStr">
        <is>
          <t>Cái</t>
        </is>
      </c>
      <c r="K1496" s="21" t="n">
        <v>23500</v>
      </c>
      <c r="L1496" s="21" t="n"/>
      <c r="M1496" s="22" t="n"/>
      <c r="N1496" s="22" t="n">
        <v>24</v>
      </c>
      <c r="O1496" s="22" t="n">
        <v>564000</v>
      </c>
      <c r="P1496" s="22" t="n">
        <v>24</v>
      </c>
      <c r="Q1496" s="22" t="n">
        <v>564000</v>
      </c>
      <c r="R1496" s="42">
        <f>+L1496+N1496-P1496</f>
        <v/>
      </c>
      <c r="S1496" s="42">
        <f>+M1496+O1496-Q1496</f>
        <v/>
      </c>
    </row>
    <row r="1497" ht="30" customHeight="1">
      <c r="A1497" s="16" t="n">
        <v>45790</v>
      </c>
      <c r="B1497" s="17" t="inlineStr">
        <is>
          <t>MH2505-15</t>
        </is>
      </c>
      <c r="C1497" s="16" t="n">
        <v>45790</v>
      </c>
      <c r="D1497" s="17" t="inlineStr">
        <is>
          <t>00001722</t>
        </is>
      </c>
      <c r="E1497" s="16" t="n">
        <v>45790</v>
      </c>
      <c r="F1497" s="16" t="inlineStr">
        <is>
          <t>XK2505-06</t>
        </is>
      </c>
      <c r="G1497" s="16" t="n">
        <v>45790</v>
      </c>
      <c r="H1497" s="17" t="inlineStr">
        <is>
          <t>CÔNG TY CỔ PHẦN CÔNG NGHIỆP VÀ THƯƠNG MẠI CƯỜNG THỊNH</t>
        </is>
      </c>
      <c r="I1497" s="17" t="inlineStr">
        <is>
          <t>Ty giằng 2 đầu ren 4.6 ZP M20</t>
        </is>
      </c>
      <c r="J1497" s="17" t="inlineStr">
        <is>
          <t>Mét</t>
        </is>
      </c>
      <c r="K1497" s="21" t="n">
        <v>74000</v>
      </c>
      <c r="L1497" s="21" t="n"/>
      <c r="M1497" s="22" t="n"/>
      <c r="N1497" s="22" t="n">
        <v>88.20999999999999</v>
      </c>
      <c r="O1497" s="22" t="n">
        <v>6527540</v>
      </c>
      <c r="P1497" s="22" t="n">
        <v>88.20999999999999</v>
      </c>
      <c r="Q1497" s="22" t="n">
        <v>6527540</v>
      </c>
      <c r="R1497" s="42">
        <f>+L1497+N1497-P1497</f>
        <v/>
      </c>
      <c r="S1497" s="42">
        <f>+M1497+O1497-Q1497</f>
        <v/>
      </c>
    </row>
    <row r="1498" ht="30" customHeight="1">
      <c r="A1498" s="16" t="n">
        <v>45790</v>
      </c>
      <c r="B1498" s="17" t="inlineStr">
        <is>
          <t>MH2505-15</t>
        </is>
      </c>
      <c r="C1498" s="16" t="n">
        <v>45790</v>
      </c>
      <c r="D1498" s="17" t="inlineStr">
        <is>
          <t>00001722</t>
        </is>
      </c>
      <c r="E1498" s="16" t="n">
        <v>45790</v>
      </c>
      <c r="F1498" s="16" t="inlineStr">
        <is>
          <t>XK2505-06</t>
        </is>
      </c>
      <c r="G1498" s="16" t="n">
        <v>45790</v>
      </c>
      <c r="H1498" s="17" t="inlineStr">
        <is>
          <t>CÔNG TY CỔ PHẦN CÔNG NGHIỆP VÀ THƯƠNG MẠI CƯỜNG THỊNH</t>
        </is>
      </c>
      <c r="I1498" s="17" t="inlineStr">
        <is>
          <t>Đai ốc Din 934 5 ZP M20</t>
        </is>
      </c>
      <c r="J1498" s="17" t="inlineStr">
        <is>
          <t>Cái</t>
        </is>
      </c>
      <c r="K1498" s="21" t="n">
        <v>1910</v>
      </c>
      <c r="L1498" s="21" t="n"/>
      <c r="M1498" s="22" t="n"/>
      <c r="N1498" s="22" t="n">
        <v>32</v>
      </c>
      <c r="O1498" s="22" t="n">
        <v>61120</v>
      </c>
      <c r="P1498" s="22" t="n">
        <v>32</v>
      </c>
      <c r="Q1498" s="22" t="n">
        <v>61120</v>
      </c>
      <c r="R1498" s="42">
        <f>+L1498+N1498-P1498</f>
        <v/>
      </c>
      <c r="S1498" s="42">
        <f>+M1498+O1498-Q1498</f>
        <v/>
      </c>
    </row>
    <row r="1499" ht="30" customHeight="1">
      <c r="A1499" s="16" t="n">
        <v>45790</v>
      </c>
      <c r="B1499" s="17" t="inlineStr">
        <is>
          <t>MH2505-15</t>
        </is>
      </c>
      <c r="C1499" s="16" t="n">
        <v>45790</v>
      </c>
      <c r="D1499" s="17" t="inlineStr">
        <is>
          <t>00001722</t>
        </is>
      </c>
      <c r="E1499" s="16" t="n">
        <v>45790</v>
      </c>
      <c r="F1499" s="16" t="inlineStr">
        <is>
          <t>XK2505-06</t>
        </is>
      </c>
      <c r="G1499" s="16" t="n">
        <v>45790</v>
      </c>
      <c r="H1499" s="17" t="inlineStr">
        <is>
          <t>CÔNG TY CỔ PHẦN CÔNG NGHIỆP VÀ THƯƠNG MẠI CƯỜNG THỊNH</t>
        </is>
      </c>
      <c r="I1499" s="17" t="inlineStr">
        <is>
          <t>Long đền thường ZP M20B42D2</t>
        </is>
      </c>
      <c r="J1499" s="17" t="inlineStr">
        <is>
          <t>Cái</t>
        </is>
      </c>
      <c r="K1499" s="21" t="n">
        <v>700</v>
      </c>
      <c r="L1499" s="21" t="n"/>
      <c r="M1499" s="22" t="n"/>
      <c r="N1499" s="22" t="n">
        <v>32</v>
      </c>
      <c r="O1499" s="22" t="n">
        <v>22400</v>
      </c>
      <c r="P1499" s="22" t="n">
        <v>32</v>
      </c>
      <c r="Q1499" s="22" t="n">
        <v>22400</v>
      </c>
      <c r="R1499" s="42">
        <f>+L1499+N1499-P1499</f>
        <v/>
      </c>
      <c r="S1499" s="42">
        <f>+M1499+O1499-Q1499</f>
        <v/>
      </c>
    </row>
    <row r="1500" ht="30" customHeight="1">
      <c r="A1500" s="16" t="n">
        <v>45790</v>
      </c>
      <c r="B1500" s="17" t="inlineStr">
        <is>
          <t>MH2505-15</t>
        </is>
      </c>
      <c r="C1500" s="16" t="n">
        <v>45790</v>
      </c>
      <c r="D1500" s="17" t="inlineStr">
        <is>
          <t>00001722</t>
        </is>
      </c>
      <c r="E1500" s="16" t="n">
        <v>45790</v>
      </c>
      <c r="F1500" s="16" t="inlineStr">
        <is>
          <t>XK2505-06</t>
        </is>
      </c>
      <c r="G1500" s="16" t="n">
        <v>45790</v>
      </c>
      <c r="H1500" s="17" t="inlineStr">
        <is>
          <t>CÔNG TY CỔ PHẦN CÔNG NGHIỆP VÀ THƯƠNG MẠI CƯỜNG THỊNH</t>
        </is>
      </c>
      <c r="I1500" s="17" t="inlineStr">
        <is>
          <t>Long đền móng ngựa ZP M20</t>
        </is>
      </c>
      <c r="J1500" s="17" t="inlineStr">
        <is>
          <t>Cái</t>
        </is>
      </c>
      <c r="K1500" s="21" t="n">
        <v>16900</v>
      </c>
      <c r="L1500" s="21" t="n"/>
      <c r="M1500" s="22" t="n"/>
      <c r="N1500" s="22" t="n">
        <v>32</v>
      </c>
      <c r="O1500" s="22" t="n">
        <v>540800</v>
      </c>
      <c r="P1500" s="22" t="n">
        <v>32</v>
      </c>
      <c r="Q1500" s="22" t="n">
        <v>540800</v>
      </c>
      <c r="R1500" s="42">
        <f>+L1500+N1500-P1500</f>
        <v/>
      </c>
      <c r="S1500" s="42">
        <f>+M1500+O1500-Q1500</f>
        <v/>
      </c>
    </row>
    <row r="1501" ht="30" customHeight="1">
      <c r="A1501" s="16" t="n">
        <v>45790</v>
      </c>
      <c r="B1501" s="17" t="inlineStr">
        <is>
          <t>MH2505-15</t>
        </is>
      </c>
      <c r="C1501" s="16" t="n">
        <v>45790</v>
      </c>
      <c r="D1501" s="17" t="inlineStr">
        <is>
          <t>00001722</t>
        </is>
      </c>
      <c r="E1501" s="16" t="n">
        <v>45790</v>
      </c>
      <c r="F1501" s="16" t="inlineStr">
        <is>
          <t>XK2505-06</t>
        </is>
      </c>
      <c r="G1501" s="16" t="n">
        <v>45790</v>
      </c>
      <c r="H1501" s="17" t="inlineStr">
        <is>
          <t>CÔNG TY CỔ PHẦN CÔNG NGHIỆP VÀ THƯƠNG MẠI CƯỜNG THỊNH</t>
        </is>
      </c>
      <c r="I1501" s="17" t="inlineStr">
        <is>
          <t>Nối Ty ZP M20x100(28mm)</t>
        </is>
      </c>
      <c r="J1501" s="17" t="inlineStr">
        <is>
          <t>Cái</t>
        </is>
      </c>
      <c r="K1501" s="21" t="n">
        <v>30250</v>
      </c>
      <c r="L1501" s="21" t="n"/>
      <c r="M1501" s="22" t="n"/>
      <c r="N1501" s="22" t="n">
        <v>4</v>
      </c>
      <c r="O1501" s="22" t="n">
        <v>121000</v>
      </c>
      <c r="P1501" s="22" t="n">
        <v>4</v>
      </c>
      <c r="Q1501" s="22" t="n">
        <v>121000</v>
      </c>
      <c r="R1501" s="42">
        <f>+L1501+N1501-P1501</f>
        <v/>
      </c>
      <c r="S1501" s="42">
        <f>+M1501+O1501-Q1501</f>
        <v/>
      </c>
    </row>
    <row r="1502" ht="30" customHeight="1">
      <c r="A1502" s="16" t="n">
        <v>45790</v>
      </c>
      <c r="B1502" s="17" t="inlineStr">
        <is>
          <t>MH2505-15</t>
        </is>
      </c>
      <c r="C1502" s="16" t="n">
        <v>45790</v>
      </c>
      <c r="D1502" s="17" t="inlineStr">
        <is>
          <t>00001722</t>
        </is>
      </c>
      <c r="E1502" s="16" t="n">
        <v>45790</v>
      </c>
      <c r="F1502" s="16" t="inlineStr">
        <is>
          <t>XK2505-06</t>
        </is>
      </c>
      <c r="G1502" s="16" t="n">
        <v>45790</v>
      </c>
      <c r="H1502" s="17" t="inlineStr">
        <is>
          <t>CÔNG TY CỔ PHẦN CÔNG NGHIỆP VÀ THƯƠNG MẠI CƯỜNG THỊNH</t>
        </is>
      </c>
      <c r="I1502" s="17" t="inlineStr">
        <is>
          <t>Ty giằng 2 đầu ren 4.6 Ф11.3-11.5mm ZP M12</t>
        </is>
      </c>
      <c r="J1502" s="17" t="inlineStr">
        <is>
          <t>Mét</t>
        </is>
      </c>
      <c r="K1502" s="21" t="n">
        <v>20500</v>
      </c>
      <c r="L1502" s="21" t="n"/>
      <c r="M1502" s="22" t="n"/>
      <c r="N1502" s="22" t="n">
        <v>631.27</v>
      </c>
      <c r="O1502" s="22" t="n">
        <v>12941035</v>
      </c>
      <c r="P1502" s="22" t="n">
        <v>631.27</v>
      </c>
      <c r="Q1502" s="22" t="n">
        <v>12941035</v>
      </c>
      <c r="R1502" s="42">
        <f>+L1502+N1502-P1502</f>
        <v/>
      </c>
      <c r="S1502" s="42">
        <f>+M1502+O1502-Q1502</f>
        <v/>
      </c>
    </row>
    <row r="1503" ht="30" customHeight="1">
      <c r="A1503" s="16" t="n">
        <v>45790</v>
      </c>
      <c r="B1503" s="17" t="inlineStr">
        <is>
          <t>MH2505-15</t>
        </is>
      </c>
      <c r="C1503" s="16" t="n">
        <v>45790</v>
      </c>
      <c r="D1503" s="17" t="inlineStr">
        <is>
          <t>00001722</t>
        </is>
      </c>
      <c r="E1503" s="16" t="n">
        <v>45790</v>
      </c>
      <c r="F1503" s="16" t="inlineStr">
        <is>
          <t>XK2505-06</t>
        </is>
      </c>
      <c r="G1503" s="16" t="n">
        <v>45790</v>
      </c>
      <c r="H1503" s="17" t="inlineStr">
        <is>
          <t>CÔNG TY CỔ PHẦN CÔNG NGHIỆP VÀ THƯƠNG MẠI CƯỜNG THỊNH</t>
        </is>
      </c>
      <c r="I1503" s="17" t="inlineStr">
        <is>
          <t>Đai ốc thường 4 ZP M12 (9mm)</t>
        </is>
      </c>
      <c r="J1503" s="17" t="inlineStr">
        <is>
          <t>Cái</t>
        </is>
      </c>
      <c r="K1503" s="21" t="n">
        <v>360</v>
      </c>
      <c r="L1503" s="21" t="n"/>
      <c r="M1503" s="22" t="n"/>
      <c r="N1503" s="22" t="n">
        <v>2164</v>
      </c>
      <c r="O1503" s="22" t="n">
        <v>779040</v>
      </c>
      <c r="P1503" s="22" t="n">
        <v>2164</v>
      </c>
      <c r="Q1503" s="22" t="n">
        <v>779040</v>
      </c>
      <c r="R1503" s="42">
        <f>+L1503+N1503-P1503</f>
        <v/>
      </c>
      <c r="S1503" s="42">
        <f>+M1503+O1503-Q1503</f>
        <v/>
      </c>
    </row>
    <row r="1504" ht="30" customHeight="1">
      <c r="A1504" s="16" t="n">
        <v>45790</v>
      </c>
      <c r="B1504" s="17" t="inlineStr">
        <is>
          <t>MH2505-15</t>
        </is>
      </c>
      <c r="C1504" s="16" t="n">
        <v>45790</v>
      </c>
      <c r="D1504" s="17" t="inlineStr">
        <is>
          <t>00001722</t>
        </is>
      </c>
      <c r="E1504" s="16" t="n">
        <v>45790</v>
      </c>
      <c r="F1504" s="16" t="inlineStr">
        <is>
          <t>XK2505-06</t>
        </is>
      </c>
      <c r="G1504" s="16" t="n">
        <v>45790</v>
      </c>
      <c r="H1504" s="17" t="inlineStr">
        <is>
          <t>CÔNG TY CỔ PHẦN CÔNG NGHIỆP VÀ THƯƠNG MẠI CƯỜNG THỊNH</t>
        </is>
      </c>
      <c r="I1504" s="17" t="inlineStr">
        <is>
          <t>Long đền thường ZP M12B26D1.5</t>
        </is>
      </c>
      <c r="J1504" s="17" t="inlineStr">
        <is>
          <t>Cái</t>
        </is>
      </c>
      <c r="K1504" s="21" t="n">
        <v>190</v>
      </c>
      <c r="L1504" s="21" t="n"/>
      <c r="M1504" s="22" t="n"/>
      <c r="N1504" s="22" t="n">
        <v>2164</v>
      </c>
      <c r="O1504" s="22" t="n">
        <v>411160</v>
      </c>
      <c r="P1504" s="22" t="n">
        <v>2164</v>
      </c>
      <c r="Q1504" s="22" t="n">
        <v>411160</v>
      </c>
      <c r="R1504" s="42">
        <f>+L1504+N1504-P1504</f>
        <v/>
      </c>
      <c r="S1504" s="42">
        <f>+M1504+O1504-Q1504</f>
        <v/>
      </c>
    </row>
    <row r="1505" ht="30" customHeight="1">
      <c r="A1505" s="16" t="n">
        <v>45790</v>
      </c>
      <c r="B1505" s="17" t="inlineStr">
        <is>
          <t>MH2505-15</t>
        </is>
      </c>
      <c r="C1505" s="16" t="n">
        <v>45790</v>
      </c>
      <c r="D1505" s="17" t="inlineStr">
        <is>
          <t>00001722</t>
        </is>
      </c>
      <c r="E1505" s="16" t="n">
        <v>45790</v>
      </c>
      <c r="F1505" s="16" t="inlineStr">
        <is>
          <t>XK2505-06</t>
        </is>
      </c>
      <c r="G1505" s="16" t="n">
        <v>45790</v>
      </c>
      <c r="H1505" s="17" t="inlineStr">
        <is>
          <t>CÔNG TY CỔ PHẦN CÔNG NGHIỆP VÀ THƯƠNG MẠI CƯỜNG THỊNH</t>
        </is>
      </c>
      <c r="I1505" s="17" t="inlineStr">
        <is>
          <t>Ty giằng 2 đầu ren 4.6 Ф11.3-11.5mm ZP M12</t>
        </is>
      </c>
      <c r="J1505" s="17" t="inlineStr">
        <is>
          <t>Mét</t>
        </is>
      </c>
      <c r="K1505" s="21" t="n">
        <v>22500</v>
      </c>
      <c r="L1505" s="21" t="n"/>
      <c r="M1505" s="22" t="n"/>
      <c r="N1505" s="22" t="n">
        <v>14.15</v>
      </c>
      <c r="O1505" s="22" t="n">
        <v>318375</v>
      </c>
      <c r="P1505" s="22" t="n">
        <v>14.15</v>
      </c>
      <c r="Q1505" s="22" t="n">
        <v>318375</v>
      </c>
      <c r="R1505" s="42">
        <f>+L1505+N1505-P1505</f>
        <v/>
      </c>
      <c r="S1505" s="42">
        <f>+M1505+O1505-Q1505</f>
        <v/>
      </c>
    </row>
    <row r="1506" ht="30" customHeight="1">
      <c r="A1506" s="16" t="n">
        <v>45790</v>
      </c>
      <c r="B1506" s="17" t="inlineStr">
        <is>
          <t>MH2505-15</t>
        </is>
      </c>
      <c r="C1506" s="16" t="n">
        <v>45790</v>
      </c>
      <c r="D1506" s="17" t="inlineStr">
        <is>
          <t>00001722</t>
        </is>
      </c>
      <c r="E1506" s="16" t="n">
        <v>45790</v>
      </c>
      <c r="F1506" s="16" t="inlineStr">
        <is>
          <t>XK2505-06</t>
        </is>
      </c>
      <c r="G1506" s="16" t="n">
        <v>45790</v>
      </c>
      <c r="H1506" s="17" t="inlineStr">
        <is>
          <t>CÔNG TY CỔ PHẦN CÔNG NGHIỆP VÀ THƯƠNG MẠI CƯỜNG THỊNH</t>
        </is>
      </c>
      <c r="I1506" s="17" t="inlineStr">
        <is>
          <t>Ty giằng 2 đầu ren 5.6 ZP M24</t>
        </is>
      </c>
      <c r="J1506" s="17" t="inlineStr">
        <is>
          <t>Mét</t>
        </is>
      </c>
      <c r="K1506" s="21" t="n">
        <v>106000</v>
      </c>
      <c r="L1506" s="21" t="n"/>
      <c r="M1506" s="22" t="n"/>
      <c r="N1506" s="22" t="n">
        <v>187.16</v>
      </c>
      <c r="O1506" s="22" t="n">
        <v>19838960</v>
      </c>
      <c r="P1506" s="22" t="n">
        <v>187.16</v>
      </c>
      <c r="Q1506" s="22" t="n">
        <v>19838960</v>
      </c>
      <c r="R1506" s="42">
        <f>+L1506+N1506-P1506</f>
        <v/>
      </c>
      <c r="S1506" s="42">
        <f>+M1506+O1506-Q1506</f>
        <v/>
      </c>
    </row>
    <row r="1507" ht="30" customHeight="1">
      <c r="A1507" s="16" t="n">
        <v>45790</v>
      </c>
      <c r="B1507" s="17" t="inlineStr">
        <is>
          <t>MH2505-15</t>
        </is>
      </c>
      <c r="C1507" s="16" t="n">
        <v>45790</v>
      </c>
      <c r="D1507" s="17" t="inlineStr">
        <is>
          <t>00001722</t>
        </is>
      </c>
      <c r="E1507" s="16" t="n">
        <v>45790</v>
      </c>
      <c r="F1507" s="16" t="inlineStr">
        <is>
          <t>XK2505-06</t>
        </is>
      </c>
      <c r="G1507" s="16" t="n">
        <v>45790</v>
      </c>
      <c r="H1507" s="17" t="inlineStr">
        <is>
          <t>CÔNG TY CỔ PHẦN CÔNG NGHIỆP VÀ THƯƠNG MẠI CƯỜNG THỊNH</t>
        </is>
      </c>
      <c r="I1507" s="17" t="inlineStr">
        <is>
          <t>Đai ốc Din 934 5 ZP M24</t>
        </is>
      </c>
      <c r="J1507" s="17" t="inlineStr">
        <is>
          <t>Cái</t>
        </is>
      </c>
      <c r="K1507" s="21" t="n">
        <v>2980</v>
      </c>
      <c r="L1507" s="21" t="n"/>
      <c r="M1507" s="22" t="n"/>
      <c r="N1507" s="22" t="n">
        <v>24</v>
      </c>
      <c r="O1507" s="22" t="n">
        <v>71520</v>
      </c>
      <c r="P1507" s="22" t="n">
        <v>24</v>
      </c>
      <c r="Q1507" s="22" t="n">
        <v>71520</v>
      </c>
      <c r="R1507" s="42">
        <f>+L1507+N1507-P1507</f>
        <v/>
      </c>
      <c r="S1507" s="42">
        <f>+M1507+O1507-Q1507</f>
        <v/>
      </c>
    </row>
    <row r="1508" ht="30" customHeight="1">
      <c r="A1508" s="16" t="n">
        <v>45790</v>
      </c>
      <c r="B1508" s="17" t="inlineStr">
        <is>
          <t>MH2505-15</t>
        </is>
      </c>
      <c r="C1508" s="16" t="n">
        <v>45790</v>
      </c>
      <c r="D1508" s="17" t="inlineStr">
        <is>
          <t>00001722</t>
        </is>
      </c>
      <c r="E1508" s="16" t="n">
        <v>45790</v>
      </c>
      <c r="F1508" s="16" t="inlineStr">
        <is>
          <t>XK2505-06</t>
        </is>
      </c>
      <c r="G1508" s="16" t="n">
        <v>45790</v>
      </c>
      <c r="H1508" s="17" t="inlineStr">
        <is>
          <t>CÔNG TY CỔ PHẦN CÔNG NGHIỆP VÀ THƯƠNG MẠI CƯỜNG THỊNH</t>
        </is>
      </c>
      <c r="I1508" s="17" t="inlineStr">
        <is>
          <t>Long đền thường ZP M24B45D2</t>
        </is>
      </c>
      <c r="J1508" s="17" t="inlineStr">
        <is>
          <t>Cái</t>
        </is>
      </c>
      <c r="K1508" s="21" t="n">
        <v>820</v>
      </c>
      <c r="L1508" s="21" t="n"/>
      <c r="M1508" s="22" t="n"/>
      <c r="N1508" s="22" t="n">
        <v>24</v>
      </c>
      <c r="O1508" s="22" t="n">
        <v>19680</v>
      </c>
      <c r="P1508" s="22" t="n">
        <v>24</v>
      </c>
      <c r="Q1508" s="22" t="n">
        <v>19680</v>
      </c>
      <c r="R1508" s="42">
        <f>+L1508+N1508-P1508</f>
        <v/>
      </c>
      <c r="S1508" s="42">
        <f>+M1508+O1508-Q1508</f>
        <v/>
      </c>
    </row>
    <row r="1509" ht="30" customHeight="1">
      <c r="A1509" s="16" t="n">
        <v>45790</v>
      </c>
      <c r="B1509" s="17" t="inlineStr">
        <is>
          <t>MH2505-15</t>
        </is>
      </c>
      <c r="C1509" s="16" t="n">
        <v>45790</v>
      </c>
      <c r="D1509" s="17" t="inlineStr">
        <is>
          <t>00001722</t>
        </is>
      </c>
      <c r="E1509" s="16" t="n">
        <v>45790</v>
      </c>
      <c r="F1509" s="16" t="inlineStr">
        <is>
          <t>XK2505-06</t>
        </is>
      </c>
      <c r="G1509" s="16" t="n">
        <v>45790</v>
      </c>
      <c r="H1509" s="17" t="inlineStr">
        <is>
          <t>CÔNG TY CỔ PHẦN CÔNG NGHIỆP VÀ THƯƠNG MẠI CƯỜNG THỊNH</t>
        </is>
      </c>
      <c r="I1509" s="17" t="inlineStr">
        <is>
          <t>Long đền móng ngựa ZP M24</t>
        </is>
      </c>
      <c r="J1509" s="17" t="inlineStr">
        <is>
          <t>Cái</t>
        </is>
      </c>
      <c r="K1509" s="21" t="n">
        <v>23500</v>
      </c>
      <c r="L1509" s="21" t="n"/>
      <c r="M1509" s="22" t="n"/>
      <c r="N1509" s="22" t="n">
        <v>24</v>
      </c>
      <c r="O1509" s="22" t="n">
        <v>564000</v>
      </c>
      <c r="P1509" s="22" t="n">
        <v>24</v>
      </c>
      <c r="Q1509" s="22" t="n">
        <v>564000</v>
      </c>
      <c r="R1509" s="42">
        <f>+L1509+N1509-P1509</f>
        <v/>
      </c>
      <c r="S1509" s="42">
        <f>+M1509+O1509-Q1509</f>
        <v/>
      </c>
    </row>
    <row r="1510" ht="30" customHeight="1">
      <c r="A1510" s="16" t="n">
        <v>45790</v>
      </c>
      <c r="B1510" s="17" t="inlineStr">
        <is>
          <t>MH2505-15</t>
        </is>
      </c>
      <c r="C1510" s="16" t="n">
        <v>45790</v>
      </c>
      <c r="D1510" s="17" t="inlineStr">
        <is>
          <t>00001722</t>
        </is>
      </c>
      <c r="E1510" s="16" t="n">
        <v>45790</v>
      </c>
      <c r="F1510" s="16" t="inlineStr">
        <is>
          <t>XK2505-06</t>
        </is>
      </c>
      <c r="G1510" s="16" t="n">
        <v>45790</v>
      </c>
      <c r="H1510" s="17" t="inlineStr">
        <is>
          <t>CÔNG TY CỔ PHẦN CÔNG NGHIỆP VÀ THƯƠNG MẠI CƯỜNG THỊNH</t>
        </is>
      </c>
      <c r="I1510" s="17" t="inlineStr">
        <is>
          <t>Nối Ty ZP M24x100 (34mm)</t>
        </is>
      </c>
      <c r="J1510" s="17" t="inlineStr">
        <is>
          <t>Cái</t>
        </is>
      </c>
      <c r="K1510" s="21" t="n">
        <v>35220</v>
      </c>
      <c r="L1510" s="21" t="n"/>
      <c r="M1510" s="22" t="n"/>
      <c r="N1510" s="22" t="n">
        <v>48</v>
      </c>
      <c r="O1510" s="22" t="n">
        <v>1690560</v>
      </c>
      <c r="P1510" s="22" t="n">
        <v>48</v>
      </c>
      <c r="Q1510" s="22" t="n">
        <v>1690560</v>
      </c>
      <c r="R1510" s="42">
        <f>+L1510+N1510-P1510</f>
        <v/>
      </c>
      <c r="S1510" s="42">
        <f>+M1510+O1510-Q1510</f>
        <v/>
      </c>
    </row>
    <row r="1511" ht="30" customHeight="1">
      <c r="A1511" s="16" t="n">
        <v>45790</v>
      </c>
      <c r="B1511" s="17" t="inlineStr">
        <is>
          <t>MH2505-16</t>
        </is>
      </c>
      <c r="C1511" s="16" t="n">
        <v>45790</v>
      </c>
      <c r="D1511" s="17" t="inlineStr">
        <is>
          <t>00001724</t>
        </is>
      </c>
      <c r="E1511" s="16" t="n">
        <v>45790</v>
      </c>
      <c r="F1511" s="16" t="inlineStr">
        <is>
          <t>XK2505-06</t>
        </is>
      </c>
      <c r="G1511" s="16" t="n">
        <v>45790</v>
      </c>
      <c r="H1511" s="17" t="inlineStr">
        <is>
          <t>CÔNG TY CỔ PHẦN CÔNG NGHIỆP VÀ THƯƠNG MẠI CƯỜNG THỊNH</t>
        </is>
      </c>
      <c r="I1511" s="17" t="inlineStr">
        <is>
          <t>Bulong Din 933 8.8 ZP M16x40</t>
        </is>
      </c>
      <c r="J1511" s="17" t="inlineStr">
        <is>
          <t>Cái</t>
        </is>
      </c>
      <c r="K1511" s="21" t="n">
        <v>3030</v>
      </c>
      <c r="L1511" s="21" t="n"/>
      <c r="M1511" s="22" t="n"/>
      <c r="N1511" s="22" t="n">
        <v>52</v>
      </c>
      <c r="O1511" s="22" t="n">
        <v>157560</v>
      </c>
      <c r="P1511" s="22" t="n">
        <v>52</v>
      </c>
      <c r="Q1511" s="22" t="n">
        <v>157560</v>
      </c>
      <c r="R1511" s="42">
        <f>+L1511+N1511-P1511</f>
        <v/>
      </c>
      <c r="S1511" s="42">
        <f>+M1511+O1511-Q1511</f>
        <v/>
      </c>
    </row>
    <row r="1512" ht="30" customHeight="1">
      <c r="A1512" s="16" t="n">
        <v>45790</v>
      </c>
      <c r="B1512" s="17" t="inlineStr">
        <is>
          <t>MH2505-16</t>
        </is>
      </c>
      <c r="C1512" s="16" t="n">
        <v>45790</v>
      </c>
      <c r="D1512" s="17" t="inlineStr">
        <is>
          <t>00001724</t>
        </is>
      </c>
      <c r="E1512" s="16" t="n">
        <v>45790</v>
      </c>
      <c r="F1512" s="16" t="inlineStr">
        <is>
          <t>XK2505-06</t>
        </is>
      </c>
      <c r="G1512" s="16" t="n">
        <v>45790</v>
      </c>
      <c r="H1512" s="17" t="inlineStr">
        <is>
          <t>CÔNG TY CỔ PHẦN CÔNG NGHIỆP VÀ THƯƠNG MẠI CƯỜNG THỊNH</t>
        </is>
      </c>
      <c r="I1512" s="17" t="inlineStr">
        <is>
          <t>Đai ốc Din 934 8 ZP M16</t>
        </is>
      </c>
      <c r="J1512" s="17" t="inlineStr">
        <is>
          <t>Cái</t>
        </is>
      </c>
      <c r="K1512" s="21" t="n">
        <v>1090</v>
      </c>
      <c r="L1512" s="21" t="n"/>
      <c r="M1512" s="22" t="n"/>
      <c r="N1512" s="22" t="n">
        <v>52</v>
      </c>
      <c r="O1512" s="22" t="n">
        <v>56680</v>
      </c>
      <c r="P1512" s="22" t="n">
        <v>52</v>
      </c>
      <c r="Q1512" s="22" t="n">
        <v>56680</v>
      </c>
      <c r="R1512" s="42">
        <f>+L1512+N1512-P1512</f>
        <v/>
      </c>
      <c r="S1512" s="42">
        <f>+M1512+O1512-Q1512</f>
        <v/>
      </c>
    </row>
    <row r="1513" ht="30" customHeight="1">
      <c r="A1513" s="16" t="n">
        <v>45790</v>
      </c>
      <c r="B1513" s="17" t="inlineStr">
        <is>
          <t>MH2505-16</t>
        </is>
      </c>
      <c r="C1513" s="16" t="n">
        <v>45790</v>
      </c>
      <c r="D1513" s="17" t="inlineStr">
        <is>
          <t>00001724</t>
        </is>
      </c>
      <c r="E1513" s="16" t="n">
        <v>45790</v>
      </c>
      <c r="F1513" s="16" t="inlineStr">
        <is>
          <t>XK2505-06</t>
        </is>
      </c>
      <c r="G1513" s="16" t="n">
        <v>45790</v>
      </c>
      <c r="H1513" s="17" t="inlineStr">
        <is>
          <t>CÔNG TY CỔ PHẦN CÔNG NGHIỆP VÀ THƯƠNG MẠI CƯỜNG THỊNH</t>
        </is>
      </c>
      <c r="I1513" s="17" t="inlineStr">
        <is>
          <t>Long đền thường ZP M16B30D2</t>
        </is>
      </c>
      <c r="J1513" s="17" t="inlineStr">
        <is>
          <t>Cái</t>
        </is>
      </c>
      <c r="K1513" s="21" t="n">
        <v>330</v>
      </c>
      <c r="L1513" s="21" t="n"/>
      <c r="M1513" s="22" t="n"/>
      <c r="N1513" s="22" t="n">
        <v>52</v>
      </c>
      <c r="O1513" s="22" t="n">
        <v>17160</v>
      </c>
      <c r="P1513" s="22" t="n">
        <v>52</v>
      </c>
      <c r="Q1513" s="22" t="n">
        <v>17160</v>
      </c>
      <c r="R1513" s="42">
        <f>+L1513+N1513-P1513</f>
        <v/>
      </c>
      <c r="S1513" s="42">
        <f>+M1513+O1513-Q1513</f>
        <v/>
      </c>
    </row>
    <row r="1514" ht="30" customHeight="1">
      <c r="A1514" s="16" t="n">
        <v>45790</v>
      </c>
      <c r="B1514" s="17" t="inlineStr">
        <is>
          <t>MH2505-16</t>
        </is>
      </c>
      <c r="C1514" s="16" t="n">
        <v>45790</v>
      </c>
      <c r="D1514" s="17" t="inlineStr">
        <is>
          <t>00001724</t>
        </is>
      </c>
      <c r="E1514" s="16" t="n">
        <v>45790</v>
      </c>
      <c r="F1514" s="16" t="inlineStr">
        <is>
          <t>XK2505-06</t>
        </is>
      </c>
      <c r="G1514" s="16" t="n">
        <v>45790</v>
      </c>
      <c r="H1514" s="17" t="inlineStr">
        <is>
          <t>CÔNG TY CỔ PHẦN CÔNG NGHIỆP VÀ THƯƠNG MẠI CƯỜNG THỊNH</t>
        </is>
      </c>
      <c r="I1514" s="17" t="inlineStr">
        <is>
          <t>Bulong Din 933 8.8 ZP M20x50</t>
        </is>
      </c>
      <c r="J1514" s="17" t="inlineStr">
        <is>
          <t>Cái</t>
        </is>
      </c>
      <c r="K1514" s="21" t="n">
        <v>5760</v>
      </c>
      <c r="L1514" s="21" t="n"/>
      <c r="M1514" s="22" t="n"/>
      <c r="N1514" s="22" t="n">
        <v>1840</v>
      </c>
      <c r="O1514" s="22" t="n">
        <v>10598400</v>
      </c>
      <c r="P1514" s="22" t="n">
        <v>1840</v>
      </c>
      <c r="Q1514" s="22" t="n">
        <v>10598400</v>
      </c>
      <c r="R1514" s="42">
        <f>+L1514+N1514-P1514</f>
        <v/>
      </c>
      <c r="S1514" s="42">
        <f>+M1514+O1514-Q1514</f>
        <v/>
      </c>
    </row>
    <row r="1515" ht="30" customHeight="1">
      <c r="A1515" s="16" t="n">
        <v>45790</v>
      </c>
      <c r="B1515" s="17" t="inlineStr">
        <is>
          <t>MH2505-16</t>
        </is>
      </c>
      <c r="C1515" s="16" t="n">
        <v>45790</v>
      </c>
      <c r="D1515" s="17" t="inlineStr">
        <is>
          <t>00001724</t>
        </is>
      </c>
      <c r="E1515" s="16" t="n">
        <v>45790</v>
      </c>
      <c r="F1515" s="16" t="inlineStr">
        <is>
          <t>XK2505-06</t>
        </is>
      </c>
      <c r="G1515" s="16" t="n">
        <v>45790</v>
      </c>
      <c r="H1515" s="17" t="inlineStr">
        <is>
          <t>CÔNG TY CỔ PHẦN CÔNG NGHIỆP VÀ THƯƠNG MẠI CƯỜNG THỊNH</t>
        </is>
      </c>
      <c r="I1515" s="17" t="inlineStr">
        <is>
          <t>Đai ốc Din 934 8 ZP M20</t>
        </is>
      </c>
      <c r="J1515" s="17" t="inlineStr">
        <is>
          <t>Cái</t>
        </is>
      </c>
      <c r="K1515" s="21" t="n">
        <v>2030</v>
      </c>
      <c r="L1515" s="21" t="n"/>
      <c r="M1515" s="22" t="n"/>
      <c r="N1515" s="22" t="n">
        <v>1840</v>
      </c>
      <c r="O1515" s="22" t="n">
        <v>3735200</v>
      </c>
      <c r="P1515" s="22" t="n">
        <v>1840</v>
      </c>
      <c r="Q1515" s="22" t="n">
        <v>3735200</v>
      </c>
      <c r="R1515" s="42">
        <f>+L1515+N1515-P1515</f>
        <v/>
      </c>
      <c r="S1515" s="42">
        <f>+M1515+O1515-Q1515</f>
        <v/>
      </c>
    </row>
    <row r="1516" ht="30" customHeight="1">
      <c r="A1516" s="16" t="n">
        <v>45790</v>
      </c>
      <c r="B1516" s="17" t="inlineStr">
        <is>
          <t>MH2505-16</t>
        </is>
      </c>
      <c r="C1516" s="16" t="n">
        <v>45790</v>
      </c>
      <c r="D1516" s="17" t="inlineStr">
        <is>
          <t>00001724</t>
        </is>
      </c>
      <c r="E1516" s="16" t="n">
        <v>45790</v>
      </c>
      <c r="F1516" s="16" t="inlineStr">
        <is>
          <t>XK2505-06</t>
        </is>
      </c>
      <c r="G1516" s="16" t="n">
        <v>45790</v>
      </c>
      <c r="H1516" s="17" t="inlineStr">
        <is>
          <t>CÔNG TY CỔ PHẦN CÔNG NGHIỆP VÀ THƯƠNG MẠI CƯỜNG THỊNH</t>
        </is>
      </c>
      <c r="I1516" s="17" t="inlineStr">
        <is>
          <t>Long đền thường ZP M20B35D2</t>
        </is>
      </c>
      <c r="J1516" s="17" t="inlineStr">
        <is>
          <t>Cái</t>
        </is>
      </c>
      <c r="K1516" s="21" t="n">
        <v>350</v>
      </c>
      <c r="L1516" s="21" t="n"/>
      <c r="M1516" s="22" t="n"/>
      <c r="N1516" s="22" t="n">
        <v>1840</v>
      </c>
      <c r="O1516" s="22" t="n">
        <v>644000</v>
      </c>
      <c r="P1516" s="22" t="n">
        <v>1840</v>
      </c>
      <c r="Q1516" s="22" t="n">
        <v>644000</v>
      </c>
      <c r="R1516" s="42">
        <f>+L1516+N1516-P1516</f>
        <v/>
      </c>
      <c r="S1516" s="42">
        <f>+M1516+O1516-Q1516</f>
        <v/>
      </c>
    </row>
    <row r="1517" ht="30" customHeight="1">
      <c r="A1517" s="16" t="n">
        <v>45790</v>
      </c>
      <c r="B1517" s="17" t="inlineStr">
        <is>
          <t>MH2505-16</t>
        </is>
      </c>
      <c r="C1517" s="16" t="n">
        <v>45790</v>
      </c>
      <c r="D1517" s="17" t="inlineStr">
        <is>
          <t>00001724</t>
        </is>
      </c>
      <c r="E1517" s="16" t="n">
        <v>45790</v>
      </c>
      <c r="F1517" s="16" t="inlineStr">
        <is>
          <t>XK2505-06</t>
        </is>
      </c>
      <c r="G1517" s="16" t="n">
        <v>45790</v>
      </c>
      <c r="H1517" s="17" t="inlineStr">
        <is>
          <t>CÔNG TY CỔ PHẦN CÔNG NGHIỆP VÀ THƯƠNG MẠI CƯỜNG THỊNH</t>
        </is>
      </c>
      <c r="I1517" s="17" t="inlineStr">
        <is>
          <t>Bulong Din 933 8.8 ZP M20x60</t>
        </is>
      </c>
      <c r="J1517" s="17" t="inlineStr">
        <is>
          <t>Cái</t>
        </is>
      </c>
      <c r="K1517" s="21" t="n">
        <v>6440</v>
      </c>
      <c r="L1517" s="21" t="n"/>
      <c r="M1517" s="22" t="n"/>
      <c r="N1517" s="22" t="n">
        <v>560</v>
      </c>
      <c r="O1517" s="22" t="n">
        <v>3606400</v>
      </c>
      <c r="P1517" s="22" t="n">
        <v>560</v>
      </c>
      <c r="Q1517" s="22" t="n">
        <v>3606400</v>
      </c>
      <c r="R1517" s="42">
        <f>+L1517+N1517-P1517</f>
        <v/>
      </c>
      <c r="S1517" s="42">
        <f>+M1517+O1517-Q1517</f>
        <v/>
      </c>
    </row>
    <row r="1518" ht="30" customHeight="1">
      <c r="A1518" s="16" t="n">
        <v>45790</v>
      </c>
      <c r="B1518" s="17" t="inlineStr">
        <is>
          <t>MH2505-16</t>
        </is>
      </c>
      <c r="C1518" s="16" t="n">
        <v>45790</v>
      </c>
      <c r="D1518" s="17" t="inlineStr">
        <is>
          <t>00001724</t>
        </is>
      </c>
      <c r="E1518" s="16" t="n">
        <v>45790</v>
      </c>
      <c r="F1518" s="16" t="inlineStr">
        <is>
          <t>XK2505-06</t>
        </is>
      </c>
      <c r="G1518" s="16" t="n">
        <v>45790</v>
      </c>
      <c r="H1518" s="17" t="inlineStr">
        <is>
          <t>CÔNG TY CỔ PHẦN CÔNG NGHIỆP VÀ THƯƠNG MẠI CƯỜNG THỊNH</t>
        </is>
      </c>
      <c r="I1518" s="17" t="inlineStr">
        <is>
          <t>Đai ốc Din 934 8 ZP M20</t>
        </is>
      </c>
      <c r="J1518" s="17" t="inlineStr">
        <is>
          <t>Cái</t>
        </is>
      </c>
      <c r="K1518" s="21" t="n">
        <v>2030</v>
      </c>
      <c r="L1518" s="21" t="n"/>
      <c r="M1518" s="22" t="n"/>
      <c r="N1518" s="22" t="n">
        <v>560</v>
      </c>
      <c r="O1518" s="22" t="n">
        <v>1136800</v>
      </c>
      <c r="P1518" s="22" t="n">
        <v>560</v>
      </c>
      <c r="Q1518" s="22" t="n">
        <v>1136800</v>
      </c>
      <c r="R1518" s="42">
        <f>+L1518+N1518-P1518</f>
        <v/>
      </c>
      <c r="S1518" s="42">
        <f>+M1518+O1518-Q1518</f>
        <v/>
      </c>
    </row>
    <row r="1519" ht="30" customHeight="1">
      <c r="A1519" s="16" t="n">
        <v>45790</v>
      </c>
      <c r="B1519" s="17" t="inlineStr">
        <is>
          <t>MH2505-16</t>
        </is>
      </c>
      <c r="C1519" s="16" t="n">
        <v>45790</v>
      </c>
      <c r="D1519" s="17" t="inlineStr">
        <is>
          <t>00001724</t>
        </is>
      </c>
      <c r="E1519" s="16" t="n">
        <v>45790</v>
      </c>
      <c r="F1519" s="16" t="inlineStr">
        <is>
          <t>XK2505-06</t>
        </is>
      </c>
      <c r="G1519" s="16" t="n">
        <v>45790</v>
      </c>
      <c r="H1519" s="17" t="inlineStr">
        <is>
          <t>CÔNG TY CỔ PHẦN CÔNG NGHIỆP VÀ THƯƠNG MẠI CƯỜNG THỊNH</t>
        </is>
      </c>
      <c r="I1519" s="17" t="inlineStr">
        <is>
          <t>Long đền thường ZP M20B35D2</t>
        </is>
      </c>
      <c r="J1519" s="17" t="inlineStr">
        <is>
          <t>Cái</t>
        </is>
      </c>
      <c r="K1519" s="21" t="n">
        <v>350</v>
      </c>
      <c r="L1519" s="21" t="n"/>
      <c r="M1519" s="22" t="n"/>
      <c r="N1519" s="22" t="n">
        <v>560</v>
      </c>
      <c r="O1519" s="22" t="n">
        <v>196000</v>
      </c>
      <c r="P1519" s="22" t="n">
        <v>560</v>
      </c>
      <c r="Q1519" s="22" t="n">
        <v>196000</v>
      </c>
      <c r="R1519" s="42">
        <f>+L1519+N1519-P1519</f>
        <v/>
      </c>
      <c r="S1519" s="42">
        <f>+M1519+O1519-Q1519</f>
        <v/>
      </c>
    </row>
    <row r="1520" ht="30" customHeight="1">
      <c r="A1520" s="16" t="n">
        <v>45790</v>
      </c>
      <c r="B1520" s="17" t="inlineStr">
        <is>
          <t>MH2505-16</t>
        </is>
      </c>
      <c r="C1520" s="16" t="n">
        <v>45790</v>
      </c>
      <c r="D1520" s="17" t="inlineStr">
        <is>
          <t>00001724</t>
        </is>
      </c>
      <c r="E1520" s="16" t="n">
        <v>45790</v>
      </c>
      <c r="F1520" s="16" t="inlineStr">
        <is>
          <t>XK2505-06</t>
        </is>
      </c>
      <c r="G1520" s="16" t="n">
        <v>45790</v>
      </c>
      <c r="H1520" s="17" t="inlineStr">
        <is>
          <t>CÔNG TY CỔ PHẦN CÔNG NGHIỆP VÀ THƯƠNG MẠI CƯỜNG THỊNH</t>
        </is>
      </c>
      <c r="I1520" s="17" t="inlineStr">
        <is>
          <t>Bulong Din 933 8.8 ZP M24x60</t>
        </is>
      </c>
      <c r="J1520" s="17" t="inlineStr">
        <is>
          <t>Cái</t>
        </is>
      </c>
      <c r="K1520" s="21" t="n">
        <v>10030</v>
      </c>
      <c r="L1520" s="21" t="n"/>
      <c r="M1520" s="22" t="n"/>
      <c r="N1520" s="22" t="n">
        <v>64</v>
      </c>
      <c r="O1520" s="22" t="n">
        <v>641920</v>
      </c>
      <c r="P1520" s="22" t="n">
        <v>64</v>
      </c>
      <c r="Q1520" s="22" t="n">
        <v>641920</v>
      </c>
      <c r="R1520" s="42">
        <f>+L1520+N1520-P1520</f>
        <v/>
      </c>
      <c r="S1520" s="42">
        <f>+M1520+O1520-Q1520</f>
        <v/>
      </c>
    </row>
    <row r="1521" ht="30" customHeight="1">
      <c r="A1521" s="16" t="n">
        <v>45790</v>
      </c>
      <c r="B1521" s="17" t="inlineStr">
        <is>
          <t>MH2505-16</t>
        </is>
      </c>
      <c r="C1521" s="16" t="n">
        <v>45790</v>
      </c>
      <c r="D1521" s="17" t="inlineStr">
        <is>
          <t>00001724</t>
        </is>
      </c>
      <c r="E1521" s="16" t="n">
        <v>45790</v>
      </c>
      <c r="F1521" s="16" t="inlineStr">
        <is>
          <t>XK2505-06</t>
        </is>
      </c>
      <c r="G1521" s="16" t="n">
        <v>45790</v>
      </c>
      <c r="H1521" s="17" t="inlineStr">
        <is>
          <t>CÔNG TY CỔ PHẦN CÔNG NGHIỆP VÀ THƯƠNG MẠI CƯỜNG THỊNH</t>
        </is>
      </c>
      <c r="I1521" s="17" t="inlineStr">
        <is>
          <t>Đai ốc Din 934 8 ZP M24</t>
        </is>
      </c>
      <c r="J1521" s="17" t="inlineStr">
        <is>
          <t>Cái</t>
        </is>
      </c>
      <c r="K1521" s="21" t="n">
        <v>3500</v>
      </c>
      <c r="L1521" s="21" t="n"/>
      <c r="M1521" s="22" t="n"/>
      <c r="N1521" s="22" t="n">
        <v>64</v>
      </c>
      <c r="O1521" s="22" t="n">
        <v>224000</v>
      </c>
      <c r="P1521" s="22" t="n">
        <v>64</v>
      </c>
      <c r="Q1521" s="22" t="n">
        <v>224000</v>
      </c>
      <c r="R1521" s="42">
        <f>+L1521+N1521-P1521</f>
        <v/>
      </c>
      <c r="S1521" s="42">
        <f>+M1521+O1521-Q1521</f>
        <v/>
      </c>
    </row>
    <row r="1522" ht="30" customHeight="1">
      <c r="A1522" s="16" t="n">
        <v>45790</v>
      </c>
      <c r="B1522" s="17" t="inlineStr">
        <is>
          <t>MH2505-16</t>
        </is>
      </c>
      <c r="C1522" s="16" t="n">
        <v>45790</v>
      </c>
      <c r="D1522" s="17" t="inlineStr">
        <is>
          <t>00001724</t>
        </is>
      </c>
      <c r="E1522" s="16" t="n">
        <v>45790</v>
      </c>
      <c r="F1522" s="16" t="inlineStr">
        <is>
          <t>XK2505-06</t>
        </is>
      </c>
      <c r="G1522" s="16" t="n">
        <v>45790</v>
      </c>
      <c r="H1522" s="17" t="inlineStr">
        <is>
          <t>CÔNG TY CỔ PHẦN CÔNG NGHIỆP VÀ THƯƠNG MẠI CƯỜNG THỊNH</t>
        </is>
      </c>
      <c r="I1522" s="17" t="inlineStr">
        <is>
          <t>Long đền thường ZP M24B40-42D2</t>
        </is>
      </c>
      <c r="J1522" s="17" t="inlineStr">
        <is>
          <t>Cái</t>
        </is>
      </c>
      <c r="K1522" s="21" t="n">
        <v>710</v>
      </c>
      <c r="L1522" s="21" t="n"/>
      <c r="M1522" s="22" t="n"/>
      <c r="N1522" s="22" t="n">
        <v>64</v>
      </c>
      <c r="O1522" s="22" t="n">
        <v>45440</v>
      </c>
      <c r="P1522" s="22" t="n">
        <v>64</v>
      </c>
      <c r="Q1522" s="22" t="n">
        <v>45440</v>
      </c>
      <c r="R1522" s="42">
        <f>+L1522+N1522-P1522</f>
        <v/>
      </c>
      <c r="S1522" s="42">
        <f>+M1522+O1522-Q1522</f>
        <v/>
      </c>
    </row>
    <row r="1523" ht="30" customHeight="1">
      <c r="A1523" s="16" t="n">
        <v>45790</v>
      </c>
      <c r="B1523" s="17" t="inlineStr">
        <is>
          <t>MH2505-16</t>
        </is>
      </c>
      <c r="C1523" s="16" t="n">
        <v>45790</v>
      </c>
      <c r="D1523" s="17" t="inlineStr">
        <is>
          <t>00001724</t>
        </is>
      </c>
      <c r="E1523" s="16" t="n">
        <v>45790</v>
      </c>
      <c r="F1523" s="16" t="inlineStr">
        <is>
          <t>XK2505-06</t>
        </is>
      </c>
      <c r="G1523" s="16" t="n">
        <v>45790</v>
      </c>
      <c r="H1523" s="17" t="inlineStr">
        <is>
          <t>CÔNG TY CỔ PHẦN CÔNG NGHIỆP VÀ THƯƠNG MẠI CƯỜNG THỊNH</t>
        </is>
      </c>
      <c r="I1523" s="17" t="inlineStr">
        <is>
          <t>Bulong Din 933 8.8 ZP M24x70</t>
        </is>
      </c>
      <c r="J1523" s="17" t="inlineStr">
        <is>
          <t>Cái</t>
        </is>
      </c>
      <c r="K1523" s="21" t="n">
        <v>11010</v>
      </c>
      <c r="L1523" s="21" t="n"/>
      <c r="M1523" s="22" t="n"/>
      <c r="N1523" s="22" t="n">
        <v>5815</v>
      </c>
      <c r="O1523" s="22" t="n">
        <v>64023150</v>
      </c>
      <c r="P1523" s="22" t="n">
        <v>5815</v>
      </c>
      <c r="Q1523" s="22" t="n">
        <v>64023150</v>
      </c>
      <c r="R1523" s="42">
        <f>+L1523+N1523-P1523</f>
        <v/>
      </c>
      <c r="S1523" s="42">
        <f>+M1523+O1523-Q1523</f>
        <v/>
      </c>
    </row>
    <row r="1524" ht="30" customHeight="1">
      <c r="A1524" s="16" t="n">
        <v>45790</v>
      </c>
      <c r="B1524" s="17" t="inlineStr">
        <is>
          <t>MH2505-16</t>
        </is>
      </c>
      <c r="C1524" s="16" t="n">
        <v>45790</v>
      </c>
      <c r="D1524" s="17" t="inlineStr">
        <is>
          <t>00001724</t>
        </is>
      </c>
      <c r="E1524" s="16" t="n">
        <v>45790</v>
      </c>
      <c r="F1524" s="16" t="inlineStr">
        <is>
          <t>XK2505-06</t>
        </is>
      </c>
      <c r="G1524" s="16" t="n">
        <v>45790</v>
      </c>
      <c r="H1524" s="17" t="inlineStr">
        <is>
          <t>CÔNG TY CỔ PHẦN CÔNG NGHIỆP VÀ THƯƠNG MẠI CƯỜNG THỊNH</t>
        </is>
      </c>
      <c r="I1524" s="17" t="inlineStr">
        <is>
          <t>Đai ốc Din 934 8 ZP M24</t>
        </is>
      </c>
      <c r="J1524" s="17" t="inlineStr">
        <is>
          <t>Cái</t>
        </is>
      </c>
      <c r="K1524" s="21" t="n">
        <v>3500</v>
      </c>
      <c r="L1524" s="21" t="n"/>
      <c r="M1524" s="22" t="n"/>
      <c r="N1524" s="22" t="n">
        <v>5815</v>
      </c>
      <c r="O1524" s="22" t="n">
        <v>20352500</v>
      </c>
      <c r="P1524" s="22" t="n">
        <v>5815</v>
      </c>
      <c r="Q1524" s="22" t="n">
        <v>20352500</v>
      </c>
      <c r="R1524" s="42">
        <f>+L1524+N1524-P1524</f>
        <v/>
      </c>
      <c r="S1524" s="42">
        <f>+M1524+O1524-Q1524</f>
        <v/>
      </c>
    </row>
    <row r="1525" ht="30" customHeight="1">
      <c r="A1525" s="16" t="n">
        <v>45790</v>
      </c>
      <c r="B1525" s="17" t="inlineStr">
        <is>
          <t>MH2505-16</t>
        </is>
      </c>
      <c r="C1525" s="16" t="n">
        <v>45790</v>
      </c>
      <c r="D1525" s="17" t="inlineStr">
        <is>
          <t>00001724</t>
        </is>
      </c>
      <c r="E1525" s="16" t="n">
        <v>45790</v>
      </c>
      <c r="F1525" s="16" t="inlineStr">
        <is>
          <t>XK2505-06</t>
        </is>
      </c>
      <c r="G1525" s="16" t="n">
        <v>45790</v>
      </c>
      <c r="H1525" s="17" t="inlineStr">
        <is>
          <t>CÔNG TY CỔ PHẦN CÔNG NGHIỆP VÀ THƯƠNG MẠI CƯỜNG THỊNH</t>
        </is>
      </c>
      <c r="I1525" s="17" t="inlineStr">
        <is>
          <t>Long đền thường ZP M24B40-42D2</t>
        </is>
      </c>
      <c r="J1525" s="17" t="inlineStr">
        <is>
          <t>Cái</t>
        </is>
      </c>
      <c r="K1525" s="21" t="n">
        <v>710</v>
      </c>
      <c r="L1525" s="21" t="n"/>
      <c r="M1525" s="22" t="n"/>
      <c r="N1525" s="22" t="n">
        <v>5815</v>
      </c>
      <c r="O1525" s="22" t="n">
        <v>4128650</v>
      </c>
      <c r="P1525" s="22" t="n">
        <v>5815</v>
      </c>
      <c r="Q1525" s="22" t="n">
        <v>4128650</v>
      </c>
      <c r="R1525" s="42">
        <f>+L1525+N1525-P1525</f>
        <v/>
      </c>
      <c r="S1525" s="42">
        <f>+M1525+O1525-Q1525</f>
        <v/>
      </c>
    </row>
    <row r="1526" ht="30" customHeight="1">
      <c r="A1526" s="16" t="n">
        <v>45790</v>
      </c>
      <c r="B1526" s="17" t="inlineStr">
        <is>
          <t>MH2505-16</t>
        </is>
      </c>
      <c r="C1526" s="16" t="n">
        <v>45790</v>
      </c>
      <c r="D1526" s="17" t="inlineStr">
        <is>
          <t>00001724</t>
        </is>
      </c>
      <c r="E1526" s="16" t="n">
        <v>45790</v>
      </c>
      <c r="F1526" s="16" t="inlineStr">
        <is>
          <t>XK2505-06</t>
        </is>
      </c>
      <c r="G1526" s="16" t="n">
        <v>45790</v>
      </c>
      <c r="H1526" s="17" t="inlineStr">
        <is>
          <t>CÔNG TY CỔ PHẦN CÔNG NGHIỆP VÀ THƯƠNG MẠI CƯỜNG THỊNH</t>
        </is>
      </c>
      <c r="I1526" s="17" t="inlineStr">
        <is>
          <t>Bulong Din 933 8.8 ZP M24x80</t>
        </is>
      </c>
      <c r="J1526" s="17" t="inlineStr">
        <is>
          <t>Cái</t>
        </is>
      </c>
      <c r="K1526" s="21" t="n">
        <v>12010</v>
      </c>
      <c r="L1526" s="21" t="n"/>
      <c r="M1526" s="22" t="n"/>
      <c r="N1526" s="22" t="n">
        <v>426</v>
      </c>
      <c r="O1526" s="22" t="n">
        <v>5116260</v>
      </c>
      <c r="P1526" s="22" t="n">
        <v>426</v>
      </c>
      <c r="Q1526" s="22" t="n">
        <v>5116260</v>
      </c>
      <c r="R1526" s="42">
        <f>+L1526+N1526-P1526</f>
        <v/>
      </c>
      <c r="S1526" s="42">
        <f>+M1526+O1526-Q1526</f>
        <v/>
      </c>
    </row>
    <row r="1527" ht="30" customHeight="1">
      <c r="A1527" s="16" t="n">
        <v>45790</v>
      </c>
      <c r="B1527" s="17" t="inlineStr">
        <is>
          <t>MH2505-16</t>
        </is>
      </c>
      <c r="C1527" s="16" t="n">
        <v>45790</v>
      </c>
      <c r="D1527" s="17" t="inlineStr">
        <is>
          <t>00001724</t>
        </is>
      </c>
      <c r="E1527" s="16" t="n">
        <v>45790</v>
      </c>
      <c r="F1527" s="16" t="inlineStr">
        <is>
          <t>XK2505-06</t>
        </is>
      </c>
      <c r="G1527" s="16" t="n">
        <v>45790</v>
      </c>
      <c r="H1527" s="17" t="inlineStr">
        <is>
          <t>CÔNG TY CỔ PHẦN CÔNG NGHIỆP VÀ THƯƠNG MẠI CƯỜNG THỊNH</t>
        </is>
      </c>
      <c r="I1527" s="17" t="inlineStr">
        <is>
          <t>Đai ốc Din 934 8 ZP M24</t>
        </is>
      </c>
      <c r="J1527" s="17" t="inlineStr">
        <is>
          <t>Cái</t>
        </is>
      </c>
      <c r="K1527" s="21" t="n">
        <v>3500</v>
      </c>
      <c r="L1527" s="21" t="n"/>
      <c r="M1527" s="22" t="n"/>
      <c r="N1527" s="22" t="n">
        <v>426</v>
      </c>
      <c r="O1527" s="22" t="n">
        <v>1491000</v>
      </c>
      <c r="P1527" s="22" t="n">
        <v>426</v>
      </c>
      <c r="Q1527" s="22" t="n">
        <v>1491000</v>
      </c>
      <c r="R1527" s="42">
        <f>+L1527+N1527-P1527</f>
        <v/>
      </c>
      <c r="S1527" s="42">
        <f>+M1527+O1527-Q1527</f>
        <v/>
      </c>
    </row>
    <row r="1528" ht="30" customHeight="1">
      <c r="A1528" s="16" t="n">
        <v>45790</v>
      </c>
      <c r="B1528" s="17" t="inlineStr">
        <is>
          <t>MH2505-16</t>
        </is>
      </c>
      <c r="C1528" s="16" t="n">
        <v>45790</v>
      </c>
      <c r="D1528" s="17" t="inlineStr">
        <is>
          <t>00001724</t>
        </is>
      </c>
      <c r="E1528" s="16" t="n">
        <v>45790</v>
      </c>
      <c r="F1528" s="16" t="inlineStr">
        <is>
          <t>XK2505-06</t>
        </is>
      </c>
      <c r="G1528" s="16" t="n">
        <v>45790</v>
      </c>
      <c r="H1528" s="17" t="inlineStr">
        <is>
          <t>CÔNG TY CỔ PHẦN CÔNG NGHIỆP VÀ THƯƠNG MẠI CƯỜNG THỊNH</t>
        </is>
      </c>
      <c r="I1528" s="17" t="inlineStr">
        <is>
          <t>Long đền thường ZP M24B40-42D2</t>
        </is>
      </c>
      <c r="J1528" s="17" t="inlineStr">
        <is>
          <t>Cái</t>
        </is>
      </c>
      <c r="K1528" s="21" t="n">
        <v>710</v>
      </c>
      <c r="L1528" s="21" t="n"/>
      <c r="M1528" s="22" t="n"/>
      <c r="N1528" s="22" t="n">
        <v>426</v>
      </c>
      <c r="O1528" s="22" t="n">
        <v>302460</v>
      </c>
      <c r="P1528" s="22" t="n">
        <v>426</v>
      </c>
      <c r="Q1528" s="22" t="n">
        <v>302460</v>
      </c>
      <c r="R1528" s="42">
        <f>+L1528+N1528-P1528</f>
        <v/>
      </c>
      <c r="S1528" s="42">
        <f>+M1528+O1528-Q1528</f>
        <v/>
      </c>
    </row>
    <row r="1529" ht="30" customHeight="1">
      <c r="A1529" s="16" t="n">
        <v>45790</v>
      </c>
      <c r="B1529" s="17" t="inlineStr">
        <is>
          <t>MH2505-16</t>
        </is>
      </c>
      <c r="C1529" s="16" t="n">
        <v>45790</v>
      </c>
      <c r="D1529" s="17" t="inlineStr">
        <is>
          <t>00001724</t>
        </is>
      </c>
      <c r="E1529" s="16" t="n">
        <v>45790</v>
      </c>
      <c r="F1529" s="16" t="inlineStr">
        <is>
          <t>XK2505-06</t>
        </is>
      </c>
      <c r="G1529" s="16" t="n">
        <v>45790</v>
      </c>
      <c r="H1529" s="17" t="inlineStr">
        <is>
          <t>CÔNG TY CỔ PHẦN CÔNG NGHIỆP VÀ THƯƠNG MẠI CƯỜNG THỊNH</t>
        </is>
      </c>
      <c r="I1529" s="17" t="inlineStr">
        <is>
          <t>Bulong Din 933 8.8 ZP M24x90</t>
        </is>
      </c>
      <c r="J1529" s="17" t="inlineStr">
        <is>
          <t>Cái</t>
        </is>
      </c>
      <c r="K1529" s="21" t="n">
        <v>12950</v>
      </c>
      <c r="L1529" s="21" t="n"/>
      <c r="M1529" s="22" t="n"/>
      <c r="N1529" s="22" t="n">
        <v>159</v>
      </c>
      <c r="O1529" s="22" t="n">
        <v>2059050</v>
      </c>
      <c r="P1529" s="22" t="n">
        <v>159</v>
      </c>
      <c r="Q1529" s="22" t="n">
        <v>2059050</v>
      </c>
      <c r="R1529" s="42">
        <f>+L1529+N1529-P1529</f>
        <v/>
      </c>
      <c r="S1529" s="42">
        <f>+M1529+O1529-Q1529</f>
        <v/>
      </c>
    </row>
    <row r="1530" ht="30" customHeight="1">
      <c r="A1530" s="16" t="n">
        <v>45790</v>
      </c>
      <c r="B1530" s="17" t="inlineStr">
        <is>
          <t>MH2505-16</t>
        </is>
      </c>
      <c r="C1530" s="16" t="n">
        <v>45790</v>
      </c>
      <c r="D1530" s="17" t="inlineStr">
        <is>
          <t>00001724</t>
        </is>
      </c>
      <c r="E1530" s="16" t="n">
        <v>45790</v>
      </c>
      <c r="F1530" s="16" t="inlineStr">
        <is>
          <t>XK2505-06</t>
        </is>
      </c>
      <c r="G1530" s="16" t="n">
        <v>45790</v>
      </c>
      <c r="H1530" s="17" t="inlineStr">
        <is>
          <t>CÔNG TY CỔ PHẦN CÔNG NGHIỆP VÀ THƯƠNG MẠI CƯỜNG THỊNH</t>
        </is>
      </c>
      <c r="I1530" s="17" t="inlineStr">
        <is>
          <t>Đai ốc Din 934 8 ZP M24</t>
        </is>
      </c>
      <c r="J1530" s="17" t="inlineStr">
        <is>
          <t>Cái</t>
        </is>
      </c>
      <c r="K1530" s="21" t="n">
        <v>3500</v>
      </c>
      <c r="L1530" s="21" t="n"/>
      <c r="M1530" s="22" t="n"/>
      <c r="N1530" s="22" t="n">
        <v>159</v>
      </c>
      <c r="O1530" s="22" t="n">
        <v>556500</v>
      </c>
      <c r="P1530" s="22" t="n">
        <v>159</v>
      </c>
      <c r="Q1530" s="22" t="n">
        <v>556500</v>
      </c>
      <c r="R1530" s="42">
        <f>+L1530+N1530-P1530</f>
        <v/>
      </c>
      <c r="S1530" s="42">
        <f>+M1530+O1530-Q1530</f>
        <v/>
      </c>
    </row>
    <row r="1531" ht="30" customHeight="1">
      <c r="A1531" s="16" t="n">
        <v>45790</v>
      </c>
      <c r="B1531" s="17" t="inlineStr">
        <is>
          <t>MH2505-16</t>
        </is>
      </c>
      <c r="C1531" s="16" t="n">
        <v>45790</v>
      </c>
      <c r="D1531" s="17" t="inlineStr">
        <is>
          <t>00001724</t>
        </is>
      </c>
      <c r="E1531" s="16" t="n">
        <v>45790</v>
      </c>
      <c r="F1531" s="16" t="inlineStr">
        <is>
          <t>XK2505-06</t>
        </is>
      </c>
      <c r="G1531" s="16" t="n">
        <v>45790</v>
      </c>
      <c r="H1531" s="17" t="inlineStr">
        <is>
          <t>CÔNG TY CỔ PHẦN CÔNG NGHIỆP VÀ THƯƠNG MẠI CƯỜNG THỊNH</t>
        </is>
      </c>
      <c r="I1531" s="17" t="inlineStr">
        <is>
          <t>Long đền thường ZP M24B40-42D2</t>
        </is>
      </c>
      <c r="J1531" s="17" t="inlineStr">
        <is>
          <t>Cái</t>
        </is>
      </c>
      <c r="K1531" s="21" t="n">
        <v>710</v>
      </c>
      <c r="L1531" s="21" t="n"/>
      <c r="M1531" s="22" t="n"/>
      <c r="N1531" s="22" t="n">
        <v>159</v>
      </c>
      <c r="O1531" s="22" t="n">
        <v>112890</v>
      </c>
      <c r="P1531" s="22" t="n">
        <v>159</v>
      </c>
      <c r="Q1531" s="22" t="n">
        <v>112890</v>
      </c>
      <c r="R1531" s="42">
        <f>+L1531+N1531-P1531</f>
        <v/>
      </c>
      <c r="S1531" s="42">
        <f>+M1531+O1531-Q1531</f>
        <v/>
      </c>
    </row>
    <row r="1532" ht="30" customHeight="1">
      <c r="A1532" s="16" t="n">
        <v>45790</v>
      </c>
      <c r="B1532" s="17" t="inlineStr">
        <is>
          <t>MH2505-16</t>
        </is>
      </c>
      <c r="C1532" s="16" t="n">
        <v>45790</v>
      </c>
      <c r="D1532" s="17" t="inlineStr">
        <is>
          <t>00001724</t>
        </is>
      </c>
      <c r="E1532" s="16" t="n">
        <v>45790</v>
      </c>
      <c r="F1532" s="16" t="inlineStr">
        <is>
          <t>XK2505-06</t>
        </is>
      </c>
      <c r="G1532" s="16" t="n">
        <v>45790</v>
      </c>
      <c r="H1532" s="17" t="inlineStr">
        <is>
          <t>CÔNG TY CỔ PHẦN CÔNG NGHIỆP VÀ THƯƠNG MẠI CƯỜNG THỊNH</t>
        </is>
      </c>
      <c r="I1532" s="17" t="inlineStr">
        <is>
          <t>Bulong thường 4.6 ZP M12x30</t>
        </is>
      </c>
      <c r="J1532" s="17" t="inlineStr">
        <is>
          <t>Cái</t>
        </is>
      </c>
      <c r="K1532" s="21" t="n">
        <v>950</v>
      </c>
      <c r="L1532" s="21" t="n"/>
      <c r="M1532" s="22" t="n"/>
      <c r="N1532" s="22" t="n">
        <v>2412</v>
      </c>
      <c r="O1532" s="22" t="n">
        <v>2291400</v>
      </c>
      <c r="P1532" s="22" t="n">
        <v>2412</v>
      </c>
      <c r="Q1532" s="22" t="n">
        <v>2291400</v>
      </c>
      <c r="R1532" s="42">
        <f>+L1532+N1532-P1532</f>
        <v/>
      </c>
      <c r="S1532" s="42">
        <f>+M1532+O1532-Q1532</f>
        <v/>
      </c>
    </row>
    <row r="1533" ht="30" customHeight="1">
      <c r="A1533" s="16" t="n">
        <v>45790</v>
      </c>
      <c r="B1533" s="17" t="inlineStr">
        <is>
          <t>MH2505-16</t>
        </is>
      </c>
      <c r="C1533" s="16" t="n">
        <v>45790</v>
      </c>
      <c r="D1533" s="17" t="inlineStr">
        <is>
          <t>00001724</t>
        </is>
      </c>
      <c r="E1533" s="16" t="n">
        <v>45790</v>
      </c>
      <c r="F1533" s="16" t="inlineStr">
        <is>
          <t>XK2505-06</t>
        </is>
      </c>
      <c r="G1533" s="16" t="n">
        <v>45790</v>
      </c>
      <c r="H1533" s="17" t="inlineStr">
        <is>
          <t>CÔNG TY CỔ PHẦN CÔNG NGHIỆP VÀ THƯƠNG MẠI CƯỜNG THỊNH</t>
        </is>
      </c>
      <c r="I1533" s="17" t="inlineStr">
        <is>
          <t>Đai ốc thường 4 ZP M12 (9mm)</t>
        </is>
      </c>
      <c r="J1533" s="17" t="inlineStr">
        <is>
          <t>Cái</t>
        </is>
      </c>
      <c r="K1533" s="21" t="n">
        <v>360</v>
      </c>
      <c r="L1533" s="21" t="n"/>
      <c r="M1533" s="22" t="n"/>
      <c r="N1533" s="22" t="n">
        <v>2412</v>
      </c>
      <c r="O1533" s="22" t="n">
        <v>868320</v>
      </c>
      <c r="P1533" s="22" t="n">
        <v>2412</v>
      </c>
      <c r="Q1533" s="22" t="n">
        <v>868320</v>
      </c>
      <c r="R1533" s="42">
        <f>+L1533+N1533-P1533</f>
        <v/>
      </c>
      <c r="S1533" s="42">
        <f>+M1533+O1533-Q1533</f>
        <v/>
      </c>
    </row>
    <row r="1534" ht="30" customHeight="1">
      <c r="A1534" s="16" t="n">
        <v>45790</v>
      </c>
      <c r="B1534" s="17" t="inlineStr">
        <is>
          <t>MH2505-16</t>
        </is>
      </c>
      <c r="C1534" s="16" t="n">
        <v>45790</v>
      </c>
      <c r="D1534" s="17" t="inlineStr">
        <is>
          <t>00001724</t>
        </is>
      </c>
      <c r="E1534" s="16" t="n">
        <v>45790</v>
      </c>
      <c r="F1534" s="16" t="inlineStr">
        <is>
          <t>XK2505-06</t>
        </is>
      </c>
      <c r="G1534" s="16" t="n">
        <v>45790</v>
      </c>
      <c r="H1534" s="17" t="inlineStr">
        <is>
          <t>CÔNG TY CỔ PHẦN CÔNG NGHIỆP VÀ THƯƠNG MẠI CƯỜNG THỊNH</t>
        </is>
      </c>
      <c r="I1534" s="17" t="inlineStr">
        <is>
          <t>Long đền thường ZP M12B23D1</t>
        </is>
      </c>
      <c r="J1534" s="17" t="inlineStr">
        <is>
          <t>Cái</t>
        </is>
      </c>
      <c r="K1534" s="21" t="n">
        <v>100</v>
      </c>
      <c r="L1534" s="21" t="n"/>
      <c r="M1534" s="22" t="n"/>
      <c r="N1534" s="22" t="n">
        <v>4824</v>
      </c>
      <c r="O1534" s="22" t="n">
        <v>482400</v>
      </c>
      <c r="P1534" s="22" t="n">
        <v>4824</v>
      </c>
      <c r="Q1534" s="22" t="n">
        <v>482400</v>
      </c>
      <c r="R1534" s="42">
        <f>+L1534+N1534-P1534</f>
        <v/>
      </c>
      <c r="S1534" s="42">
        <f>+M1534+O1534-Q1534</f>
        <v/>
      </c>
    </row>
    <row r="1535" ht="30" customHeight="1">
      <c r="A1535" s="16" t="n">
        <v>45790</v>
      </c>
      <c r="B1535" s="17" t="inlineStr">
        <is>
          <t>MH2505-17</t>
        </is>
      </c>
      <c r="C1535" s="16" t="n">
        <v>45790</v>
      </c>
      <c r="D1535" s="17" t="inlineStr">
        <is>
          <t>00000802</t>
        </is>
      </c>
      <c r="E1535" s="16" t="n">
        <v>45790</v>
      </c>
      <c r="F1535" s="16" t="inlineStr">
        <is>
          <t>XK2505-07</t>
        </is>
      </c>
      <c r="G1535" s="16" t="n">
        <v>45790</v>
      </c>
      <c r="H1535" s="17" t="inlineStr">
        <is>
          <t>CÔNG TY TNHH DỊCH VỤ - THƯƠNG MẠI THÉP THIÊN LONG</t>
        </is>
      </c>
      <c r="I1535" s="17" t="inlineStr">
        <is>
          <t>Thép tấm 5ly</t>
        </is>
      </c>
      <c r="J1535" s="17" t="inlineStr">
        <is>
          <t>kg</t>
        </is>
      </c>
      <c r="K1535" s="21" t="n">
        <v>13427.27</v>
      </c>
      <c r="L1535" s="21" t="n"/>
      <c r="M1535" s="22" t="n"/>
      <c r="N1535" s="22" t="n">
        <v>47100</v>
      </c>
      <c r="O1535" s="22" t="n">
        <v>632424545</v>
      </c>
      <c r="P1535" s="22" t="n">
        <v>47100</v>
      </c>
      <c r="Q1535" s="22" t="n">
        <v>632424545</v>
      </c>
      <c r="R1535" s="42">
        <f>+L1535+N1535-P1535</f>
        <v/>
      </c>
      <c r="S1535" s="42">
        <f>+M1535+O1535-Q1535</f>
        <v/>
      </c>
    </row>
    <row r="1536" ht="30" customHeight="1">
      <c r="A1536" s="16" t="n">
        <v>45791</v>
      </c>
      <c r="B1536" s="17" t="inlineStr">
        <is>
          <t>MH2505-19</t>
        </is>
      </c>
      <c r="C1536" s="16" t="n">
        <v>45791</v>
      </c>
      <c r="D1536" s="17" t="inlineStr">
        <is>
          <t>00000817</t>
        </is>
      </c>
      <c r="E1536" s="16" t="n">
        <v>45791</v>
      </c>
      <c r="F1536" s="16" t="inlineStr">
        <is>
          <t>XK2505-07</t>
        </is>
      </c>
      <c r="G1536" s="16" t="n">
        <v>45791</v>
      </c>
      <c r="H1536" s="17" t="inlineStr">
        <is>
          <t>CÔNG TY TNHH DỊCH VỤ - THƯƠNG MẠI THÉP THIÊN LONG</t>
        </is>
      </c>
      <c r="I1536" s="17" t="inlineStr">
        <is>
          <t>Thép tấm 5ly</t>
        </is>
      </c>
      <c r="J1536" s="17" t="inlineStr">
        <is>
          <t>kg</t>
        </is>
      </c>
      <c r="K1536" s="21" t="n">
        <v>13427.27</v>
      </c>
      <c r="L1536" s="21" t="n"/>
      <c r="M1536" s="22" t="n"/>
      <c r="N1536" s="22" t="n">
        <v>47100</v>
      </c>
      <c r="O1536" s="22" t="n">
        <v>632424545</v>
      </c>
      <c r="P1536" s="22" t="n">
        <v>47100</v>
      </c>
      <c r="Q1536" s="22" t="n">
        <v>632424545</v>
      </c>
      <c r="R1536" s="42">
        <f>+L1536+N1536-P1536</f>
        <v/>
      </c>
      <c r="S1536" s="42">
        <f>+M1536+O1536-Q1536</f>
        <v/>
      </c>
    </row>
    <row r="1537" ht="30" customHeight="1">
      <c r="A1537" s="16" t="n">
        <v>45791</v>
      </c>
      <c r="B1537" s="17" t="inlineStr">
        <is>
          <t>MH2505-20</t>
        </is>
      </c>
      <c r="C1537" s="16" t="n">
        <v>45791</v>
      </c>
      <c r="D1537" s="17" t="inlineStr">
        <is>
          <t>00000818</t>
        </is>
      </c>
      <c r="E1537" s="16" t="n">
        <v>45791</v>
      </c>
      <c r="F1537" s="16" t="inlineStr">
        <is>
          <t>XK2505-07</t>
        </is>
      </c>
      <c r="G1537" s="16" t="n">
        <v>45791</v>
      </c>
      <c r="H1537" s="17" t="inlineStr">
        <is>
          <t>CÔNG TY TNHH DỊCH VỤ - THƯƠNG MẠI THÉP THIÊN LONG</t>
        </is>
      </c>
      <c r="I1537" s="17" t="inlineStr">
        <is>
          <t>Thép tấm 6ly</t>
        </is>
      </c>
      <c r="J1537" s="17" t="inlineStr">
        <is>
          <t>kg</t>
        </is>
      </c>
      <c r="K1537" s="21" t="n">
        <v>13427.27</v>
      </c>
      <c r="L1537" s="21" t="n"/>
      <c r="M1537" s="22" t="n"/>
      <c r="N1537" s="22" t="n">
        <v>28260</v>
      </c>
      <c r="O1537" s="22" t="n">
        <v>379454727</v>
      </c>
      <c r="P1537" s="22" t="n">
        <v>28260</v>
      </c>
      <c r="Q1537" s="22" t="n">
        <v>379454727</v>
      </c>
      <c r="R1537" s="42">
        <f>+L1537+N1537-P1537</f>
        <v/>
      </c>
      <c r="S1537" s="42">
        <f>+M1537+O1537-Q1537</f>
        <v/>
      </c>
    </row>
    <row r="1538" ht="30" customHeight="1">
      <c r="A1538" s="16" t="n">
        <v>45792</v>
      </c>
      <c r="B1538" s="17" t="inlineStr">
        <is>
          <t>MH2505-21</t>
        </is>
      </c>
      <c r="C1538" s="16" t="n">
        <v>45792</v>
      </c>
      <c r="D1538" s="17" t="inlineStr">
        <is>
          <t>00000836</t>
        </is>
      </c>
      <c r="E1538" s="16" t="n">
        <v>45792</v>
      </c>
      <c r="F1538" s="16" t="inlineStr">
        <is>
          <t>XK2505-07</t>
        </is>
      </c>
      <c r="G1538" s="16" t="n">
        <v>45792</v>
      </c>
      <c r="H1538" s="17" t="inlineStr">
        <is>
          <t>CÔNG TY TNHH DỊCH VỤ - THƯƠNG MẠI THÉP THIÊN LONG</t>
        </is>
      </c>
      <c r="I1538" s="17" t="inlineStr">
        <is>
          <t>Thép tấm 14ly</t>
        </is>
      </c>
      <c r="J1538" s="17" t="inlineStr">
        <is>
          <t>kg</t>
        </is>
      </c>
      <c r="K1538" s="21" t="n">
        <v>14336.36</v>
      </c>
      <c r="L1538" s="21" t="n"/>
      <c r="M1538" s="22" t="n"/>
      <c r="N1538" s="22" t="n">
        <v>31651.2</v>
      </c>
      <c r="O1538" s="22" t="n">
        <v>453762998</v>
      </c>
      <c r="P1538" s="22" t="n">
        <v>31651.2</v>
      </c>
      <c r="Q1538" s="22" t="n">
        <v>453762998</v>
      </c>
      <c r="R1538" s="42">
        <f>+L1538+N1538-P1538</f>
        <v/>
      </c>
      <c r="S1538" s="42">
        <f>+M1538+O1538-Q1538</f>
        <v/>
      </c>
    </row>
    <row r="1539" ht="30" customHeight="1">
      <c r="A1539" s="16" t="n">
        <v>45796</v>
      </c>
      <c r="B1539" s="17" t="inlineStr">
        <is>
          <t>MH2505-27</t>
        </is>
      </c>
      <c r="C1539" s="16" t="n">
        <v>45796</v>
      </c>
      <c r="D1539" s="17" t="inlineStr">
        <is>
          <t>00002460</t>
        </is>
      </c>
      <c r="E1539" s="16" t="n">
        <v>45796</v>
      </c>
      <c r="F1539" s="16" t="inlineStr">
        <is>
          <t>XK2505-08</t>
        </is>
      </c>
      <c r="G1539" s="16" t="n">
        <v>45796</v>
      </c>
      <c r="H1539" s="17" t="inlineStr">
        <is>
          <t>CÔNG TY TNHH MTV SẢN XUẤT THƯƠNG MẠI DỊCH VỤ THANH HUYỀN</t>
        </is>
      </c>
      <c r="I1539" s="17" t="inlineStr">
        <is>
          <t>Thép mạ kẽm chấn</t>
        </is>
      </c>
      <c r="J1539" s="17" t="inlineStr">
        <is>
          <t>kg</t>
        </is>
      </c>
      <c r="K1539" s="21" t="n">
        <v>21863.21</v>
      </c>
      <c r="L1539" s="21" t="n"/>
      <c r="M1539" s="22" t="n"/>
      <c r="N1539" s="22" t="n">
        <v>180</v>
      </c>
      <c r="O1539" s="22" t="n">
        <v>3935377</v>
      </c>
      <c r="P1539" s="22" t="n">
        <v>180</v>
      </c>
      <c r="Q1539" s="22" t="n">
        <v>3935377</v>
      </c>
      <c r="R1539" s="42">
        <f>+L1539+N1539-P1539</f>
        <v/>
      </c>
      <c r="S1539" s="42">
        <f>+M1539+O1539-Q1539</f>
        <v/>
      </c>
    </row>
    <row r="1540" ht="30" customHeight="1">
      <c r="A1540" s="16" t="n">
        <v>45796</v>
      </c>
      <c r="B1540" s="17" t="inlineStr">
        <is>
          <t>MH2505-27</t>
        </is>
      </c>
      <c r="C1540" s="16" t="n">
        <v>45796</v>
      </c>
      <c r="D1540" s="17" t="inlineStr">
        <is>
          <t>00002460</t>
        </is>
      </c>
      <c r="E1540" s="16" t="n">
        <v>45796</v>
      </c>
      <c r="F1540" s="16" t="inlineStr">
        <is>
          <t>XK2505-08</t>
        </is>
      </c>
      <c r="G1540" s="16" t="n">
        <v>45796</v>
      </c>
      <c r="H1540" s="17" t="inlineStr">
        <is>
          <t>CÔNG TY TNHH MTV SẢN XUẤT THƯƠNG MẠI DỊCH VỤ THANH HUYỀN</t>
        </is>
      </c>
      <c r="I1540" s="17" t="inlineStr">
        <is>
          <t>Xà gồ mạ kẽm</t>
        </is>
      </c>
      <c r="J1540" s="17" t="inlineStr">
        <is>
          <t>kg</t>
        </is>
      </c>
      <c r="K1540" s="21" t="n">
        <v>18461.92</v>
      </c>
      <c r="L1540" s="21" t="n"/>
      <c r="M1540" s="22" t="n"/>
      <c r="N1540" s="22" t="n">
        <v>5415</v>
      </c>
      <c r="O1540" s="22" t="n">
        <v>99971275</v>
      </c>
      <c r="P1540" s="22" t="n">
        <v>5415</v>
      </c>
      <c r="Q1540" s="22" t="n">
        <v>99971275</v>
      </c>
      <c r="R1540" s="42">
        <f>+L1540+N1540-P1540</f>
        <v/>
      </c>
      <c r="S1540" s="42">
        <f>+M1540+O1540-Q1540</f>
        <v/>
      </c>
    </row>
    <row r="1541" ht="15" customHeight="1">
      <c r="A1541" s="16" t="n">
        <v>45798</v>
      </c>
      <c r="B1541" s="17" t="inlineStr">
        <is>
          <t>MH2505-29A</t>
        </is>
      </c>
      <c r="C1541" s="16" t="n">
        <v>45798</v>
      </c>
      <c r="D1541" s="17" t="inlineStr">
        <is>
          <t>00004578</t>
        </is>
      </c>
      <c r="E1541" s="16" t="n">
        <v>45798</v>
      </c>
      <c r="F1541" s="16" t="inlineStr">
        <is>
          <t>XK2505-09</t>
        </is>
      </c>
      <c r="G1541" s="16" t="n">
        <v>45798</v>
      </c>
      <c r="H1541" s="17" t="inlineStr">
        <is>
          <t>CÔNG TY TNHH SƠN JOTUN VIỆT NAM</t>
        </is>
      </c>
      <c r="I1541" s="17" t="inlineStr">
        <is>
          <t>SƠN JOTAMASTIC 70 GREY 18L</t>
        </is>
      </c>
      <c r="J1541" s="17" t="inlineStr">
        <is>
          <t>Lít</t>
        </is>
      </c>
      <c r="K1541" s="21" t="n">
        <v>90000</v>
      </c>
      <c r="L1541" s="21" t="n"/>
      <c r="M1541" s="22" t="n"/>
      <c r="N1541" s="22" t="n">
        <v>972</v>
      </c>
      <c r="O1541" s="22" t="n">
        <v>87480000</v>
      </c>
      <c r="P1541" s="22" t="n">
        <v>972</v>
      </c>
      <c r="Q1541" s="22" t="n">
        <v>87480000</v>
      </c>
      <c r="R1541" s="42">
        <f>+L1541+N1541-P1541</f>
        <v/>
      </c>
      <c r="S1541" s="42">
        <f>+M1541+O1541-Q1541</f>
        <v/>
      </c>
    </row>
    <row r="1542" ht="15" customHeight="1">
      <c r="A1542" s="16" t="n">
        <v>45798</v>
      </c>
      <c r="B1542" s="17" t="inlineStr">
        <is>
          <t>MH2505-29A</t>
        </is>
      </c>
      <c r="C1542" s="16" t="n">
        <v>45798</v>
      </c>
      <c r="D1542" s="17" t="inlineStr">
        <is>
          <t>00004578</t>
        </is>
      </c>
      <c r="E1542" s="16" t="n">
        <v>45798</v>
      </c>
      <c r="F1542" s="16" t="inlineStr">
        <is>
          <t>XK2505-09</t>
        </is>
      </c>
      <c r="G1542" s="16" t="n">
        <v>45798</v>
      </c>
      <c r="H1542" s="17" t="inlineStr">
        <is>
          <t>CÔNG TY TNHH SƠN JOTUN VIỆT NAM</t>
        </is>
      </c>
      <c r="I1542" s="17" t="inlineStr">
        <is>
          <t>SƠN FUTURA CLASSIC STD4066 18.27L</t>
        </is>
      </c>
      <c r="J1542" s="17" t="inlineStr">
        <is>
          <t>Lít</t>
        </is>
      </c>
      <c r="K1542" s="21" t="n">
        <v>155000</v>
      </c>
      <c r="L1542" s="21" t="n"/>
      <c r="M1542" s="22" t="n"/>
      <c r="N1542" s="22" t="n">
        <v>913.5</v>
      </c>
      <c r="O1542" s="22" t="n">
        <v>141592500</v>
      </c>
      <c r="P1542" s="22" t="n">
        <v>913.5</v>
      </c>
      <c r="Q1542" s="22" t="n">
        <v>141592500</v>
      </c>
      <c r="R1542" s="42">
        <f>+L1542+N1542-P1542</f>
        <v/>
      </c>
      <c r="S1542" s="42">
        <f>+M1542+O1542-Q1542</f>
        <v/>
      </c>
    </row>
    <row r="1543" ht="15" customHeight="1">
      <c r="A1543" s="16" t="n">
        <v>45798</v>
      </c>
      <c r="B1543" s="17" t="inlineStr">
        <is>
          <t>MH2505-29A</t>
        </is>
      </c>
      <c r="C1543" s="16" t="n">
        <v>45798</v>
      </c>
      <c r="D1543" s="17" t="inlineStr">
        <is>
          <t>00004578</t>
        </is>
      </c>
      <c r="E1543" s="16" t="n">
        <v>45798</v>
      </c>
      <c r="F1543" s="16" t="inlineStr">
        <is>
          <t>XK2505-09</t>
        </is>
      </c>
      <c r="G1543" s="16" t="n">
        <v>45798</v>
      </c>
      <c r="H1543" s="17" t="inlineStr">
        <is>
          <t>CÔNG TY TNHH SƠN JOTUN VIỆT NAM</t>
        </is>
      </c>
      <c r="I1543" s="17" t="inlineStr">
        <is>
          <t>SƠN FUTURA CLASSIC STD4066 4.57L</t>
        </is>
      </c>
      <c r="J1543" s="17" t="inlineStr">
        <is>
          <t>Lít</t>
        </is>
      </c>
      <c r="K1543" s="21" t="n">
        <v>155000</v>
      </c>
      <c r="L1543" s="21" t="n"/>
      <c r="M1543" s="22" t="n"/>
      <c r="N1543" s="22" t="n">
        <v>4.57</v>
      </c>
      <c r="O1543" s="22" t="n">
        <v>708350</v>
      </c>
      <c r="P1543" s="22" t="n">
        <v>4.57</v>
      </c>
      <c r="Q1543" s="22" t="n">
        <v>708350</v>
      </c>
      <c r="R1543" s="42">
        <f>+L1543+N1543-P1543</f>
        <v/>
      </c>
      <c r="S1543" s="42">
        <f>+M1543+O1543-Q1543</f>
        <v/>
      </c>
    </row>
    <row r="1544" ht="15" customHeight="1">
      <c r="A1544" s="16" t="n">
        <v>45798</v>
      </c>
      <c r="B1544" s="17" t="inlineStr">
        <is>
          <t>MH2505-29A</t>
        </is>
      </c>
      <c r="C1544" s="16" t="n">
        <v>45798</v>
      </c>
      <c r="D1544" s="17" t="inlineStr">
        <is>
          <t>00004578</t>
        </is>
      </c>
      <c r="E1544" s="16" t="n">
        <v>45798</v>
      </c>
      <c r="F1544" s="16" t="inlineStr">
        <is>
          <t>XK2505-09</t>
        </is>
      </c>
      <c r="G1544" s="16" t="n">
        <v>45798</v>
      </c>
      <c r="H1544" s="17" t="inlineStr">
        <is>
          <t>CÔNG TY TNHH SƠN JOTUN VIỆT NAM</t>
        </is>
      </c>
      <c r="I1544" s="17" t="inlineStr">
        <is>
          <t>DUNG MÔI JOTUN THINNER NO. 10 20L</t>
        </is>
      </c>
      <c r="J1544" s="17" t="inlineStr">
        <is>
          <t>Lít</t>
        </is>
      </c>
      <c r="K1544" s="21" t="n">
        <v>60000</v>
      </c>
      <c r="L1544" s="21" t="n"/>
      <c r="M1544" s="22" t="n"/>
      <c r="N1544" s="22" t="n">
        <v>140</v>
      </c>
      <c r="O1544" s="22" t="n">
        <v>8400000</v>
      </c>
      <c r="P1544" s="22" t="n">
        <v>140</v>
      </c>
      <c r="Q1544" s="22" t="n">
        <v>8400000</v>
      </c>
      <c r="R1544" s="42">
        <f>+L1544+N1544-P1544</f>
        <v/>
      </c>
      <c r="S1544" s="42">
        <f>+M1544+O1544-Q1544</f>
        <v/>
      </c>
    </row>
    <row r="1545" ht="15" customHeight="1">
      <c r="A1545" s="16" t="n">
        <v>45798</v>
      </c>
      <c r="B1545" s="17" t="inlineStr">
        <is>
          <t>MH2505-29A</t>
        </is>
      </c>
      <c r="C1545" s="16" t="n">
        <v>45798</v>
      </c>
      <c r="D1545" s="17" t="inlineStr">
        <is>
          <t>00004578</t>
        </is>
      </c>
      <c r="E1545" s="16" t="n">
        <v>45798</v>
      </c>
      <c r="F1545" s="16" t="inlineStr">
        <is>
          <t>XK2505-09</t>
        </is>
      </c>
      <c r="G1545" s="16" t="n">
        <v>45798</v>
      </c>
      <c r="H1545" s="17" t="inlineStr">
        <is>
          <t>CÔNG TY TNHH SƠN JOTUN VIỆT NAM</t>
        </is>
      </c>
      <c r="I1545" s="17" t="inlineStr">
        <is>
          <t>DUNG MÔI JOTUN THINNER NO. 17 20L</t>
        </is>
      </c>
      <c r="J1545" s="17" t="inlineStr">
        <is>
          <t>Lít</t>
        </is>
      </c>
      <c r="K1545" s="21" t="n">
        <v>60000</v>
      </c>
      <c r="L1545" s="21" t="n"/>
      <c r="M1545" s="22" t="n"/>
      <c r="N1545" s="22" t="n">
        <v>140</v>
      </c>
      <c r="O1545" s="22" t="n">
        <v>8400000</v>
      </c>
      <c r="P1545" s="22" t="n">
        <v>140</v>
      </c>
      <c r="Q1545" s="22" t="n">
        <v>8400000</v>
      </c>
      <c r="R1545" s="42">
        <f>+L1545+N1545-P1545</f>
        <v/>
      </c>
      <c r="S1545" s="42">
        <f>+M1545+O1545-Q1545</f>
        <v/>
      </c>
    </row>
    <row r="1546" ht="15" customHeight="1">
      <c r="A1546" s="16" t="n">
        <v>45798</v>
      </c>
      <c r="B1546" s="17" t="inlineStr">
        <is>
          <t>MH2505-29A</t>
        </is>
      </c>
      <c r="C1546" s="16" t="n">
        <v>45798</v>
      </c>
      <c r="D1546" s="17" t="inlineStr">
        <is>
          <t>00004578</t>
        </is>
      </c>
      <c r="E1546" s="16" t="n">
        <v>45798</v>
      </c>
      <c r="F1546" s="16" t="inlineStr">
        <is>
          <t>XK2505-09</t>
        </is>
      </c>
      <c r="G1546" s="16" t="n">
        <v>45798</v>
      </c>
      <c r="H1546" s="17" t="inlineStr">
        <is>
          <t>CÔNG TY TNHH SƠN JOTUN VIỆT NAM</t>
        </is>
      </c>
      <c r="I1546" s="17" t="inlineStr">
        <is>
          <t>DUNG MÔI JOTUN THINNER NO. 17 5L</t>
        </is>
      </c>
      <c r="J1546" s="17" t="inlineStr">
        <is>
          <t>Lít</t>
        </is>
      </c>
      <c r="K1546" s="21" t="n">
        <v>60000</v>
      </c>
      <c r="L1546" s="21" t="n"/>
      <c r="M1546" s="22" t="n"/>
      <c r="N1546" s="22" t="n">
        <v>5</v>
      </c>
      <c r="O1546" s="22" t="n">
        <v>300000</v>
      </c>
      <c r="P1546" s="22" t="n">
        <v>5</v>
      </c>
      <c r="Q1546" s="22" t="n">
        <v>300000</v>
      </c>
      <c r="R1546" s="42">
        <f>+L1546+N1546-P1546</f>
        <v/>
      </c>
      <c r="S1546" s="42">
        <f>+M1546+O1546-Q1546</f>
        <v/>
      </c>
    </row>
    <row r="1547" ht="15" customHeight="1">
      <c r="A1547" s="16" t="n">
        <v>45799</v>
      </c>
      <c r="B1547" s="17" t="inlineStr">
        <is>
          <t>MH2505-30A</t>
        </is>
      </c>
      <c r="C1547" s="16" t="n">
        <v>45799</v>
      </c>
      <c r="D1547" s="17" t="inlineStr">
        <is>
          <t>00004621</t>
        </is>
      </c>
      <c r="E1547" s="16" t="n">
        <v>45799</v>
      </c>
      <c r="F1547" s="16" t="inlineStr">
        <is>
          <t>XK2505-09</t>
        </is>
      </c>
      <c r="G1547" s="16" t="n">
        <v>45799</v>
      </c>
      <c r="H1547" s="17" t="inlineStr">
        <is>
          <t>CÔNG TY TNHH SƠN JOTUN VIỆT NAM</t>
        </is>
      </c>
      <c r="I1547" s="17" t="inlineStr">
        <is>
          <t>SƠN JOTAMASTIC 70 GREY 18L</t>
        </is>
      </c>
      <c r="J1547" s="17" t="inlineStr">
        <is>
          <t>Lít</t>
        </is>
      </c>
      <c r="K1547" s="21" t="n">
        <v>90000</v>
      </c>
      <c r="L1547" s="21" t="n"/>
      <c r="M1547" s="22" t="n"/>
      <c r="N1547" s="22" t="n">
        <v>216</v>
      </c>
      <c r="O1547" s="22" t="n">
        <v>19440000</v>
      </c>
      <c r="P1547" s="22" t="n">
        <v>216</v>
      </c>
      <c r="Q1547" s="22" t="n">
        <v>19440000</v>
      </c>
      <c r="R1547" s="42">
        <f>+L1547+N1547-P1547</f>
        <v/>
      </c>
      <c r="S1547" s="42">
        <f>+M1547+O1547-Q1547</f>
        <v/>
      </c>
    </row>
    <row r="1548" ht="15" customHeight="1">
      <c r="A1548" s="16" t="n">
        <v>45799</v>
      </c>
      <c r="B1548" s="17" t="inlineStr">
        <is>
          <t>MH2505-30A</t>
        </is>
      </c>
      <c r="C1548" s="16" t="n">
        <v>45799</v>
      </c>
      <c r="D1548" s="17" t="inlineStr">
        <is>
          <t>00004621</t>
        </is>
      </c>
      <c r="E1548" s="16" t="n">
        <v>45799</v>
      </c>
      <c r="F1548" s="16" t="inlineStr">
        <is>
          <t>XK2505-09</t>
        </is>
      </c>
      <c r="G1548" s="16" t="n">
        <v>45799</v>
      </c>
      <c r="H1548" s="17" t="inlineStr">
        <is>
          <t>CÔNG TY TNHH SƠN JOTUN VIỆT NAM</t>
        </is>
      </c>
      <c r="I1548" s="17" t="inlineStr">
        <is>
          <t>SƠN FUTURA CLASSIC STD7395 19.15L</t>
        </is>
      </c>
      <c r="J1548" s="17" t="inlineStr">
        <is>
          <t>Lít</t>
        </is>
      </c>
      <c r="K1548" s="21" t="n">
        <v>155000</v>
      </c>
      <c r="L1548" s="21" t="n"/>
      <c r="M1548" s="22" t="n"/>
      <c r="N1548" s="22" t="n">
        <v>191.5</v>
      </c>
      <c r="O1548" s="22" t="n">
        <v>29682500</v>
      </c>
      <c r="P1548" s="22" t="n">
        <v>191.5</v>
      </c>
      <c r="Q1548" s="22" t="n">
        <v>29682500</v>
      </c>
      <c r="R1548" s="42">
        <f>+L1548+N1548-P1548</f>
        <v/>
      </c>
      <c r="S1548" s="42">
        <f>+M1548+O1548-Q1548</f>
        <v/>
      </c>
    </row>
    <row r="1549" ht="15" customHeight="1">
      <c r="A1549" s="16" t="n">
        <v>45799</v>
      </c>
      <c r="B1549" s="17" t="inlineStr">
        <is>
          <t>MH2505-30A</t>
        </is>
      </c>
      <c r="C1549" s="16" t="n">
        <v>45799</v>
      </c>
      <c r="D1549" s="17" t="inlineStr">
        <is>
          <t>00004621</t>
        </is>
      </c>
      <c r="E1549" s="16" t="n">
        <v>45799</v>
      </c>
      <c r="F1549" s="16" t="inlineStr">
        <is>
          <t>XK2505-09</t>
        </is>
      </c>
      <c r="G1549" s="16" t="n">
        <v>45799</v>
      </c>
      <c r="H1549" s="17" t="inlineStr">
        <is>
          <t>CÔNG TY TNHH SƠN JOTUN VIỆT NAM</t>
        </is>
      </c>
      <c r="I1549" s="17" t="inlineStr">
        <is>
          <t>SƠN FUTURA CLASSIC STD7395 4.79L</t>
        </is>
      </c>
      <c r="J1549" s="17" t="inlineStr">
        <is>
          <t>Lít</t>
        </is>
      </c>
      <c r="K1549" s="21" t="n">
        <v>155000</v>
      </c>
      <c r="L1549" s="21" t="n"/>
      <c r="M1549" s="22" t="n"/>
      <c r="N1549" s="22" t="n">
        <v>4.79</v>
      </c>
      <c r="O1549" s="22" t="n">
        <v>742450</v>
      </c>
      <c r="P1549" s="22" t="n">
        <v>4.79</v>
      </c>
      <c r="Q1549" s="22" t="n">
        <v>742450</v>
      </c>
      <c r="R1549" s="42">
        <f>+L1549+N1549-P1549</f>
        <v/>
      </c>
      <c r="S1549" s="42">
        <f>+M1549+O1549-Q1549</f>
        <v/>
      </c>
    </row>
    <row r="1550" ht="15" customHeight="1">
      <c r="A1550" s="16" t="n">
        <v>45799</v>
      </c>
      <c r="B1550" s="17" t="inlineStr">
        <is>
          <t>MH2505-30A</t>
        </is>
      </c>
      <c r="C1550" s="16" t="n">
        <v>45799</v>
      </c>
      <c r="D1550" s="17" t="inlineStr">
        <is>
          <t>00004621</t>
        </is>
      </c>
      <c r="E1550" s="16" t="n">
        <v>45799</v>
      </c>
      <c r="F1550" s="16" t="inlineStr">
        <is>
          <t>XK2505-09</t>
        </is>
      </c>
      <c r="G1550" s="16" t="n">
        <v>45799</v>
      </c>
      <c r="H1550" s="17" t="inlineStr">
        <is>
          <t>CÔNG TY TNHH SƠN JOTUN VIỆT NAM</t>
        </is>
      </c>
      <c r="I1550" s="17" t="inlineStr">
        <is>
          <t>DUNG MÔI JOTUN THINNER NO. 10 20L</t>
        </is>
      </c>
      <c r="J1550" s="17" t="inlineStr">
        <is>
          <t>Lít</t>
        </is>
      </c>
      <c r="K1550" s="21" t="n">
        <v>60000</v>
      </c>
      <c r="L1550" s="21" t="n"/>
      <c r="M1550" s="22" t="n"/>
      <c r="N1550" s="22" t="n">
        <v>20</v>
      </c>
      <c r="O1550" s="22" t="n">
        <v>1200000</v>
      </c>
      <c r="P1550" s="22" t="n">
        <v>20</v>
      </c>
      <c r="Q1550" s="22" t="n">
        <v>1200000</v>
      </c>
      <c r="R1550" s="42">
        <f>+L1550+N1550-P1550</f>
        <v/>
      </c>
      <c r="S1550" s="42">
        <f>+M1550+O1550-Q1550</f>
        <v/>
      </c>
    </row>
    <row r="1551" ht="15" customHeight="1">
      <c r="A1551" s="16" t="n">
        <v>45799</v>
      </c>
      <c r="B1551" s="17" t="inlineStr">
        <is>
          <t>MH2505-30A</t>
        </is>
      </c>
      <c r="C1551" s="16" t="n">
        <v>45799</v>
      </c>
      <c r="D1551" s="17" t="inlineStr">
        <is>
          <t>00004621</t>
        </is>
      </c>
      <c r="E1551" s="16" t="n">
        <v>45799</v>
      </c>
      <c r="F1551" s="16" t="inlineStr">
        <is>
          <t>XK2505-09</t>
        </is>
      </c>
      <c r="G1551" s="16" t="n">
        <v>45799</v>
      </c>
      <c r="H1551" s="17" t="inlineStr">
        <is>
          <t>CÔNG TY TNHH SƠN JOTUN VIỆT NAM</t>
        </is>
      </c>
      <c r="I1551" s="17" t="inlineStr">
        <is>
          <t>DUNG MÔI JOTUN THINNER NO. 10 5L</t>
        </is>
      </c>
      <c r="J1551" s="17" t="inlineStr">
        <is>
          <t>Lít</t>
        </is>
      </c>
      <c r="K1551" s="21" t="n">
        <v>60000</v>
      </c>
      <c r="L1551" s="21" t="n"/>
      <c r="M1551" s="22" t="n"/>
      <c r="N1551" s="22" t="n">
        <v>10</v>
      </c>
      <c r="O1551" s="22" t="n">
        <v>600000</v>
      </c>
      <c r="P1551" s="22" t="n">
        <v>10</v>
      </c>
      <c r="Q1551" s="22" t="n">
        <v>600000</v>
      </c>
      <c r="R1551" s="42">
        <f>+L1551+N1551-P1551</f>
        <v/>
      </c>
      <c r="S1551" s="42">
        <f>+M1551+O1551-Q1551</f>
        <v/>
      </c>
    </row>
    <row r="1552" ht="15" customHeight="1">
      <c r="A1552" s="16" t="n">
        <v>45799</v>
      </c>
      <c r="B1552" s="17" t="inlineStr">
        <is>
          <t>MH2505-30A</t>
        </is>
      </c>
      <c r="C1552" s="16" t="n">
        <v>45799</v>
      </c>
      <c r="D1552" s="17" t="inlineStr">
        <is>
          <t>00004621</t>
        </is>
      </c>
      <c r="E1552" s="16" t="n">
        <v>45799</v>
      </c>
      <c r="F1552" s="16" t="inlineStr">
        <is>
          <t>XK2505-09</t>
        </is>
      </c>
      <c r="G1552" s="16" t="n">
        <v>45799</v>
      </c>
      <c r="H1552" s="17" t="inlineStr">
        <is>
          <t>CÔNG TY TNHH SƠN JOTUN VIỆT NAM</t>
        </is>
      </c>
      <c r="I1552" s="17" t="inlineStr">
        <is>
          <t>DUNG MÔI JOTUN THINNER NO. 10 5L</t>
        </is>
      </c>
      <c r="J1552" s="17" t="inlineStr">
        <is>
          <t>Lít</t>
        </is>
      </c>
      <c r="K1552" s="21" t="n">
        <v>60000</v>
      </c>
      <c r="L1552" s="21" t="n"/>
      <c r="M1552" s="22" t="n"/>
      <c r="N1552" s="22" t="n">
        <v>10</v>
      </c>
      <c r="O1552" s="22" t="n">
        <v>600000</v>
      </c>
      <c r="P1552" s="22" t="n">
        <v>10</v>
      </c>
      <c r="Q1552" s="22" t="n">
        <v>600000</v>
      </c>
      <c r="R1552" s="42">
        <f>+L1552+N1552-P1552</f>
        <v/>
      </c>
      <c r="S1552" s="42">
        <f>+M1552+O1552-Q1552</f>
        <v/>
      </c>
    </row>
    <row r="1553" ht="15" customHeight="1">
      <c r="A1553" s="16" t="n">
        <v>45799</v>
      </c>
      <c r="B1553" s="17" t="inlineStr">
        <is>
          <t>MH2505-30A</t>
        </is>
      </c>
      <c r="C1553" s="16" t="n">
        <v>45799</v>
      </c>
      <c r="D1553" s="17" t="inlineStr">
        <is>
          <t>00004621</t>
        </is>
      </c>
      <c r="E1553" s="16" t="n">
        <v>45799</v>
      </c>
      <c r="F1553" s="16" t="inlineStr">
        <is>
          <t>XK2505-09</t>
        </is>
      </c>
      <c r="G1553" s="16" t="n">
        <v>45799</v>
      </c>
      <c r="H1553" s="17" t="inlineStr">
        <is>
          <t>CÔNG TY TNHH SƠN JOTUN VIỆT NAM</t>
        </is>
      </c>
      <c r="I1553" s="17" t="inlineStr">
        <is>
          <t>DUNG MÔI JOTUN THINNER NO. 17 20L</t>
        </is>
      </c>
      <c r="J1553" s="17" t="inlineStr">
        <is>
          <t>Lít</t>
        </is>
      </c>
      <c r="K1553" s="21" t="n">
        <v>60000</v>
      </c>
      <c r="L1553" s="21" t="n"/>
      <c r="M1553" s="22" t="n"/>
      <c r="N1553" s="22" t="n">
        <v>20</v>
      </c>
      <c r="O1553" s="22" t="n">
        <v>1200000</v>
      </c>
      <c r="P1553" s="22" t="n">
        <v>20</v>
      </c>
      <c r="Q1553" s="22" t="n">
        <v>1200000</v>
      </c>
      <c r="R1553" s="42">
        <f>+L1553+N1553-P1553</f>
        <v/>
      </c>
      <c r="S1553" s="42">
        <f>+M1553+O1553-Q1553</f>
        <v/>
      </c>
    </row>
    <row r="1554" ht="15" customHeight="1">
      <c r="A1554" s="16" t="n">
        <v>45799</v>
      </c>
      <c r="B1554" s="17" t="inlineStr">
        <is>
          <t>MH2505-31</t>
        </is>
      </c>
      <c r="C1554" s="16" t="n">
        <v>45799</v>
      </c>
      <c r="D1554" s="17" t="inlineStr">
        <is>
          <t>1351</t>
        </is>
      </c>
      <c r="E1554" s="16" t="n">
        <v>45799</v>
      </c>
      <c r="F1554" s="16" t="inlineStr">
        <is>
          <t>XK2505-10</t>
        </is>
      </c>
      <c r="G1554" s="16" t="n">
        <v>45799</v>
      </c>
      <c r="H1554" s="17" t="inlineStr">
        <is>
          <t>CÔNG TY TNHH THÉP QUỐC THANH</t>
        </is>
      </c>
      <c r="I1554" s="17" t="inlineStr">
        <is>
          <t>Thép tấm 50 ly</t>
        </is>
      </c>
      <c r="J1554" s="17" t="inlineStr">
        <is>
          <t>kg</t>
        </is>
      </c>
      <c r="K1554" s="21" t="n">
        <v>14181.82</v>
      </c>
      <c r="L1554" s="21" t="n"/>
      <c r="M1554" s="22" t="n"/>
      <c r="N1554" s="22" t="n">
        <v>18840</v>
      </c>
      <c r="O1554" s="22" t="n">
        <v>267185489</v>
      </c>
      <c r="P1554" s="22" t="n">
        <v>18840</v>
      </c>
      <c r="Q1554" s="22" t="n">
        <v>267185489</v>
      </c>
      <c r="R1554" s="42">
        <f>+L1554+N1554-P1554</f>
        <v/>
      </c>
      <c r="S1554" s="42">
        <f>+M1554+O1554-Q1554</f>
        <v/>
      </c>
    </row>
    <row r="1555" ht="15" customHeight="1">
      <c r="A1555" s="16" t="n">
        <v>45799</v>
      </c>
      <c r="B1555" s="17" t="inlineStr">
        <is>
          <t>MH2505-31</t>
        </is>
      </c>
      <c r="C1555" s="16" t="n">
        <v>45799</v>
      </c>
      <c r="D1555" s="17" t="inlineStr">
        <is>
          <t>1351</t>
        </is>
      </c>
      <c r="E1555" s="16" t="n">
        <v>45799</v>
      </c>
      <c r="F1555" s="16" t="inlineStr">
        <is>
          <t>XK2505-10</t>
        </is>
      </c>
      <c r="G1555" s="16" t="n">
        <v>45799</v>
      </c>
      <c r="H1555" s="17" t="inlineStr">
        <is>
          <t>CÔNG TY TNHH THÉP QUỐC THANH</t>
        </is>
      </c>
      <c r="I1555" s="17" t="inlineStr">
        <is>
          <t>Thép tấm 45 ly</t>
        </is>
      </c>
      <c r="J1555" s="17" t="inlineStr">
        <is>
          <t>kg</t>
        </is>
      </c>
      <c r="K1555" s="21" t="n">
        <v>14181.82</v>
      </c>
      <c r="L1555" s="21" t="n"/>
      <c r="M1555" s="22" t="n"/>
      <c r="N1555" s="22" t="n">
        <v>50868</v>
      </c>
      <c r="O1555" s="22" t="n">
        <v>721400820</v>
      </c>
      <c r="P1555" s="22" t="n">
        <v>50868</v>
      </c>
      <c r="Q1555" s="22" t="n">
        <v>721400820</v>
      </c>
      <c r="R1555" s="42">
        <f>+L1555+N1555-P1555</f>
        <v/>
      </c>
      <c r="S1555" s="42">
        <f>+M1555+O1555-Q1555</f>
        <v/>
      </c>
    </row>
    <row r="1556" ht="30" customHeight="1">
      <c r="A1556" s="16" t="n">
        <v>45799</v>
      </c>
      <c r="B1556" s="17" t="inlineStr">
        <is>
          <t>MH2505-32</t>
        </is>
      </c>
      <c r="C1556" s="16" t="n">
        <v>45799</v>
      </c>
      <c r="D1556" s="17" t="inlineStr">
        <is>
          <t>1083</t>
        </is>
      </c>
      <c r="E1556" s="16" t="n">
        <v>45799</v>
      </c>
      <c r="F1556" s="16" t="inlineStr">
        <is>
          <t>XK2505-11</t>
        </is>
      </c>
      <c r="G1556" s="16" t="n">
        <v>45799</v>
      </c>
      <c r="H1556" s="17" t="inlineStr">
        <is>
          <t>CÔNG TY TNHH THƯƠNG MẠI THÉP TOÀN THẮNG</t>
        </is>
      </c>
      <c r="I1556" s="17" t="inlineStr">
        <is>
          <t>Thép tấm 14x2000x12000mm A572</t>
        </is>
      </c>
      <c r="J1556" s="17" t="inlineStr">
        <is>
          <t>kg</t>
        </is>
      </c>
      <c r="K1556" s="21" t="n">
        <v>15477</v>
      </c>
      <c r="L1556" s="21" t="n"/>
      <c r="M1556" s="22" t="n"/>
      <c r="N1556" s="22" t="n">
        <v>2637.6</v>
      </c>
      <c r="O1556" s="22" t="n">
        <v>40822135</v>
      </c>
      <c r="P1556" s="22" t="n">
        <v>2637.6</v>
      </c>
      <c r="Q1556" s="22" t="n">
        <v>40822135</v>
      </c>
      <c r="R1556" s="42">
        <f>+L1556+N1556-P1556</f>
        <v/>
      </c>
      <c r="S1556" s="42">
        <f>+M1556+O1556-Q1556</f>
        <v/>
      </c>
    </row>
    <row r="1557" ht="30" customHeight="1">
      <c r="A1557" s="16" t="n">
        <v>45799</v>
      </c>
      <c r="B1557" s="17" t="inlineStr">
        <is>
          <t>MH2505-32</t>
        </is>
      </c>
      <c r="C1557" s="16" t="n">
        <v>45799</v>
      </c>
      <c r="D1557" s="17" t="inlineStr">
        <is>
          <t>1083</t>
        </is>
      </c>
      <c r="E1557" s="16" t="n">
        <v>45799</v>
      </c>
      <c r="F1557" s="16" t="inlineStr">
        <is>
          <t>XK2505-11</t>
        </is>
      </c>
      <c r="G1557" s="16" t="n">
        <v>45799</v>
      </c>
      <c r="H1557" s="17" t="inlineStr">
        <is>
          <t>CÔNG TY TNHH THƯƠNG MẠI THÉP TOÀN THẮNG</t>
        </is>
      </c>
      <c r="I1557" s="17" t="inlineStr">
        <is>
          <t>Thép tấm 12x2000x12000mm A572</t>
        </is>
      </c>
      <c r="J1557" s="17" t="inlineStr">
        <is>
          <t>kg</t>
        </is>
      </c>
      <c r="K1557" s="21" t="n">
        <v>15477</v>
      </c>
      <c r="L1557" s="21" t="n"/>
      <c r="M1557" s="22" t="n"/>
      <c r="N1557" s="22" t="n">
        <v>2260.8</v>
      </c>
      <c r="O1557" s="22" t="n">
        <v>34990402</v>
      </c>
      <c r="P1557" s="22" t="n">
        <v>2260.8</v>
      </c>
      <c r="Q1557" s="22" t="n">
        <v>34990402</v>
      </c>
      <c r="R1557" s="42">
        <f>+L1557+N1557-P1557</f>
        <v/>
      </c>
      <c r="S1557" s="42">
        <f>+M1557+O1557-Q1557</f>
        <v/>
      </c>
    </row>
    <row r="1558" ht="30" customHeight="1">
      <c r="A1558" s="16" t="n">
        <v>45799</v>
      </c>
      <c r="B1558" s="17" t="inlineStr">
        <is>
          <t>MH2505-33</t>
        </is>
      </c>
      <c r="C1558" s="16" t="n">
        <v>45799</v>
      </c>
      <c r="D1558" s="17" t="inlineStr">
        <is>
          <t>00000893</t>
        </is>
      </c>
      <c r="E1558" s="16" t="n">
        <v>45799</v>
      </c>
      <c r="F1558" s="16" t="inlineStr">
        <is>
          <t>XK2505-12</t>
        </is>
      </c>
      <c r="G1558" s="16" t="n">
        <v>45799</v>
      </c>
      <c r="H1558" s="17" t="inlineStr">
        <is>
          <t>CÔNG TY TNHH DỊCH VỤ - THƯƠNG MẠI THÉP THIÊN LONG</t>
        </is>
      </c>
      <c r="I1558" s="17" t="inlineStr">
        <is>
          <t>Thép tấm 6ly</t>
        </is>
      </c>
      <c r="J1558" s="17" t="inlineStr">
        <is>
          <t>kg</t>
        </is>
      </c>
      <c r="K1558" s="21" t="n">
        <v>13427.27</v>
      </c>
      <c r="L1558" s="21" t="n"/>
      <c r="M1558" s="22" t="n"/>
      <c r="N1558" s="22" t="n">
        <v>28260</v>
      </c>
      <c r="O1558" s="22" t="n">
        <v>379454650</v>
      </c>
      <c r="P1558" s="22" t="n">
        <v>28260</v>
      </c>
      <c r="Q1558" s="22" t="n">
        <v>379454650</v>
      </c>
      <c r="R1558" s="42">
        <f>+L1558+N1558-P1558</f>
        <v/>
      </c>
      <c r="S1558" s="42">
        <f>+M1558+O1558-Q1558</f>
        <v/>
      </c>
    </row>
    <row r="1559" ht="30" customHeight="1">
      <c r="A1559" s="16" t="n">
        <v>45799</v>
      </c>
      <c r="B1559" s="17" t="inlineStr">
        <is>
          <t>MH2505-33</t>
        </is>
      </c>
      <c r="C1559" s="16" t="n">
        <v>45799</v>
      </c>
      <c r="D1559" s="17" t="inlineStr">
        <is>
          <t>00000893</t>
        </is>
      </c>
      <c r="E1559" s="16" t="n">
        <v>45799</v>
      </c>
      <c r="F1559" s="16" t="inlineStr">
        <is>
          <t>XK2505-12</t>
        </is>
      </c>
      <c r="G1559" s="16" t="n">
        <v>45799</v>
      </c>
      <c r="H1559" s="17" t="inlineStr">
        <is>
          <t>CÔNG TY TNHH DỊCH VỤ - THƯƠNG MẠI THÉP THIÊN LONG</t>
        </is>
      </c>
      <c r="I1559" s="17" t="inlineStr">
        <is>
          <t>Thép tấm 8ly</t>
        </is>
      </c>
      <c r="J1559" s="17" t="inlineStr">
        <is>
          <t>kg</t>
        </is>
      </c>
      <c r="K1559" s="21" t="n">
        <v>13427.27</v>
      </c>
      <c r="L1559" s="21" t="n"/>
      <c r="M1559" s="22" t="n"/>
      <c r="N1559" s="22" t="n">
        <v>75360</v>
      </c>
      <c r="O1559" s="22" t="n">
        <v>1011879067</v>
      </c>
      <c r="P1559" s="22" t="n">
        <v>75360</v>
      </c>
      <c r="Q1559" s="22" t="n">
        <v>1011879067</v>
      </c>
      <c r="R1559" s="42">
        <f>+L1559+N1559-P1559</f>
        <v/>
      </c>
      <c r="S1559" s="42">
        <f>+M1559+O1559-Q1559</f>
        <v/>
      </c>
    </row>
    <row r="1560" ht="30" customHeight="1">
      <c r="A1560" s="16" t="n">
        <v>45799</v>
      </c>
      <c r="B1560" s="17" t="inlineStr">
        <is>
          <t>MH2505-33</t>
        </is>
      </c>
      <c r="C1560" s="16" t="n">
        <v>45799</v>
      </c>
      <c r="D1560" s="17" t="inlineStr">
        <is>
          <t>00000893</t>
        </is>
      </c>
      <c r="E1560" s="16" t="n">
        <v>45799</v>
      </c>
      <c r="F1560" s="16" t="inlineStr">
        <is>
          <t>XK2505-12</t>
        </is>
      </c>
      <c r="G1560" s="16" t="n">
        <v>45799</v>
      </c>
      <c r="H1560" s="17" t="inlineStr">
        <is>
          <t>CÔNG TY TNHH DỊCH VỤ - THƯƠNG MẠI THÉP THIÊN LONG</t>
        </is>
      </c>
      <c r="I1560" s="17" t="inlineStr">
        <is>
          <t>Thép tấm 10ly</t>
        </is>
      </c>
      <c r="J1560" s="17" t="inlineStr">
        <is>
          <t>kg</t>
        </is>
      </c>
      <c r="K1560" s="21" t="n">
        <v>13427.27</v>
      </c>
      <c r="L1560" s="21" t="n"/>
      <c r="M1560" s="22" t="n"/>
      <c r="N1560" s="22" t="n">
        <v>5652</v>
      </c>
      <c r="O1560" s="22" t="n">
        <v>75890930</v>
      </c>
      <c r="P1560" s="22" t="n">
        <v>5652</v>
      </c>
      <c r="Q1560" s="22" t="n">
        <v>75890930</v>
      </c>
      <c r="R1560" s="42">
        <f>+L1560+N1560-P1560</f>
        <v/>
      </c>
      <c r="S1560" s="42">
        <f>+M1560+O1560-Q1560</f>
        <v/>
      </c>
    </row>
    <row r="1561" ht="30" customHeight="1">
      <c r="A1561" s="16" t="n">
        <v>45799</v>
      </c>
      <c r="B1561" s="17" t="inlineStr">
        <is>
          <t>MH2505-33</t>
        </is>
      </c>
      <c r="C1561" s="16" t="n">
        <v>45799</v>
      </c>
      <c r="D1561" s="17" t="inlineStr">
        <is>
          <t>00000893</t>
        </is>
      </c>
      <c r="E1561" s="16" t="n">
        <v>45799</v>
      </c>
      <c r="F1561" s="16" t="inlineStr">
        <is>
          <t>XK2505-12</t>
        </is>
      </c>
      <c r="G1561" s="16" t="n">
        <v>45799</v>
      </c>
      <c r="H1561" s="17" t="inlineStr">
        <is>
          <t>CÔNG TY TNHH DỊCH VỤ - THƯƠNG MẠI THÉP THIÊN LONG</t>
        </is>
      </c>
      <c r="I1561" s="17" t="inlineStr">
        <is>
          <t>Thép tấm 12ly</t>
        </is>
      </c>
      <c r="J1561" s="17" t="inlineStr">
        <is>
          <t>kg</t>
        </is>
      </c>
      <c r="K1561" s="21" t="n">
        <v>13427.27</v>
      </c>
      <c r="L1561" s="21" t="n"/>
      <c r="M1561" s="22" t="n"/>
      <c r="N1561" s="22" t="n">
        <v>67824</v>
      </c>
      <c r="O1561" s="22" t="n">
        <v>910691160</v>
      </c>
      <c r="P1561" s="22" t="n">
        <v>67824</v>
      </c>
      <c r="Q1561" s="22" t="n">
        <v>910691160</v>
      </c>
      <c r="R1561" s="42">
        <f>+L1561+N1561-P1561</f>
        <v/>
      </c>
      <c r="S1561" s="42">
        <f>+M1561+O1561-Q1561</f>
        <v/>
      </c>
    </row>
    <row r="1562" ht="30" customHeight="1">
      <c r="A1562" s="16" t="n">
        <v>45799</v>
      </c>
      <c r="B1562" s="17" t="inlineStr">
        <is>
          <t>MH2505-33</t>
        </is>
      </c>
      <c r="C1562" s="16" t="n">
        <v>45799</v>
      </c>
      <c r="D1562" s="17" t="inlineStr">
        <is>
          <t>00000893</t>
        </is>
      </c>
      <c r="E1562" s="16" t="n">
        <v>45799</v>
      </c>
      <c r="F1562" s="16" t="inlineStr">
        <is>
          <t>XK2505-12</t>
        </is>
      </c>
      <c r="G1562" s="16" t="n">
        <v>45799</v>
      </c>
      <c r="H1562" s="17" t="inlineStr">
        <is>
          <t>CÔNG TY TNHH DỊCH VỤ - THƯƠNG MẠI THÉP THIÊN LONG</t>
        </is>
      </c>
      <c r="I1562" s="17" t="inlineStr">
        <is>
          <t>Thép tấm 14ly</t>
        </is>
      </c>
      <c r="J1562" s="17" t="inlineStr">
        <is>
          <t>kg</t>
        </is>
      </c>
      <c r="K1562" s="21" t="n">
        <v>14336.36</v>
      </c>
      <c r="L1562" s="21" t="n"/>
      <c r="M1562" s="22" t="n"/>
      <c r="N1562" s="22" t="n">
        <v>7912.8</v>
      </c>
      <c r="O1562" s="22" t="n">
        <v>113440749</v>
      </c>
      <c r="P1562" s="22" t="n">
        <v>7912.8</v>
      </c>
      <c r="Q1562" s="22" t="n">
        <v>113440749</v>
      </c>
      <c r="R1562" s="42">
        <f>+L1562+N1562-P1562</f>
        <v/>
      </c>
      <c r="S1562" s="42">
        <f>+M1562+O1562-Q1562</f>
        <v/>
      </c>
    </row>
    <row r="1563" ht="15" customHeight="1">
      <c r="A1563" s="16" t="n">
        <v>45804</v>
      </c>
      <c r="B1563" s="17" t="inlineStr">
        <is>
          <t>MH2505-34</t>
        </is>
      </c>
      <c r="C1563" s="16" t="n">
        <v>45804</v>
      </c>
      <c r="D1563" s="17" t="inlineStr">
        <is>
          <t>00004775</t>
        </is>
      </c>
      <c r="E1563" s="16" t="n">
        <v>45804</v>
      </c>
      <c r="F1563" s="16" t="inlineStr">
        <is>
          <t>XK2505-13</t>
        </is>
      </c>
      <c r="G1563" s="16" t="n">
        <v>45804</v>
      </c>
      <c r="H1563" s="17" t="inlineStr">
        <is>
          <t>CÔNG TY TNHH SƠN JOTUN VIỆT NAM</t>
        </is>
      </c>
      <c r="I1563" s="17" t="inlineStr">
        <is>
          <t>SƠN JOTAMASTIC 70 GREY 18L</t>
        </is>
      </c>
      <c r="J1563" s="17" t="inlineStr">
        <is>
          <t>Lít</t>
        </is>
      </c>
      <c r="K1563" s="21" t="n">
        <v>90000</v>
      </c>
      <c r="L1563" s="21" t="n"/>
      <c r="M1563" s="22" t="n"/>
      <c r="N1563" s="22" t="n">
        <v>3276</v>
      </c>
      <c r="O1563" s="22" t="n">
        <v>294840000</v>
      </c>
      <c r="P1563" s="22" t="n">
        <v>3276</v>
      </c>
      <c r="Q1563" s="22" t="n">
        <v>294840000</v>
      </c>
      <c r="R1563" s="42">
        <f>+L1563+N1563-P1563</f>
        <v/>
      </c>
      <c r="S1563" s="42">
        <f>+M1563+O1563-Q1563</f>
        <v/>
      </c>
    </row>
    <row r="1564" ht="15" customHeight="1">
      <c r="A1564" s="16" t="n">
        <v>45804</v>
      </c>
      <c r="B1564" s="17" t="inlineStr">
        <is>
          <t>MH2505-34</t>
        </is>
      </c>
      <c r="C1564" s="16" t="n">
        <v>45804</v>
      </c>
      <c r="D1564" s="17" t="inlineStr">
        <is>
          <t>00004775</t>
        </is>
      </c>
      <c r="E1564" s="16" t="n">
        <v>45804</v>
      </c>
      <c r="F1564" s="16" t="inlineStr">
        <is>
          <t>XK2505-13</t>
        </is>
      </c>
      <c r="G1564" s="16" t="n">
        <v>45804</v>
      </c>
      <c r="H1564" s="17" t="inlineStr">
        <is>
          <t>CÔNG TY TNHH SƠN JOTUN VIỆT NAM</t>
        </is>
      </c>
      <c r="I1564" s="17" t="inlineStr">
        <is>
          <t>DUNG MÔI JOTUN THINNER NO. 10 20L</t>
        </is>
      </c>
      <c r="J1564" s="17" t="inlineStr">
        <is>
          <t>Lít</t>
        </is>
      </c>
      <c r="K1564" s="21" t="n">
        <v>60000</v>
      </c>
      <c r="L1564" s="21" t="n"/>
      <c r="M1564" s="22" t="n"/>
      <c r="N1564" s="22" t="n">
        <v>300</v>
      </c>
      <c r="O1564" s="22" t="n">
        <v>18000000</v>
      </c>
      <c r="P1564" s="22" t="n">
        <v>300</v>
      </c>
      <c r="Q1564" s="22" t="n">
        <v>18000000</v>
      </c>
      <c r="R1564" s="42">
        <f>+L1564+N1564-P1564</f>
        <v/>
      </c>
      <c r="S1564" s="42">
        <f>+M1564+O1564-Q1564</f>
        <v/>
      </c>
    </row>
    <row r="1565" ht="15" customHeight="1">
      <c r="A1565" s="16" t="n">
        <v>45804</v>
      </c>
      <c r="B1565" s="17" t="inlineStr">
        <is>
          <t>MH2505-34</t>
        </is>
      </c>
      <c r="C1565" s="16" t="n">
        <v>45804</v>
      </c>
      <c r="D1565" s="17" t="inlineStr">
        <is>
          <t>00004775</t>
        </is>
      </c>
      <c r="E1565" s="16" t="n">
        <v>45804</v>
      </c>
      <c r="F1565" s="16" t="inlineStr">
        <is>
          <t>XK2505-13</t>
        </is>
      </c>
      <c r="G1565" s="16" t="n">
        <v>45804</v>
      </c>
      <c r="H1565" s="17" t="inlineStr">
        <is>
          <t>CÔNG TY TNHH SƠN JOTUN VIỆT NAM</t>
        </is>
      </c>
      <c r="I1565" s="17" t="inlineStr">
        <is>
          <t>DUNG MÔI JOTUN THINNER NO. 17 20L</t>
        </is>
      </c>
      <c r="J1565" s="17" t="inlineStr">
        <is>
          <t>Lít</t>
        </is>
      </c>
      <c r="K1565" s="21" t="n">
        <v>60000</v>
      </c>
      <c r="L1565" s="21" t="n"/>
      <c r="M1565" s="22" t="n"/>
      <c r="N1565" s="22" t="n">
        <v>500</v>
      </c>
      <c r="O1565" s="22" t="n">
        <v>30000000</v>
      </c>
      <c r="P1565" s="22" t="n">
        <v>500</v>
      </c>
      <c r="Q1565" s="22" t="n">
        <v>30000000</v>
      </c>
      <c r="R1565" s="42">
        <f>+L1565+N1565-P1565</f>
        <v/>
      </c>
      <c r="S1565" s="42">
        <f>+M1565+O1565-Q1565</f>
        <v/>
      </c>
    </row>
    <row r="1566" ht="30" customHeight="1">
      <c r="A1566" s="16" t="n">
        <v>45805</v>
      </c>
      <c r="B1566" s="17" t="inlineStr">
        <is>
          <t>MH2505-35</t>
        </is>
      </c>
      <c r="C1566" s="16" t="n">
        <v>45805</v>
      </c>
      <c r="D1566" s="17" t="inlineStr">
        <is>
          <t>00000940</t>
        </is>
      </c>
      <c r="E1566" s="16" t="n">
        <v>45805</v>
      </c>
      <c r="F1566" s="16" t="inlineStr">
        <is>
          <t>XK2505-14</t>
        </is>
      </c>
      <c r="G1566" s="16" t="n">
        <v>45805</v>
      </c>
      <c r="H1566" s="17" t="inlineStr">
        <is>
          <t>CÔNG TY TNHH DỊCH VỤ - THƯƠNG MẠI THÉP THIÊN LONG</t>
        </is>
      </c>
      <c r="I1566" s="17" t="inlineStr">
        <is>
          <t>Thép hình U120</t>
        </is>
      </c>
      <c r="J1566" s="17" t="inlineStr">
        <is>
          <t>kg</t>
        </is>
      </c>
      <c r="K1566" s="21" t="n">
        <v>14181.81</v>
      </c>
      <c r="L1566" s="21" t="n"/>
      <c r="M1566" s="22" t="n"/>
      <c r="N1566" s="22" t="n">
        <v>390.6</v>
      </c>
      <c r="O1566" s="22" t="n">
        <v>5539415</v>
      </c>
      <c r="P1566" s="22" t="n">
        <v>390.6</v>
      </c>
      <c r="Q1566" s="22" t="n">
        <v>5539415</v>
      </c>
      <c r="R1566" s="42">
        <f>+L1566+N1566-P1566</f>
        <v/>
      </c>
      <c r="S1566" s="42">
        <f>+M1566+O1566-Q1566</f>
        <v/>
      </c>
    </row>
    <row r="1567" ht="30" customHeight="1">
      <c r="A1567" s="16" t="n">
        <v>45805</v>
      </c>
      <c r="B1567" s="17" t="inlineStr">
        <is>
          <t>MH2505-35</t>
        </is>
      </c>
      <c r="C1567" s="16" t="n">
        <v>45805</v>
      </c>
      <c r="D1567" s="17" t="inlineStr">
        <is>
          <t>00000940</t>
        </is>
      </c>
      <c r="E1567" s="16" t="n">
        <v>45805</v>
      </c>
      <c r="F1567" s="16" t="inlineStr">
        <is>
          <t>XK2505-14</t>
        </is>
      </c>
      <c r="G1567" s="16" t="n">
        <v>45805</v>
      </c>
      <c r="H1567" s="17" t="inlineStr">
        <is>
          <t>CÔNG TY TNHH DỊCH VỤ - THƯƠNG MẠI THÉP THIÊN LONG</t>
        </is>
      </c>
      <c r="I1567" s="17" t="inlineStr">
        <is>
          <t>Thép hình U250</t>
        </is>
      </c>
      <c r="J1567" s="17" t="inlineStr">
        <is>
          <t>kg</t>
        </is>
      </c>
      <c r="K1567" s="21" t="n">
        <v>14545.45</v>
      </c>
      <c r="L1567" s="21" t="n"/>
      <c r="M1567" s="22" t="n"/>
      <c r="N1567" s="22" t="n">
        <v>4604.88</v>
      </c>
      <c r="O1567" s="22" t="n">
        <v>66980052</v>
      </c>
      <c r="P1567" s="22" t="n">
        <v>4604.88</v>
      </c>
      <c r="Q1567" s="22" t="n">
        <v>66980052</v>
      </c>
      <c r="R1567" s="42">
        <f>+L1567+N1567-P1567</f>
        <v/>
      </c>
      <c r="S1567" s="42">
        <f>+M1567+O1567-Q1567</f>
        <v/>
      </c>
    </row>
    <row r="1568" ht="30" customHeight="1">
      <c r="A1568" s="16" t="n">
        <v>45805</v>
      </c>
      <c r="B1568" s="17" t="inlineStr">
        <is>
          <t>MH2505-35</t>
        </is>
      </c>
      <c r="C1568" s="16" t="n">
        <v>45805</v>
      </c>
      <c r="D1568" s="17" t="inlineStr">
        <is>
          <t>00000940</t>
        </is>
      </c>
      <c r="E1568" s="16" t="n">
        <v>45805</v>
      </c>
      <c r="F1568" s="16" t="inlineStr">
        <is>
          <t>XK2505-14</t>
        </is>
      </c>
      <c r="G1568" s="16" t="n">
        <v>45805</v>
      </c>
      <c r="H1568" s="17" t="inlineStr">
        <is>
          <t>CÔNG TY TNHH DỊCH VỤ - THƯƠNG MẠI THÉP THIÊN LONG</t>
        </is>
      </c>
      <c r="I1568" s="17" t="inlineStr">
        <is>
          <t>Thép góc V50</t>
        </is>
      </c>
      <c r="J1568" s="17" t="inlineStr">
        <is>
          <t>kg</t>
        </is>
      </c>
      <c r="K1568" s="21" t="n">
        <v>14727.27</v>
      </c>
      <c r="L1568" s="21" t="n"/>
      <c r="M1568" s="22" t="n"/>
      <c r="N1568" s="22" t="n">
        <v>238.68</v>
      </c>
      <c r="O1568" s="22" t="n">
        <v>3515105</v>
      </c>
      <c r="P1568" s="22" t="n">
        <v>238.68</v>
      </c>
      <c r="Q1568" s="22" t="n">
        <v>3515105</v>
      </c>
      <c r="R1568" s="42">
        <f>+L1568+N1568-P1568</f>
        <v/>
      </c>
      <c r="S1568" s="42">
        <f>+M1568+O1568-Q1568</f>
        <v/>
      </c>
    </row>
    <row r="1569" ht="30" customHeight="1">
      <c r="A1569" s="16" t="n">
        <v>45805</v>
      </c>
      <c r="B1569" s="17" t="inlineStr">
        <is>
          <t>MH2505-35</t>
        </is>
      </c>
      <c r="C1569" s="16" t="n">
        <v>45805</v>
      </c>
      <c r="D1569" s="17" t="inlineStr">
        <is>
          <t>00000940</t>
        </is>
      </c>
      <c r="E1569" s="16" t="n">
        <v>45805</v>
      </c>
      <c r="F1569" s="16" t="inlineStr">
        <is>
          <t>XK2505-14</t>
        </is>
      </c>
      <c r="G1569" s="16" t="n">
        <v>45805</v>
      </c>
      <c r="H1569" s="17" t="inlineStr">
        <is>
          <t>CÔNG TY TNHH DỊCH VỤ - THƯƠNG MẠI THÉP THIÊN LONG</t>
        </is>
      </c>
      <c r="I1569" s="17" t="inlineStr">
        <is>
          <t>Thép ống đen 26.65</t>
        </is>
      </c>
      <c r="J1569" s="17" t="inlineStr">
        <is>
          <t>kg</t>
        </is>
      </c>
      <c r="K1569" s="21" t="n">
        <v>16363.63</v>
      </c>
      <c r="L1569" s="21" t="n"/>
      <c r="M1569" s="22" t="n"/>
      <c r="N1569" s="22" t="n">
        <v>371.79</v>
      </c>
      <c r="O1569" s="22" t="n">
        <v>6083834</v>
      </c>
      <c r="P1569" s="22" t="n">
        <v>371.79</v>
      </c>
      <c r="Q1569" s="22" t="n">
        <v>6083834</v>
      </c>
      <c r="R1569" s="42">
        <f>+L1569+N1569-P1569</f>
        <v/>
      </c>
      <c r="S1569" s="42">
        <f>+M1569+O1569-Q1569</f>
        <v/>
      </c>
    </row>
    <row r="1570" ht="30" customHeight="1">
      <c r="A1570" s="16" t="n">
        <v>45805</v>
      </c>
      <c r="B1570" s="17" t="inlineStr">
        <is>
          <t>MH2505-35</t>
        </is>
      </c>
      <c r="C1570" s="16" t="n">
        <v>45805</v>
      </c>
      <c r="D1570" s="17" t="inlineStr">
        <is>
          <t>00000940</t>
        </is>
      </c>
      <c r="E1570" s="16" t="n">
        <v>45805</v>
      </c>
      <c r="F1570" s="16" t="inlineStr">
        <is>
          <t>XK2505-14</t>
        </is>
      </c>
      <c r="G1570" s="16" t="n">
        <v>45805</v>
      </c>
      <c r="H1570" s="17" t="inlineStr">
        <is>
          <t>CÔNG TY TNHH DỊCH VỤ - THƯƠNG MẠI THÉP THIÊN LONG</t>
        </is>
      </c>
      <c r="I1570" s="17" t="inlineStr">
        <is>
          <t>Thép ống đen 42.2</t>
        </is>
      </c>
      <c r="J1570" s="17" t="inlineStr">
        <is>
          <t>kg</t>
        </is>
      </c>
      <c r="K1570" s="21" t="n">
        <v>16363.63</v>
      </c>
      <c r="L1570" s="21" t="n"/>
      <c r="M1570" s="22" t="n"/>
      <c r="N1570" s="22" t="n">
        <v>1044</v>
      </c>
      <c r="O1570" s="22" t="n">
        <v>17083700</v>
      </c>
      <c r="P1570" s="22" t="n">
        <v>1044</v>
      </c>
      <c r="Q1570" s="22" t="n">
        <v>17083700</v>
      </c>
      <c r="R1570" s="42">
        <f>+L1570+N1570-P1570</f>
        <v/>
      </c>
      <c r="S1570" s="42">
        <f>+M1570+O1570-Q1570</f>
        <v/>
      </c>
    </row>
    <row r="1571" ht="30" customHeight="1">
      <c r="A1571" s="16" t="n">
        <v>45805</v>
      </c>
      <c r="B1571" s="17" t="inlineStr">
        <is>
          <t>MH2505-35</t>
        </is>
      </c>
      <c r="C1571" s="16" t="n">
        <v>45805</v>
      </c>
      <c r="D1571" s="17" t="inlineStr">
        <is>
          <t>00000940</t>
        </is>
      </c>
      <c r="E1571" s="16" t="n">
        <v>45805</v>
      </c>
      <c r="F1571" s="16" t="inlineStr">
        <is>
          <t>XK2505-14</t>
        </is>
      </c>
      <c r="G1571" s="16" t="n">
        <v>45805</v>
      </c>
      <c r="H1571" s="17" t="inlineStr">
        <is>
          <t>CÔNG TY TNHH DỊCH VỤ - THƯƠNG MẠI THÉP THIÊN LONG</t>
        </is>
      </c>
      <c r="I1571" s="17" t="inlineStr">
        <is>
          <t>Thép tấm gân 5ly</t>
        </is>
      </c>
      <c r="J1571" s="17" t="inlineStr">
        <is>
          <t>kg</t>
        </is>
      </c>
      <c r="K1571" s="21" t="n">
        <v>13181.81</v>
      </c>
      <c r="L1571" s="21" t="n"/>
      <c r="M1571" s="22" t="n"/>
      <c r="N1571" s="22" t="n">
        <v>4563</v>
      </c>
      <c r="O1571" s="22" t="n">
        <v>60148599</v>
      </c>
      <c r="P1571" s="22" t="n">
        <v>4563</v>
      </c>
      <c r="Q1571" s="22" t="n">
        <v>60148599</v>
      </c>
      <c r="R1571" s="42">
        <f>+L1571+N1571-P1571</f>
        <v/>
      </c>
      <c r="S1571" s="42">
        <f>+M1571+O1571-Q1571</f>
        <v/>
      </c>
    </row>
    <row r="1572" ht="30" customHeight="1">
      <c r="A1572" s="16" t="n">
        <v>45805</v>
      </c>
      <c r="B1572" s="17" t="inlineStr">
        <is>
          <t>MH2505-36</t>
        </is>
      </c>
      <c r="C1572" s="16" t="n">
        <v>45805</v>
      </c>
      <c r="D1572" s="17" t="inlineStr">
        <is>
          <t>00001976</t>
        </is>
      </c>
      <c r="E1572" s="16" t="n">
        <v>45805</v>
      </c>
      <c r="F1572" s="16" t="inlineStr">
        <is>
          <t>XK2505-15</t>
        </is>
      </c>
      <c r="G1572" s="16" t="n">
        <v>45805</v>
      </c>
      <c r="H1572" s="17" t="inlineStr">
        <is>
          <t>CÔNG TY CỔ PHẦN CÔNG NGHIỆP VÀ THƯƠNG MẠI CƯỜNG THỊNH</t>
        </is>
      </c>
      <c r="I1572" s="17" t="inlineStr">
        <is>
          <t>Vít B2 Dacromet 12-14x20</t>
        </is>
      </c>
      <c r="J1572" s="17" t="inlineStr">
        <is>
          <t>Cái</t>
        </is>
      </c>
      <c r="K1572" s="21" t="n">
        <v>600</v>
      </c>
      <c r="L1572" s="21" t="n"/>
      <c r="M1572" s="22" t="n"/>
      <c r="N1572" s="22" t="n">
        <v>600</v>
      </c>
      <c r="O1572" s="22" t="n">
        <v>360000</v>
      </c>
      <c r="P1572" s="22" t="n">
        <v>600</v>
      </c>
      <c r="Q1572" s="22" t="n">
        <v>360000</v>
      </c>
      <c r="R1572" s="42">
        <f>+L1572+N1572-P1572</f>
        <v/>
      </c>
      <c r="S1572" s="42">
        <f>+M1572+O1572-Q1572</f>
        <v/>
      </c>
    </row>
    <row r="1573" ht="30" customHeight="1">
      <c r="A1573" s="16" t="n">
        <v>45805</v>
      </c>
      <c r="B1573" s="17" t="inlineStr">
        <is>
          <t>MH2505-37</t>
        </is>
      </c>
      <c r="C1573" s="16" t="n">
        <v>45805</v>
      </c>
      <c r="D1573" s="17" t="inlineStr">
        <is>
          <t>00001977</t>
        </is>
      </c>
      <c r="E1573" s="16" t="n">
        <v>45805</v>
      </c>
      <c r="F1573" s="16" t="inlineStr">
        <is>
          <t>XK2505-15</t>
        </is>
      </c>
      <c r="G1573" s="16" t="n">
        <v>45805</v>
      </c>
      <c r="H1573" s="17" t="inlineStr">
        <is>
          <t>CÔNG TY CỔ PHẦN CÔNG NGHIỆP VÀ THƯƠNG MẠI CƯỜNG THỊNH</t>
        </is>
      </c>
      <c r="I1573" s="17" t="inlineStr">
        <is>
          <t>Cáp Ф19.5 6x36+IWRC M20</t>
        </is>
      </c>
      <c r="J1573" s="17" t="inlineStr">
        <is>
          <t>Cái</t>
        </is>
      </c>
      <c r="K1573" s="21" t="n">
        <v>99000</v>
      </c>
      <c r="L1573" s="21" t="n"/>
      <c r="M1573" s="22" t="n"/>
      <c r="N1573" s="22" t="n">
        <v>70.40000000000001</v>
      </c>
      <c r="O1573" s="22" t="n">
        <v>6969600</v>
      </c>
      <c r="P1573" s="22" t="n">
        <v>70.40000000000001</v>
      </c>
      <c r="Q1573" s="22" t="n">
        <v>6969600</v>
      </c>
      <c r="R1573" s="42">
        <f>+L1573+N1573-P1573</f>
        <v/>
      </c>
      <c r="S1573" s="42">
        <f>+M1573+O1573-Q1573</f>
        <v/>
      </c>
    </row>
    <row r="1574" ht="30" customHeight="1">
      <c r="A1574" s="16" t="n">
        <v>45805</v>
      </c>
      <c r="B1574" s="17" t="inlineStr">
        <is>
          <t>MH2505-37</t>
        </is>
      </c>
      <c r="C1574" s="16" t="n">
        <v>45805</v>
      </c>
      <c r="D1574" s="17" t="inlineStr">
        <is>
          <t>00001977</t>
        </is>
      </c>
      <c r="E1574" s="16" t="n">
        <v>45805</v>
      </c>
      <c r="F1574" s="16" t="inlineStr">
        <is>
          <t>XK2505-15</t>
        </is>
      </c>
      <c r="G1574" s="16" t="n">
        <v>45805</v>
      </c>
      <c r="H1574" s="17" t="inlineStr">
        <is>
          <t>CÔNG TY CỔ PHẦN CÔNG NGHIỆP VÀ THƯƠNG MẠI CƯỜNG THỊNH</t>
        </is>
      </c>
      <c r="I1574" s="17" t="inlineStr">
        <is>
          <t>Chì (bấm) M20</t>
        </is>
      </c>
      <c r="J1574" s="17" t="inlineStr">
        <is>
          <t>Cái</t>
        </is>
      </c>
      <c r="K1574" s="21" t="n">
        <v>100000</v>
      </c>
      <c r="L1574" s="21" t="n"/>
      <c r="M1574" s="22" t="n"/>
      <c r="N1574" s="22" t="n">
        <v>16</v>
      </c>
      <c r="O1574" s="22" t="n">
        <v>1600000</v>
      </c>
      <c r="P1574" s="22" t="n">
        <v>16</v>
      </c>
      <c r="Q1574" s="22" t="n">
        <v>1600000</v>
      </c>
      <c r="R1574" s="42">
        <f>+L1574+N1574-P1574</f>
        <v/>
      </c>
      <c r="S1574" s="42">
        <f>+M1574+O1574-Q1574</f>
        <v/>
      </c>
    </row>
    <row r="1575" ht="30" customHeight="1">
      <c r="A1575" s="16" t="n">
        <v>45805</v>
      </c>
      <c r="B1575" s="17" t="inlineStr">
        <is>
          <t>MH2505-38</t>
        </is>
      </c>
      <c r="C1575" s="16" t="n">
        <v>45805</v>
      </c>
      <c r="D1575" s="17" t="inlineStr">
        <is>
          <t>00001975</t>
        </is>
      </c>
      <c r="E1575" s="16" t="n">
        <v>45805</v>
      </c>
      <c r="F1575" s="16" t="inlineStr">
        <is>
          <t>XK2505-15</t>
        </is>
      </c>
      <c r="G1575" s="16" t="n">
        <v>45805</v>
      </c>
      <c r="H1575" s="17" t="inlineStr">
        <is>
          <t>CÔNG TY CỔ PHẦN CÔNG NGHIỆP VÀ THƯƠNG MẠI CƯỜNG THỊNH</t>
        </is>
      </c>
      <c r="I1575" s="17" t="inlineStr">
        <is>
          <t>Bulong nở 5.6 ZP M16x180</t>
        </is>
      </c>
      <c r="J1575" s="17" t="inlineStr">
        <is>
          <t>Cái</t>
        </is>
      </c>
      <c r="K1575" s="21" t="n">
        <v>30000</v>
      </c>
      <c r="L1575" s="21" t="n"/>
      <c r="M1575" s="22" t="n"/>
      <c r="N1575" s="22" t="n">
        <v>33</v>
      </c>
      <c r="O1575" s="22" t="n">
        <v>990000</v>
      </c>
      <c r="P1575" s="22" t="n">
        <v>33</v>
      </c>
      <c r="Q1575" s="22" t="n">
        <v>990000</v>
      </c>
      <c r="R1575" s="42">
        <f>+L1575+N1575-P1575</f>
        <v/>
      </c>
      <c r="S1575" s="42">
        <f>+M1575+O1575-Q1575</f>
        <v/>
      </c>
    </row>
    <row r="1576" ht="30" customHeight="1">
      <c r="A1576" s="16" t="n">
        <v>45805</v>
      </c>
      <c r="B1576" s="17" t="inlineStr">
        <is>
          <t>MH2505-38</t>
        </is>
      </c>
      <c r="C1576" s="16" t="n">
        <v>45805</v>
      </c>
      <c r="D1576" s="17" t="inlineStr">
        <is>
          <t>00001975</t>
        </is>
      </c>
      <c r="E1576" s="16" t="n">
        <v>45805</v>
      </c>
      <c r="F1576" s="16" t="inlineStr">
        <is>
          <t>XK2505-15</t>
        </is>
      </c>
      <c r="G1576" s="16" t="n">
        <v>45805</v>
      </c>
      <c r="H1576" s="17" t="inlineStr">
        <is>
          <t>CÔNG TY CỔ PHẦN CÔNG NGHIỆP VÀ THƯƠNG MẠI CƯỜNG THỊNH</t>
        </is>
      </c>
      <c r="I1576" s="17" t="inlineStr">
        <is>
          <t>Đai ốc Din 934 8 ZP M24</t>
        </is>
      </c>
      <c r="J1576" s="17" t="inlineStr">
        <is>
          <t>Cái</t>
        </is>
      </c>
      <c r="K1576" s="21" t="n">
        <v>3500</v>
      </c>
      <c r="L1576" s="21" t="n"/>
      <c r="M1576" s="22" t="n"/>
      <c r="N1576" s="22" t="n">
        <v>312</v>
      </c>
      <c r="O1576" s="22" t="n">
        <v>1092000</v>
      </c>
      <c r="P1576" s="22" t="n">
        <v>312</v>
      </c>
      <c r="Q1576" s="22" t="n">
        <v>1092000</v>
      </c>
      <c r="R1576" s="42">
        <f>+L1576+N1576-P1576</f>
        <v/>
      </c>
      <c r="S1576" s="42">
        <f>+M1576+O1576-Q1576</f>
        <v/>
      </c>
    </row>
    <row r="1577" ht="30" customHeight="1">
      <c r="A1577" s="16" t="n">
        <v>45805</v>
      </c>
      <c r="B1577" s="17" t="inlineStr">
        <is>
          <t>MH2505-38</t>
        </is>
      </c>
      <c r="C1577" s="16" t="n">
        <v>45805</v>
      </c>
      <c r="D1577" s="17" t="inlineStr">
        <is>
          <t>00001975</t>
        </is>
      </c>
      <c r="E1577" s="16" t="n">
        <v>45805</v>
      </c>
      <c r="F1577" s="16" t="inlineStr">
        <is>
          <t>XK2505-15</t>
        </is>
      </c>
      <c r="G1577" s="16" t="n">
        <v>45805</v>
      </c>
      <c r="H1577" s="17" t="inlineStr">
        <is>
          <t>CÔNG TY CỔ PHẦN CÔNG NGHIỆP VÀ THƯƠNG MẠI CƯỜNG THỊNH</t>
        </is>
      </c>
      <c r="I1577" s="17" t="inlineStr">
        <is>
          <t>Đai ốc Din 934 8 ZP M24</t>
        </is>
      </c>
      <c r="J1577" s="17" t="inlineStr">
        <is>
          <t>Cái</t>
        </is>
      </c>
      <c r="K1577" s="21" t="n">
        <v>3500</v>
      </c>
      <c r="L1577" s="21" t="n"/>
      <c r="M1577" s="22" t="n"/>
      <c r="N1577" s="22" t="n">
        <v>26</v>
      </c>
      <c r="O1577" s="22" t="n">
        <v>91000</v>
      </c>
      <c r="P1577" s="22" t="n">
        <v>26</v>
      </c>
      <c r="Q1577" s="22" t="n">
        <v>91000</v>
      </c>
      <c r="R1577" s="42">
        <f>+L1577+N1577-P1577</f>
        <v/>
      </c>
      <c r="S1577" s="42">
        <f>+M1577+O1577-Q1577</f>
        <v/>
      </c>
    </row>
    <row r="1578" ht="30" customHeight="1">
      <c r="A1578" s="16" t="n">
        <v>45805</v>
      </c>
      <c r="B1578" s="17" t="inlineStr">
        <is>
          <t>MH2505-38</t>
        </is>
      </c>
      <c r="C1578" s="16" t="n">
        <v>45805</v>
      </c>
      <c r="D1578" s="17" t="inlineStr">
        <is>
          <t>00001975</t>
        </is>
      </c>
      <c r="E1578" s="16" t="n">
        <v>45805</v>
      </c>
      <c r="F1578" s="16" t="inlineStr">
        <is>
          <t>XK2505-15</t>
        </is>
      </c>
      <c r="G1578" s="16" t="n">
        <v>45805</v>
      </c>
      <c r="H1578" s="17" t="inlineStr">
        <is>
          <t>CÔNG TY CỔ PHẦN CÔNG NGHIỆP VÀ THƯƠNG MẠI CƯỜNG THỊNH</t>
        </is>
      </c>
      <c r="I1578" s="17" t="inlineStr">
        <is>
          <t>Đai ốc thường 4 ZP M12 (9mm)</t>
        </is>
      </c>
      <c r="J1578" s="17" t="inlineStr">
        <is>
          <t>Cái</t>
        </is>
      </c>
      <c r="K1578" s="21" t="n">
        <v>360</v>
      </c>
      <c r="L1578" s="21" t="n"/>
      <c r="M1578" s="22" t="n"/>
      <c r="N1578" s="22" t="n">
        <v>652</v>
      </c>
      <c r="O1578" s="22" t="n">
        <v>234720</v>
      </c>
      <c r="P1578" s="22" t="n">
        <v>652</v>
      </c>
      <c r="Q1578" s="22" t="n">
        <v>234720</v>
      </c>
      <c r="R1578" s="42">
        <f>+L1578+N1578-P1578</f>
        <v/>
      </c>
      <c r="S1578" s="42">
        <f>+M1578+O1578-Q1578</f>
        <v/>
      </c>
    </row>
    <row r="1579" ht="30" customHeight="1">
      <c r="A1579" s="16" t="n">
        <v>45805</v>
      </c>
      <c r="B1579" s="17" t="inlineStr">
        <is>
          <t>MH2505-38</t>
        </is>
      </c>
      <c r="C1579" s="16" t="n">
        <v>45805</v>
      </c>
      <c r="D1579" s="17" t="inlineStr">
        <is>
          <t>00001975</t>
        </is>
      </c>
      <c r="E1579" s="16" t="n">
        <v>45805</v>
      </c>
      <c r="F1579" s="16" t="inlineStr">
        <is>
          <t>XK2505-15</t>
        </is>
      </c>
      <c r="G1579" s="16" t="n">
        <v>45805</v>
      </c>
      <c r="H1579" s="17" t="inlineStr">
        <is>
          <t>CÔNG TY CỔ PHẦN CÔNG NGHIỆP VÀ THƯƠNG MẠI CƯỜNG THỊNH</t>
        </is>
      </c>
      <c r="I1579" s="17" t="inlineStr">
        <is>
          <t>Long đền thường ZP M20B35D2</t>
        </is>
      </c>
      <c r="J1579" s="17" t="inlineStr">
        <is>
          <t>Cái</t>
        </is>
      </c>
      <c r="K1579" s="21" t="n">
        <v>350</v>
      </c>
      <c r="L1579" s="21" t="n"/>
      <c r="M1579" s="22" t="n"/>
      <c r="N1579" s="22" t="n">
        <v>157</v>
      </c>
      <c r="O1579" s="22" t="n">
        <v>54950</v>
      </c>
      <c r="P1579" s="22" t="n">
        <v>157</v>
      </c>
      <c r="Q1579" s="22" t="n">
        <v>54950</v>
      </c>
      <c r="R1579" s="42">
        <f>+L1579+N1579-P1579</f>
        <v/>
      </c>
      <c r="S1579" s="42">
        <f>+M1579+O1579-Q1579</f>
        <v/>
      </c>
    </row>
    <row r="1580" ht="30" customHeight="1">
      <c r="A1580" s="16" t="n">
        <v>45805</v>
      </c>
      <c r="B1580" s="17" t="inlineStr">
        <is>
          <t>MH2505-38</t>
        </is>
      </c>
      <c r="C1580" s="16" t="n">
        <v>45805</v>
      </c>
      <c r="D1580" s="17" t="inlineStr">
        <is>
          <t>00001975</t>
        </is>
      </c>
      <c r="E1580" s="16" t="n">
        <v>45805</v>
      </c>
      <c r="F1580" s="16" t="inlineStr">
        <is>
          <t>XK2505-15</t>
        </is>
      </c>
      <c r="G1580" s="16" t="n">
        <v>45805</v>
      </c>
      <c r="H1580" s="17" t="inlineStr">
        <is>
          <t>CÔNG TY CỔ PHẦN CÔNG NGHIỆP VÀ THƯƠNG MẠI CƯỜNG THỊNH</t>
        </is>
      </c>
      <c r="I1580" s="17" t="inlineStr">
        <is>
          <t>Long đền thường ZP M12B23D1</t>
        </is>
      </c>
      <c r="J1580" s="17" t="inlineStr">
        <is>
          <t>Cái</t>
        </is>
      </c>
      <c r="K1580" s="21" t="n">
        <v>100</v>
      </c>
      <c r="L1580" s="21" t="n"/>
      <c r="M1580" s="22" t="n"/>
      <c r="N1580" s="22" t="n">
        <v>1304</v>
      </c>
      <c r="O1580" s="22" t="n">
        <v>130400</v>
      </c>
      <c r="P1580" s="22" t="n">
        <v>1304</v>
      </c>
      <c r="Q1580" s="22" t="n">
        <v>130400</v>
      </c>
      <c r="R1580" s="42">
        <f>+L1580+N1580-P1580</f>
        <v/>
      </c>
      <c r="S1580" s="42">
        <f>+M1580+O1580-Q1580</f>
        <v/>
      </c>
    </row>
    <row r="1581" ht="30" customHeight="1">
      <c r="A1581" s="16" t="n">
        <v>45805</v>
      </c>
      <c r="B1581" s="17" t="inlineStr">
        <is>
          <t>MH2505-38</t>
        </is>
      </c>
      <c r="C1581" s="16" t="n">
        <v>45805</v>
      </c>
      <c r="D1581" s="17" t="inlineStr">
        <is>
          <t>00001975</t>
        </is>
      </c>
      <c r="E1581" s="16" t="n">
        <v>45805</v>
      </c>
      <c r="F1581" s="16" t="inlineStr">
        <is>
          <t>XK2505-15</t>
        </is>
      </c>
      <c r="G1581" s="16" t="n">
        <v>45805</v>
      </c>
      <c r="H1581" s="17" t="inlineStr">
        <is>
          <t>CÔNG TY CỔ PHẦN CÔNG NGHIỆP VÀ THƯƠNG MẠI CƯỜNG THỊNH</t>
        </is>
      </c>
      <c r="I1581" s="17" t="inlineStr">
        <is>
          <t>Long đền thường ZP M24B40-42D2</t>
        </is>
      </c>
      <c r="J1581" s="17" t="inlineStr">
        <is>
          <t>Cái</t>
        </is>
      </c>
      <c r="K1581" s="21" t="n">
        <v>710</v>
      </c>
      <c r="L1581" s="21" t="n"/>
      <c r="M1581" s="22" t="n"/>
      <c r="N1581" s="22" t="n">
        <v>312</v>
      </c>
      <c r="O1581" s="22" t="n">
        <v>221520</v>
      </c>
      <c r="P1581" s="22" t="n">
        <v>312</v>
      </c>
      <c r="Q1581" s="22" t="n">
        <v>221520</v>
      </c>
      <c r="R1581" s="42">
        <f>+L1581+N1581-P1581</f>
        <v/>
      </c>
      <c r="S1581" s="42">
        <f>+M1581+O1581-Q1581</f>
        <v/>
      </c>
    </row>
    <row r="1582" ht="30" customHeight="1">
      <c r="A1582" s="16" t="n">
        <v>45805</v>
      </c>
      <c r="B1582" s="17" t="inlineStr">
        <is>
          <t>MH2505-38</t>
        </is>
      </c>
      <c r="C1582" s="16" t="n">
        <v>45805</v>
      </c>
      <c r="D1582" s="17" t="inlineStr">
        <is>
          <t>00001975</t>
        </is>
      </c>
      <c r="E1582" s="16" t="n">
        <v>45805</v>
      </c>
      <c r="F1582" s="16" t="inlineStr">
        <is>
          <t>XK2505-15</t>
        </is>
      </c>
      <c r="G1582" s="16" t="n">
        <v>45805</v>
      </c>
      <c r="H1582" s="17" t="inlineStr">
        <is>
          <t>CÔNG TY CỔ PHẦN CÔNG NGHIỆP VÀ THƯƠNG MẠI CƯỜNG THỊNH</t>
        </is>
      </c>
      <c r="I1582" s="17" t="inlineStr">
        <is>
          <t>Long đền thường ZP M24B40-42D2</t>
        </is>
      </c>
      <c r="J1582" s="17" t="inlineStr">
        <is>
          <t>Cái</t>
        </is>
      </c>
      <c r="K1582" s="21" t="n">
        <v>710</v>
      </c>
      <c r="L1582" s="21" t="n"/>
      <c r="M1582" s="22" t="n"/>
      <c r="N1582" s="22" t="n">
        <v>26</v>
      </c>
      <c r="O1582" s="22" t="n">
        <v>18460</v>
      </c>
      <c r="P1582" s="22" t="n">
        <v>26</v>
      </c>
      <c r="Q1582" s="22" t="n">
        <v>18460</v>
      </c>
      <c r="R1582" s="42">
        <f>+L1582+N1582-P1582</f>
        <v/>
      </c>
      <c r="S1582" s="42">
        <f>+M1582+O1582-Q1582</f>
        <v/>
      </c>
    </row>
    <row r="1583" ht="30" customHeight="1">
      <c r="A1583" s="16" t="n">
        <v>45805</v>
      </c>
      <c r="B1583" s="17" t="inlineStr">
        <is>
          <t>MH2505-38</t>
        </is>
      </c>
      <c r="C1583" s="16" t="n">
        <v>45805</v>
      </c>
      <c r="D1583" s="17" t="inlineStr">
        <is>
          <t>00001975</t>
        </is>
      </c>
      <c r="E1583" s="16" t="n">
        <v>45805</v>
      </c>
      <c r="F1583" s="16" t="inlineStr">
        <is>
          <t>XK2505-15</t>
        </is>
      </c>
      <c r="G1583" s="16" t="n">
        <v>45805</v>
      </c>
      <c r="H1583" s="17" t="inlineStr">
        <is>
          <t>CÔNG TY CỔ PHẦN CÔNG NGHIỆP VÀ THƯƠNG MẠI CƯỜNG THỊNH</t>
        </is>
      </c>
      <c r="I1583" s="17" t="inlineStr">
        <is>
          <t>Bulong Din 933 8.8 ZP M24x70</t>
        </is>
      </c>
      <c r="J1583" s="17" t="inlineStr">
        <is>
          <t>Cái</t>
        </is>
      </c>
      <c r="K1583" s="21" t="n">
        <v>11010</v>
      </c>
      <c r="L1583" s="21" t="n"/>
      <c r="M1583" s="22" t="n"/>
      <c r="N1583" s="22" t="n">
        <v>312</v>
      </c>
      <c r="O1583" s="22" t="n">
        <v>3435120</v>
      </c>
      <c r="P1583" s="22" t="n">
        <v>312</v>
      </c>
      <c r="Q1583" s="22" t="n">
        <v>3435120</v>
      </c>
      <c r="R1583" s="42">
        <f>+L1583+N1583-P1583</f>
        <v/>
      </c>
      <c r="S1583" s="42">
        <f>+M1583+O1583-Q1583</f>
        <v/>
      </c>
    </row>
    <row r="1584" ht="30" customHeight="1">
      <c r="A1584" s="16" t="n">
        <v>45805</v>
      </c>
      <c r="B1584" s="17" t="inlineStr">
        <is>
          <t>MH2505-38</t>
        </is>
      </c>
      <c r="C1584" s="16" t="n">
        <v>45805</v>
      </c>
      <c r="D1584" s="17" t="inlineStr">
        <is>
          <t>00001975</t>
        </is>
      </c>
      <c r="E1584" s="16" t="n">
        <v>45805</v>
      </c>
      <c r="F1584" s="16" t="inlineStr">
        <is>
          <t>XK2505-15</t>
        </is>
      </c>
      <c r="G1584" s="16" t="n">
        <v>45805</v>
      </c>
      <c r="H1584" s="17" t="inlineStr">
        <is>
          <t>CÔNG TY CỔ PHẦN CÔNG NGHIỆP VÀ THƯƠNG MẠI CƯỜNG THỊNH</t>
        </is>
      </c>
      <c r="I1584" s="17" t="inlineStr">
        <is>
          <t>Bulong Din 933 8.8 ZP M24x80</t>
        </is>
      </c>
      <c r="J1584" s="17" t="inlineStr">
        <is>
          <t>Cái</t>
        </is>
      </c>
      <c r="K1584" s="21" t="n">
        <v>12010</v>
      </c>
      <c r="L1584" s="21" t="n"/>
      <c r="M1584" s="22" t="n"/>
      <c r="N1584" s="22" t="n">
        <v>26</v>
      </c>
      <c r="O1584" s="22" t="n">
        <v>312260</v>
      </c>
      <c r="P1584" s="22" t="n">
        <v>26</v>
      </c>
      <c r="Q1584" s="22" t="n">
        <v>312260</v>
      </c>
      <c r="R1584" s="42">
        <f>+L1584+N1584-P1584</f>
        <v/>
      </c>
      <c r="S1584" s="42">
        <f>+M1584+O1584-Q1584</f>
        <v/>
      </c>
    </row>
    <row r="1585" ht="30" customHeight="1">
      <c r="A1585" s="16" t="n">
        <v>45805</v>
      </c>
      <c r="B1585" s="17" t="inlineStr">
        <is>
          <t>MH2505-38</t>
        </is>
      </c>
      <c r="C1585" s="16" t="n">
        <v>45805</v>
      </c>
      <c r="D1585" s="17" t="inlineStr">
        <is>
          <t>00001975</t>
        </is>
      </c>
      <c r="E1585" s="16" t="n">
        <v>45805</v>
      </c>
      <c r="F1585" s="16" t="inlineStr">
        <is>
          <t>XK2505-15</t>
        </is>
      </c>
      <c r="G1585" s="16" t="n">
        <v>45805</v>
      </c>
      <c r="H1585" s="17" t="inlineStr">
        <is>
          <t>CÔNG TY CỔ PHẦN CÔNG NGHIỆP VÀ THƯƠNG MẠI CƯỜNG THỊNH</t>
        </is>
      </c>
      <c r="I1585" s="17" t="inlineStr">
        <is>
          <t>Bulong thường 4.6 ZP M12x40</t>
        </is>
      </c>
      <c r="J1585" s="17" t="inlineStr">
        <is>
          <t>Cái</t>
        </is>
      </c>
      <c r="K1585" s="21" t="n">
        <v>1100</v>
      </c>
      <c r="L1585" s="21" t="n"/>
      <c r="M1585" s="22" t="n"/>
      <c r="N1585" s="22" t="n">
        <v>652</v>
      </c>
      <c r="O1585" s="22" t="n">
        <v>717200</v>
      </c>
      <c r="P1585" s="22" t="n">
        <v>652</v>
      </c>
      <c r="Q1585" s="22" t="n">
        <v>717200</v>
      </c>
      <c r="R1585" s="42">
        <f>+L1585+N1585-P1585</f>
        <v/>
      </c>
      <c r="S1585" s="42">
        <f>+M1585+O1585-Q1585</f>
        <v/>
      </c>
    </row>
    <row r="1586" ht="30" customHeight="1">
      <c r="A1586" s="16" t="n">
        <v>45805</v>
      </c>
      <c r="B1586" s="17" t="inlineStr">
        <is>
          <t>MH2505-38</t>
        </is>
      </c>
      <c r="C1586" s="16" t="n">
        <v>45805</v>
      </c>
      <c r="D1586" s="17" t="inlineStr">
        <is>
          <t>00001975</t>
        </is>
      </c>
      <c r="E1586" s="16" t="n">
        <v>45805</v>
      </c>
      <c r="F1586" s="16" t="inlineStr">
        <is>
          <t>XK2505-15</t>
        </is>
      </c>
      <c r="G1586" s="16" t="n">
        <v>45805</v>
      </c>
      <c r="H1586" s="17" t="inlineStr">
        <is>
          <t>CÔNG TY CỔ PHẦN CÔNG NGHIỆP VÀ THƯƠNG MẠI CƯỜNG THỊNH</t>
        </is>
      </c>
      <c r="I1586" s="17" t="inlineStr">
        <is>
          <t>Đai ốc Din 934 8 ZP M20</t>
        </is>
      </c>
      <c r="J1586" s="17" t="inlineStr">
        <is>
          <t>Cái</t>
        </is>
      </c>
      <c r="K1586" s="21" t="n">
        <v>2030</v>
      </c>
      <c r="L1586" s="21" t="n"/>
      <c r="M1586" s="22" t="n"/>
      <c r="N1586" s="22" t="n">
        <v>361</v>
      </c>
      <c r="O1586" s="22" t="n">
        <v>732830</v>
      </c>
      <c r="P1586" s="22" t="n">
        <v>361</v>
      </c>
      <c r="Q1586" s="22" t="n">
        <v>732830</v>
      </c>
      <c r="R1586" s="42">
        <f>+L1586+N1586-P1586</f>
        <v/>
      </c>
      <c r="S1586" s="42">
        <f>+M1586+O1586-Q1586</f>
        <v/>
      </c>
    </row>
    <row r="1587" ht="30" customHeight="1">
      <c r="A1587" s="16" t="n">
        <v>45805</v>
      </c>
      <c r="B1587" s="17" t="inlineStr">
        <is>
          <t>MH2505-38</t>
        </is>
      </c>
      <c r="C1587" s="16" t="n">
        <v>45805</v>
      </c>
      <c r="D1587" s="17" t="inlineStr">
        <is>
          <t>00001975</t>
        </is>
      </c>
      <c r="E1587" s="16" t="n">
        <v>45805</v>
      </c>
      <c r="F1587" s="16" t="inlineStr">
        <is>
          <t>XK2505-15</t>
        </is>
      </c>
      <c r="G1587" s="16" t="n">
        <v>45805</v>
      </c>
      <c r="H1587" s="17" t="inlineStr">
        <is>
          <t>CÔNG TY CỔ PHẦN CÔNG NGHIỆP VÀ THƯƠNG MẠI CƯỜNG THỊNH</t>
        </is>
      </c>
      <c r="I1587" s="17" t="inlineStr">
        <is>
          <t>Đai ốc Din 934 8 ZP M20</t>
        </is>
      </c>
      <c r="J1587" s="17" t="inlineStr">
        <is>
          <t>Cái</t>
        </is>
      </c>
      <c r="K1587" s="21" t="n">
        <v>2030</v>
      </c>
      <c r="L1587" s="21" t="n"/>
      <c r="M1587" s="22" t="n"/>
      <c r="N1587" s="22" t="n">
        <v>157</v>
      </c>
      <c r="O1587" s="22" t="n">
        <v>318710</v>
      </c>
      <c r="P1587" s="22" t="n">
        <v>157</v>
      </c>
      <c r="Q1587" s="22" t="n">
        <v>318710</v>
      </c>
      <c r="R1587" s="42">
        <f>+L1587+N1587-P1587</f>
        <v/>
      </c>
      <c r="S1587" s="42">
        <f>+M1587+O1587-Q1587</f>
        <v/>
      </c>
    </row>
    <row r="1588" ht="30" customHeight="1">
      <c r="A1588" s="16" t="n">
        <v>45805</v>
      </c>
      <c r="B1588" s="17" t="inlineStr">
        <is>
          <t>MH2505-38</t>
        </is>
      </c>
      <c r="C1588" s="16" t="n">
        <v>45805</v>
      </c>
      <c r="D1588" s="17" t="inlineStr">
        <is>
          <t>00001975</t>
        </is>
      </c>
      <c r="E1588" s="16" t="n">
        <v>45805</v>
      </c>
      <c r="F1588" s="16" t="inlineStr">
        <is>
          <t>XK2505-15</t>
        </is>
      </c>
      <c r="G1588" s="16" t="n">
        <v>45805</v>
      </c>
      <c r="H1588" s="17" t="inlineStr">
        <is>
          <t>CÔNG TY CỔ PHẦN CÔNG NGHIỆP VÀ THƯƠNG MẠI CƯỜNG THỊNH</t>
        </is>
      </c>
      <c r="I1588" s="17" t="inlineStr">
        <is>
          <t>Đai ốc Din 934 8 ZP M16</t>
        </is>
      </c>
      <c r="J1588" s="17" t="inlineStr">
        <is>
          <t>Cái</t>
        </is>
      </c>
      <c r="K1588" s="21" t="n">
        <v>1090</v>
      </c>
      <c r="L1588" s="21" t="n"/>
      <c r="M1588" s="22" t="n"/>
      <c r="N1588" s="22" t="n">
        <v>548</v>
      </c>
      <c r="O1588" s="22" t="n">
        <v>597320</v>
      </c>
      <c r="P1588" s="22" t="n">
        <v>548</v>
      </c>
      <c r="Q1588" s="22" t="n">
        <v>597320</v>
      </c>
      <c r="R1588" s="42">
        <f>+L1588+N1588-P1588</f>
        <v/>
      </c>
      <c r="S1588" s="42">
        <f>+M1588+O1588-Q1588</f>
        <v/>
      </c>
    </row>
    <row r="1589" ht="30" customHeight="1">
      <c r="A1589" s="16" t="n">
        <v>45805</v>
      </c>
      <c r="B1589" s="17" t="inlineStr">
        <is>
          <t>MH2505-38</t>
        </is>
      </c>
      <c r="C1589" s="16" t="n">
        <v>45805</v>
      </c>
      <c r="D1589" s="17" t="inlineStr">
        <is>
          <t>00001975</t>
        </is>
      </c>
      <c r="E1589" s="16" t="n">
        <v>45805</v>
      </c>
      <c r="F1589" s="16" t="inlineStr">
        <is>
          <t>XK2505-15</t>
        </is>
      </c>
      <c r="G1589" s="16" t="n">
        <v>45805</v>
      </c>
      <c r="H1589" s="17" t="inlineStr">
        <is>
          <t>CÔNG TY CỔ PHẦN CÔNG NGHIỆP VÀ THƯƠNG MẠI CƯỜNG THỊNH</t>
        </is>
      </c>
      <c r="I1589" s="17" t="inlineStr">
        <is>
          <t>Long đền thường ZP M20B35D2</t>
        </is>
      </c>
      <c r="J1589" s="17" t="inlineStr">
        <is>
          <t>Cái</t>
        </is>
      </c>
      <c r="K1589" s="21" t="n">
        <v>350</v>
      </c>
      <c r="L1589" s="21" t="n"/>
      <c r="M1589" s="22" t="n"/>
      <c r="N1589" s="22" t="n">
        <v>361</v>
      </c>
      <c r="O1589" s="22" t="n">
        <v>126350</v>
      </c>
      <c r="P1589" s="22" t="n">
        <v>361</v>
      </c>
      <c r="Q1589" s="22" t="n">
        <v>126350</v>
      </c>
      <c r="R1589" s="42">
        <f>+L1589+N1589-P1589</f>
        <v/>
      </c>
      <c r="S1589" s="42">
        <f>+M1589+O1589-Q1589</f>
        <v/>
      </c>
    </row>
    <row r="1590" ht="30" customHeight="1">
      <c r="A1590" s="16" t="n">
        <v>45805</v>
      </c>
      <c r="B1590" s="17" t="inlineStr">
        <is>
          <t>MH2505-38</t>
        </is>
      </c>
      <c r="C1590" s="16" t="n">
        <v>45805</v>
      </c>
      <c r="D1590" s="17" t="inlineStr">
        <is>
          <t>00001975</t>
        </is>
      </c>
      <c r="E1590" s="16" t="n">
        <v>45805</v>
      </c>
      <c r="F1590" s="16" t="inlineStr">
        <is>
          <t>XK2505-15</t>
        </is>
      </c>
      <c r="G1590" s="16" t="n">
        <v>45805</v>
      </c>
      <c r="H1590" s="17" t="inlineStr">
        <is>
          <t>CÔNG TY CỔ PHẦN CÔNG NGHIỆP VÀ THƯƠNG MẠI CƯỜNG THỊNH</t>
        </is>
      </c>
      <c r="I1590" s="17" t="inlineStr">
        <is>
          <t>Long đền thường ZP M16B30D2</t>
        </is>
      </c>
      <c r="J1590" s="17" t="inlineStr">
        <is>
          <t>Cái</t>
        </is>
      </c>
      <c r="K1590" s="21" t="n">
        <v>330</v>
      </c>
      <c r="L1590" s="21" t="n"/>
      <c r="M1590" s="22" t="n"/>
      <c r="N1590" s="22" t="n">
        <v>548</v>
      </c>
      <c r="O1590" s="22" t="n">
        <v>180840</v>
      </c>
      <c r="P1590" s="22" t="n">
        <v>548</v>
      </c>
      <c r="Q1590" s="22" t="n">
        <v>180840</v>
      </c>
      <c r="R1590" s="42">
        <f>+L1590+N1590-P1590</f>
        <v/>
      </c>
      <c r="S1590" s="42">
        <f>+M1590+O1590-Q1590</f>
        <v/>
      </c>
    </row>
    <row r="1591" ht="30" customHeight="1">
      <c r="A1591" s="16" t="n">
        <v>45805</v>
      </c>
      <c r="B1591" s="17" t="inlineStr">
        <is>
          <t>MH2505-38</t>
        </is>
      </c>
      <c r="C1591" s="16" t="n">
        <v>45805</v>
      </c>
      <c r="D1591" s="17" t="inlineStr">
        <is>
          <t>00001975</t>
        </is>
      </c>
      <c r="E1591" s="16" t="n">
        <v>45805</v>
      </c>
      <c r="F1591" s="16" t="inlineStr">
        <is>
          <t>XK2505-15</t>
        </is>
      </c>
      <c r="G1591" s="16" t="n">
        <v>45805</v>
      </c>
      <c r="H1591" s="17" t="inlineStr">
        <is>
          <t>CÔNG TY CỔ PHẦN CÔNG NGHIỆP VÀ THƯƠNG MẠI CƯỜNG THỊNH</t>
        </is>
      </c>
      <c r="I1591" s="17" t="inlineStr">
        <is>
          <t>Bulong Din 933 8.8 ZP M16x40</t>
        </is>
      </c>
      <c r="J1591" s="17" t="inlineStr">
        <is>
          <t>Cái</t>
        </is>
      </c>
      <c r="K1591" s="21" t="n">
        <v>3030</v>
      </c>
      <c r="L1591" s="21" t="n"/>
      <c r="M1591" s="22" t="n"/>
      <c r="N1591" s="22" t="n">
        <v>548</v>
      </c>
      <c r="O1591" s="22" t="n">
        <v>1660440</v>
      </c>
      <c r="P1591" s="22" t="n">
        <v>548</v>
      </c>
      <c r="Q1591" s="22" t="n">
        <v>1660440</v>
      </c>
      <c r="R1591" s="42">
        <f>+L1591+N1591-P1591</f>
        <v/>
      </c>
      <c r="S1591" s="42">
        <f>+M1591+O1591-Q1591</f>
        <v/>
      </c>
    </row>
    <row r="1592" ht="30" customHeight="1">
      <c r="A1592" s="16" t="n">
        <v>45805</v>
      </c>
      <c r="B1592" s="17" t="inlineStr">
        <is>
          <t>MH2505-38</t>
        </is>
      </c>
      <c r="C1592" s="16" t="n">
        <v>45805</v>
      </c>
      <c r="D1592" s="17" t="inlineStr">
        <is>
          <t>00001975</t>
        </is>
      </c>
      <c r="E1592" s="16" t="n">
        <v>45805</v>
      </c>
      <c r="F1592" s="16" t="inlineStr">
        <is>
          <t>XK2505-15</t>
        </is>
      </c>
      <c r="G1592" s="16" t="n">
        <v>45805</v>
      </c>
      <c r="H1592" s="17" t="inlineStr">
        <is>
          <t>CÔNG TY CỔ PHẦN CÔNG NGHIỆP VÀ THƯƠNG MẠI CƯỜNG THỊNH</t>
        </is>
      </c>
      <c r="I1592" s="17" t="inlineStr">
        <is>
          <t>Bulong Din 933 8.8 ZP M20x50</t>
        </is>
      </c>
      <c r="J1592" s="17" t="inlineStr">
        <is>
          <t>Cái</t>
        </is>
      </c>
      <c r="K1592" s="21" t="n">
        <v>5760</v>
      </c>
      <c r="L1592" s="21" t="n"/>
      <c r="M1592" s="22" t="n"/>
      <c r="N1592" s="22" t="n">
        <v>361</v>
      </c>
      <c r="O1592" s="22" t="n">
        <v>2079360</v>
      </c>
      <c r="P1592" s="22" t="n">
        <v>361</v>
      </c>
      <c r="Q1592" s="22" t="n">
        <v>2079360</v>
      </c>
      <c r="R1592" s="42">
        <f>+L1592+N1592-P1592</f>
        <v/>
      </c>
      <c r="S1592" s="42">
        <f>+M1592+O1592-Q1592</f>
        <v/>
      </c>
    </row>
    <row r="1593" ht="30" customHeight="1">
      <c r="A1593" s="16" t="n">
        <v>45805</v>
      </c>
      <c r="B1593" s="17" t="inlineStr">
        <is>
          <t>MH2505-38</t>
        </is>
      </c>
      <c r="C1593" s="16" t="n">
        <v>45805</v>
      </c>
      <c r="D1593" s="17" t="inlineStr">
        <is>
          <t>00001975</t>
        </is>
      </c>
      <c r="E1593" s="16" t="n">
        <v>45805</v>
      </c>
      <c r="F1593" s="16" t="inlineStr">
        <is>
          <t>XK2505-15</t>
        </is>
      </c>
      <c r="G1593" s="16" t="n">
        <v>45805</v>
      </c>
      <c r="H1593" s="17" t="inlineStr">
        <is>
          <t>CÔNG TY CỔ PHẦN CÔNG NGHIỆP VÀ THƯƠNG MẠI CƯỜNG THỊNH</t>
        </is>
      </c>
      <c r="I1593" s="17" t="inlineStr">
        <is>
          <t>Bulong Din 933 8.8 ZP M20x60</t>
        </is>
      </c>
      <c r="J1593" s="17" t="inlineStr">
        <is>
          <t>Cái</t>
        </is>
      </c>
      <c r="K1593" s="21" t="n">
        <v>6440</v>
      </c>
      <c r="L1593" s="21" t="n"/>
      <c r="M1593" s="22" t="n"/>
      <c r="N1593" s="22" t="n">
        <v>157</v>
      </c>
      <c r="O1593" s="22" t="n">
        <v>1011080</v>
      </c>
      <c r="P1593" s="22" t="n">
        <v>157</v>
      </c>
      <c r="Q1593" s="22" t="n">
        <v>1011080</v>
      </c>
      <c r="R1593" s="42">
        <f>+L1593+N1593-P1593</f>
        <v/>
      </c>
      <c r="S1593" s="42">
        <f>+M1593+O1593-Q1593</f>
        <v/>
      </c>
    </row>
    <row r="1594" ht="15" customHeight="1">
      <c r="A1594" s="16" t="n">
        <v>45806</v>
      </c>
      <c r="B1594" s="17" t="inlineStr">
        <is>
          <t>MH2505-40</t>
        </is>
      </c>
      <c r="C1594" s="16" t="n">
        <v>45806</v>
      </c>
      <c r="D1594" s="17" t="inlineStr">
        <is>
          <t>00004840</t>
        </is>
      </c>
      <c r="E1594" s="16" t="n">
        <v>45806</v>
      </c>
      <c r="F1594" s="16" t="inlineStr">
        <is>
          <t>XK2505-16</t>
        </is>
      </c>
      <c r="G1594" s="16" t="n">
        <v>45806</v>
      </c>
      <c r="H1594" s="17" t="inlineStr">
        <is>
          <t>CÔNG TY TNHH SƠN JOTUN VIỆT NAM</t>
        </is>
      </c>
      <c r="I1594" s="17" t="inlineStr">
        <is>
          <t>SƠN FUTURA CLASSIC RAL7037 19.03L</t>
        </is>
      </c>
      <c r="J1594" s="17" t="inlineStr">
        <is>
          <t>Thùng</t>
        </is>
      </c>
      <c r="K1594" s="21" t="n">
        <v>155000</v>
      </c>
      <c r="L1594" s="21" t="n"/>
      <c r="M1594" s="22" t="n"/>
      <c r="N1594" s="22" t="n">
        <v>475.75</v>
      </c>
      <c r="O1594" s="22" t="n">
        <v>73741250</v>
      </c>
      <c r="P1594" s="22" t="n">
        <v>475.75</v>
      </c>
      <c r="Q1594" s="22" t="n">
        <v>73741250</v>
      </c>
      <c r="R1594" s="42">
        <f>+L1594+N1594-P1594</f>
        <v/>
      </c>
      <c r="S1594" s="42">
        <f>+M1594+O1594-Q1594</f>
        <v/>
      </c>
    </row>
    <row r="1595" ht="15" customHeight="1">
      <c r="A1595" s="16" t="n">
        <v>45806</v>
      </c>
      <c r="B1595" s="17" t="inlineStr">
        <is>
          <t>MH2505-41</t>
        </is>
      </c>
      <c r="C1595" s="16" t="n">
        <v>45806</v>
      </c>
      <c r="D1595" s="17" t="inlineStr">
        <is>
          <t>00004850</t>
        </is>
      </c>
      <c r="E1595" s="16" t="n">
        <v>45806</v>
      </c>
      <c r="F1595" s="16" t="inlineStr">
        <is>
          <t>XK2505-16</t>
        </is>
      </c>
      <c r="G1595" s="16" t="n">
        <v>45806</v>
      </c>
      <c r="H1595" s="17" t="inlineStr">
        <is>
          <t>CÔNG TY TNHH SƠN JOTUN VIỆT NAM</t>
        </is>
      </c>
      <c r="I1595" s="17" t="inlineStr">
        <is>
          <t>SƠN FUTURA CLASSIC RAL 7037 20L</t>
        </is>
      </c>
      <c r="J1595" s="17" t="inlineStr">
        <is>
          <t>Thùng</t>
        </is>
      </c>
      <c r="K1595" s="21" t="n">
        <v>155000</v>
      </c>
      <c r="L1595" s="21" t="n"/>
      <c r="M1595" s="22" t="n"/>
      <c r="N1595" s="22" t="n">
        <v>120</v>
      </c>
      <c r="O1595" s="22" t="n">
        <v>18600000</v>
      </c>
      <c r="P1595" s="22" t="n">
        <v>120</v>
      </c>
      <c r="Q1595" s="22" t="n">
        <v>18600000</v>
      </c>
      <c r="R1595" s="42">
        <f>+L1595+N1595-P1595</f>
        <v/>
      </c>
      <c r="S1595" s="42">
        <f>+M1595+O1595-Q1595</f>
        <v/>
      </c>
    </row>
    <row r="1596" ht="30" customHeight="1">
      <c r="A1596" s="16" t="n">
        <v>45806</v>
      </c>
      <c r="B1596" s="17" t="inlineStr">
        <is>
          <t>MH2505-42</t>
        </is>
      </c>
      <c r="C1596" s="16" t="n">
        <v>45806</v>
      </c>
      <c r="D1596" s="17" t="inlineStr">
        <is>
          <t>1145</t>
        </is>
      </c>
      <c r="E1596" s="16" t="n">
        <v>45806</v>
      </c>
      <c r="F1596" s="16" t="inlineStr">
        <is>
          <t>XK2505-17</t>
        </is>
      </c>
      <c r="G1596" s="16" t="n">
        <v>45806</v>
      </c>
      <c r="H1596" s="17" t="inlineStr">
        <is>
          <t>CÔNG TY TNHH THƯƠNG MẠI THÉP TOÀN THẮNG</t>
        </is>
      </c>
      <c r="I1596" s="17" t="inlineStr">
        <is>
          <t>Thép tấm 28x2000x12000mm  A572</t>
        </is>
      </c>
      <c r="J1596" s="17" t="inlineStr">
        <is>
          <t>kg</t>
        </is>
      </c>
      <c r="K1596" s="21" t="n">
        <v>14545</v>
      </c>
      <c r="L1596" s="21" t="n"/>
      <c r="M1596" s="22" t="n"/>
      <c r="N1596" s="22" t="n">
        <v>15825.6</v>
      </c>
      <c r="O1596" s="22" t="n">
        <v>230183352</v>
      </c>
      <c r="P1596" s="22" t="n">
        <v>15825.6</v>
      </c>
      <c r="Q1596" s="22" t="n">
        <v>230183352</v>
      </c>
      <c r="R1596" s="42">
        <f>+L1596+N1596-P1596</f>
        <v/>
      </c>
      <c r="S1596" s="42">
        <f>+M1596+O1596-Q1596</f>
        <v/>
      </c>
    </row>
    <row r="1597" ht="30" customHeight="1">
      <c r="A1597" s="16" t="n">
        <v>45806</v>
      </c>
      <c r="B1597" s="17" t="inlineStr">
        <is>
          <t>MH2505-42</t>
        </is>
      </c>
      <c r="C1597" s="16" t="n">
        <v>45806</v>
      </c>
      <c r="D1597" s="17" t="inlineStr">
        <is>
          <t>1145</t>
        </is>
      </c>
      <c r="E1597" s="16" t="n">
        <v>45806</v>
      </c>
      <c r="F1597" s="16" t="inlineStr">
        <is>
          <t>XK2505-17</t>
        </is>
      </c>
      <c r="G1597" s="16" t="n">
        <v>45806</v>
      </c>
      <c r="H1597" s="17" t="inlineStr">
        <is>
          <t>CÔNG TY TNHH THƯƠNG MẠI THÉP TOÀN THẮNG</t>
        </is>
      </c>
      <c r="I1597" s="17" t="inlineStr">
        <is>
          <t>Thép tấm 30x2000x12000mm  A572</t>
        </is>
      </c>
      <c r="J1597" s="17" t="inlineStr">
        <is>
          <t>kg</t>
        </is>
      </c>
      <c r="K1597" s="21" t="n">
        <v>14545</v>
      </c>
      <c r="L1597" s="21" t="n"/>
      <c r="M1597" s="22" t="n"/>
      <c r="N1597" s="22" t="n">
        <v>28260</v>
      </c>
      <c r="O1597" s="22" t="n">
        <v>411041700</v>
      </c>
      <c r="P1597" s="22" t="n">
        <v>28260</v>
      </c>
      <c r="Q1597" s="22" t="n">
        <v>411041700</v>
      </c>
      <c r="R1597" s="42">
        <f>+L1597+N1597-P1597</f>
        <v/>
      </c>
      <c r="S1597" s="42">
        <f>+M1597+O1597-Q1597</f>
        <v/>
      </c>
    </row>
    <row r="1598" ht="30" customHeight="1">
      <c r="A1598" s="16" t="n">
        <v>45806</v>
      </c>
      <c r="B1598" s="17" t="inlineStr">
        <is>
          <t>MH2505-42</t>
        </is>
      </c>
      <c r="C1598" s="16" t="n">
        <v>45806</v>
      </c>
      <c r="D1598" s="17" t="inlineStr">
        <is>
          <t>1145</t>
        </is>
      </c>
      <c r="E1598" s="16" t="n">
        <v>45806</v>
      </c>
      <c r="F1598" s="16" t="inlineStr">
        <is>
          <t>XK2505-17</t>
        </is>
      </c>
      <c r="G1598" s="16" t="n">
        <v>45806</v>
      </c>
      <c r="H1598" s="17" t="inlineStr">
        <is>
          <t>CÔNG TY TNHH THƯƠNG MẠI THÉP TOÀN THẮNG</t>
        </is>
      </c>
      <c r="I1598" s="17" t="inlineStr">
        <is>
          <t>Thép tấm 40x2000x12000mm  A572</t>
        </is>
      </c>
      <c r="J1598" s="17" t="inlineStr">
        <is>
          <t>kg</t>
        </is>
      </c>
      <c r="K1598" s="21" t="n">
        <v>14545</v>
      </c>
      <c r="L1598" s="21" t="n"/>
      <c r="M1598" s="22" t="n"/>
      <c r="N1598" s="22" t="n">
        <v>22608</v>
      </c>
      <c r="O1598" s="22" t="n">
        <v>328833360</v>
      </c>
      <c r="P1598" s="22" t="n">
        <v>22608</v>
      </c>
      <c r="Q1598" s="22" t="n">
        <v>328833360</v>
      </c>
      <c r="R1598" s="42">
        <f>+L1598+N1598-P1598</f>
        <v/>
      </c>
      <c r="S1598" s="42">
        <f>+M1598+O1598-Q1598</f>
        <v/>
      </c>
    </row>
    <row r="1599" ht="30" customHeight="1">
      <c r="A1599" s="16" t="n">
        <v>45807</v>
      </c>
      <c r="B1599" s="17" t="inlineStr">
        <is>
          <t>MH2505-43</t>
        </is>
      </c>
      <c r="C1599" s="16" t="n">
        <v>45807</v>
      </c>
      <c r="D1599" s="17" t="inlineStr">
        <is>
          <t>00001988</t>
        </is>
      </c>
      <c r="E1599" s="16" t="n">
        <v>45807</v>
      </c>
      <c r="F1599" s="16" t="inlineStr">
        <is>
          <t>XK2505-18</t>
        </is>
      </c>
      <c r="G1599" s="16" t="n">
        <v>45807</v>
      </c>
      <c r="H1599" s="17" t="inlineStr">
        <is>
          <t>CÔNG TY CỔ PHẦN CÔNG NGHIỆP VÀ THƯƠNG MẠI CƯỜNG THỊNH</t>
        </is>
      </c>
      <c r="I1599" s="17" t="inlineStr">
        <is>
          <t>Vít B2 Dacromet 12-14x20</t>
        </is>
      </c>
      <c r="J1599" s="17" t="inlineStr">
        <is>
          <t>Cái</t>
        </is>
      </c>
      <c r="K1599" s="21" t="n">
        <v>600</v>
      </c>
      <c r="L1599" s="21" t="n"/>
      <c r="M1599" s="22" t="n"/>
      <c r="N1599" s="22" t="n">
        <v>600</v>
      </c>
      <c r="O1599" s="22" t="n">
        <v>360000</v>
      </c>
      <c r="P1599" s="22" t="n">
        <v>600</v>
      </c>
      <c r="Q1599" s="22" t="n">
        <v>360000</v>
      </c>
      <c r="R1599" s="42">
        <f>+L1599+N1599-P1599</f>
        <v/>
      </c>
      <c r="S1599" s="42">
        <f>+M1599+O1599-Q1599</f>
        <v/>
      </c>
    </row>
    <row r="1600" ht="30" customHeight="1">
      <c r="A1600" s="16" t="n">
        <v>45807</v>
      </c>
      <c r="B1600" s="17" t="inlineStr">
        <is>
          <t>MH2505-43</t>
        </is>
      </c>
      <c r="C1600" s="16" t="n">
        <v>45807</v>
      </c>
      <c r="D1600" s="17" t="inlineStr">
        <is>
          <t>00001988</t>
        </is>
      </c>
      <c r="E1600" s="16" t="n">
        <v>45807</v>
      </c>
      <c r="F1600" s="16" t="inlineStr">
        <is>
          <t>XK2505-18</t>
        </is>
      </c>
      <c r="G1600" s="16" t="n">
        <v>45807</v>
      </c>
      <c r="H1600" s="17" t="inlineStr">
        <is>
          <t>CÔNG TY CỔ PHẦN CÔNG NGHIỆP VÀ THƯƠNG MẠI CƯỜNG THỊNH</t>
        </is>
      </c>
      <c r="I1600" s="17" t="inlineStr">
        <is>
          <t>Bulong nở 4.6 ZP M12x120</t>
        </is>
      </c>
      <c r="J1600" s="17" t="inlineStr">
        <is>
          <t>Bộ</t>
        </is>
      </c>
      <c r="K1600" s="21" t="n">
        <v>9900</v>
      </c>
      <c r="L1600" s="21" t="n"/>
      <c r="M1600" s="22" t="n"/>
      <c r="N1600" s="22" t="n">
        <v>10</v>
      </c>
      <c r="O1600" s="22" t="n">
        <v>99000</v>
      </c>
      <c r="P1600" s="22" t="n">
        <v>10</v>
      </c>
      <c r="Q1600" s="22" t="n">
        <v>99000</v>
      </c>
      <c r="R1600" s="42">
        <f>+L1600+N1600-P1600</f>
        <v/>
      </c>
      <c r="S1600" s="42">
        <f>+M1600+O1600-Q1600</f>
        <v/>
      </c>
    </row>
    <row r="1601" ht="30" customHeight="1">
      <c r="A1601" s="16" t="n">
        <v>45807</v>
      </c>
      <c r="B1601" s="17" t="inlineStr">
        <is>
          <t>MH2505-43</t>
        </is>
      </c>
      <c r="C1601" s="16" t="n">
        <v>45807</v>
      </c>
      <c r="D1601" s="17" t="inlineStr">
        <is>
          <t>00001988</t>
        </is>
      </c>
      <c r="E1601" s="16" t="n">
        <v>45807</v>
      </c>
      <c r="F1601" s="16" t="inlineStr">
        <is>
          <t>XK2505-18</t>
        </is>
      </c>
      <c r="G1601" s="16" t="n">
        <v>45807</v>
      </c>
      <c r="H1601" s="17" t="inlineStr">
        <is>
          <t>CÔNG TY CỔ PHẦN CÔNG NGHIỆP VÀ THƯƠNG MẠI CƯỜNG THỊNH</t>
        </is>
      </c>
      <c r="I1601" s="17" t="inlineStr">
        <is>
          <t>Bulong Din 933 8.8 ZP M20x60</t>
        </is>
      </c>
      <c r="J1601" s="17" t="inlineStr">
        <is>
          <t>Cái</t>
        </is>
      </c>
      <c r="K1601" s="21" t="n">
        <v>6440</v>
      </c>
      <c r="L1601" s="21" t="n"/>
      <c r="M1601" s="22" t="n"/>
      <c r="N1601" s="22" t="n">
        <v>376</v>
      </c>
      <c r="O1601" s="22" t="n">
        <v>2421440</v>
      </c>
      <c r="P1601" s="22" t="n">
        <v>376</v>
      </c>
      <c r="Q1601" s="22" t="n">
        <v>2421440</v>
      </c>
      <c r="R1601" s="42">
        <f>+L1601+N1601-P1601</f>
        <v/>
      </c>
      <c r="S1601" s="42">
        <f>+M1601+O1601-Q1601</f>
        <v/>
      </c>
    </row>
    <row r="1602" ht="30" customHeight="1">
      <c r="A1602" s="16" t="n">
        <v>45807</v>
      </c>
      <c r="B1602" s="17" t="inlineStr">
        <is>
          <t>MH2505-43</t>
        </is>
      </c>
      <c r="C1602" s="16" t="n">
        <v>45807</v>
      </c>
      <c r="D1602" s="17" t="inlineStr">
        <is>
          <t>00001988</t>
        </is>
      </c>
      <c r="E1602" s="16" t="n">
        <v>45807</v>
      </c>
      <c r="F1602" s="16" t="inlineStr">
        <is>
          <t>XK2505-18</t>
        </is>
      </c>
      <c r="G1602" s="16" t="n">
        <v>45807</v>
      </c>
      <c r="H1602" s="17" t="inlineStr">
        <is>
          <t>CÔNG TY CỔ PHẦN CÔNG NGHIỆP VÀ THƯƠNG MẠI CƯỜNG THỊNH</t>
        </is>
      </c>
      <c r="I1602" s="17" t="inlineStr">
        <is>
          <t>Đai ốc Din 934 8 ZP M20</t>
        </is>
      </c>
      <c r="J1602" s="17" t="inlineStr">
        <is>
          <t>Cái</t>
        </is>
      </c>
      <c r="K1602" s="21" t="n">
        <v>2030</v>
      </c>
      <c r="L1602" s="21" t="n"/>
      <c r="M1602" s="22" t="n"/>
      <c r="N1602" s="22" t="n">
        <v>376</v>
      </c>
      <c r="O1602" s="22" t="n">
        <v>763280</v>
      </c>
      <c r="P1602" s="22" t="n">
        <v>376</v>
      </c>
      <c r="Q1602" s="22" t="n">
        <v>763280</v>
      </c>
      <c r="R1602" s="42">
        <f>+L1602+N1602-P1602</f>
        <v/>
      </c>
      <c r="S1602" s="42">
        <f>+M1602+O1602-Q1602</f>
        <v/>
      </c>
    </row>
    <row r="1603" ht="30" customHeight="1">
      <c r="A1603" s="16" t="n">
        <v>45807</v>
      </c>
      <c r="B1603" s="17" t="inlineStr">
        <is>
          <t>MH2505-43</t>
        </is>
      </c>
      <c r="C1603" s="16" t="n">
        <v>45807</v>
      </c>
      <c r="D1603" s="17" t="inlineStr">
        <is>
          <t>00001988</t>
        </is>
      </c>
      <c r="E1603" s="16" t="n">
        <v>45807</v>
      </c>
      <c r="F1603" s="16" t="inlineStr">
        <is>
          <t>XK2505-18</t>
        </is>
      </c>
      <c r="G1603" s="16" t="n">
        <v>45807</v>
      </c>
      <c r="H1603" s="17" t="inlineStr">
        <is>
          <t>CÔNG TY CỔ PHẦN CÔNG NGHIỆP VÀ THƯƠNG MẠI CƯỜNG THỊNH</t>
        </is>
      </c>
      <c r="I1603" s="17" t="inlineStr">
        <is>
          <t>Long đền thường ZP M20B35D2</t>
        </is>
      </c>
      <c r="J1603" s="17" t="inlineStr">
        <is>
          <t>Cái</t>
        </is>
      </c>
      <c r="K1603" s="21" t="n">
        <v>350</v>
      </c>
      <c r="L1603" s="21" t="n"/>
      <c r="M1603" s="22" t="n"/>
      <c r="N1603" s="22" t="n">
        <v>376</v>
      </c>
      <c r="O1603" s="22" t="n">
        <v>131600</v>
      </c>
      <c r="P1603" s="22" t="n">
        <v>376</v>
      </c>
      <c r="Q1603" s="22" t="n">
        <v>131600</v>
      </c>
      <c r="R1603" s="42">
        <f>+L1603+N1603-P1603</f>
        <v/>
      </c>
      <c r="S1603" s="42">
        <f>+M1603+O1603-Q1603</f>
        <v/>
      </c>
    </row>
    <row r="1604" ht="30" customHeight="1">
      <c r="A1604" s="16" t="n">
        <v>45807</v>
      </c>
      <c r="B1604" s="17" t="inlineStr">
        <is>
          <t>MH2505-43</t>
        </is>
      </c>
      <c r="C1604" s="16" t="n">
        <v>45807</v>
      </c>
      <c r="D1604" s="17" t="inlineStr">
        <is>
          <t>00001988</t>
        </is>
      </c>
      <c r="E1604" s="16" t="n">
        <v>45807</v>
      </c>
      <c r="F1604" s="16" t="inlineStr">
        <is>
          <t>XK2505-18</t>
        </is>
      </c>
      <c r="G1604" s="16" t="n">
        <v>45807</v>
      </c>
      <c r="H1604" s="17" t="inlineStr">
        <is>
          <t>CÔNG TY CỔ PHẦN CÔNG NGHIỆP VÀ THƯƠNG MẠI CƯỜNG THỊNH</t>
        </is>
      </c>
      <c r="I1604" s="17" t="inlineStr">
        <is>
          <t>Bulong Din 933 8.8 ZP M20x70</t>
        </is>
      </c>
      <c r="J1604" s="17" t="inlineStr">
        <is>
          <t>Cái</t>
        </is>
      </c>
      <c r="K1604" s="21" t="n">
        <v>7070</v>
      </c>
      <c r="L1604" s="21" t="n"/>
      <c r="M1604" s="22" t="n"/>
      <c r="N1604" s="22" t="n">
        <v>39</v>
      </c>
      <c r="O1604" s="22" t="n">
        <v>275730</v>
      </c>
      <c r="P1604" s="22" t="n">
        <v>39</v>
      </c>
      <c r="Q1604" s="22" t="n">
        <v>275730</v>
      </c>
      <c r="R1604" s="42">
        <f>+L1604+N1604-P1604</f>
        <v/>
      </c>
      <c r="S1604" s="42">
        <f>+M1604+O1604-Q1604</f>
        <v/>
      </c>
    </row>
    <row r="1605" ht="30" customHeight="1">
      <c r="A1605" s="16" t="n">
        <v>45807</v>
      </c>
      <c r="B1605" s="17" t="inlineStr">
        <is>
          <t>MH2505-43</t>
        </is>
      </c>
      <c r="C1605" s="16" t="n">
        <v>45807</v>
      </c>
      <c r="D1605" s="17" t="inlineStr">
        <is>
          <t>00001988</t>
        </is>
      </c>
      <c r="E1605" s="16" t="n">
        <v>45807</v>
      </c>
      <c r="F1605" s="16" t="inlineStr">
        <is>
          <t>XK2505-18</t>
        </is>
      </c>
      <c r="G1605" s="16" t="n">
        <v>45807</v>
      </c>
      <c r="H1605" s="17" t="inlineStr">
        <is>
          <t>CÔNG TY CỔ PHẦN CÔNG NGHIỆP VÀ THƯƠNG MẠI CƯỜNG THỊNH</t>
        </is>
      </c>
      <c r="I1605" s="17" t="inlineStr">
        <is>
          <t>Đai ốc Din 934 8 ZP M20</t>
        </is>
      </c>
      <c r="J1605" s="17" t="inlineStr">
        <is>
          <t>Cái</t>
        </is>
      </c>
      <c r="K1605" s="21" t="n">
        <v>2030</v>
      </c>
      <c r="L1605" s="21" t="n"/>
      <c r="M1605" s="22" t="n"/>
      <c r="N1605" s="22" t="n">
        <v>39</v>
      </c>
      <c r="O1605" s="22" t="n">
        <v>79170</v>
      </c>
      <c r="P1605" s="22" t="n">
        <v>39</v>
      </c>
      <c r="Q1605" s="22" t="n">
        <v>79170</v>
      </c>
      <c r="R1605" s="42">
        <f>+L1605+N1605-P1605</f>
        <v/>
      </c>
      <c r="S1605" s="42">
        <f>+M1605+O1605-Q1605</f>
        <v/>
      </c>
    </row>
    <row r="1606" ht="30" customHeight="1">
      <c r="A1606" s="16" t="n">
        <v>45807</v>
      </c>
      <c r="B1606" s="17" t="inlineStr">
        <is>
          <t>MH2505-43</t>
        </is>
      </c>
      <c r="C1606" s="16" t="n">
        <v>45807</v>
      </c>
      <c r="D1606" s="17" t="inlineStr">
        <is>
          <t>00001988</t>
        </is>
      </c>
      <c r="E1606" s="16" t="n">
        <v>45807</v>
      </c>
      <c r="F1606" s="16" t="inlineStr">
        <is>
          <t>XK2505-18</t>
        </is>
      </c>
      <c r="G1606" s="16" t="n">
        <v>45807</v>
      </c>
      <c r="H1606" s="17" t="inlineStr">
        <is>
          <t>CÔNG TY CỔ PHẦN CÔNG NGHIỆP VÀ THƯƠNG MẠI CƯỜNG THỊNH</t>
        </is>
      </c>
      <c r="I1606" s="17" t="inlineStr">
        <is>
          <t>Long đền thường ZP M20B35D2</t>
        </is>
      </c>
      <c r="J1606" s="17" t="inlineStr">
        <is>
          <t>Cái</t>
        </is>
      </c>
      <c r="K1606" s="21" t="n">
        <v>350</v>
      </c>
      <c r="L1606" s="21" t="n"/>
      <c r="M1606" s="22" t="n"/>
      <c r="N1606" s="22" t="n">
        <v>39</v>
      </c>
      <c r="O1606" s="22" t="n">
        <v>13650</v>
      </c>
      <c r="P1606" s="22" t="n">
        <v>39</v>
      </c>
      <c r="Q1606" s="22" t="n">
        <v>13650</v>
      </c>
      <c r="R1606" s="42">
        <f>+L1606+N1606-P1606</f>
        <v/>
      </c>
      <c r="S1606" s="42">
        <f>+M1606+O1606-Q1606</f>
        <v/>
      </c>
    </row>
    <row r="1607" ht="30" customHeight="1">
      <c r="A1607" s="16" t="n">
        <v>45807</v>
      </c>
      <c r="B1607" s="17" t="inlineStr">
        <is>
          <t>MH2505-43</t>
        </is>
      </c>
      <c r="C1607" s="16" t="n">
        <v>45807</v>
      </c>
      <c r="D1607" s="17" t="inlineStr">
        <is>
          <t>00001988</t>
        </is>
      </c>
      <c r="E1607" s="16" t="n">
        <v>45807</v>
      </c>
      <c r="F1607" s="16" t="inlineStr">
        <is>
          <t>XK2505-18</t>
        </is>
      </c>
      <c r="G1607" s="16" t="n">
        <v>45807</v>
      </c>
      <c r="H1607" s="17" t="inlineStr">
        <is>
          <t>CÔNG TY CỔ PHẦN CÔNG NGHIỆP VÀ THƯƠNG MẠI CƯỜNG THỊNH</t>
        </is>
      </c>
      <c r="I1607" s="17" t="inlineStr">
        <is>
          <t>Bulong Din 933 8.8 ZP M24x80</t>
        </is>
      </c>
      <c r="J1607" s="17" t="inlineStr">
        <is>
          <t>Cái</t>
        </is>
      </c>
      <c r="K1607" s="21" t="n">
        <v>12010</v>
      </c>
      <c r="L1607" s="21" t="n"/>
      <c r="M1607" s="22" t="n"/>
      <c r="N1607" s="22" t="n">
        <v>165</v>
      </c>
      <c r="O1607" s="22" t="n">
        <v>1981650</v>
      </c>
      <c r="P1607" s="22" t="n">
        <v>165</v>
      </c>
      <c r="Q1607" s="22" t="n">
        <v>1981650</v>
      </c>
      <c r="R1607" s="42">
        <f>+L1607+N1607-P1607</f>
        <v/>
      </c>
      <c r="S1607" s="42">
        <f>+M1607+O1607-Q1607</f>
        <v/>
      </c>
    </row>
    <row r="1608" ht="30" customHeight="1">
      <c r="A1608" s="16" t="n">
        <v>45807</v>
      </c>
      <c r="B1608" s="17" t="inlineStr">
        <is>
          <t>MH2505-43</t>
        </is>
      </c>
      <c r="C1608" s="16" t="n">
        <v>45807</v>
      </c>
      <c r="D1608" s="17" t="inlineStr">
        <is>
          <t>00001988</t>
        </is>
      </c>
      <c r="E1608" s="16" t="n">
        <v>45807</v>
      </c>
      <c r="F1608" s="16" t="inlineStr">
        <is>
          <t>XK2505-18</t>
        </is>
      </c>
      <c r="G1608" s="16" t="n">
        <v>45807</v>
      </c>
      <c r="H1608" s="17" t="inlineStr">
        <is>
          <t>CÔNG TY CỔ PHẦN CÔNG NGHIỆP VÀ THƯƠNG MẠI CƯỜNG THỊNH</t>
        </is>
      </c>
      <c r="I1608" s="17" t="inlineStr">
        <is>
          <t>Đai ốc Din 934 8 ZP M24</t>
        </is>
      </c>
      <c r="J1608" s="17" t="inlineStr">
        <is>
          <t>Cái</t>
        </is>
      </c>
      <c r="K1608" s="21" t="n">
        <v>3500</v>
      </c>
      <c r="L1608" s="21" t="n"/>
      <c r="M1608" s="22" t="n"/>
      <c r="N1608" s="22" t="n">
        <v>165</v>
      </c>
      <c r="O1608" s="22" t="n">
        <v>577500</v>
      </c>
      <c r="P1608" s="22" t="n">
        <v>165</v>
      </c>
      <c r="Q1608" s="22" t="n">
        <v>577500</v>
      </c>
      <c r="R1608" s="42">
        <f>+L1608+N1608-P1608</f>
        <v/>
      </c>
      <c r="S1608" s="42">
        <f>+M1608+O1608-Q1608</f>
        <v/>
      </c>
    </row>
    <row r="1609" ht="30" customHeight="1">
      <c r="A1609" s="16" t="n">
        <v>45807</v>
      </c>
      <c r="B1609" s="17" t="inlineStr">
        <is>
          <t>MH2505-43</t>
        </is>
      </c>
      <c r="C1609" s="16" t="n">
        <v>45807</v>
      </c>
      <c r="D1609" s="17" t="inlineStr">
        <is>
          <t>00001988</t>
        </is>
      </c>
      <c r="E1609" s="16" t="n">
        <v>45807</v>
      </c>
      <c r="F1609" s="16" t="inlineStr">
        <is>
          <t>XK2505-18</t>
        </is>
      </c>
      <c r="G1609" s="16" t="n">
        <v>45807</v>
      </c>
      <c r="H1609" s="17" t="inlineStr">
        <is>
          <t>CÔNG TY CỔ PHẦN CÔNG NGHIỆP VÀ THƯƠNG MẠI CƯỜNG THỊNH</t>
        </is>
      </c>
      <c r="I1609" s="17" t="inlineStr">
        <is>
          <t>Long đền thường ZP M24B40-42D2</t>
        </is>
      </c>
      <c r="J1609" s="17" t="inlineStr">
        <is>
          <t>Cái</t>
        </is>
      </c>
      <c r="K1609" s="21" t="n">
        <v>660</v>
      </c>
      <c r="L1609" s="21" t="n"/>
      <c r="M1609" s="22" t="n"/>
      <c r="N1609" s="22" t="n">
        <v>165</v>
      </c>
      <c r="O1609" s="22" t="n">
        <v>108900</v>
      </c>
      <c r="P1609" s="22" t="n">
        <v>165</v>
      </c>
      <c r="Q1609" s="22" t="n">
        <v>108900</v>
      </c>
      <c r="R1609" s="42">
        <f>+L1609+N1609-P1609</f>
        <v/>
      </c>
      <c r="S1609" s="42">
        <f>+M1609+O1609-Q1609</f>
        <v/>
      </c>
    </row>
    <row r="1610" ht="30" customHeight="1">
      <c r="A1610" s="16" t="n">
        <v>45807</v>
      </c>
      <c r="B1610" s="17" t="inlineStr">
        <is>
          <t>MH2505-43</t>
        </is>
      </c>
      <c r="C1610" s="16" t="n">
        <v>45807</v>
      </c>
      <c r="D1610" s="17" t="inlineStr">
        <is>
          <t>00001988</t>
        </is>
      </c>
      <c r="E1610" s="16" t="n">
        <v>45807</v>
      </c>
      <c r="F1610" s="16" t="inlineStr">
        <is>
          <t>XK2505-18</t>
        </is>
      </c>
      <c r="G1610" s="16" t="n">
        <v>45807</v>
      </c>
      <c r="H1610" s="17" t="inlineStr">
        <is>
          <t>CÔNG TY CỔ PHẦN CÔNG NGHIỆP VÀ THƯƠNG MẠI CƯỜNG THỊNH</t>
        </is>
      </c>
      <c r="I1610" s="17" t="inlineStr">
        <is>
          <t>Bulong khía 4.6 ZP M12x30</t>
        </is>
      </c>
      <c r="J1610" s="17" t="inlineStr">
        <is>
          <t>Cái</t>
        </is>
      </c>
      <c r="K1610" s="21" t="n">
        <v>5000</v>
      </c>
      <c r="L1610" s="21" t="n"/>
      <c r="M1610" s="22" t="n"/>
      <c r="N1610" s="22" t="n">
        <v>17</v>
      </c>
      <c r="O1610" s="22" t="n">
        <v>85000</v>
      </c>
      <c r="P1610" s="22" t="n">
        <v>17</v>
      </c>
      <c r="Q1610" s="22" t="n">
        <v>85000</v>
      </c>
      <c r="R1610" s="42">
        <f>+L1610+N1610-P1610</f>
        <v/>
      </c>
      <c r="S1610" s="42">
        <f>+M1610+O1610-Q1610</f>
        <v/>
      </c>
    </row>
    <row r="1611" ht="30" customHeight="1">
      <c r="A1611" s="16" t="n">
        <v>45807</v>
      </c>
      <c r="B1611" s="17" t="inlineStr">
        <is>
          <t>MH2505-43</t>
        </is>
      </c>
      <c r="C1611" s="16" t="n">
        <v>45807</v>
      </c>
      <c r="D1611" s="17" t="inlineStr">
        <is>
          <t>00001988</t>
        </is>
      </c>
      <c r="E1611" s="16" t="n">
        <v>45807</v>
      </c>
      <c r="F1611" s="16" t="inlineStr">
        <is>
          <t>XK2505-18</t>
        </is>
      </c>
      <c r="G1611" s="16" t="n">
        <v>45807</v>
      </c>
      <c r="H1611" s="17" t="inlineStr">
        <is>
          <t>CÔNG TY CỔ PHẦN CÔNG NGHIỆP VÀ THƯƠNG MẠI CƯỜNG THỊNH</t>
        </is>
      </c>
      <c r="I1611" s="17" t="inlineStr">
        <is>
          <t>Đai ốc thường 4 ZP M12 (9mm)</t>
        </is>
      </c>
      <c r="J1611" s="17" t="inlineStr">
        <is>
          <t>Cái</t>
        </is>
      </c>
      <c r="K1611" s="21" t="n">
        <v>360</v>
      </c>
      <c r="L1611" s="21" t="n"/>
      <c r="M1611" s="22" t="n"/>
      <c r="N1611" s="22" t="n">
        <v>17</v>
      </c>
      <c r="O1611" s="22" t="n">
        <v>6120</v>
      </c>
      <c r="P1611" s="22" t="n">
        <v>17</v>
      </c>
      <c r="Q1611" s="22" t="n">
        <v>6120</v>
      </c>
      <c r="R1611" s="42">
        <f>+L1611+N1611-P1611</f>
        <v/>
      </c>
      <c r="S1611" s="42">
        <f>+M1611+O1611-Q1611</f>
        <v/>
      </c>
    </row>
    <row r="1612" ht="30" customHeight="1">
      <c r="A1612" s="16" t="n">
        <v>45807</v>
      </c>
      <c r="B1612" s="17" t="inlineStr">
        <is>
          <t>MH2505-43</t>
        </is>
      </c>
      <c r="C1612" s="16" t="n">
        <v>45807</v>
      </c>
      <c r="D1612" s="17" t="inlineStr">
        <is>
          <t>00001988</t>
        </is>
      </c>
      <c r="E1612" s="16" t="n">
        <v>45807</v>
      </c>
      <c r="F1612" s="16" t="inlineStr">
        <is>
          <t>XK2505-18</t>
        </is>
      </c>
      <c r="G1612" s="16" t="n">
        <v>45807</v>
      </c>
      <c r="H1612" s="17" t="inlineStr">
        <is>
          <t>CÔNG TY CỔ PHẦN CÔNG NGHIỆP VÀ THƯƠNG MẠI CƯỜNG THỊNH</t>
        </is>
      </c>
      <c r="I1612" s="17" t="inlineStr">
        <is>
          <t>Long đền thường ZP M12B23D1</t>
        </is>
      </c>
      <c r="J1612" s="17" t="inlineStr">
        <is>
          <t>Cái</t>
        </is>
      </c>
      <c r="K1612" s="21" t="n">
        <v>100</v>
      </c>
      <c r="L1612" s="21" t="n"/>
      <c r="M1612" s="22" t="n"/>
      <c r="N1612" s="22" t="n">
        <v>17</v>
      </c>
      <c r="O1612" s="22" t="n">
        <v>1700</v>
      </c>
      <c r="P1612" s="22" t="n">
        <v>17</v>
      </c>
      <c r="Q1612" s="22" t="n">
        <v>1700</v>
      </c>
      <c r="R1612" s="42">
        <f>+L1612+N1612-P1612</f>
        <v/>
      </c>
      <c r="S1612" s="42">
        <f>+M1612+O1612-Q1612</f>
        <v/>
      </c>
    </row>
    <row r="1613" ht="30" customHeight="1">
      <c r="A1613" s="16" t="n">
        <v>45807</v>
      </c>
      <c r="B1613" s="17" t="inlineStr">
        <is>
          <t>MH2505-43</t>
        </is>
      </c>
      <c r="C1613" s="16" t="n">
        <v>45807</v>
      </c>
      <c r="D1613" s="17" t="inlineStr">
        <is>
          <t>00001988</t>
        </is>
      </c>
      <c r="E1613" s="16" t="n">
        <v>45807</v>
      </c>
      <c r="F1613" s="16" t="inlineStr">
        <is>
          <t>XK2505-18</t>
        </is>
      </c>
      <c r="G1613" s="16" t="n">
        <v>45807</v>
      </c>
      <c r="H1613" s="17" t="inlineStr">
        <is>
          <t>CÔNG TY CỔ PHẦN CÔNG NGHIỆP VÀ THƯƠNG MẠI CƯỜNG THỊNH</t>
        </is>
      </c>
      <c r="I1613" s="17" t="inlineStr">
        <is>
          <t>Bulong thường 4.6 ZP M12x40</t>
        </is>
      </c>
      <c r="J1613" s="17" t="inlineStr">
        <is>
          <t>Cái</t>
        </is>
      </c>
      <c r="K1613" s="21" t="n">
        <v>1100</v>
      </c>
      <c r="L1613" s="21" t="n"/>
      <c r="M1613" s="22" t="n"/>
      <c r="N1613" s="22" t="n">
        <v>2944</v>
      </c>
      <c r="O1613" s="22" t="n">
        <v>3238400</v>
      </c>
      <c r="P1613" s="22" t="n">
        <v>2944</v>
      </c>
      <c r="Q1613" s="22" t="n">
        <v>3238400</v>
      </c>
      <c r="R1613" s="42">
        <f>+L1613+N1613-P1613</f>
        <v/>
      </c>
      <c r="S1613" s="42">
        <f>+M1613+O1613-Q1613</f>
        <v/>
      </c>
    </row>
    <row r="1614" ht="30" customHeight="1">
      <c r="A1614" s="16" t="n">
        <v>45807</v>
      </c>
      <c r="B1614" s="17" t="inlineStr">
        <is>
          <t>MH2505-43</t>
        </is>
      </c>
      <c r="C1614" s="16" t="n">
        <v>45807</v>
      </c>
      <c r="D1614" s="17" t="inlineStr">
        <is>
          <t>00001988</t>
        </is>
      </c>
      <c r="E1614" s="16" t="n">
        <v>45807</v>
      </c>
      <c r="F1614" s="16" t="inlineStr">
        <is>
          <t>XK2505-18</t>
        </is>
      </c>
      <c r="G1614" s="16" t="n">
        <v>45807</v>
      </c>
      <c r="H1614" s="17" t="inlineStr">
        <is>
          <t>CÔNG TY CỔ PHẦN CÔNG NGHIỆP VÀ THƯƠNG MẠI CƯỜNG THỊNH</t>
        </is>
      </c>
      <c r="I1614" s="17" t="inlineStr">
        <is>
          <t>Đai ốc thường 4 ZP M12 (9mm)</t>
        </is>
      </c>
      <c r="J1614" s="17" t="inlineStr">
        <is>
          <t>Cái</t>
        </is>
      </c>
      <c r="K1614" s="21" t="n">
        <v>360</v>
      </c>
      <c r="L1614" s="21" t="n"/>
      <c r="M1614" s="22" t="n"/>
      <c r="N1614" s="22" t="n">
        <v>2944</v>
      </c>
      <c r="O1614" s="22" t="n">
        <v>1059840</v>
      </c>
      <c r="P1614" s="22" t="n">
        <v>2944</v>
      </c>
      <c r="Q1614" s="22" t="n">
        <v>1059840</v>
      </c>
      <c r="R1614" s="42">
        <f>+L1614+N1614-P1614</f>
        <v/>
      </c>
      <c r="S1614" s="42">
        <f>+M1614+O1614-Q1614</f>
        <v/>
      </c>
    </row>
    <row r="1615" ht="30" customHeight="1">
      <c r="A1615" s="16" t="n">
        <v>45807</v>
      </c>
      <c r="B1615" s="17" t="inlineStr">
        <is>
          <t>MH2505-43</t>
        </is>
      </c>
      <c r="C1615" s="16" t="n">
        <v>45807</v>
      </c>
      <c r="D1615" s="17" t="inlineStr">
        <is>
          <t>00001988</t>
        </is>
      </c>
      <c r="E1615" s="16" t="n">
        <v>45807</v>
      </c>
      <c r="F1615" s="16" t="inlineStr">
        <is>
          <t>XK2505-18</t>
        </is>
      </c>
      <c r="G1615" s="16" t="n">
        <v>45807</v>
      </c>
      <c r="H1615" s="17" t="inlineStr">
        <is>
          <t>CÔNG TY CỔ PHẦN CÔNG NGHIỆP VÀ THƯƠNG MẠI CƯỜNG THỊNH</t>
        </is>
      </c>
      <c r="I1615" s="17" t="inlineStr">
        <is>
          <t>Long đền thường ZP M12B23D1</t>
        </is>
      </c>
      <c r="J1615" s="17" t="inlineStr">
        <is>
          <t>Cái</t>
        </is>
      </c>
      <c r="K1615" s="21" t="n">
        <v>100</v>
      </c>
      <c r="L1615" s="21" t="n"/>
      <c r="M1615" s="22" t="n"/>
      <c r="N1615" s="22" t="n">
        <v>5888</v>
      </c>
      <c r="O1615" s="22" t="n">
        <v>588800</v>
      </c>
      <c r="P1615" s="22" t="n">
        <v>5888</v>
      </c>
      <c r="Q1615" s="22" t="n">
        <v>588800</v>
      </c>
      <c r="R1615" s="42">
        <f>+L1615+N1615-P1615</f>
        <v/>
      </c>
      <c r="S1615" s="42">
        <f>+M1615+O1615-Q1615</f>
        <v/>
      </c>
    </row>
    <row r="1616" ht="30" customHeight="1">
      <c r="A1616" s="16" t="n">
        <v>45807</v>
      </c>
      <c r="B1616" s="17" t="inlineStr">
        <is>
          <t>MH2505-44</t>
        </is>
      </c>
      <c r="C1616" s="16" t="n">
        <v>45807</v>
      </c>
      <c r="D1616" s="17" t="inlineStr">
        <is>
          <t>00001989</t>
        </is>
      </c>
      <c r="E1616" s="16" t="n">
        <v>45807</v>
      </c>
      <c r="F1616" s="16" t="inlineStr">
        <is>
          <t>XK2505-18</t>
        </is>
      </c>
      <c r="G1616" s="16" t="n">
        <v>45807</v>
      </c>
      <c r="H1616" s="17" t="inlineStr">
        <is>
          <t>CÔNG TY CỔ PHẦN CÔNG NGHIỆP VÀ THƯƠNG MẠI CƯỜNG THỊNH</t>
        </is>
      </c>
      <c r="I1616" s="17" t="inlineStr">
        <is>
          <t>Ty giằng 2 đầu ren 5.6 ZP M24</t>
        </is>
      </c>
      <c r="J1616" s="17" t="inlineStr">
        <is>
          <t>Mét</t>
        </is>
      </c>
      <c r="K1616" s="21" t="n">
        <v>106000</v>
      </c>
      <c r="L1616" s="21" t="n"/>
      <c r="M1616" s="22" t="n"/>
      <c r="N1616" s="22" t="n">
        <v>74.63</v>
      </c>
      <c r="O1616" s="22" t="n">
        <v>7910780</v>
      </c>
      <c r="P1616" s="22" t="n">
        <v>74.63</v>
      </c>
      <c r="Q1616" s="22" t="n">
        <v>7910780</v>
      </c>
      <c r="R1616" s="42">
        <f>+L1616+N1616-P1616</f>
        <v/>
      </c>
      <c r="S1616" s="42">
        <f>+M1616+O1616-Q1616</f>
        <v/>
      </c>
    </row>
    <row r="1617" ht="30" customHeight="1">
      <c r="A1617" s="16" t="n">
        <v>45807</v>
      </c>
      <c r="B1617" s="17" t="inlineStr">
        <is>
          <t>MH2505-44</t>
        </is>
      </c>
      <c r="C1617" s="16" t="n">
        <v>45807</v>
      </c>
      <c r="D1617" s="17" t="inlineStr">
        <is>
          <t>00001989</t>
        </is>
      </c>
      <c r="E1617" s="16" t="n">
        <v>45807</v>
      </c>
      <c r="F1617" s="16" t="inlineStr">
        <is>
          <t>XK2505-18</t>
        </is>
      </c>
      <c r="G1617" s="16" t="n">
        <v>45807</v>
      </c>
      <c r="H1617" s="17" t="inlineStr">
        <is>
          <t>CÔNG TY CỔ PHẦN CÔNG NGHIỆP VÀ THƯƠNG MẠI CƯỜNG THỊNH</t>
        </is>
      </c>
      <c r="I1617" s="17" t="inlineStr">
        <is>
          <t>Đai ốc Din 934 5 ZP M24</t>
        </is>
      </c>
      <c r="J1617" s="17" t="inlineStr">
        <is>
          <t>Cái</t>
        </is>
      </c>
      <c r="K1617" s="21" t="n">
        <v>2930</v>
      </c>
      <c r="L1617" s="21" t="n"/>
      <c r="M1617" s="22" t="n"/>
      <c r="N1617" s="22" t="n">
        <v>16</v>
      </c>
      <c r="O1617" s="22" t="n">
        <v>46880</v>
      </c>
      <c r="P1617" s="22" t="n">
        <v>16</v>
      </c>
      <c r="Q1617" s="22" t="n">
        <v>46880</v>
      </c>
      <c r="R1617" s="42">
        <f>+L1617+N1617-P1617</f>
        <v/>
      </c>
      <c r="S1617" s="42">
        <f>+M1617+O1617-Q1617</f>
        <v/>
      </c>
    </row>
    <row r="1618" ht="30" customHeight="1">
      <c r="A1618" s="16" t="n">
        <v>45807</v>
      </c>
      <c r="B1618" s="17" t="inlineStr">
        <is>
          <t>MH2505-44</t>
        </is>
      </c>
      <c r="C1618" s="16" t="n">
        <v>45807</v>
      </c>
      <c r="D1618" s="17" t="inlineStr">
        <is>
          <t>00001989</t>
        </is>
      </c>
      <c r="E1618" s="16" t="n">
        <v>45807</v>
      </c>
      <c r="F1618" s="16" t="inlineStr">
        <is>
          <t>XK2505-18</t>
        </is>
      </c>
      <c r="G1618" s="16" t="n">
        <v>45807</v>
      </c>
      <c r="H1618" s="17" t="inlineStr">
        <is>
          <t>CÔNG TY CỔ PHẦN CÔNG NGHIỆP VÀ THƯƠNG MẠI CƯỜNG THỊNH</t>
        </is>
      </c>
      <c r="I1618" s="17" t="inlineStr">
        <is>
          <t>Long đền thường ZP M24B45D2</t>
        </is>
      </c>
      <c r="J1618" s="17" t="inlineStr">
        <is>
          <t>Cái</t>
        </is>
      </c>
      <c r="K1618" s="21" t="n">
        <v>770</v>
      </c>
      <c r="L1618" s="21" t="n"/>
      <c r="M1618" s="22" t="n"/>
      <c r="N1618" s="22" t="n">
        <v>16</v>
      </c>
      <c r="O1618" s="22" t="n">
        <v>12320</v>
      </c>
      <c r="P1618" s="22" t="n">
        <v>16</v>
      </c>
      <c r="Q1618" s="22" t="n">
        <v>12320</v>
      </c>
      <c r="R1618" s="42">
        <f>+L1618+N1618-P1618</f>
        <v/>
      </c>
      <c r="S1618" s="42">
        <f>+M1618+O1618-Q1618</f>
        <v/>
      </c>
    </row>
    <row r="1619" ht="30" customHeight="1">
      <c r="A1619" s="16" t="n">
        <v>45807</v>
      </c>
      <c r="B1619" s="17" t="inlineStr">
        <is>
          <t>MH2505-44</t>
        </is>
      </c>
      <c r="C1619" s="16" t="n">
        <v>45807</v>
      </c>
      <c r="D1619" s="17" t="inlineStr">
        <is>
          <t>00001989</t>
        </is>
      </c>
      <c r="E1619" s="16" t="n">
        <v>45807</v>
      </c>
      <c r="F1619" s="16" t="inlineStr">
        <is>
          <t>XK2505-18</t>
        </is>
      </c>
      <c r="G1619" s="16" t="n">
        <v>45807</v>
      </c>
      <c r="H1619" s="17" t="inlineStr">
        <is>
          <t>CÔNG TY CỔ PHẦN CÔNG NGHIỆP VÀ THƯƠNG MẠI CƯỜNG THỊNH</t>
        </is>
      </c>
      <c r="I1619" s="17" t="inlineStr">
        <is>
          <t>Long đền móng ngựa ZP M24</t>
        </is>
      </c>
      <c r="J1619" s="17" t="inlineStr">
        <is>
          <t>Cái</t>
        </is>
      </c>
      <c r="K1619" s="21" t="n">
        <v>23500</v>
      </c>
      <c r="L1619" s="21" t="n"/>
      <c r="M1619" s="22" t="n"/>
      <c r="N1619" s="22" t="n">
        <v>16</v>
      </c>
      <c r="O1619" s="22" t="n">
        <v>376000</v>
      </c>
      <c r="P1619" s="22" t="n">
        <v>16</v>
      </c>
      <c r="Q1619" s="22" t="n">
        <v>376000</v>
      </c>
      <c r="R1619" s="42">
        <f>+L1619+N1619-P1619</f>
        <v/>
      </c>
      <c r="S1619" s="42">
        <f>+M1619+O1619-Q1619</f>
        <v/>
      </c>
    </row>
    <row r="1620" ht="30" customHeight="1">
      <c r="A1620" s="16" t="n">
        <v>45807</v>
      </c>
      <c r="B1620" s="17" t="inlineStr">
        <is>
          <t>MH2505-44</t>
        </is>
      </c>
      <c r="C1620" s="16" t="n">
        <v>45807</v>
      </c>
      <c r="D1620" s="17" t="inlineStr">
        <is>
          <t>00001989</t>
        </is>
      </c>
      <c r="E1620" s="16" t="n">
        <v>45807</v>
      </c>
      <c r="F1620" s="16" t="inlineStr">
        <is>
          <t>XK2505-18</t>
        </is>
      </c>
      <c r="G1620" s="16" t="n">
        <v>45807</v>
      </c>
      <c r="H1620" s="17" t="inlineStr">
        <is>
          <t>CÔNG TY CỔ PHẦN CÔNG NGHIỆP VÀ THƯƠNG MẠI CƯỜNG THỊNH</t>
        </is>
      </c>
      <c r="I1620" s="17" t="inlineStr">
        <is>
          <t>Nối Ty ZP M24x100 (34mm)</t>
        </is>
      </c>
      <c r="J1620" s="17" t="inlineStr">
        <is>
          <t>Cái</t>
        </is>
      </c>
      <c r="K1620" s="21" t="n">
        <v>35220</v>
      </c>
      <c r="L1620" s="21" t="n"/>
      <c r="M1620" s="22" t="n"/>
      <c r="N1620" s="22" t="n">
        <v>8</v>
      </c>
      <c r="O1620" s="22" t="n">
        <v>281760</v>
      </c>
      <c r="P1620" s="22" t="n">
        <v>8</v>
      </c>
      <c r="Q1620" s="22" t="n">
        <v>281760</v>
      </c>
      <c r="R1620" s="42">
        <f>+L1620+N1620-P1620</f>
        <v/>
      </c>
      <c r="S1620" s="42">
        <f>+M1620+O1620-Q1620</f>
        <v/>
      </c>
    </row>
    <row r="1621" ht="30" customHeight="1">
      <c r="A1621" s="16" t="n">
        <v>45807</v>
      </c>
      <c r="B1621" s="17" t="inlineStr">
        <is>
          <t>MH2505-44</t>
        </is>
      </c>
      <c r="C1621" s="16" t="n">
        <v>45807</v>
      </c>
      <c r="D1621" s="17" t="inlineStr">
        <is>
          <t>00001989</t>
        </is>
      </c>
      <c r="E1621" s="16" t="n">
        <v>45807</v>
      </c>
      <c r="F1621" s="16" t="inlineStr">
        <is>
          <t>XK2505-18</t>
        </is>
      </c>
      <c r="G1621" s="16" t="n">
        <v>45807</v>
      </c>
      <c r="H1621" s="17" t="inlineStr">
        <is>
          <t>CÔNG TY CỔ PHẦN CÔNG NGHIỆP VÀ THƯƠNG MẠI CƯỜNG THỊNH</t>
        </is>
      </c>
      <c r="I1621" s="17" t="inlineStr">
        <is>
          <t>Ty giằng 2 đầu ren 4.6 ZP M20</t>
        </is>
      </c>
      <c r="J1621" s="17" t="inlineStr">
        <is>
          <t>Mét</t>
        </is>
      </c>
      <c r="K1621" s="21" t="n">
        <v>69000</v>
      </c>
      <c r="L1621" s="21" t="n"/>
      <c r="M1621" s="22" t="n"/>
      <c r="N1621" s="22" t="n">
        <v>356.42</v>
      </c>
      <c r="O1621" s="22" t="n">
        <v>24592980</v>
      </c>
      <c r="P1621" s="22" t="n">
        <v>356.42</v>
      </c>
      <c r="Q1621" s="22" t="n">
        <v>24592980</v>
      </c>
      <c r="R1621" s="42">
        <f>+L1621+N1621-P1621</f>
        <v/>
      </c>
      <c r="S1621" s="42">
        <f>+M1621+O1621-Q1621</f>
        <v/>
      </c>
    </row>
    <row r="1622" ht="30" customHeight="1">
      <c r="A1622" s="16" t="n">
        <v>45807</v>
      </c>
      <c r="B1622" s="17" t="inlineStr">
        <is>
          <t>MH2505-44</t>
        </is>
      </c>
      <c r="C1622" s="16" t="n">
        <v>45807</v>
      </c>
      <c r="D1622" s="17" t="inlineStr">
        <is>
          <t>00001989</t>
        </is>
      </c>
      <c r="E1622" s="16" t="n">
        <v>45807</v>
      </c>
      <c r="F1622" s="16" t="inlineStr">
        <is>
          <t>XK2505-18</t>
        </is>
      </c>
      <c r="G1622" s="16" t="n">
        <v>45807</v>
      </c>
      <c r="H1622" s="17" t="inlineStr">
        <is>
          <t>CÔNG TY CỔ PHẦN CÔNG NGHIỆP VÀ THƯƠNG MẠI CƯỜNG THỊNH</t>
        </is>
      </c>
      <c r="I1622" s="17" t="inlineStr">
        <is>
          <t>Đai ốc Din 934 5 ZP M20</t>
        </is>
      </c>
      <c r="J1622" s="17" t="inlineStr">
        <is>
          <t>Cái</t>
        </is>
      </c>
      <c r="K1622" s="21" t="n">
        <v>1850</v>
      </c>
      <c r="L1622" s="21" t="n"/>
      <c r="M1622" s="22" t="n"/>
      <c r="N1622" s="22" t="n">
        <v>80</v>
      </c>
      <c r="O1622" s="22" t="n">
        <v>148000</v>
      </c>
      <c r="P1622" s="22" t="n">
        <v>80</v>
      </c>
      <c r="Q1622" s="22" t="n">
        <v>148000</v>
      </c>
      <c r="R1622" s="42">
        <f>+L1622+N1622-P1622</f>
        <v/>
      </c>
      <c r="S1622" s="42">
        <f>+M1622+O1622-Q1622</f>
        <v/>
      </c>
    </row>
    <row r="1623" ht="30" customHeight="1">
      <c r="A1623" s="16" t="n">
        <v>45807</v>
      </c>
      <c r="B1623" s="17" t="inlineStr">
        <is>
          <t>MH2505-44</t>
        </is>
      </c>
      <c r="C1623" s="16" t="n">
        <v>45807</v>
      </c>
      <c r="D1623" s="17" t="inlineStr">
        <is>
          <t>00001989</t>
        </is>
      </c>
      <c r="E1623" s="16" t="n">
        <v>45807</v>
      </c>
      <c r="F1623" s="16" t="inlineStr">
        <is>
          <t>XK2505-18</t>
        </is>
      </c>
      <c r="G1623" s="16" t="n">
        <v>45807</v>
      </c>
      <c r="H1623" s="17" t="inlineStr">
        <is>
          <t>CÔNG TY CỔ PHẦN CÔNG NGHIỆP VÀ THƯƠNG MẠI CƯỜNG THỊNH</t>
        </is>
      </c>
      <c r="I1623" s="17" t="inlineStr">
        <is>
          <t>Long đền thường ZP M20B42D2</t>
        </is>
      </c>
      <c r="J1623" s="17" t="inlineStr">
        <is>
          <t>Cái</t>
        </is>
      </c>
      <c r="K1623" s="21" t="n">
        <v>700</v>
      </c>
      <c r="L1623" s="21" t="n"/>
      <c r="M1623" s="22" t="n"/>
      <c r="N1623" s="22" t="n">
        <v>80</v>
      </c>
      <c r="O1623" s="22" t="n">
        <v>56000</v>
      </c>
      <c r="P1623" s="22" t="n">
        <v>80</v>
      </c>
      <c r="Q1623" s="22" t="n">
        <v>56000</v>
      </c>
      <c r="R1623" s="42">
        <f>+L1623+N1623-P1623</f>
        <v/>
      </c>
      <c r="S1623" s="42">
        <f>+M1623+O1623-Q1623</f>
        <v/>
      </c>
    </row>
    <row r="1624" ht="30" customHeight="1">
      <c r="A1624" s="16" t="n">
        <v>45807</v>
      </c>
      <c r="B1624" s="17" t="inlineStr">
        <is>
          <t>MH2505-44</t>
        </is>
      </c>
      <c r="C1624" s="16" t="n">
        <v>45807</v>
      </c>
      <c r="D1624" s="17" t="inlineStr">
        <is>
          <t>00001989</t>
        </is>
      </c>
      <c r="E1624" s="16" t="n">
        <v>45807</v>
      </c>
      <c r="F1624" s="16" t="inlineStr">
        <is>
          <t>XK2505-18</t>
        </is>
      </c>
      <c r="G1624" s="16" t="n">
        <v>45807</v>
      </c>
      <c r="H1624" s="17" t="inlineStr">
        <is>
          <t>CÔNG TY CỔ PHẦN CÔNG NGHIỆP VÀ THƯƠNG MẠI CƯỜNG THỊNH</t>
        </is>
      </c>
      <c r="I1624" s="17" t="inlineStr">
        <is>
          <t>Long đền móng ngựa ZP M20</t>
        </is>
      </c>
      <c r="J1624" s="17" t="inlineStr">
        <is>
          <t>Cái</t>
        </is>
      </c>
      <c r="K1624" s="21" t="n">
        <v>15590</v>
      </c>
      <c r="L1624" s="21" t="n"/>
      <c r="M1624" s="22" t="n"/>
      <c r="N1624" s="22" t="n">
        <v>80</v>
      </c>
      <c r="O1624" s="22" t="n">
        <v>1247200</v>
      </c>
      <c r="P1624" s="22" t="n">
        <v>80</v>
      </c>
      <c r="Q1624" s="22" t="n">
        <v>1247200</v>
      </c>
      <c r="R1624" s="42">
        <f>+L1624+N1624-P1624</f>
        <v/>
      </c>
      <c r="S1624" s="42">
        <f>+M1624+O1624-Q1624</f>
        <v/>
      </c>
    </row>
    <row r="1625" ht="30" customHeight="1">
      <c r="A1625" s="16" t="n">
        <v>45807</v>
      </c>
      <c r="B1625" s="17" t="inlineStr">
        <is>
          <t>MH2505-44</t>
        </is>
      </c>
      <c r="C1625" s="16" t="n">
        <v>45807</v>
      </c>
      <c r="D1625" s="17" t="inlineStr">
        <is>
          <t>00001989</t>
        </is>
      </c>
      <c r="E1625" s="16" t="n">
        <v>45807</v>
      </c>
      <c r="F1625" s="16" t="inlineStr">
        <is>
          <t>XK2505-18</t>
        </is>
      </c>
      <c r="G1625" s="16" t="n">
        <v>45807</v>
      </c>
      <c r="H1625" s="17" t="inlineStr">
        <is>
          <t>CÔNG TY CỔ PHẦN CÔNG NGHIỆP VÀ THƯƠNG MẠI CƯỜNG THỊNH</t>
        </is>
      </c>
      <c r="I1625" s="17" t="inlineStr">
        <is>
          <t>Nối Ty ZP M20x100(28mm)</t>
        </is>
      </c>
      <c r="J1625" s="17" t="inlineStr">
        <is>
          <t>Cái</t>
        </is>
      </c>
      <c r="K1625" s="21" t="n">
        <v>24470</v>
      </c>
      <c r="L1625" s="21" t="n"/>
      <c r="M1625" s="22" t="n"/>
      <c r="N1625" s="22" t="n">
        <v>40</v>
      </c>
      <c r="O1625" s="22" t="n">
        <v>978800</v>
      </c>
      <c r="P1625" s="22" t="n">
        <v>40</v>
      </c>
      <c r="Q1625" s="22" t="n">
        <v>978800</v>
      </c>
      <c r="R1625" s="42">
        <f>+L1625+N1625-P1625</f>
        <v/>
      </c>
      <c r="S1625" s="42">
        <f>+M1625+O1625-Q1625</f>
        <v/>
      </c>
    </row>
    <row r="1626" ht="30" customHeight="1">
      <c r="A1626" s="16" t="n">
        <v>45807</v>
      </c>
      <c r="B1626" s="17" t="inlineStr">
        <is>
          <t>MH2505-44</t>
        </is>
      </c>
      <c r="C1626" s="16" t="n">
        <v>45807</v>
      </c>
      <c r="D1626" s="17" t="inlineStr">
        <is>
          <t>00001989</t>
        </is>
      </c>
      <c r="E1626" s="16" t="n">
        <v>45807</v>
      </c>
      <c r="F1626" s="16" t="inlineStr">
        <is>
          <t>XK2505-18</t>
        </is>
      </c>
      <c r="G1626" s="16" t="n">
        <v>45807</v>
      </c>
      <c r="H1626" s="17" t="inlineStr">
        <is>
          <t>CÔNG TY CỔ PHẦN CÔNG NGHIỆP VÀ THƯƠNG MẠI CƯỜNG THỊNH</t>
        </is>
      </c>
      <c r="I1626" s="17" t="inlineStr">
        <is>
          <t>Ty giằng 2 đầu ren 4.6 Ф11.3-11.5mm ZP M12</t>
        </is>
      </c>
      <c r="J1626" s="17" t="inlineStr">
        <is>
          <t>Mét</t>
        </is>
      </c>
      <c r="K1626" s="21" t="n">
        <v>20500</v>
      </c>
      <c r="L1626" s="21" t="n"/>
      <c r="M1626" s="22" t="n"/>
      <c r="N1626" s="22" t="n">
        <v>544.92</v>
      </c>
      <c r="O1626" s="22" t="n">
        <v>11170860</v>
      </c>
      <c r="P1626" s="22" t="n">
        <v>544.92</v>
      </c>
      <c r="Q1626" s="22" t="n">
        <v>11170860</v>
      </c>
      <c r="R1626" s="42">
        <f>+L1626+N1626-P1626</f>
        <v/>
      </c>
      <c r="S1626" s="42">
        <f>+M1626+O1626-Q1626</f>
        <v/>
      </c>
    </row>
    <row r="1627" ht="30" customHeight="1">
      <c r="A1627" s="16" t="n">
        <v>45807</v>
      </c>
      <c r="B1627" s="17" t="inlineStr">
        <is>
          <t>MH2505-44</t>
        </is>
      </c>
      <c r="C1627" s="16" t="n">
        <v>45807</v>
      </c>
      <c r="D1627" s="17" t="inlineStr">
        <is>
          <t>00001989</t>
        </is>
      </c>
      <c r="E1627" s="16" t="n">
        <v>45807</v>
      </c>
      <c r="F1627" s="16" t="inlineStr">
        <is>
          <t>XK2505-18</t>
        </is>
      </c>
      <c r="G1627" s="16" t="n">
        <v>45807</v>
      </c>
      <c r="H1627" s="17" t="inlineStr">
        <is>
          <t>CÔNG TY CỔ PHẦN CÔNG NGHIỆP VÀ THƯƠNG MẠI CƯỜNG THỊNH</t>
        </is>
      </c>
      <c r="I1627" s="17" t="inlineStr">
        <is>
          <t>Đai ốc thường 4 ZP M12 (9mm)</t>
        </is>
      </c>
      <c r="J1627" s="17" t="inlineStr">
        <is>
          <t>Cái</t>
        </is>
      </c>
      <c r="K1627" s="21" t="n">
        <v>360</v>
      </c>
      <c r="L1627" s="21" t="n"/>
      <c r="M1627" s="22" t="n"/>
      <c r="N1627" s="22" t="n">
        <v>2048</v>
      </c>
      <c r="O1627" s="22" t="n">
        <v>737280</v>
      </c>
      <c r="P1627" s="22" t="n">
        <v>2048</v>
      </c>
      <c r="Q1627" s="22" t="n">
        <v>737280</v>
      </c>
      <c r="R1627" s="42">
        <f>+L1627+N1627-P1627</f>
        <v/>
      </c>
      <c r="S1627" s="42">
        <f>+M1627+O1627-Q1627</f>
        <v/>
      </c>
    </row>
    <row r="1628" ht="30" customHeight="1">
      <c r="A1628" s="16" t="n">
        <v>45807</v>
      </c>
      <c r="B1628" s="17" t="inlineStr">
        <is>
          <t>MH2505-44</t>
        </is>
      </c>
      <c r="C1628" s="16" t="n">
        <v>45807</v>
      </c>
      <c r="D1628" s="17" t="inlineStr">
        <is>
          <t>00001989</t>
        </is>
      </c>
      <c r="E1628" s="16" t="n">
        <v>45807</v>
      </c>
      <c r="F1628" s="16" t="inlineStr">
        <is>
          <t>XK2505-18</t>
        </is>
      </c>
      <c r="G1628" s="16" t="n">
        <v>45807</v>
      </c>
      <c r="H1628" s="17" t="inlineStr">
        <is>
          <t>CÔNG TY CỔ PHẦN CÔNG NGHIỆP VÀ THƯƠNG MẠI CƯỜNG THỊNH</t>
        </is>
      </c>
      <c r="I1628" s="17" t="inlineStr">
        <is>
          <t>Long đền thường ZP M12B26D1.5</t>
        </is>
      </c>
      <c r="J1628" s="17" t="inlineStr">
        <is>
          <t>Cái</t>
        </is>
      </c>
      <c r="K1628" s="21" t="n">
        <v>190</v>
      </c>
      <c r="L1628" s="21" t="n"/>
      <c r="M1628" s="22" t="n"/>
      <c r="N1628" s="22" t="n">
        <v>2048</v>
      </c>
      <c r="O1628" s="22" t="n">
        <v>389120</v>
      </c>
      <c r="P1628" s="22" t="n">
        <v>2048</v>
      </c>
      <c r="Q1628" s="22" t="n">
        <v>389120</v>
      </c>
      <c r="R1628" s="42">
        <f>+L1628+N1628-P1628</f>
        <v/>
      </c>
      <c r="S1628" s="42">
        <f>+M1628+O1628-Q1628</f>
        <v/>
      </c>
    </row>
    <row r="1629" ht="30" customHeight="1">
      <c r="A1629" s="16" t="n">
        <v>45807</v>
      </c>
      <c r="B1629" s="17" t="inlineStr">
        <is>
          <t>MH2505-44</t>
        </is>
      </c>
      <c r="C1629" s="16" t="n">
        <v>45807</v>
      </c>
      <c r="D1629" s="17" t="inlineStr">
        <is>
          <t>00001989</t>
        </is>
      </c>
      <c r="E1629" s="16" t="n">
        <v>45807</v>
      </c>
      <c r="F1629" s="16" t="inlineStr">
        <is>
          <t>XK2505-18</t>
        </is>
      </c>
      <c r="G1629" s="16" t="n">
        <v>45807</v>
      </c>
      <c r="H1629" s="17" t="inlineStr">
        <is>
          <t>CÔNG TY CỔ PHẦN CÔNG NGHIỆP VÀ THƯƠNG MẠI CƯỜNG THỊNH</t>
        </is>
      </c>
      <c r="I1629" s="17" t="inlineStr">
        <is>
          <t>Ty giằng 2 đầu ren 4.6 Ф11.3-11.5mm ZP M12</t>
        </is>
      </c>
      <c r="J1629" s="17" t="inlineStr">
        <is>
          <t>Mét</t>
        </is>
      </c>
      <c r="K1629" s="21" t="n">
        <v>22500</v>
      </c>
      <c r="L1629" s="21" t="n"/>
      <c r="M1629" s="22" t="n"/>
      <c r="N1629" s="22" t="n">
        <v>84.52</v>
      </c>
      <c r="O1629" s="22" t="n">
        <v>1901700</v>
      </c>
      <c r="P1629" s="22" t="n">
        <v>84.52</v>
      </c>
      <c r="Q1629" s="22" t="n">
        <v>1901700</v>
      </c>
      <c r="R1629" s="42">
        <f>+L1629+N1629-P1629</f>
        <v/>
      </c>
      <c r="S1629" s="42">
        <f>+M1629+O1629-Q1629</f>
        <v/>
      </c>
    </row>
    <row r="1630" ht="30" customHeight="1">
      <c r="A1630" s="16" t="n">
        <v>45807</v>
      </c>
      <c r="B1630" s="17" t="inlineStr">
        <is>
          <t>MH2505-45</t>
        </is>
      </c>
      <c r="C1630" s="16" t="n">
        <v>45807</v>
      </c>
      <c r="D1630" s="17" t="inlineStr">
        <is>
          <t>00001990</t>
        </is>
      </c>
      <c r="E1630" s="16" t="n">
        <v>45807</v>
      </c>
      <c r="F1630" s="16" t="inlineStr">
        <is>
          <t>XK2505-18</t>
        </is>
      </c>
      <c r="G1630" s="16" t="n">
        <v>45807</v>
      </c>
      <c r="H1630" s="17" t="inlineStr">
        <is>
          <t>CÔNG TY CỔ PHẦN CÔNG NGHIỆP VÀ THƯƠNG MẠI CƯỜNG THỊNH</t>
        </is>
      </c>
      <c r="I1630" s="17" t="inlineStr">
        <is>
          <t>Ty giằng 2 đầu ren 4.6 ZP M16</t>
        </is>
      </c>
      <c r="J1630" s="17" t="inlineStr">
        <is>
          <t>Mét</t>
        </is>
      </c>
      <c r="K1630" s="21" t="n">
        <v>48000</v>
      </c>
      <c r="L1630" s="21" t="n"/>
      <c r="M1630" s="22" t="n"/>
      <c r="N1630" s="22" t="n">
        <v>82.88</v>
      </c>
      <c r="O1630" s="22" t="n">
        <v>3978240</v>
      </c>
      <c r="P1630" s="22" t="n">
        <v>82.88</v>
      </c>
      <c r="Q1630" s="22" t="n">
        <v>3978240</v>
      </c>
      <c r="R1630" s="42">
        <f>+L1630+N1630-P1630</f>
        <v/>
      </c>
      <c r="S1630" s="42">
        <f>+M1630+O1630-Q1630</f>
        <v/>
      </c>
    </row>
    <row r="1631" ht="30" customHeight="1">
      <c r="A1631" s="16" t="n">
        <v>45807</v>
      </c>
      <c r="B1631" s="17" t="inlineStr">
        <is>
          <t>MH2505-45</t>
        </is>
      </c>
      <c r="C1631" s="16" t="n">
        <v>45807</v>
      </c>
      <c r="D1631" s="17" t="inlineStr">
        <is>
          <t>00001990</t>
        </is>
      </c>
      <c r="E1631" s="16" t="n">
        <v>45807</v>
      </c>
      <c r="F1631" s="16" t="inlineStr">
        <is>
          <t>XK2505-18</t>
        </is>
      </c>
      <c r="G1631" s="16" t="n">
        <v>45807</v>
      </c>
      <c r="H1631" s="17" t="inlineStr">
        <is>
          <t>CÔNG TY CỔ PHẦN CÔNG NGHIỆP VÀ THƯƠNG MẠI CƯỜNG THỊNH</t>
        </is>
      </c>
      <c r="I1631" s="17" t="inlineStr">
        <is>
          <t>Đai ốc Din 934 5 ZP M16</t>
        </is>
      </c>
      <c r="J1631" s="17" t="inlineStr">
        <is>
          <t>Cái</t>
        </is>
      </c>
      <c r="K1631" s="21" t="n">
        <v>990</v>
      </c>
      <c r="L1631" s="21" t="n"/>
      <c r="M1631" s="22" t="n"/>
      <c r="N1631" s="22" t="n">
        <v>28</v>
      </c>
      <c r="O1631" s="22" t="n">
        <v>27720</v>
      </c>
      <c r="P1631" s="22" t="n">
        <v>28</v>
      </c>
      <c r="Q1631" s="22" t="n">
        <v>27720</v>
      </c>
      <c r="R1631" s="42">
        <f>+L1631+N1631-P1631</f>
        <v/>
      </c>
      <c r="S1631" s="42">
        <f>+M1631+O1631-Q1631</f>
        <v/>
      </c>
    </row>
    <row r="1632" ht="30" customHeight="1">
      <c r="A1632" s="16" t="n">
        <v>45807</v>
      </c>
      <c r="B1632" s="17" t="inlineStr">
        <is>
          <t>MH2505-45</t>
        </is>
      </c>
      <c r="C1632" s="16" t="n">
        <v>45807</v>
      </c>
      <c r="D1632" s="17" t="inlineStr">
        <is>
          <t>00001990</t>
        </is>
      </c>
      <c r="E1632" s="16" t="n">
        <v>45807</v>
      </c>
      <c r="F1632" s="16" t="inlineStr">
        <is>
          <t>XK2505-18</t>
        </is>
      </c>
      <c r="G1632" s="16" t="n">
        <v>45807</v>
      </c>
      <c r="H1632" s="17" t="inlineStr">
        <is>
          <t>CÔNG TY CỔ PHẦN CÔNG NGHIỆP VÀ THƯƠNG MẠI CƯỜNG THỊNH</t>
        </is>
      </c>
      <c r="I1632" s="17" t="inlineStr">
        <is>
          <t>Long đền thường ZP M16B42D2</t>
        </is>
      </c>
      <c r="J1632" s="17" t="inlineStr">
        <is>
          <t>Cái</t>
        </is>
      </c>
      <c r="K1632" s="21" t="n">
        <v>700</v>
      </c>
      <c r="L1632" s="21" t="n"/>
      <c r="M1632" s="22" t="n"/>
      <c r="N1632" s="22" t="n">
        <v>28</v>
      </c>
      <c r="O1632" s="22" t="n">
        <v>19600</v>
      </c>
      <c r="P1632" s="22" t="n">
        <v>28</v>
      </c>
      <c r="Q1632" s="22" t="n">
        <v>19600</v>
      </c>
      <c r="R1632" s="42">
        <f>+L1632+N1632-P1632</f>
        <v/>
      </c>
      <c r="S1632" s="42">
        <f>+M1632+O1632-Q1632</f>
        <v/>
      </c>
    </row>
    <row r="1633" ht="30" customHeight="1">
      <c r="A1633" s="16" t="n">
        <v>45807</v>
      </c>
      <c r="B1633" s="17" t="inlineStr">
        <is>
          <t>MH2505-45</t>
        </is>
      </c>
      <c r="C1633" s="16" t="n">
        <v>45807</v>
      </c>
      <c r="D1633" s="17" t="inlineStr">
        <is>
          <t>00001990</t>
        </is>
      </c>
      <c r="E1633" s="16" t="n">
        <v>45807</v>
      </c>
      <c r="F1633" s="16" t="inlineStr">
        <is>
          <t>XK2505-18</t>
        </is>
      </c>
      <c r="G1633" s="16" t="n">
        <v>45807</v>
      </c>
      <c r="H1633" s="17" t="inlineStr">
        <is>
          <t>CÔNG TY CỔ PHẦN CÔNG NGHIỆP VÀ THƯƠNG MẠI CƯỜNG THỊNH</t>
        </is>
      </c>
      <c r="I1633" s="17" t="inlineStr">
        <is>
          <t>Long đền móng ngựa ZP M16</t>
        </is>
      </c>
      <c r="J1633" s="17" t="inlineStr">
        <is>
          <t>Cái</t>
        </is>
      </c>
      <c r="K1633" s="21" t="n">
        <v>14830</v>
      </c>
      <c r="L1633" s="21" t="n"/>
      <c r="M1633" s="22" t="n"/>
      <c r="N1633" s="22" t="n">
        <v>28</v>
      </c>
      <c r="O1633" s="22" t="n">
        <v>415240</v>
      </c>
      <c r="P1633" s="22" t="n">
        <v>28</v>
      </c>
      <c r="Q1633" s="22" t="n">
        <v>415240</v>
      </c>
      <c r="R1633" s="42">
        <f>+L1633+N1633-P1633</f>
        <v/>
      </c>
      <c r="S1633" s="42">
        <f>+M1633+O1633-Q1633</f>
        <v/>
      </c>
    </row>
    <row r="1634" ht="30" customHeight="1">
      <c r="A1634" s="16" t="n">
        <v>45807</v>
      </c>
      <c r="B1634" s="17" t="inlineStr">
        <is>
          <t>MH2505-45</t>
        </is>
      </c>
      <c r="C1634" s="16" t="n">
        <v>45807</v>
      </c>
      <c r="D1634" s="17" t="inlineStr">
        <is>
          <t>00001990</t>
        </is>
      </c>
      <c r="E1634" s="16" t="n">
        <v>45807</v>
      </c>
      <c r="F1634" s="16" t="inlineStr">
        <is>
          <t>XK2505-18</t>
        </is>
      </c>
      <c r="G1634" s="16" t="n">
        <v>45807</v>
      </c>
      <c r="H1634" s="17" t="inlineStr">
        <is>
          <t>CÔNG TY CỔ PHẦN CÔNG NGHIỆP VÀ THƯƠNG MẠI CƯỜNG THỊNH</t>
        </is>
      </c>
      <c r="I1634" s="17" t="inlineStr">
        <is>
          <t>Nối Ty ZP M16x100 (23mm)</t>
        </is>
      </c>
      <c r="J1634" s="17" t="inlineStr">
        <is>
          <t>Cái</t>
        </is>
      </c>
      <c r="K1634" s="21" t="n">
        <v>22060</v>
      </c>
      <c r="L1634" s="21" t="n"/>
      <c r="M1634" s="22" t="n"/>
      <c r="N1634" s="22" t="n">
        <v>5</v>
      </c>
      <c r="O1634" s="22" t="n">
        <v>110300</v>
      </c>
      <c r="P1634" s="22" t="n">
        <v>5</v>
      </c>
      <c r="Q1634" s="22" t="n">
        <v>110300</v>
      </c>
      <c r="R1634" s="42">
        <f>+L1634+N1634-P1634</f>
        <v/>
      </c>
      <c r="S1634" s="42">
        <f>+M1634+O1634-Q1634</f>
        <v/>
      </c>
    </row>
    <row r="1635" ht="30" customHeight="1">
      <c r="A1635" s="16" t="n">
        <v>45807</v>
      </c>
      <c r="B1635" s="17" t="inlineStr">
        <is>
          <t>MH2505-45</t>
        </is>
      </c>
      <c r="C1635" s="16" t="n">
        <v>45807</v>
      </c>
      <c r="D1635" s="17" t="inlineStr">
        <is>
          <t>00001990</t>
        </is>
      </c>
      <c r="E1635" s="16" t="n">
        <v>45807</v>
      </c>
      <c r="F1635" s="16" t="inlineStr">
        <is>
          <t>XK2505-18</t>
        </is>
      </c>
      <c r="G1635" s="16" t="n">
        <v>45807</v>
      </c>
      <c r="H1635" s="17" t="inlineStr">
        <is>
          <t>CÔNG TY CỔ PHẦN CÔNG NGHIỆP VÀ THƯƠNG MẠI CƯỜNG THỊNH</t>
        </is>
      </c>
      <c r="I1635" s="17" t="inlineStr">
        <is>
          <t>Ty giằng 2 đầu ren 4.6 Ф11.3-11.5mm ZP M12</t>
        </is>
      </c>
      <c r="J1635" s="17" t="inlineStr">
        <is>
          <t>Mét</t>
        </is>
      </c>
      <c r="K1635" s="21" t="n">
        <v>20500</v>
      </c>
      <c r="L1635" s="21" t="n"/>
      <c r="M1635" s="22" t="n"/>
      <c r="N1635" s="22" t="n">
        <v>64.68000000000001</v>
      </c>
      <c r="O1635" s="22" t="n">
        <v>1325940</v>
      </c>
      <c r="P1635" s="22" t="n">
        <v>64.68000000000001</v>
      </c>
      <c r="Q1635" s="22" t="n">
        <v>1325940</v>
      </c>
      <c r="R1635" s="42">
        <f>+L1635+N1635-P1635</f>
        <v/>
      </c>
      <c r="S1635" s="42">
        <f>+M1635+O1635-Q1635</f>
        <v/>
      </c>
    </row>
    <row r="1636" ht="30" customHeight="1">
      <c r="A1636" s="16" t="n">
        <v>45807</v>
      </c>
      <c r="B1636" s="17" t="inlineStr">
        <is>
          <t>MH2505-45</t>
        </is>
      </c>
      <c r="C1636" s="16" t="n">
        <v>45807</v>
      </c>
      <c r="D1636" s="17" t="inlineStr">
        <is>
          <t>00001990</t>
        </is>
      </c>
      <c r="E1636" s="16" t="n">
        <v>45807</v>
      </c>
      <c r="F1636" s="16" t="inlineStr">
        <is>
          <t>XK2505-18</t>
        </is>
      </c>
      <c r="G1636" s="16" t="n">
        <v>45807</v>
      </c>
      <c r="H1636" s="17" t="inlineStr">
        <is>
          <t>CÔNG TY CỔ PHẦN CÔNG NGHIỆP VÀ THƯƠNG MẠI CƯỜNG THỊNH</t>
        </is>
      </c>
      <c r="I1636" s="17" t="inlineStr">
        <is>
          <t>Đai ốc thường 4 ZP M12 (9mm)</t>
        </is>
      </c>
      <c r="J1636" s="17" t="inlineStr">
        <is>
          <t>Cái</t>
        </is>
      </c>
      <c r="K1636" s="21" t="n">
        <v>360</v>
      </c>
      <c r="L1636" s="21" t="n"/>
      <c r="M1636" s="22" t="n"/>
      <c r="N1636" s="22" t="n">
        <v>324</v>
      </c>
      <c r="O1636" s="22" t="n">
        <v>116640</v>
      </c>
      <c r="P1636" s="22" t="n">
        <v>324</v>
      </c>
      <c r="Q1636" s="22" t="n">
        <v>116640</v>
      </c>
      <c r="R1636" s="42">
        <f>+L1636+N1636-P1636</f>
        <v/>
      </c>
      <c r="S1636" s="42">
        <f>+M1636+O1636-Q1636</f>
        <v/>
      </c>
    </row>
    <row r="1637" ht="30" customHeight="1">
      <c r="A1637" s="16" t="n">
        <v>45807</v>
      </c>
      <c r="B1637" s="17" t="inlineStr">
        <is>
          <t>MH2505-45</t>
        </is>
      </c>
      <c r="C1637" s="16" t="n">
        <v>45807</v>
      </c>
      <c r="D1637" s="17" t="inlineStr">
        <is>
          <t>00001990</t>
        </is>
      </c>
      <c r="E1637" s="16" t="n">
        <v>45807</v>
      </c>
      <c r="F1637" s="16" t="inlineStr">
        <is>
          <t>XK2505-18</t>
        </is>
      </c>
      <c r="G1637" s="16" t="n">
        <v>45807</v>
      </c>
      <c r="H1637" s="17" t="inlineStr">
        <is>
          <t>CÔNG TY CỔ PHẦN CÔNG NGHIỆP VÀ THƯƠNG MẠI CƯỜNG THỊNH</t>
        </is>
      </c>
      <c r="I1637" s="17" t="inlineStr">
        <is>
          <t>Long đền thường ZP M12B26D1.5</t>
        </is>
      </c>
      <c r="J1637" s="17" t="inlineStr">
        <is>
          <t>Cái</t>
        </is>
      </c>
      <c r="K1637" s="21" t="n">
        <v>190</v>
      </c>
      <c r="L1637" s="21" t="n"/>
      <c r="M1637" s="22" t="n"/>
      <c r="N1637" s="22" t="n">
        <v>324</v>
      </c>
      <c r="O1637" s="22" t="n">
        <v>61560</v>
      </c>
      <c r="P1637" s="22" t="n">
        <v>324</v>
      </c>
      <c r="Q1637" s="22" t="n">
        <v>61560</v>
      </c>
      <c r="R1637" s="42">
        <f>+L1637+N1637-P1637</f>
        <v/>
      </c>
      <c r="S1637" s="42">
        <f>+M1637+O1637-Q1637</f>
        <v/>
      </c>
    </row>
    <row r="1638" ht="30" customHeight="1">
      <c r="A1638" s="16" t="n">
        <v>45807</v>
      </c>
      <c r="B1638" s="17" t="inlineStr">
        <is>
          <t>MH2505-45</t>
        </is>
      </c>
      <c r="C1638" s="16" t="n">
        <v>45807</v>
      </c>
      <c r="D1638" s="17" t="inlineStr">
        <is>
          <t>00001990</t>
        </is>
      </c>
      <c r="E1638" s="16" t="n">
        <v>45807</v>
      </c>
      <c r="F1638" s="16" t="inlineStr">
        <is>
          <t>XK2505-18</t>
        </is>
      </c>
      <c r="G1638" s="16" t="n">
        <v>45807</v>
      </c>
      <c r="H1638" s="17" t="inlineStr">
        <is>
          <t>CÔNG TY CỔ PHẦN CÔNG NGHIỆP VÀ THƯƠNG MẠI CƯỜNG THỊNH</t>
        </is>
      </c>
      <c r="I1638" s="17" t="inlineStr">
        <is>
          <t>Ty giằng 2 đầu ren 4.6 Ф11.3-11.5mm ZP M12</t>
        </is>
      </c>
      <c r="J1638" s="17" t="inlineStr">
        <is>
          <t>Mét</t>
        </is>
      </c>
      <c r="K1638" s="21" t="n">
        <v>22500</v>
      </c>
      <c r="L1638" s="21" t="n"/>
      <c r="M1638" s="22" t="n"/>
      <c r="N1638" s="22" t="n">
        <v>26.95</v>
      </c>
      <c r="O1638" s="22" t="n">
        <v>606375</v>
      </c>
      <c r="P1638" s="22" t="n">
        <v>26.95</v>
      </c>
      <c r="Q1638" s="22" t="n">
        <v>606375</v>
      </c>
      <c r="R1638" s="42">
        <f>+L1638+N1638-P1638</f>
        <v/>
      </c>
      <c r="S1638" s="42">
        <f>+M1638+O1638-Q1638</f>
        <v/>
      </c>
    </row>
    <row r="1639" ht="30" customHeight="1">
      <c r="A1639" s="16" t="n">
        <v>45807</v>
      </c>
      <c r="B1639" s="17" t="inlineStr">
        <is>
          <t>MH2505-46</t>
        </is>
      </c>
      <c r="C1639" s="16" t="n">
        <v>45807</v>
      </c>
      <c r="D1639" s="17" t="inlineStr">
        <is>
          <t>00001991</t>
        </is>
      </c>
      <c r="E1639" s="16" t="n">
        <v>45807</v>
      </c>
      <c r="F1639" s="16" t="inlineStr">
        <is>
          <t>XK2505-18</t>
        </is>
      </c>
      <c r="G1639" s="16" t="n">
        <v>45807</v>
      </c>
      <c r="H1639" s="17" t="inlineStr">
        <is>
          <t>CÔNG TY CỔ PHẦN CÔNG NGHIỆP VÀ THƯƠNG MẠI CƯỜNG THỊNH</t>
        </is>
      </c>
      <c r="I1639" s="17" t="inlineStr">
        <is>
          <t>Vít B2 Dacromet 12-14x20</t>
        </is>
      </c>
      <c r="J1639" s="17" t="inlineStr">
        <is>
          <t>Cái</t>
        </is>
      </c>
      <c r="K1639" s="21" t="n">
        <v>600</v>
      </c>
      <c r="L1639" s="21" t="n"/>
      <c r="M1639" s="22" t="n"/>
      <c r="N1639" s="22" t="n">
        <v>600</v>
      </c>
      <c r="O1639" s="22" t="n">
        <v>360000</v>
      </c>
      <c r="P1639" s="22" t="n">
        <v>600</v>
      </c>
      <c r="Q1639" s="22" t="n">
        <v>360000</v>
      </c>
      <c r="R1639" s="42">
        <f>+L1639+N1639-P1639</f>
        <v/>
      </c>
      <c r="S1639" s="42">
        <f>+M1639+O1639-Q1639</f>
        <v/>
      </c>
    </row>
    <row r="1640" ht="30" customHeight="1">
      <c r="A1640" s="16" t="n">
        <v>45807</v>
      </c>
      <c r="B1640" s="17" t="inlineStr">
        <is>
          <t>MH2505-46</t>
        </is>
      </c>
      <c r="C1640" s="16" t="n">
        <v>45807</v>
      </c>
      <c r="D1640" s="17" t="inlineStr">
        <is>
          <t>00001991</t>
        </is>
      </c>
      <c r="E1640" s="16" t="n">
        <v>45807</v>
      </c>
      <c r="F1640" s="16" t="inlineStr">
        <is>
          <t>XK2505-18</t>
        </is>
      </c>
      <c r="G1640" s="16" t="n">
        <v>45807</v>
      </c>
      <c r="H1640" s="17" t="inlineStr">
        <is>
          <t>CÔNG TY CỔ PHẦN CÔNG NGHIỆP VÀ THƯƠNG MẠI CƯỜNG THỊNH</t>
        </is>
      </c>
      <c r="I1640" s="17" t="inlineStr">
        <is>
          <t>Đinh hàn 4.8 M16x100</t>
        </is>
      </c>
      <c r="J1640" s="17" t="inlineStr">
        <is>
          <t>Bộ</t>
        </is>
      </c>
      <c r="K1640" s="21" t="n">
        <v>5800</v>
      </c>
      <c r="L1640" s="21" t="n"/>
      <c r="M1640" s="22" t="n"/>
      <c r="N1640" s="22" t="n">
        <v>803</v>
      </c>
      <c r="O1640" s="22" t="n">
        <v>4657400</v>
      </c>
      <c r="P1640" s="22" t="n">
        <v>803</v>
      </c>
      <c r="Q1640" s="22" t="n">
        <v>4657400</v>
      </c>
      <c r="R1640" s="42">
        <f>+L1640+N1640-P1640</f>
        <v/>
      </c>
      <c r="S1640" s="42">
        <f>+M1640+O1640-Q1640</f>
        <v/>
      </c>
    </row>
    <row r="1641" ht="30" customHeight="1">
      <c r="A1641" s="16" t="n">
        <v>45807</v>
      </c>
      <c r="B1641" s="17" t="inlineStr">
        <is>
          <t>MH2505-46</t>
        </is>
      </c>
      <c r="C1641" s="16" t="n">
        <v>45807</v>
      </c>
      <c r="D1641" s="17" t="inlineStr">
        <is>
          <t>00001991</t>
        </is>
      </c>
      <c r="E1641" s="16" t="n">
        <v>45807</v>
      </c>
      <c r="F1641" s="16" t="inlineStr">
        <is>
          <t>XK2505-18</t>
        </is>
      </c>
      <c r="G1641" s="16" t="n">
        <v>45807</v>
      </c>
      <c r="H1641" s="17" t="inlineStr">
        <is>
          <t>CÔNG TY CỔ PHẦN CÔNG NGHIỆP VÀ THƯƠNG MẠI CƯỜNG THỊNH</t>
        </is>
      </c>
      <c r="I1641" s="17" t="inlineStr">
        <is>
          <t>Vít B2 Dacromet 12-24x38 HWFS (lục giác)</t>
        </is>
      </c>
      <c r="J1641" s="17" t="inlineStr">
        <is>
          <t>Cái</t>
        </is>
      </c>
      <c r="K1641" s="21" t="n">
        <v>1920</v>
      </c>
      <c r="L1641" s="21" t="n"/>
      <c r="M1641" s="22" t="n"/>
      <c r="N1641" s="22" t="n">
        <v>1000</v>
      </c>
      <c r="O1641" s="22" t="n">
        <v>1920000</v>
      </c>
      <c r="P1641" s="22" t="n">
        <v>1000</v>
      </c>
      <c r="Q1641" s="22" t="n">
        <v>1920000</v>
      </c>
      <c r="R1641" s="42">
        <f>+L1641+N1641-P1641</f>
        <v/>
      </c>
      <c r="S1641" s="42">
        <f>+M1641+O1641-Q1641</f>
        <v/>
      </c>
    </row>
    <row r="1642" ht="30" customHeight="1">
      <c r="A1642" s="16" t="n">
        <v>45807</v>
      </c>
      <c r="B1642" s="17" t="inlineStr">
        <is>
          <t>MH2505-46</t>
        </is>
      </c>
      <c r="C1642" s="16" t="n">
        <v>45807</v>
      </c>
      <c r="D1642" s="17" t="inlineStr">
        <is>
          <t>00001991</t>
        </is>
      </c>
      <c r="E1642" s="16" t="n">
        <v>45807</v>
      </c>
      <c r="F1642" s="16" t="inlineStr">
        <is>
          <t>XK2505-18</t>
        </is>
      </c>
      <c r="G1642" s="16" t="n">
        <v>45807</v>
      </c>
      <c r="H1642" s="17" t="inlineStr">
        <is>
          <t>CÔNG TY CỔ PHẦN CÔNG NGHIỆP VÀ THƯƠNG MẠI CƯỜNG THỊNH</t>
        </is>
      </c>
      <c r="I1642" s="17" t="inlineStr">
        <is>
          <t>Vít B2 Dacromet 15-15x20</t>
        </is>
      </c>
      <c r="J1642" s="17" t="inlineStr">
        <is>
          <t>Cái</t>
        </is>
      </c>
      <c r="K1642" s="21" t="n">
        <v>760</v>
      </c>
      <c r="L1642" s="21" t="n"/>
      <c r="M1642" s="22" t="n"/>
      <c r="N1642" s="22" t="n">
        <v>200</v>
      </c>
      <c r="O1642" s="22" t="n">
        <v>152000</v>
      </c>
      <c r="P1642" s="22" t="n">
        <v>200</v>
      </c>
      <c r="Q1642" s="22" t="n">
        <v>152000</v>
      </c>
      <c r="R1642" s="42">
        <f>+L1642+N1642-P1642</f>
        <v/>
      </c>
      <c r="S1642" s="42">
        <f>+M1642+O1642-Q1642</f>
        <v/>
      </c>
    </row>
    <row r="1643" ht="30" customHeight="1">
      <c r="A1643" s="16" t="n">
        <v>45807</v>
      </c>
      <c r="B1643" s="17" t="inlineStr">
        <is>
          <t>MH2505-46</t>
        </is>
      </c>
      <c r="C1643" s="16" t="n">
        <v>45807</v>
      </c>
      <c r="D1643" s="17" t="inlineStr">
        <is>
          <t>00001991</t>
        </is>
      </c>
      <c r="E1643" s="16" t="n">
        <v>45807</v>
      </c>
      <c r="F1643" s="16" t="inlineStr">
        <is>
          <t>XK2505-18</t>
        </is>
      </c>
      <c r="G1643" s="16" t="n">
        <v>45807</v>
      </c>
      <c r="H1643" s="17" t="inlineStr">
        <is>
          <t>CÔNG TY CỔ PHẦN CÔNG NGHIỆP VÀ THƯƠNG MẠI CƯỜNG THỊNH</t>
        </is>
      </c>
      <c r="I1643" s="17" t="inlineStr">
        <is>
          <t>Bulong Din 933 8.8 ZP M20x60</t>
        </is>
      </c>
      <c r="J1643" s="17" t="inlineStr">
        <is>
          <t>Cái</t>
        </is>
      </c>
      <c r="K1643" s="21" t="n">
        <v>6440</v>
      </c>
      <c r="L1643" s="21" t="n"/>
      <c r="M1643" s="22" t="n"/>
      <c r="N1643" s="22" t="n">
        <v>800</v>
      </c>
      <c r="O1643" s="22" t="n">
        <v>5152000</v>
      </c>
      <c r="P1643" s="22" t="n">
        <v>800</v>
      </c>
      <c r="Q1643" s="22" t="n">
        <v>5152000</v>
      </c>
      <c r="R1643" s="42">
        <f>+L1643+N1643-P1643</f>
        <v/>
      </c>
      <c r="S1643" s="42">
        <f>+M1643+O1643-Q1643</f>
        <v/>
      </c>
    </row>
    <row r="1644" ht="30" customHeight="1">
      <c r="A1644" s="16" t="n">
        <v>45807</v>
      </c>
      <c r="B1644" s="17" t="inlineStr">
        <is>
          <t>MH2505-46</t>
        </is>
      </c>
      <c r="C1644" s="16" t="n">
        <v>45807</v>
      </c>
      <c r="D1644" s="17" t="inlineStr">
        <is>
          <t>00001991</t>
        </is>
      </c>
      <c r="E1644" s="16" t="n">
        <v>45807</v>
      </c>
      <c r="F1644" s="16" t="inlineStr">
        <is>
          <t>XK2505-18</t>
        </is>
      </c>
      <c r="G1644" s="16" t="n">
        <v>45807</v>
      </c>
      <c r="H1644" s="17" t="inlineStr">
        <is>
          <t>CÔNG TY CỔ PHẦN CÔNG NGHIỆP VÀ THƯƠNG MẠI CƯỜNG THỊNH</t>
        </is>
      </c>
      <c r="I1644" s="17" t="inlineStr">
        <is>
          <t>Đai ốc Din 934 8 ZP M20</t>
        </is>
      </c>
      <c r="J1644" s="17" t="inlineStr">
        <is>
          <t>Cái</t>
        </is>
      </c>
      <c r="K1644" s="21" t="n">
        <v>2030</v>
      </c>
      <c r="L1644" s="21" t="n"/>
      <c r="M1644" s="22" t="n"/>
      <c r="N1644" s="22" t="n">
        <v>800</v>
      </c>
      <c r="O1644" s="22" t="n">
        <v>1624000</v>
      </c>
      <c r="P1644" s="22" t="n">
        <v>800</v>
      </c>
      <c r="Q1644" s="22" t="n">
        <v>1624000</v>
      </c>
      <c r="R1644" s="42">
        <f>+L1644+N1644-P1644</f>
        <v/>
      </c>
      <c r="S1644" s="42">
        <f>+M1644+O1644-Q1644</f>
        <v/>
      </c>
    </row>
    <row r="1645" ht="30" customHeight="1">
      <c r="A1645" s="16" t="n">
        <v>45807</v>
      </c>
      <c r="B1645" s="17" t="inlineStr">
        <is>
          <t>MH2505-46</t>
        </is>
      </c>
      <c r="C1645" s="16" t="n">
        <v>45807</v>
      </c>
      <c r="D1645" s="17" t="inlineStr">
        <is>
          <t>00001991</t>
        </is>
      </c>
      <c r="E1645" s="16" t="n">
        <v>45807</v>
      </c>
      <c r="F1645" s="16" t="inlineStr">
        <is>
          <t>XK2505-18</t>
        </is>
      </c>
      <c r="G1645" s="16" t="n">
        <v>45807</v>
      </c>
      <c r="H1645" s="17" t="inlineStr">
        <is>
          <t>CÔNG TY CỔ PHẦN CÔNG NGHIỆP VÀ THƯƠNG MẠI CƯỜNG THỊNH</t>
        </is>
      </c>
      <c r="I1645" s="17" t="inlineStr">
        <is>
          <t>Long đền thường ZP M20B35D2</t>
        </is>
      </c>
      <c r="J1645" s="17" t="inlineStr">
        <is>
          <t>Cái</t>
        </is>
      </c>
      <c r="K1645" s="21" t="n">
        <v>350</v>
      </c>
      <c r="L1645" s="21" t="n"/>
      <c r="M1645" s="22" t="n"/>
      <c r="N1645" s="22" t="n">
        <v>800</v>
      </c>
      <c r="O1645" s="22" t="n">
        <v>280000</v>
      </c>
      <c r="P1645" s="22" t="n">
        <v>800</v>
      </c>
      <c r="Q1645" s="22" t="n">
        <v>280000</v>
      </c>
      <c r="R1645" s="42">
        <f>+L1645+N1645-P1645</f>
        <v/>
      </c>
      <c r="S1645" s="42">
        <f>+M1645+O1645-Q1645</f>
        <v/>
      </c>
    </row>
    <row r="1646" ht="30" customHeight="1">
      <c r="A1646" s="16" t="n">
        <v>45807</v>
      </c>
      <c r="B1646" s="17" t="inlineStr">
        <is>
          <t>MH2505-46</t>
        </is>
      </c>
      <c r="C1646" s="16" t="n">
        <v>45807</v>
      </c>
      <c r="D1646" s="17" t="inlineStr">
        <is>
          <t>00001991</t>
        </is>
      </c>
      <c r="E1646" s="16" t="n">
        <v>45807</v>
      </c>
      <c r="F1646" s="16" t="inlineStr">
        <is>
          <t>XK2505-18</t>
        </is>
      </c>
      <c r="G1646" s="16" t="n">
        <v>45807</v>
      </c>
      <c r="H1646" s="17" t="inlineStr">
        <is>
          <t>CÔNG TY CỔ PHẦN CÔNG NGHIỆP VÀ THƯƠNG MẠI CƯỜNG THỊNH</t>
        </is>
      </c>
      <c r="I1646" s="17" t="inlineStr">
        <is>
          <t>Bulong Din 933 8.8 ZP M20x80</t>
        </is>
      </c>
      <c r="J1646" s="17" t="inlineStr">
        <is>
          <t>Cái</t>
        </is>
      </c>
      <c r="K1646" s="21" t="n">
        <v>7730</v>
      </c>
      <c r="L1646" s="21" t="n"/>
      <c r="M1646" s="22" t="n"/>
      <c r="N1646" s="22" t="n">
        <v>35</v>
      </c>
      <c r="O1646" s="22" t="n">
        <v>270550</v>
      </c>
      <c r="P1646" s="22" t="n">
        <v>35</v>
      </c>
      <c r="Q1646" s="22" t="n">
        <v>270550</v>
      </c>
      <c r="R1646" s="42">
        <f>+L1646+N1646-P1646</f>
        <v/>
      </c>
      <c r="S1646" s="42">
        <f>+M1646+O1646-Q1646</f>
        <v/>
      </c>
    </row>
    <row r="1647" ht="30" customHeight="1">
      <c r="A1647" s="16" t="n">
        <v>45807</v>
      </c>
      <c r="B1647" s="17" t="inlineStr">
        <is>
          <t>MH2505-46</t>
        </is>
      </c>
      <c r="C1647" s="16" t="n">
        <v>45807</v>
      </c>
      <c r="D1647" s="17" t="inlineStr">
        <is>
          <t>00001991</t>
        </is>
      </c>
      <c r="E1647" s="16" t="n">
        <v>45807</v>
      </c>
      <c r="F1647" s="16" t="inlineStr">
        <is>
          <t>XK2505-18</t>
        </is>
      </c>
      <c r="G1647" s="16" t="n">
        <v>45807</v>
      </c>
      <c r="H1647" s="17" t="inlineStr">
        <is>
          <t>CÔNG TY CỔ PHẦN CÔNG NGHIỆP VÀ THƯƠNG MẠI CƯỜNG THỊNH</t>
        </is>
      </c>
      <c r="I1647" s="17" t="inlineStr">
        <is>
          <t>Đai ốc Din 934 8 ZP M20</t>
        </is>
      </c>
      <c r="J1647" s="17" t="inlineStr">
        <is>
          <t>Cái</t>
        </is>
      </c>
      <c r="K1647" s="21" t="n">
        <v>2030</v>
      </c>
      <c r="L1647" s="21" t="n"/>
      <c r="M1647" s="22" t="n"/>
      <c r="N1647" s="22" t="n">
        <v>35</v>
      </c>
      <c r="O1647" s="22" t="n">
        <v>71050</v>
      </c>
      <c r="P1647" s="22" t="n">
        <v>35</v>
      </c>
      <c r="Q1647" s="22" t="n">
        <v>71050</v>
      </c>
      <c r="R1647" s="42">
        <f>+L1647+N1647-P1647</f>
        <v/>
      </c>
      <c r="S1647" s="42">
        <f>+M1647+O1647-Q1647</f>
        <v/>
      </c>
    </row>
    <row r="1648" ht="30" customHeight="1">
      <c r="A1648" s="16" t="n">
        <v>45807</v>
      </c>
      <c r="B1648" s="17" t="inlineStr">
        <is>
          <t>MH2505-46</t>
        </is>
      </c>
      <c r="C1648" s="16" t="n">
        <v>45807</v>
      </c>
      <c r="D1648" s="17" t="inlineStr">
        <is>
          <t>00001991</t>
        </is>
      </c>
      <c r="E1648" s="16" t="n">
        <v>45807</v>
      </c>
      <c r="F1648" s="16" t="inlineStr">
        <is>
          <t>XK2505-18</t>
        </is>
      </c>
      <c r="G1648" s="16" t="n">
        <v>45807</v>
      </c>
      <c r="H1648" s="17" t="inlineStr">
        <is>
          <t>CÔNG TY CỔ PHẦN CÔNG NGHIỆP VÀ THƯƠNG MẠI CƯỜNG THỊNH</t>
        </is>
      </c>
      <c r="I1648" s="17" t="inlineStr">
        <is>
          <t>Long đền thường ZP M20B35D2</t>
        </is>
      </c>
      <c r="J1648" s="17" t="inlineStr">
        <is>
          <t>Cái</t>
        </is>
      </c>
      <c r="K1648" s="21" t="n">
        <v>350</v>
      </c>
      <c r="L1648" s="21" t="n"/>
      <c r="M1648" s="22" t="n"/>
      <c r="N1648" s="22" t="n">
        <v>35</v>
      </c>
      <c r="O1648" s="22" t="n">
        <v>12250</v>
      </c>
      <c r="P1648" s="22" t="n">
        <v>35</v>
      </c>
      <c r="Q1648" s="22" t="n">
        <v>12250</v>
      </c>
      <c r="R1648" s="42">
        <f>+L1648+N1648-P1648</f>
        <v/>
      </c>
      <c r="S1648" s="42">
        <f>+M1648+O1648-Q1648</f>
        <v/>
      </c>
    </row>
    <row r="1649" ht="30" customHeight="1">
      <c r="A1649" s="16" t="n">
        <v>45807</v>
      </c>
      <c r="B1649" s="17" t="inlineStr">
        <is>
          <t>MH2505-46</t>
        </is>
      </c>
      <c r="C1649" s="16" t="n">
        <v>45807</v>
      </c>
      <c r="D1649" s="17" t="inlineStr">
        <is>
          <t>00001991</t>
        </is>
      </c>
      <c r="E1649" s="16" t="n">
        <v>45807</v>
      </c>
      <c r="F1649" s="16" t="inlineStr">
        <is>
          <t>XK2505-18</t>
        </is>
      </c>
      <c r="G1649" s="16" t="n">
        <v>45807</v>
      </c>
      <c r="H1649" s="17" t="inlineStr">
        <is>
          <t>CÔNG TY CỔ PHẦN CÔNG NGHIỆP VÀ THƯƠNG MẠI CƯỜNG THỊNH</t>
        </is>
      </c>
      <c r="I1649" s="17" t="inlineStr">
        <is>
          <t>Bulong Din 933 8.8 ZP M24x90</t>
        </is>
      </c>
      <c r="J1649" s="17" t="inlineStr">
        <is>
          <t>Cái</t>
        </is>
      </c>
      <c r="K1649" s="21" t="n">
        <v>12850</v>
      </c>
      <c r="L1649" s="21" t="n"/>
      <c r="M1649" s="22" t="n"/>
      <c r="N1649" s="22" t="n">
        <v>719</v>
      </c>
      <c r="O1649" s="22" t="n">
        <v>9239150</v>
      </c>
      <c r="P1649" s="22" t="n">
        <v>719</v>
      </c>
      <c r="Q1649" s="22" t="n">
        <v>9239150</v>
      </c>
      <c r="R1649" s="42">
        <f>+L1649+N1649-P1649</f>
        <v/>
      </c>
      <c r="S1649" s="42">
        <f>+M1649+O1649-Q1649</f>
        <v/>
      </c>
    </row>
    <row r="1650" ht="30" customHeight="1">
      <c r="A1650" s="16" t="n">
        <v>45807</v>
      </c>
      <c r="B1650" s="17" t="inlineStr">
        <is>
          <t>MH2505-46</t>
        </is>
      </c>
      <c r="C1650" s="16" t="n">
        <v>45807</v>
      </c>
      <c r="D1650" s="17" t="inlineStr">
        <is>
          <t>00001991</t>
        </is>
      </c>
      <c r="E1650" s="16" t="n">
        <v>45807</v>
      </c>
      <c r="F1650" s="16" t="inlineStr">
        <is>
          <t>XK2505-18</t>
        </is>
      </c>
      <c r="G1650" s="16" t="n">
        <v>45807</v>
      </c>
      <c r="H1650" s="17" t="inlineStr">
        <is>
          <t>CÔNG TY CỔ PHẦN CÔNG NGHIỆP VÀ THƯƠNG MẠI CƯỜNG THỊNH</t>
        </is>
      </c>
      <c r="I1650" s="17" t="inlineStr">
        <is>
          <t>Đai ốc Din 934 8 ZP M24</t>
        </is>
      </c>
      <c r="J1650" s="17" t="inlineStr">
        <is>
          <t>Cái</t>
        </is>
      </c>
      <c r="K1650" s="21" t="n">
        <v>3500</v>
      </c>
      <c r="L1650" s="21" t="n"/>
      <c r="M1650" s="22" t="n"/>
      <c r="N1650" s="22" t="n">
        <v>719</v>
      </c>
      <c r="O1650" s="22" t="n">
        <v>2516500</v>
      </c>
      <c r="P1650" s="22" t="n">
        <v>719</v>
      </c>
      <c r="Q1650" s="22" t="n">
        <v>2516500</v>
      </c>
      <c r="R1650" s="42">
        <f>+L1650+N1650-P1650</f>
        <v/>
      </c>
      <c r="S1650" s="42">
        <f>+M1650+O1650-Q1650</f>
        <v/>
      </c>
    </row>
    <row r="1651" ht="30" customHeight="1">
      <c r="A1651" s="16" t="n">
        <v>45807</v>
      </c>
      <c r="B1651" s="17" t="inlineStr">
        <is>
          <t>MH2505-46</t>
        </is>
      </c>
      <c r="C1651" s="16" t="n">
        <v>45807</v>
      </c>
      <c r="D1651" s="17" t="inlineStr">
        <is>
          <t>00001991</t>
        </is>
      </c>
      <c r="E1651" s="16" t="n">
        <v>45807</v>
      </c>
      <c r="F1651" s="16" t="inlineStr">
        <is>
          <t>XK2505-18</t>
        </is>
      </c>
      <c r="G1651" s="16" t="n">
        <v>45807</v>
      </c>
      <c r="H1651" s="17" t="inlineStr">
        <is>
          <t>CÔNG TY CỔ PHẦN CÔNG NGHIỆP VÀ THƯƠNG MẠI CƯỜNG THỊNH</t>
        </is>
      </c>
      <c r="I1651" s="17" t="inlineStr">
        <is>
          <t>Long đền thường ZP M24B40-42D2</t>
        </is>
      </c>
      <c r="J1651" s="17" t="inlineStr">
        <is>
          <t>Cái</t>
        </is>
      </c>
      <c r="K1651" s="21" t="n">
        <v>660</v>
      </c>
      <c r="L1651" s="21" t="n"/>
      <c r="M1651" s="22" t="n"/>
      <c r="N1651" s="22" t="n">
        <v>719</v>
      </c>
      <c r="O1651" s="22" t="n">
        <v>474540</v>
      </c>
      <c r="P1651" s="22" t="n">
        <v>719</v>
      </c>
      <c r="Q1651" s="22" t="n">
        <v>474540</v>
      </c>
      <c r="R1651" s="42">
        <f>+L1651+N1651-P1651</f>
        <v/>
      </c>
      <c r="S1651" s="42">
        <f>+M1651+O1651-Q1651</f>
        <v/>
      </c>
    </row>
    <row r="1652" ht="30" customHeight="1">
      <c r="A1652" s="16" t="n">
        <v>45807</v>
      </c>
      <c r="B1652" s="17" t="inlineStr">
        <is>
          <t>MH2505-46</t>
        </is>
      </c>
      <c r="C1652" s="16" t="n">
        <v>45807</v>
      </c>
      <c r="D1652" s="17" t="inlineStr">
        <is>
          <t>00001991</t>
        </is>
      </c>
      <c r="E1652" s="16" t="n">
        <v>45807</v>
      </c>
      <c r="F1652" s="16" t="inlineStr">
        <is>
          <t>XK2505-18</t>
        </is>
      </c>
      <c r="G1652" s="16" t="n">
        <v>45807</v>
      </c>
      <c r="H1652" s="17" t="inlineStr">
        <is>
          <t>CÔNG TY CỔ PHẦN CÔNG NGHIỆP VÀ THƯƠNG MẠI CƯỜNG THỊNH</t>
        </is>
      </c>
      <c r="I1652" s="17" t="inlineStr">
        <is>
          <t>Bulong thường 4.6 ZP M12x30</t>
        </is>
      </c>
      <c r="J1652" s="17" t="inlineStr">
        <is>
          <t>Cái</t>
        </is>
      </c>
      <c r="K1652" s="21" t="n">
        <v>950</v>
      </c>
      <c r="L1652" s="21" t="n"/>
      <c r="M1652" s="22" t="n"/>
      <c r="N1652" s="22" t="n">
        <v>781</v>
      </c>
      <c r="O1652" s="22" t="n">
        <v>741950</v>
      </c>
      <c r="P1652" s="22" t="n">
        <v>781</v>
      </c>
      <c r="Q1652" s="22" t="n">
        <v>741950</v>
      </c>
      <c r="R1652" s="42">
        <f>+L1652+N1652-P1652</f>
        <v/>
      </c>
      <c r="S1652" s="42">
        <f>+M1652+O1652-Q1652</f>
        <v/>
      </c>
    </row>
    <row r="1653" ht="30" customHeight="1">
      <c r="A1653" s="16" t="n">
        <v>45807</v>
      </c>
      <c r="B1653" s="17" t="inlineStr">
        <is>
          <t>MH2505-46</t>
        </is>
      </c>
      <c r="C1653" s="16" t="n">
        <v>45807</v>
      </c>
      <c r="D1653" s="17" t="inlineStr">
        <is>
          <t>00001991</t>
        </is>
      </c>
      <c r="E1653" s="16" t="n">
        <v>45807</v>
      </c>
      <c r="F1653" s="16" t="inlineStr">
        <is>
          <t>XK2505-18</t>
        </is>
      </c>
      <c r="G1653" s="16" t="n">
        <v>45807</v>
      </c>
      <c r="H1653" s="17" t="inlineStr">
        <is>
          <t>CÔNG TY CỔ PHẦN CÔNG NGHIỆP VÀ THƯƠNG MẠI CƯỜNG THỊNH</t>
        </is>
      </c>
      <c r="I1653" s="17" t="inlineStr">
        <is>
          <t>Đai ốc thường 4 ZP M12 (8mm)</t>
        </is>
      </c>
      <c r="J1653" s="17" t="inlineStr">
        <is>
          <t>Cái</t>
        </is>
      </c>
      <c r="K1653" s="21" t="n">
        <v>360</v>
      </c>
      <c r="L1653" s="21" t="n"/>
      <c r="M1653" s="22" t="n"/>
      <c r="N1653" s="22" t="n">
        <v>781</v>
      </c>
      <c r="O1653" s="22" t="n">
        <v>281160</v>
      </c>
      <c r="P1653" s="22" t="n">
        <v>781</v>
      </c>
      <c r="Q1653" s="22" t="n">
        <v>281160</v>
      </c>
      <c r="R1653" s="42">
        <f>+L1653+N1653-P1653</f>
        <v/>
      </c>
      <c r="S1653" s="42">
        <f>+M1653+O1653-Q1653</f>
        <v/>
      </c>
    </row>
    <row r="1654" ht="30" customHeight="1">
      <c r="A1654" s="16" t="n">
        <v>45807</v>
      </c>
      <c r="B1654" s="17" t="inlineStr">
        <is>
          <t>MH2505-46</t>
        </is>
      </c>
      <c r="C1654" s="16" t="n">
        <v>45807</v>
      </c>
      <c r="D1654" s="17" t="inlineStr">
        <is>
          <t>00001991</t>
        </is>
      </c>
      <c r="E1654" s="16" t="n">
        <v>45807</v>
      </c>
      <c r="F1654" s="16" t="inlineStr">
        <is>
          <t>XK2505-18</t>
        </is>
      </c>
      <c r="G1654" s="16" t="n">
        <v>45807</v>
      </c>
      <c r="H1654" s="17" t="inlineStr">
        <is>
          <t>CÔNG TY CỔ PHẦN CÔNG NGHIỆP VÀ THƯƠNG MẠI CƯỜNG THỊNH</t>
        </is>
      </c>
      <c r="I1654" s="17" t="inlineStr">
        <is>
          <t>Long đền thường ZP M12B23D1</t>
        </is>
      </c>
      <c r="J1654" s="17" t="inlineStr">
        <is>
          <t>Cái</t>
        </is>
      </c>
      <c r="K1654" s="21" t="n">
        <v>100</v>
      </c>
      <c r="L1654" s="21" t="n"/>
      <c r="M1654" s="22" t="n"/>
      <c r="N1654" s="22" t="n">
        <v>1562</v>
      </c>
      <c r="O1654" s="22" t="n">
        <v>156200</v>
      </c>
      <c r="P1654" s="22" t="n">
        <v>1562</v>
      </c>
      <c r="Q1654" s="22" t="n">
        <v>156200</v>
      </c>
      <c r="R1654" s="42">
        <f>+L1654+N1654-P1654</f>
        <v/>
      </c>
      <c r="S1654" s="42">
        <f>+M1654+O1654-Q1654</f>
        <v/>
      </c>
    </row>
    <row r="1655" ht="30" customHeight="1">
      <c r="A1655" s="16" t="n">
        <v>45807</v>
      </c>
      <c r="B1655" s="17" t="inlineStr">
        <is>
          <t>MH2505-46</t>
        </is>
      </c>
      <c r="C1655" s="16" t="n">
        <v>45807</v>
      </c>
      <c r="D1655" s="17" t="inlineStr">
        <is>
          <t>00001991</t>
        </is>
      </c>
      <c r="E1655" s="16" t="n">
        <v>45807</v>
      </c>
      <c r="F1655" s="16" t="inlineStr">
        <is>
          <t>XK2505-18</t>
        </is>
      </c>
      <c r="G1655" s="16" t="n">
        <v>45807</v>
      </c>
      <c r="H1655" s="17" t="inlineStr">
        <is>
          <t>CÔNG TY CỔ PHẦN CÔNG NGHIỆP VÀ THƯƠNG MẠI CƯỜNG THỊNH</t>
        </is>
      </c>
      <c r="I1655" s="17" t="inlineStr">
        <is>
          <t>Bulong thường 4.6 ZP M12x50</t>
        </is>
      </c>
      <c r="J1655" s="17" t="inlineStr">
        <is>
          <t>Cái</t>
        </is>
      </c>
      <c r="K1655" s="21" t="n">
        <v>1300</v>
      </c>
      <c r="L1655" s="21" t="n"/>
      <c r="M1655" s="22" t="n"/>
      <c r="N1655" s="22" t="n">
        <v>14</v>
      </c>
      <c r="O1655" s="22" t="n">
        <v>18200</v>
      </c>
      <c r="P1655" s="22" t="n">
        <v>14</v>
      </c>
      <c r="Q1655" s="22" t="n">
        <v>18200</v>
      </c>
      <c r="R1655" s="42">
        <f>+L1655+N1655-P1655</f>
        <v/>
      </c>
      <c r="S1655" s="42">
        <f>+M1655+O1655-Q1655</f>
        <v/>
      </c>
    </row>
    <row r="1656" ht="30" customHeight="1">
      <c r="A1656" s="16" t="n">
        <v>45807</v>
      </c>
      <c r="B1656" s="17" t="inlineStr">
        <is>
          <t>MH2505-46</t>
        </is>
      </c>
      <c r="C1656" s="16" t="n">
        <v>45807</v>
      </c>
      <c r="D1656" s="17" t="inlineStr">
        <is>
          <t>00001991</t>
        </is>
      </c>
      <c r="E1656" s="16" t="n">
        <v>45807</v>
      </c>
      <c r="F1656" s="16" t="inlineStr">
        <is>
          <t>XK2505-18</t>
        </is>
      </c>
      <c r="G1656" s="16" t="n">
        <v>45807</v>
      </c>
      <c r="H1656" s="17" t="inlineStr">
        <is>
          <t>CÔNG TY CỔ PHẦN CÔNG NGHIỆP VÀ THƯƠNG MẠI CƯỜNG THỊNH</t>
        </is>
      </c>
      <c r="I1656" s="17" t="inlineStr">
        <is>
          <t>Đai ốc thường 4 ZP M12 (9mm)</t>
        </is>
      </c>
      <c r="J1656" s="17" t="inlineStr">
        <is>
          <t>Cái</t>
        </is>
      </c>
      <c r="K1656" s="21" t="n">
        <v>360</v>
      </c>
      <c r="L1656" s="21" t="n"/>
      <c r="M1656" s="22" t="n"/>
      <c r="N1656" s="22" t="n">
        <v>14</v>
      </c>
      <c r="O1656" s="22" t="n">
        <v>5040</v>
      </c>
      <c r="P1656" s="22" t="n">
        <v>14</v>
      </c>
      <c r="Q1656" s="22" t="n">
        <v>5040</v>
      </c>
      <c r="R1656" s="42">
        <f>+L1656+N1656-P1656</f>
        <v/>
      </c>
      <c r="S1656" s="42">
        <f>+M1656+O1656-Q1656</f>
        <v/>
      </c>
    </row>
    <row r="1657" ht="30" customHeight="1">
      <c r="A1657" s="16" t="n">
        <v>45807</v>
      </c>
      <c r="B1657" s="17" t="inlineStr">
        <is>
          <t>MH2505-46</t>
        </is>
      </c>
      <c r="C1657" s="16" t="n">
        <v>45807</v>
      </c>
      <c r="D1657" s="17" t="inlineStr">
        <is>
          <t>00001991</t>
        </is>
      </c>
      <c r="E1657" s="16" t="n">
        <v>45807</v>
      </c>
      <c r="F1657" s="16" t="inlineStr">
        <is>
          <t>XK2505-18</t>
        </is>
      </c>
      <c r="G1657" s="16" t="n">
        <v>45807</v>
      </c>
      <c r="H1657" s="17" t="inlineStr">
        <is>
          <t>CÔNG TY CỔ PHẦN CÔNG NGHIỆP VÀ THƯƠNG MẠI CƯỜNG THỊNH</t>
        </is>
      </c>
      <c r="I1657" s="17" t="inlineStr">
        <is>
          <t>Long đền thường ZP M12B23D1</t>
        </is>
      </c>
      <c r="J1657" s="17" t="inlineStr">
        <is>
          <t>Cái</t>
        </is>
      </c>
      <c r="K1657" s="21" t="n">
        <v>100</v>
      </c>
      <c r="L1657" s="21" t="n"/>
      <c r="M1657" s="22" t="n"/>
      <c r="N1657" s="22" t="n">
        <v>28</v>
      </c>
      <c r="O1657" s="22" t="n">
        <v>2800</v>
      </c>
      <c r="P1657" s="22" t="n">
        <v>28</v>
      </c>
      <c r="Q1657" s="22" t="n">
        <v>2800</v>
      </c>
      <c r="R1657" s="42">
        <f>+L1657+N1657-P1657</f>
        <v/>
      </c>
      <c r="S1657" s="42">
        <f>+M1657+O1657-Q1657</f>
        <v/>
      </c>
    </row>
    <row r="1658" ht="30" customHeight="1">
      <c r="A1658" s="16" t="n">
        <v>45807</v>
      </c>
      <c r="B1658" s="17" t="inlineStr">
        <is>
          <t>MH2505-47</t>
        </is>
      </c>
      <c r="C1658" s="16" t="n">
        <v>45807</v>
      </c>
      <c r="D1658" s="17" t="inlineStr">
        <is>
          <t>00001992</t>
        </is>
      </c>
      <c r="E1658" s="16" t="n">
        <v>45807</v>
      </c>
      <c r="F1658" s="16" t="inlineStr">
        <is>
          <t>XK2505-18</t>
        </is>
      </c>
      <c r="G1658" s="16" t="n">
        <v>45807</v>
      </c>
      <c r="H1658" s="17" t="inlineStr">
        <is>
          <t>CÔNG TY CỔ PHẦN CÔNG NGHIỆP VÀ THƯƠNG MẠI CƯỜNG THỊNH</t>
        </is>
      </c>
      <c r="I1658" s="17" t="inlineStr">
        <is>
          <t>Vít B2 Dacromet 12-14x20</t>
        </is>
      </c>
      <c r="J1658" s="17" t="inlineStr">
        <is>
          <t>Cái</t>
        </is>
      </c>
      <c r="K1658" s="21" t="n">
        <v>600</v>
      </c>
      <c r="L1658" s="21" t="n"/>
      <c r="M1658" s="22" t="n"/>
      <c r="N1658" s="22" t="n">
        <v>400</v>
      </c>
      <c r="O1658" s="22" t="n">
        <v>240000</v>
      </c>
      <c r="P1658" s="22" t="n">
        <v>400</v>
      </c>
      <c r="Q1658" s="22" t="n">
        <v>240000</v>
      </c>
      <c r="R1658" s="42">
        <f>+L1658+N1658-P1658</f>
        <v/>
      </c>
      <c r="S1658" s="42">
        <f>+M1658+O1658-Q1658</f>
        <v/>
      </c>
    </row>
    <row r="1659" ht="30" customHeight="1">
      <c r="A1659" s="16" t="n">
        <v>45807</v>
      </c>
      <c r="B1659" s="17" t="inlineStr">
        <is>
          <t>MH2505-47</t>
        </is>
      </c>
      <c r="C1659" s="16" t="n">
        <v>45807</v>
      </c>
      <c r="D1659" s="17" t="inlineStr">
        <is>
          <t>00001992</t>
        </is>
      </c>
      <c r="E1659" s="16" t="n">
        <v>45807</v>
      </c>
      <c r="F1659" s="16" t="inlineStr">
        <is>
          <t>XK2505-18</t>
        </is>
      </c>
      <c r="G1659" s="16" t="n">
        <v>45807</v>
      </c>
      <c r="H1659" s="17" t="inlineStr">
        <is>
          <t>CÔNG TY CỔ PHẦN CÔNG NGHIỆP VÀ THƯƠNG MẠI CƯỜNG THỊNH</t>
        </is>
      </c>
      <c r="I1659" s="17" t="inlineStr">
        <is>
          <t>Bulong nở 4.6 ZP M12x120</t>
        </is>
      </c>
      <c r="J1659" s="17" t="inlineStr">
        <is>
          <t>Cái</t>
        </is>
      </c>
      <c r="K1659" s="21" t="n">
        <v>9900</v>
      </c>
      <c r="L1659" s="21" t="n"/>
      <c r="M1659" s="22" t="n"/>
      <c r="N1659" s="22" t="n">
        <v>10</v>
      </c>
      <c r="O1659" s="22" t="n">
        <v>99000</v>
      </c>
      <c r="P1659" s="22" t="n">
        <v>10</v>
      </c>
      <c r="Q1659" s="22" t="n">
        <v>99000</v>
      </c>
      <c r="R1659" s="42">
        <f>+L1659+N1659-P1659</f>
        <v/>
      </c>
      <c r="S1659" s="42">
        <f>+M1659+O1659-Q1659</f>
        <v/>
      </c>
    </row>
    <row r="1660" ht="30" customHeight="1">
      <c r="A1660" s="16" t="n">
        <v>45807</v>
      </c>
      <c r="B1660" s="17" t="inlineStr">
        <is>
          <t>MH2505-47</t>
        </is>
      </c>
      <c r="C1660" s="16" t="n">
        <v>45807</v>
      </c>
      <c r="D1660" s="17" t="inlineStr">
        <is>
          <t>00001992</t>
        </is>
      </c>
      <c r="E1660" s="16" t="n">
        <v>45807</v>
      </c>
      <c r="F1660" s="16" t="inlineStr">
        <is>
          <t>XK2505-18</t>
        </is>
      </c>
      <c r="G1660" s="16" t="n">
        <v>45807</v>
      </c>
      <c r="H1660" s="17" t="inlineStr">
        <is>
          <t>CÔNG TY CỔ PHẦN CÔNG NGHIỆP VÀ THƯƠNG MẠI CƯỜNG THỊNH</t>
        </is>
      </c>
      <c r="I1660" s="17" t="inlineStr">
        <is>
          <t>Bulong Din 933 8.8 ZP M20x60</t>
        </is>
      </c>
      <c r="J1660" s="17" t="inlineStr">
        <is>
          <t>Cái</t>
        </is>
      </c>
      <c r="K1660" s="21" t="n">
        <v>6440</v>
      </c>
      <c r="L1660" s="21" t="n"/>
      <c r="M1660" s="22" t="n"/>
      <c r="N1660" s="22" t="n">
        <v>507</v>
      </c>
      <c r="O1660" s="22" t="n">
        <v>3265080</v>
      </c>
      <c r="P1660" s="22" t="n">
        <v>507</v>
      </c>
      <c r="Q1660" s="22" t="n">
        <v>3265080</v>
      </c>
      <c r="R1660" s="42">
        <f>+L1660+N1660-P1660</f>
        <v/>
      </c>
      <c r="S1660" s="42">
        <f>+M1660+O1660-Q1660</f>
        <v/>
      </c>
    </row>
    <row r="1661" ht="30" customHeight="1">
      <c r="A1661" s="16" t="n">
        <v>45807</v>
      </c>
      <c r="B1661" s="17" t="inlineStr">
        <is>
          <t>MH2505-47</t>
        </is>
      </c>
      <c r="C1661" s="16" t="n">
        <v>45807</v>
      </c>
      <c r="D1661" s="17" t="inlineStr">
        <is>
          <t>00001992</t>
        </is>
      </c>
      <c r="E1661" s="16" t="n">
        <v>45807</v>
      </c>
      <c r="F1661" s="16" t="inlineStr">
        <is>
          <t>XK2505-18</t>
        </is>
      </c>
      <c r="G1661" s="16" t="n">
        <v>45807</v>
      </c>
      <c r="H1661" s="17" t="inlineStr">
        <is>
          <t>CÔNG TY CỔ PHẦN CÔNG NGHIỆP VÀ THƯƠNG MẠI CƯỜNG THỊNH</t>
        </is>
      </c>
      <c r="I1661" s="17" t="inlineStr">
        <is>
          <t>Đai ốc Din 934 8 ZP M20</t>
        </is>
      </c>
      <c r="J1661" s="17" t="inlineStr">
        <is>
          <t>Cái</t>
        </is>
      </c>
      <c r="K1661" s="21" t="n">
        <v>2030</v>
      </c>
      <c r="L1661" s="21" t="n"/>
      <c r="M1661" s="22" t="n"/>
      <c r="N1661" s="22" t="n">
        <v>507</v>
      </c>
      <c r="O1661" s="22" t="n">
        <v>1029210</v>
      </c>
      <c r="P1661" s="22" t="n">
        <v>507</v>
      </c>
      <c r="Q1661" s="22" t="n">
        <v>1029210</v>
      </c>
      <c r="R1661" s="42">
        <f>+L1661+N1661-P1661</f>
        <v/>
      </c>
      <c r="S1661" s="42">
        <f>+M1661+O1661-Q1661</f>
        <v/>
      </c>
    </row>
    <row r="1662" ht="30" customHeight="1">
      <c r="A1662" s="16" t="n">
        <v>45807</v>
      </c>
      <c r="B1662" s="17" t="inlineStr">
        <is>
          <t>MH2505-47</t>
        </is>
      </c>
      <c r="C1662" s="16" t="n">
        <v>45807</v>
      </c>
      <c r="D1662" s="17" t="inlineStr">
        <is>
          <t>00001992</t>
        </is>
      </c>
      <c r="E1662" s="16" t="n">
        <v>45807</v>
      </c>
      <c r="F1662" s="16" t="inlineStr">
        <is>
          <t>XK2505-18</t>
        </is>
      </c>
      <c r="G1662" s="16" t="n">
        <v>45807</v>
      </c>
      <c r="H1662" s="17" t="inlineStr">
        <is>
          <t>CÔNG TY CỔ PHẦN CÔNG NGHIỆP VÀ THƯƠNG MẠI CƯỜNG THỊNH</t>
        </is>
      </c>
      <c r="I1662" s="17" t="inlineStr">
        <is>
          <t>Long đền thường ZP M20B35D2</t>
        </is>
      </c>
      <c r="J1662" s="17" t="inlineStr">
        <is>
          <t>Cái</t>
        </is>
      </c>
      <c r="K1662" s="21" t="n">
        <v>350</v>
      </c>
      <c r="L1662" s="21" t="n"/>
      <c r="M1662" s="22" t="n"/>
      <c r="N1662" s="22" t="n">
        <v>507</v>
      </c>
      <c r="O1662" s="22" t="n">
        <v>177450</v>
      </c>
      <c r="P1662" s="22" t="n">
        <v>507</v>
      </c>
      <c r="Q1662" s="22" t="n">
        <v>177450</v>
      </c>
      <c r="R1662" s="42">
        <f>+L1662+N1662-P1662</f>
        <v/>
      </c>
      <c r="S1662" s="42">
        <f>+M1662+O1662-Q1662</f>
        <v/>
      </c>
    </row>
    <row r="1663" ht="30" customHeight="1">
      <c r="A1663" s="16" t="n">
        <v>45807</v>
      </c>
      <c r="B1663" s="17" t="inlineStr">
        <is>
          <t>MH2505-47</t>
        </is>
      </c>
      <c r="C1663" s="16" t="n">
        <v>45807</v>
      </c>
      <c r="D1663" s="17" t="inlineStr">
        <is>
          <t>00001992</t>
        </is>
      </c>
      <c r="E1663" s="16" t="n">
        <v>45807</v>
      </c>
      <c r="F1663" s="16" t="inlineStr">
        <is>
          <t>XK2505-18</t>
        </is>
      </c>
      <c r="G1663" s="16" t="n">
        <v>45807</v>
      </c>
      <c r="H1663" s="17" t="inlineStr">
        <is>
          <t>CÔNG TY CỔ PHẦN CÔNG NGHIỆP VÀ THƯƠNG MẠI CƯỜNG THỊNH</t>
        </is>
      </c>
      <c r="I1663" s="17" t="inlineStr">
        <is>
          <t>Bulong Din 933 8.8 ZP M20x80</t>
        </is>
      </c>
      <c r="J1663" s="17" t="inlineStr">
        <is>
          <t>Cái</t>
        </is>
      </c>
      <c r="K1663" s="21" t="n">
        <v>7730</v>
      </c>
      <c r="L1663" s="21" t="n"/>
      <c r="M1663" s="22" t="n"/>
      <c r="N1663" s="22" t="n">
        <v>87</v>
      </c>
      <c r="O1663" s="22" t="n">
        <v>672510</v>
      </c>
      <c r="P1663" s="22" t="n">
        <v>87</v>
      </c>
      <c r="Q1663" s="22" t="n">
        <v>672510</v>
      </c>
      <c r="R1663" s="42">
        <f>+L1663+N1663-P1663</f>
        <v/>
      </c>
      <c r="S1663" s="42">
        <f>+M1663+O1663-Q1663</f>
        <v/>
      </c>
    </row>
    <row r="1664" ht="30" customHeight="1">
      <c r="A1664" s="16" t="n">
        <v>45807</v>
      </c>
      <c r="B1664" s="17" t="inlineStr">
        <is>
          <t>MH2505-47</t>
        </is>
      </c>
      <c r="C1664" s="16" t="n">
        <v>45807</v>
      </c>
      <c r="D1664" s="17" t="inlineStr">
        <is>
          <t>00001992</t>
        </is>
      </c>
      <c r="E1664" s="16" t="n">
        <v>45807</v>
      </c>
      <c r="F1664" s="16" t="inlineStr">
        <is>
          <t>XK2505-18</t>
        </is>
      </c>
      <c r="G1664" s="16" t="n">
        <v>45807</v>
      </c>
      <c r="H1664" s="17" t="inlineStr">
        <is>
          <t>CÔNG TY CỔ PHẦN CÔNG NGHIỆP VÀ THƯƠNG MẠI CƯỜNG THỊNH</t>
        </is>
      </c>
      <c r="I1664" s="17" t="inlineStr">
        <is>
          <t>Đai ốc Din 934 8 ZP M20</t>
        </is>
      </c>
      <c r="J1664" s="17" t="inlineStr">
        <is>
          <t>Cái</t>
        </is>
      </c>
      <c r="K1664" s="21" t="n">
        <v>2030</v>
      </c>
      <c r="L1664" s="21" t="n"/>
      <c r="M1664" s="22" t="n"/>
      <c r="N1664" s="22" t="n">
        <v>87</v>
      </c>
      <c r="O1664" s="22" t="n">
        <v>176610</v>
      </c>
      <c r="P1664" s="22" t="n">
        <v>87</v>
      </c>
      <c r="Q1664" s="22" t="n">
        <v>176610</v>
      </c>
      <c r="R1664" s="42">
        <f>+L1664+N1664-P1664</f>
        <v/>
      </c>
      <c r="S1664" s="42">
        <f>+M1664+O1664-Q1664</f>
        <v/>
      </c>
    </row>
    <row r="1665" ht="30" customHeight="1">
      <c r="A1665" s="16" t="n">
        <v>45807</v>
      </c>
      <c r="B1665" s="17" t="inlineStr">
        <is>
          <t>MH2505-47</t>
        </is>
      </c>
      <c r="C1665" s="16" t="n">
        <v>45807</v>
      </c>
      <c r="D1665" s="17" t="inlineStr">
        <is>
          <t>00001992</t>
        </is>
      </c>
      <c r="E1665" s="16" t="n">
        <v>45807</v>
      </c>
      <c r="F1665" s="16" t="inlineStr">
        <is>
          <t>XK2505-18</t>
        </is>
      </c>
      <c r="G1665" s="16" t="n">
        <v>45807</v>
      </c>
      <c r="H1665" s="17" t="inlineStr">
        <is>
          <t>CÔNG TY CỔ PHẦN CÔNG NGHIỆP VÀ THƯƠNG MẠI CƯỜNG THỊNH</t>
        </is>
      </c>
      <c r="I1665" s="17" t="inlineStr">
        <is>
          <t>Long đền thường ZP M20B35D2</t>
        </is>
      </c>
      <c r="J1665" s="17" t="inlineStr">
        <is>
          <t>Cái</t>
        </is>
      </c>
      <c r="K1665" s="21" t="n">
        <v>350</v>
      </c>
      <c r="L1665" s="21" t="n"/>
      <c r="M1665" s="22" t="n"/>
      <c r="N1665" s="22" t="n">
        <v>87</v>
      </c>
      <c r="O1665" s="22" t="n">
        <v>30450</v>
      </c>
      <c r="P1665" s="22" t="n">
        <v>87</v>
      </c>
      <c r="Q1665" s="22" t="n">
        <v>30450</v>
      </c>
      <c r="R1665" s="42">
        <f>+L1665+N1665-P1665</f>
        <v/>
      </c>
      <c r="S1665" s="42">
        <f>+M1665+O1665-Q1665</f>
        <v/>
      </c>
    </row>
    <row r="1666" ht="30" customHeight="1">
      <c r="A1666" s="16" t="n">
        <v>45807</v>
      </c>
      <c r="B1666" s="17" t="inlineStr">
        <is>
          <t>MH2505-47</t>
        </is>
      </c>
      <c r="C1666" s="16" t="n">
        <v>45807</v>
      </c>
      <c r="D1666" s="17" t="inlineStr">
        <is>
          <t>00001992</t>
        </is>
      </c>
      <c r="E1666" s="16" t="n">
        <v>45807</v>
      </c>
      <c r="F1666" s="16" t="inlineStr">
        <is>
          <t>XK2505-18</t>
        </is>
      </c>
      <c r="G1666" s="16" t="n">
        <v>45807</v>
      </c>
      <c r="H1666" s="17" t="inlineStr">
        <is>
          <t>CÔNG TY CỔ PHẦN CÔNG NGHIỆP VÀ THƯƠNG MẠI CƯỜNG THỊNH</t>
        </is>
      </c>
      <c r="I1666" s="17" t="inlineStr">
        <is>
          <t>Bulong Din 933 8.8 ZP M24x70</t>
        </is>
      </c>
      <c r="J1666" s="17" t="inlineStr">
        <is>
          <t>Cái</t>
        </is>
      </c>
      <c r="K1666" s="21" t="n">
        <v>11010</v>
      </c>
      <c r="L1666" s="21" t="n"/>
      <c r="M1666" s="22" t="n"/>
      <c r="N1666" s="22" t="n">
        <v>218</v>
      </c>
      <c r="O1666" s="22" t="n">
        <v>2400180</v>
      </c>
      <c r="P1666" s="22" t="n">
        <v>218</v>
      </c>
      <c r="Q1666" s="22" t="n">
        <v>2400180</v>
      </c>
      <c r="R1666" s="42">
        <f>+L1666+N1666-P1666</f>
        <v/>
      </c>
      <c r="S1666" s="42">
        <f>+M1666+O1666-Q1666</f>
        <v/>
      </c>
    </row>
    <row r="1667" ht="30" customHeight="1">
      <c r="A1667" s="16" t="n">
        <v>45807</v>
      </c>
      <c r="B1667" s="17" t="inlineStr">
        <is>
          <t>MH2505-47</t>
        </is>
      </c>
      <c r="C1667" s="16" t="n">
        <v>45807</v>
      </c>
      <c r="D1667" s="17" t="inlineStr">
        <is>
          <t>00001992</t>
        </is>
      </c>
      <c r="E1667" s="16" t="n">
        <v>45807</v>
      </c>
      <c r="F1667" s="16" t="inlineStr">
        <is>
          <t>XK2505-18</t>
        </is>
      </c>
      <c r="G1667" s="16" t="n">
        <v>45807</v>
      </c>
      <c r="H1667" s="17" t="inlineStr">
        <is>
          <t>CÔNG TY CỔ PHẦN CÔNG NGHIỆP VÀ THƯƠNG MẠI CƯỜNG THỊNH</t>
        </is>
      </c>
      <c r="I1667" s="17" t="inlineStr">
        <is>
          <t>Đai ốc Din 934 8 ZP M24</t>
        </is>
      </c>
      <c r="J1667" s="17" t="inlineStr">
        <is>
          <t>Cái</t>
        </is>
      </c>
      <c r="K1667" s="21" t="n">
        <v>3500</v>
      </c>
      <c r="L1667" s="21" t="n"/>
      <c r="M1667" s="22" t="n"/>
      <c r="N1667" s="22" t="n">
        <v>218</v>
      </c>
      <c r="O1667" s="22" t="n">
        <v>763000</v>
      </c>
      <c r="P1667" s="22" t="n">
        <v>218</v>
      </c>
      <c r="Q1667" s="22" t="n">
        <v>763000</v>
      </c>
      <c r="R1667" s="42">
        <f>+L1667+N1667-P1667</f>
        <v/>
      </c>
      <c r="S1667" s="42">
        <f>+M1667+O1667-Q1667</f>
        <v/>
      </c>
    </row>
    <row r="1668" ht="30" customHeight="1">
      <c r="A1668" s="16" t="n">
        <v>45807</v>
      </c>
      <c r="B1668" s="17" t="inlineStr">
        <is>
          <t>MH2505-47</t>
        </is>
      </c>
      <c r="C1668" s="16" t="n">
        <v>45807</v>
      </c>
      <c r="D1668" s="17" t="inlineStr">
        <is>
          <t>00001992</t>
        </is>
      </c>
      <c r="E1668" s="16" t="n">
        <v>45807</v>
      </c>
      <c r="F1668" s="16" t="inlineStr">
        <is>
          <t>XK2505-18</t>
        </is>
      </c>
      <c r="G1668" s="16" t="n">
        <v>45807</v>
      </c>
      <c r="H1668" s="17" t="inlineStr">
        <is>
          <t>CÔNG TY CỔ PHẦN CÔNG NGHIỆP VÀ THƯƠNG MẠI CƯỜNG THỊNH</t>
        </is>
      </c>
      <c r="I1668" s="17" t="inlineStr">
        <is>
          <t>Long đền thường ZP M24B40-42D2</t>
        </is>
      </c>
      <c r="J1668" s="17" t="inlineStr">
        <is>
          <t>Cái</t>
        </is>
      </c>
      <c r="K1668" s="21" t="n">
        <v>660</v>
      </c>
      <c r="L1668" s="21" t="n"/>
      <c r="M1668" s="22" t="n"/>
      <c r="N1668" s="22" t="n">
        <v>218</v>
      </c>
      <c r="O1668" s="22" t="n">
        <v>143880</v>
      </c>
      <c r="P1668" s="22" t="n">
        <v>218</v>
      </c>
      <c r="Q1668" s="22" t="n">
        <v>143880</v>
      </c>
      <c r="R1668" s="42">
        <f>+L1668+N1668-P1668</f>
        <v/>
      </c>
      <c r="S1668" s="42">
        <f>+M1668+O1668-Q1668</f>
        <v/>
      </c>
    </row>
    <row r="1669" ht="30" customHeight="1">
      <c r="A1669" s="16" t="n">
        <v>45807</v>
      </c>
      <c r="B1669" s="17" t="inlineStr">
        <is>
          <t>MH2505-47</t>
        </is>
      </c>
      <c r="C1669" s="16" t="n">
        <v>45807</v>
      </c>
      <c r="D1669" s="17" t="inlineStr">
        <is>
          <t>00001992</t>
        </is>
      </c>
      <c r="E1669" s="16" t="n">
        <v>45807</v>
      </c>
      <c r="F1669" s="16" t="inlineStr">
        <is>
          <t>XK2505-18</t>
        </is>
      </c>
      <c r="G1669" s="16" t="n">
        <v>45807</v>
      </c>
      <c r="H1669" s="17" t="inlineStr">
        <is>
          <t>CÔNG TY CỔ PHẦN CÔNG NGHIỆP VÀ THƯƠNG MẠI CƯỜNG THỊNH</t>
        </is>
      </c>
      <c r="I1669" s="17" t="inlineStr">
        <is>
          <t>Bulong khía 4.6 ZP M12x30</t>
        </is>
      </c>
      <c r="J1669" s="17" t="inlineStr">
        <is>
          <t>Cái</t>
        </is>
      </c>
      <c r="K1669" s="21" t="n">
        <v>5000</v>
      </c>
      <c r="L1669" s="21" t="n"/>
      <c r="M1669" s="22" t="n"/>
      <c r="N1669" s="22" t="n">
        <v>303</v>
      </c>
      <c r="O1669" s="22" t="n">
        <v>1515000</v>
      </c>
      <c r="P1669" s="22" t="n">
        <v>303</v>
      </c>
      <c r="Q1669" s="22" t="n">
        <v>1515000</v>
      </c>
      <c r="R1669" s="42">
        <f>+L1669+N1669-P1669</f>
        <v/>
      </c>
      <c r="S1669" s="42">
        <f>+M1669+O1669-Q1669</f>
        <v/>
      </c>
    </row>
    <row r="1670" ht="30" customHeight="1">
      <c r="A1670" s="16" t="n">
        <v>45807</v>
      </c>
      <c r="B1670" s="17" t="inlineStr">
        <is>
          <t>MH2505-47</t>
        </is>
      </c>
      <c r="C1670" s="16" t="n">
        <v>45807</v>
      </c>
      <c r="D1670" s="17" t="inlineStr">
        <is>
          <t>00001992</t>
        </is>
      </c>
      <c r="E1670" s="16" t="n">
        <v>45807</v>
      </c>
      <c r="F1670" s="16" t="inlineStr">
        <is>
          <t>XK2505-18</t>
        </is>
      </c>
      <c r="G1670" s="16" t="n">
        <v>45807</v>
      </c>
      <c r="H1670" s="17" t="inlineStr">
        <is>
          <t>CÔNG TY CỔ PHẦN CÔNG NGHIỆP VÀ THƯƠNG MẠI CƯỜNG THỊNH</t>
        </is>
      </c>
      <c r="I1670" s="17" t="inlineStr">
        <is>
          <t>Đai ốc thường 4 ZP M12 (9mm)</t>
        </is>
      </c>
      <c r="J1670" s="17" t="inlineStr">
        <is>
          <t>Cái</t>
        </is>
      </c>
      <c r="K1670" s="21" t="n">
        <v>360</v>
      </c>
      <c r="L1670" s="21" t="n"/>
      <c r="M1670" s="22" t="n"/>
      <c r="N1670" s="22" t="n">
        <v>303</v>
      </c>
      <c r="O1670" s="22" t="n">
        <v>109080</v>
      </c>
      <c r="P1670" s="22" t="n">
        <v>303</v>
      </c>
      <c r="Q1670" s="22" t="n">
        <v>109080</v>
      </c>
      <c r="R1670" s="42">
        <f>+L1670+N1670-P1670</f>
        <v/>
      </c>
      <c r="S1670" s="42">
        <f>+M1670+O1670-Q1670</f>
        <v/>
      </c>
    </row>
    <row r="1671" ht="30" customHeight="1">
      <c r="A1671" s="16" t="n">
        <v>45807</v>
      </c>
      <c r="B1671" s="17" t="inlineStr">
        <is>
          <t>MH2505-47</t>
        </is>
      </c>
      <c r="C1671" s="16" t="n">
        <v>45807</v>
      </c>
      <c r="D1671" s="17" t="inlineStr">
        <is>
          <t>00001992</t>
        </is>
      </c>
      <c r="E1671" s="16" t="n">
        <v>45807</v>
      </c>
      <c r="F1671" s="16" t="inlineStr">
        <is>
          <t>XK2505-18</t>
        </is>
      </c>
      <c r="G1671" s="16" t="n">
        <v>45807</v>
      </c>
      <c r="H1671" s="17" t="inlineStr">
        <is>
          <t>CÔNG TY CỔ PHẦN CÔNG NGHIỆP VÀ THƯƠNG MẠI CƯỜNG THỊNH</t>
        </is>
      </c>
      <c r="I1671" s="17" t="inlineStr">
        <is>
          <t>Long đền thường ZP M12B23D1</t>
        </is>
      </c>
      <c r="J1671" s="17" t="inlineStr">
        <is>
          <t>Cái</t>
        </is>
      </c>
      <c r="K1671" s="21" t="n">
        <v>100</v>
      </c>
      <c r="L1671" s="21" t="n"/>
      <c r="M1671" s="22" t="n"/>
      <c r="N1671" s="22" t="n">
        <v>303</v>
      </c>
      <c r="O1671" s="22" t="n">
        <v>30300</v>
      </c>
      <c r="P1671" s="22" t="n">
        <v>303</v>
      </c>
      <c r="Q1671" s="22" t="n">
        <v>30300</v>
      </c>
      <c r="R1671" s="42">
        <f>+L1671+N1671-P1671</f>
        <v/>
      </c>
      <c r="S1671" s="42">
        <f>+M1671+O1671-Q1671</f>
        <v/>
      </c>
    </row>
    <row r="1672" ht="30" customHeight="1">
      <c r="A1672" s="16" t="n">
        <v>45807</v>
      </c>
      <c r="B1672" s="17" t="inlineStr">
        <is>
          <t>MH2505-47</t>
        </is>
      </c>
      <c r="C1672" s="16" t="n">
        <v>45807</v>
      </c>
      <c r="D1672" s="17" t="inlineStr">
        <is>
          <t>00001992</t>
        </is>
      </c>
      <c r="E1672" s="16" t="n">
        <v>45807</v>
      </c>
      <c r="F1672" s="16" t="inlineStr">
        <is>
          <t>XK2505-18</t>
        </is>
      </c>
      <c r="G1672" s="16" t="n">
        <v>45807</v>
      </c>
      <c r="H1672" s="17" t="inlineStr">
        <is>
          <t>CÔNG TY CỔ PHẦN CÔNG NGHIỆP VÀ THƯƠNG MẠI CƯỜNG THỊNH</t>
        </is>
      </c>
      <c r="I1672" s="17" t="inlineStr">
        <is>
          <t>Bulong thường 4.6 ZP M12x40</t>
        </is>
      </c>
      <c r="J1672" s="17" t="inlineStr">
        <is>
          <t>Cái</t>
        </is>
      </c>
      <c r="K1672" s="21" t="n">
        <v>1100</v>
      </c>
      <c r="L1672" s="21" t="n"/>
      <c r="M1672" s="22" t="n"/>
      <c r="N1672" s="22" t="n">
        <v>3850</v>
      </c>
      <c r="O1672" s="22" t="n">
        <v>4235000</v>
      </c>
      <c r="P1672" s="22" t="n">
        <v>3850</v>
      </c>
      <c r="Q1672" s="22" t="n">
        <v>4235000</v>
      </c>
      <c r="R1672" s="42">
        <f>+L1672+N1672-P1672</f>
        <v/>
      </c>
      <c r="S1672" s="42">
        <f>+M1672+O1672-Q1672</f>
        <v/>
      </c>
    </row>
    <row r="1673" ht="30" customHeight="1">
      <c r="A1673" s="16" t="n">
        <v>45807</v>
      </c>
      <c r="B1673" s="17" t="inlineStr">
        <is>
          <t>MH2505-47</t>
        </is>
      </c>
      <c r="C1673" s="16" t="n">
        <v>45807</v>
      </c>
      <c r="D1673" s="17" t="inlineStr">
        <is>
          <t>00001992</t>
        </is>
      </c>
      <c r="E1673" s="16" t="n">
        <v>45807</v>
      </c>
      <c r="F1673" s="16" t="inlineStr">
        <is>
          <t>XK2505-18</t>
        </is>
      </c>
      <c r="G1673" s="16" t="n">
        <v>45807</v>
      </c>
      <c r="H1673" s="17" t="inlineStr">
        <is>
          <t>CÔNG TY CỔ PHẦN CÔNG NGHIỆP VÀ THƯƠNG MẠI CƯỜNG THỊNH</t>
        </is>
      </c>
      <c r="I1673" s="17" t="inlineStr">
        <is>
          <t>Đai ốc thường 4 ZP M12 (9mm)</t>
        </is>
      </c>
      <c r="J1673" s="17" t="inlineStr">
        <is>
          <t>Cái</t>
        </is>
      </c>
      <c r="K1673" s="21" t="n">
        <v>360</v>
      </c>
      <c r="L1673" s="21" t="n"/>
      <c r="M1673" s="22" t="n"/>
      <c r="N1673" s="22" t="n">
        <v>3850</v>
      </c>
      <c r="O1673" s="22" t="n">
        <v>1386000</v>
      </c>
      <c r="P1673" s="22" t="n">
        <v>3850</v>
      </c>
      <c r="Q1673" s="22" t="n">
        <v>1386000</v>
      </c>
      <c r="R1673" s="42">
        <f>+L1673+N1673-P1673</f>
        <v/>
      </c>
      <c r="S1673" s="42">
        <f>+M1673+O1673-Q1673</f>
        <v/>
      </c>
    </row>
    <row r="1674" ht="30" customHeight="1">
      <c r="A1674" s="16" t="n">
        <v>45807</v>
      </c>
      <c r="B1674" s="17" t="inlineStr">
        <is>
          <t>MH2505-47</t>
        </is>
      </c>
      <c r="C1674" s="16" t="n">
        <v>45807</v>
      </c>
      <c r="D1674" s="17" t="inlineStr">
        <is>
          <t>00001992</t>
        </is>
      </c>
      <c r="E1674" s="16" t="n">
        <v>45807</v>
      </c>
      <c r="F1674" s="16" t="inlineStr">
        <is>
          <t>XK2505-18</t>
        </is>
      </c>
      <c r="G1674" s="16" t="n">
        <v>45807</v>
      </c>
      <c r="H1674" s="17" t="inlineStr">
        <is>
          <t>CÔNG TY CỔ PHẦN CÔNG NGHIỆP VÀ THƯƠNG MẠI CƯỜNG THỊNH</t>
        </is>
      </c>
      <c r="I1674" s="17" t="inlineStr">
        <is>
          <t>Long đền thường ZP M12B23D1</t>
        </is>
      </c>
      <c r="J1674" s="17" t="inlineStr">
        <is>
          <t>Cái</t>
        </is>
      </c>
      <c r="K1674" s="21" t="n">
        <v>100</v>
      </c>
      <c r="L1674" s="21" t="n"/>
      <c r="M1674" s="22" t="n"/>
      <c r="N1674" s="22" t="n">
        <v>7700</v>
      </c>
      <c r="O1674" s="22" t="n">
        <v>770000</v>
      </c>
      <c r="P1674" s="22" t="n">
        <v>7700</v>
      </c>
      <c r="Q1674" s="22" t="n">
        <v>770000</v>
      </c>
      <c r="R1674" s="42">
        <f>+L1674+N1674-P1674</f>
        <v/>
      </c>
      <c r="S1674" s="42">
        <f>+M1674+O1674-Q1674</f>
        <v/>
      </c>
    </row>
    <row r="1675" ht="30" customHeight="1">
      <c r="A1675" s="16" t="n">
        <v>45807</v>
      </c>
      <c r="B1675" s="17" t="inlineStr">
        <is>
          <t>MH2505-48</t>
        </is>
      </c>
      <c r="C1675" s="16" t="n">
        <v>45807</v>
      </c>
      <c r="D1675" s="17" t="inlineStr">
        <is>
          <t>00001993</t>
        </is>
      </c>
      <c r="E1675" s="16" t="n">
        <v>45807</v>
      </c>
      <c r="F1675" s="16" t="inlineStr">
        <is>
          <t>XK2505-18</t>
        </is>
      </c>
      <c r="G1675" s="16" t="n">
        <v>45807</v>
      </c>
      <c r="H1675" s="17" t="inlineStr">
        <is>
          <t>CÔNG TY CỔ PHẦN CÔNG NGHIỆP VÀ THƯƠNG MẠI CƯỜNG THỊNH</t>
        </is>
      </c>
      <c r="I1675" s="17" t="inlineStr">
        <is>
          <t>Ty giằng 2 đầu ren 4.6 ZP M16</t>
        </is>
      </c>
      <c r="J1675" s="17" t="inlineStr">
        <is>
          <t>Mét</t>
        </is>
      </c>
      <c r="K1675" s="21" t="n">
        <v>48000</v>
      </c>
      <c r="L1675" s="21" t="n"/>
      <c r="M1675" s="22" t="n"/>
      <c r="N1675" s="22" t="n">
        <v>180.11</v>
      </c>
      <c r="O1675" s="22" t="n">
        <v>8645280</v>
      </c>
      <c r="P1675" s="22" t="n">
        <v>180.11</v>
      </c>
      <c r="Q1675" s="22" t="n">
        <v>8645280</v>
      </c>
      <c r="R1675" s="42">
        <f>+L1675+N1675-P1675</f>
        <v/>
      </c>
      <c r="S1675" s="42">
        <f>+M1675+O1675-Q1675</f>
        <v/>
      </c>
    </row>
    <row r="1676" ht="30" customHeight="1">
      <c r="A1676" s="16" t="n">
        <v>45807</v>
      </c>
      <c r="B1676" s="17" t="inlineStr">
        <is>
          <t>MH2505-48</t>
        </is>
      </c>
      <c r="C1676" s="16" t="n">
        <v>45807</v>
      </c>
      <c r="D1676" s="17" t="inlineStr">
        <is>
          <t>00001993</t>
        </is>
      </c>
      <c r="E1676" s="16" t="n">
        <v>45807</v>
      </c>
      <c r="F1676" s="16" t="inlineStr">
        <is>
          <t>XK2505-18</t>
        </is>
      </c>
      <c r="G1676" s="16" t="n">
        <v>45807</v>
      </c>
      <c r="H1676" s="17" t="inlineStr">
        <is>
          <t>CÔNG TY CỔ PHẦN CÔNG NGHIỆP VÀ THƯƠNG MẠI CƯỜNG THỊNH</t>
        </is>
      </c>
      <c r="I1676" s="17" t="inlineStr">
        <is>
          <t>Đai ốc Din 934 5 ZP M16</t>
        </is>
      </c>
      <c r="J1676" s="17" t="inlineStr">
        <is>
          <t>Cái</t>
        </is>
      </c>
      <c r="K1676" s="21" t="n">
        <v>990</v>
      </c>
      <c r="L1676" s="21" t="n"/>
      <c r="M1676" s="22" t="n"/>
      <c r="N1676" s="22" t="n">
        <v>40</v>
      </c>
      <c r="O1676" s="22" t="n">
        <v>39600</v>
      </c>
      <c r="P1676" s="22" t="n">
        <v>40</v>
      </c>
      <c r="Q1676" s="22" t="n">
        <v>39600</v>
      </c>
      <c r="R1676" s="42">
        <f>+L1676+N1676-P1676</f>
        <v/>
      </c>
      <c r="S1676" s="42">
        <f>+M1676+O1676-Q1676</f>
        <v/>
      </c>
    </row>
    <row r="1677" ht="30" customHeight="1">
      <c r="A1677" s="16" t="n">
        <v>45807</v>
      </c>
      <c r="B1677" s="17" t="inlineStr">
        <is>
          <t>MH2505-48</t>
        </is>
      </c>
      <c r="C1677" s="16" t="n">
        <v>45807</v>
      </c>
      <c r="D1677" s="17" t="inlineStr">
        <is>
          <t>00001993</t>
        </is>
      </c>
      <c r="E1677" s="16" t="n">
        <v>45807</v>
      </c>
      <c r="F1677" s="16" t="inlineStr">
        <is>
          <t>XK2505-18</t>
        </is>
      </c>
      <c r="G1677" s="16" t="n">
        <v>45807</v>
      </c>
      <c r="H1677" s="17" t="inlineStr">
        <is>
          <t>CÔNG TY CỔ PHẦN CÔNG NGHIỆP VÀ THƯƠNG MẠI CƯỜNG THỊNH</t>
        </is>
      </c>
      <c r="I1677" s="17" t="inlineStr">
        <is>
          <t>Long đền thường ZP M16B42D2</t>
        </is>
      </c>
      <c r="J1677" s="17" t="inlineStr">
        <is>
          <t>Cái</t>
        </is>
      </c>
      <c r="K1677" s="21" t="n">
        <v>700</v>
      </c>
      <c r="L1677" s="21" t="n"/>
      <c r="M1677" s="22" t="n"/>
      <c r="N1677" s="22" t="n">
        <v>40</v>
      </c>
      <c r="O1677" s="22" t="n">
        <v>28000</v>
      </c>
      <c r="P1677" s="22" t="n">
        <v>40</v>
      </c>
      <c r="Q1677" s="22" t="n">
        <v>28000</v>
      </c>
      <c r="R1677" s="42">
        <f>+L1677+N1677-P1677</f>
        <v/>
      </c>
      <c r="S1677" s="42">
        <f>+M1677+O1677-Q1677</f>
        <v/>
      </c>
    </row>
    <row r="1678" ht="30" customHeight="1">
      <c r="A1678" s="16" t="n">
        <v>45807</v>
      </c>
      <c r="B1678" s="17" t="inlineStr">
        <is>
          <t>MH2505-48</t>
        </is>
      </c>
      <c r="C1678" s="16" t="n">
        <v>45807</v>
      </c>
      <c r="D1678" s="17" t="inlineStr">
        <is>
          <t>00001993</t>
        </is>
      </c>
      <c r="E1678" s="16" t="n">
        <v>45807</v>
      </c>
      <c r="F1678" s="16" t="inlineStr">
        <is>
          <t>XK2505-18</t>
        </is>
      </c>
      <c r="G1678" s="16" t="n">
        <v>45807</v>
      </c>
      <c r="H1678" s="17" t="inlineStr">
        <is>
          <t>CÔNG TY CỔ PHẦN CÔNG NGHIỆP VÀ THƯƠNG MẠI CƯỜNG THỊNH</t>
        </is>
      </c>
      <c r="I1678" s="17" t="inlineStr">
        <is>
          <t>Long đền móng ngựa ZP M16</t>
        </is>
      </c>
      <c r="J1678" s="17" t="inlineStr">
        <is>
          <t>Cái</t>
        </is>
      </c>
      <c r="K1678" s="21" t="n">
        <v>14830</v>
      </c>
      <c r="L1678" s="21" t="n"/>
      <c r="M1678" s="22" t="n"/>
      <c r="N1678" s="22" t="n">
        <v>40</v>
      </c>
      <c r="O1678" s="22" t="n">
        <v>593200</v>
      </c>
      <c r="P1678" s="22" t="n">
        <v>40</v>
      </c>
      <c r="Q1678" s="22" t="n">
        <v>593200</v>
      </c>
      <c r="R1678" s="42">
        <f>+L1678+N1678-P1678</f>
        <v/>
      </c>
      <c r="S1678" s="42">
        <f>+M1678+O1678-Q1678</f>
        <v/>
      </c>
    </row>
    <row r="1679" ht="30" customHeight="1">
      <c r="A1679" s="16" t="n">
        <v>45807</v>
      </c>
      <c r="B1679" s="17" t="inlineStr">
        <is>
          <t>MH2505-48</t>
        </is>
      </c>
      <c r="C1679" s="16" t="n">
        <v>45807</v>
      </c>
      <c r="D1679" s="17" t="inlineStr">
        <is>
          <t>00001993</t>
        </is>
      </c>
      <c r="E1679" s="16" t="n">
        <v>45807</v>
      </c>
      <c r="F1679" s="16" t="inlineStr">
        <is>
          <t>XK2505-18</t>
        </is>
      </c>
      <c r="G1679" s="16" t="n">
        <v>45807</v>
      </c>
      <c r="H1679" s="17" t="inlineStr">
        <is>
          <t>CÔNG TY CỔ PHẦN CÔNG NGHIỆP VÀ THƯƠNG MẠI CƯỜNG THỊNH</t>
        </is>
      </c>
      <c r="I1679" s="17" t="inlineStr">
        <is>
          <t>Nối Ty ZP M16x100 (23mm)</t>
        </is>
      </c>
      <c r="J1679" s="17" t="inlineStr">
        <is>
          <t>Cái</t>
        </is>
      </c>
      <c r="K1679" s="21" t="n">
        <v>22060</v>
      </c>
      <c r="L1679" s="21" t="n"/>
      <c r="M1679" s="22" t="n"/>
      <c r="N1679" s="22" t="n">
        <v>20</v>
      </c>
      <c r="O1679" s="22" t="n">
        <v>441200</v>
      </c>
      <c r="P1679" s="22" t="n">
        <v>20</v>
      </c>
      <c r="Q1679" s="22" t="n">
        <v>441200</v>
      </c>
      <c r="R1679" s="42">
        <f>+L1679+N1679-P1679</f>
        <v/>
      </c>
      <c r="S1679" s="42">
        <f>+M1679+O1679-Q1679</f>
        <v/>
      </c>
    </row>
    <row r="1680" ht="30" customHeight="1">
      <c r="A1680" s="16" t="n">
        <v>45807</v>
      </c>
      <c r="B1680" s="17" t="inlineStr">
        <is>
          <t>MH2505-48</t>
        </is>
      </c>
      <c r="C1680" s="16" t="n">
        <v>45807</v>
      </c>
      <c r="D1680" s="17" t="inlineStr">
        <is>
          <t>00001993</t>
        </is>
      </c>
      <c r="E1680" s="16" t="n">
        <v>45807</v>
      </c>
      <c r="F1680" s="16" t="inlineStr">
        <is>
          <t>XK2505-18</t>
        </is>
      </c>
      <c r="G1680" s="16" t="n">
        <v>45807</v>
      </c>
      <c r="H1680" s="17" t="inlineStr">
        <is>
          <t>CÔNG TY CỔ PHẦN CÔNG NGHIỆP VÀ THƯƠNG MẠI CƯỜNG THỊNH</t>
        </is>
      </c>
      <c r="I1680" s="17" t="inlineStr">
        <is>
          <t>Ty giằng 2 đầu ren 4.6 ZP M20</t>
        </is>
      </c>
      <c r="J1680" s="17" t="inlineStr">
        <is>
          <t>Mét</t>
        </is>
      </c>
      <c r="K1680" s="21" t="n">
        <v>69000</v>
      </c>
      <c r="L1680" s="21" t="n"/>
      <c r="M1680" s="22" t="n"/>
      <c r="N1680" s="22" t="n">
        <v>298.73</v>
      </c>
      <c r="O1680" s="22" t="n">
        <v>20612370</v>
      </c>
      <c r="P1680" s="22" t="n">
        <v>298.73</v>
      </c>
      <c r="Q1680" s="22" t="n">
        <v>20612370</v>
      </c>
      <c r="R1680" s="42">
        <f>+L1680+N1680-P1680</f>
        <v/>
      </c>
      <c r="S1680" s="42">
        <f>+M1680+O1680-Q1680</f>
        <v/>
      </c>
    </row>
    <row r="1681" ht="30" customHeight="1">
      <c r="A1681" s="16" t="n">
        <v>45807</v>
      </c>
      <c r="B1681" s="17" t="inlineStr">
        <is>
          <t>MH2505-48</t>
        </is>
      </c>
      <c r="C1681" s="16" t="n">
        <v>45807</v>
      </c>
      <c r="D1681" s="17" t="inlineStr">
        <is>
          <t>00001993</t>
        </is>
      </c>
      <c r="E1681" s="16" t="n">
        <v>45807</v>
      </c>
      <c r="F1681" s="16" t="inlineStr">
        <is>
          <t>XK2505-18</t>
        </is>
      </c>
      <c r="G1681" s="16" t="n">
        <v>45807</v>
      </c>
      <c r="H1681" s="17" t="inlineStr">
        <is>
          <t>CÔNG TY CỔ PHẦN CÔNG NGHIỆP VÀ THƯƠNG MẠI CƯỜNG THỊNH</t>
        </is>
      </c>
      <c r="I1681" s="17" t="inlineStr">
        <is>
          <t>Đai ốc Din 934 5 ZP M20</t>
        </is>
      </c>
      <c r="J1681" s="17" t="inlineStr">
        <is>
          <t>Cái</t>
        </is>
      </c>
      <c r="K1681" s="21" t="n">
        <v>1850</v>
      </c>
      <c r="L1681" s="21" t="n"/>
      <c r="M1681" s="22" t="n"/>
      <c r="N1681" s="22" t="n">
        <v>80</v>
      </c>
      <c r="O1681" s="22" t="n">
        <v>148000</v>
      </c>
      <c r="P1681" s="22" t="n">
        <v>80</v>
      </c>
      <c r="Q1681" s="22" t="n">
        <v>148000</v>
      </c>
      <c r="R1681" s="42">
        <f>+L1681+N1681-P1681</f>
        <v/>
      </c>
      <c r="S1681" s="42">
        <f>+M1681+O1681-Q1681</f>
        <v/>
      </c>
    </row>
    <row r="1682" ht="30" customHeight="1">
      <c r="A1682" s="16" t="n">
        <v>45807</v>
      </c>
      <c r="B1682" s="17" t="inlineStr">
        <is>
          <t>MH2505-48</t>
        </is>
      </c>
      <c r="C1682" s="16" t="n">
        <v>45807</v>
      </c>
      <c r="D1682" s="17" t="inlineStr">
        <is>
          <t>00001993</t>
        </is>
      </c>
      <c r="E1682" s="16" t="n">
        <v>45807</v>
      </c>
      <c r="F1682" s="16" t="inlineStr">
        <is>
          <t>XK2505-18</t>
        </is>
      </c>
      <c r="G1682" s="16" t="n">
        <v>45807</v>
      </c>
      <c r="H1682" s="17" t="inlineStr">
        <is>
          <t>CÔNG TY CỔ PHẦN CÔNG NGHIỆP VÀ THƯƠNG MẠI CƯỜNG THỊNH</t>
        </is>
      </c>
      <c r="I1682" s="17" t="inlineStr">
        <is>
          <t>Long đền thường ZP M20B42D2</t>
        </is>
      </c>
      <c r="J1682" s="17" t="inlineStr">
        <is>
          <t>Cái</t>
        </is>
      </c>
      <c r="K1682" s="21" t="n">
        <v>700</v>
      </c>
      <c r="L1682" s="21" t="n"/>
      <c r="M1682" s="22" t="n"/>
      <c r="N1682" s="22" t="n">
        <v>80</v>
      </c>
      <c r="O1682" s="22" t="n">
        <v>56000</v>
      </c>
      <c r="P1682" s="22" t="n">
        <v>80</v>
      </c>
      <c r="Q1682" s="22" t="n">
        <v>56000</v>
      </c>
      <c r="R1682" s="42">
        <f>+L1682+N1682-P1682</f>
        <v/>
      </c>
      <c r="S1682" s="42">
        <f>+M1682+O1682-Q1682</f>
        <v/>
      </c>
    </row>
    <row r="1683" ht="30" customHeight="1">
      <c r="A1683" s="16" t="n">
        <v>45807</v>
      </c>
      <c r="B1683" s="17" t="inlineStr">
        <is>
          <t>MH2505-48</t>
        </is>
      </c>
      <c r="C1683" s="16" t="n">
        <v>45807</v>
      </c>
      <c r="D1683" s="17" t="inlineStr">
        <is>
          <t>00001993</t>
        </is>
      </c>
      <c r="E1683" s="16" t="n">
        <v>45807</v>
      </c>
      <c r="F1683" s="16" t="inlineStr">
        <is>
          <t>XK2505-18</t>
        </is>
      </c>
      <c r="G1683" s="16" t="n">
        <v>45807</v>
      </c>
      <c r="H1683" s="17" t="inlineStr">
        <is>
          <t>CÔNG TY CỔ PHẦN CÔNG NGHIỆP VÀ THƯƠNG MẠI CƯỜNG THỊNH</t>
        </is>
      </c>
      <c r="I1683" s="17" t="inlineStr">
        <is>
          <t>Long đền móng ngựa ZP M20</t>
        </is>
      </c>
      <c r="J1683" s="17" t="inlineStr">
        <is>
          <t>Cái</t>
        </is>
      </c>
      <c r="K1683" s="21" t="n">
        <v>15590</v>
      </c>
      <c r="L1683" s="21" t="n"/>
      <c r="M1683" s="22" t="n"/>
      <c r="N1683" s="22" t="n">
        <v>80</v>
      </c>
      <c r="O1683" s="22" t="n">
        <v>1247200</v>
      </c>
      <c r="P1683" s="22" t="n">
        <v>80</v>
      </c>
      <c r="Q1683" s="22" t="n">
        <v>1247200</v>
      </c>
      <c r="R1683" s="42">
        <f>+L1683+N1683-P1683</f>
        <v/>
      </c>
      <c r="S1683" s="42">
        <f>+M1683+O1683-Q1683</f>
        <v/>
      </c>
    </row>
    <row r="1684" ht="30" customHeight="1">
      <c r="A1684" s="16" t="n">
        <v>45807</v>
      </c>
      <c r="B1684" s="17" t="inlineStr">
        <is>
          <t>MH2505-48</t>
        </is>
      </c>
      <c r="C1684" s="16" t="n">
        <v>45807</v>
      </c>
      <c r="D1684" s="17" t="inlineStr">
        <is>
          <t>00001993</t>
        </is>
      </c>
      <c r="E1684" s="16" t="n">
        <v>45807</v>
      </c>
      <c r="F1684" s="16" t="inlineStr">
        <is>
          <t>XK2505-18</t>
        </is>
      </c>
      <c r="G1684" s="16" t="n">
        <v>45807</v>
      </c>
      <c r="H1684" s="17" t="inlineStr">
        <is>
          <t>CÔNG TY CỔ PHẦN CÔNG NGHIỆP VÀ THƯƠNG MẠI CƯỜNG THỊNH</t>
        </is>
      </c>
      <c r="I1684" s="17" t="inlineStr">
        <is>
          <t>Nối Ty ZP M20x100(28mm)</t>
        </is>
      </c>
      <c r="J1684" s="17" t="inlineStr">
        <is>
          <t>Cái</t>
        </is>
      </c>
      <c r="K1684" s="21" t="n">
        <v>24470</v>
      </c>
      <c r="L1684" s="21" t="n"/>
      <c r="M1684" s="22" t="n"/>
      <c r="N1684" s="22" t="n">
        <v>40</v>
      </c>
      <c r="O1684" s="22" t="n">
        <v>978800</v>
      </c>
      <c r="P1684" s="22" t="n">
        <v>40</v>
      </c>
      <c r="Q1684" s="22" t="n">
        <v>978800</v>
      </c>
      <c r="R1684" s="42">
        <f>+L1684+N1684-P1684</f>
        <v/>
      </c>
      <c r="S1684" s="42">
        <f>+M1684+O1684-Q1684</f>
        <v/>
      </c>
    </row>
    <row r="1685" ht="30" customHeight="1">
      <c r="A1685" s="16" t="n">
        <v>45807</v>
      </c>
      <c r="B1685" s="17" t="inlineStr">
        <is>
          <t>MH2505-48</t>
        </is>
      </c>
      <c r="C1685" s="16" t="n">
        <v>45807</v>
      </c>
      <c r="D1685" s="17" t="inlineStr">
        <is>
          <t>00001993</t>
        </is>
      </c>
      <c r="E1685" s="16" t="n">
        <v>45807</v>
      </c>
      <c r="F1685" s="16" t="inlineStr">
        <is>
          <t>XK2505-18</t>
        </is>
      </c>
      <c r="G1685" s="16" t="n">
        <v>45807</v>
      </c>
      <c r="H1685" s="17" t="inlineStr">
        <is>
          <t>CÔNG TY CỔ PHẦN CÔNG NGHIỆP VÀ THƯƠNG MẠI CƯỜNG THỊNH</t>
        </is>
      </c>
      <c r="I1685" s="17" t="inlineStr">
        <is>
          <t>Ty giằng 2 đầu ren 4.6 Ф11.3-11.5mm ZP M12</t>
        </is>
      </c>
      <c r="J1685" s="17" t="inlineStr">
        <is>
          <t>Mét</t>
        </is>
      </c>
      <c r="K1685" s="21" t="n">
        <v>20500</v>
      </c>
      <c r="L1685" s="21" t="n"/>
      <c r="M1685" s="22" t="n"/>
      <c r="N1685" s="22" t="n">
        <v>892.33</v>
      </c>
      <c r="O1685" s="22" t="n">
        <v>18292765</v>
      </c>
      <c r="P1685" s="22" t="n">
        <v>892.33</v>
      </c>
      <c r="Q1685" s="22" t="n">
        <v>18292765</v>
      </c>
      <c r="R1685" s="42">
        <f>+L1685+N1685-P1685</f>
        <v/>
      </c>
      <c r="S1685" s="42">
        <f>+M1685+O1685-Q1685</f>
        <v/>
      </c>
    </row>
    <row r="1686" ht="30" customHeight="1">
      <c r="A1686" s="16" t="n">
        <v>45807</v>
      </c>
      <c r="B1686" s="17" t="inlineStr">
        <is>
          <t>MH2505-48</t>
        </is>
      </c>
      <c r="C1686" s="16" t="n">
        <v>45807</v>
      </c>
      <c r="D1686" s="17" t="inlineStr">
        <is>
          <t>00001993</t>
        </is>
      </c>
      <c r="E1686" s="16" t="n">
        <v>45807</v>
      </c>
      <c r="F1686" s="16" t="inlineStr">
        <is>
          <t>XK2505-18</t>
        </is>
      </c>
      <c r="G1686" s="16" t="n">
        <v>45807</v>
      </c>
      <c r="H1686" s="17" t="inlineStr">
        <is>
          <t>CÔNG TY CỔ PHẦN CÔNG NGHIỆP VÀ THƯƠNG MẠI CƯỜNG THỊNH</t>
        </is>
      </c>
      <c r="I1686" s="17" t="inlineStr">
        <is>
          <t>Đai ốc thường 4 ZP M12 (9mm)</t>
        </is>
      </c>
      <c r="J1686" s="17" t="inlineStr">
        <is>
          <t>Cái</t>
        </is>
      </c>
      <c r="K1686" s="21" t="n">
        <v>360</v>
      </c>
      <c r="L1686" s="21" t="n"/>
      <c r="M1686" s="22" t="n"/>
      <c r="N1686" s="22" t="n">
        <v>3180</v>
      </c>
      <c r="O1686" s="22" t="n">
        <v>1144800</v>
      </c>
      <c r="P1686" s="22" t="n">
        <v>3180</v>
      </c>
      <c r="Q1686" s="22" t="n">
        <v>1144800</v>
      </c>
      <c r="R1686" s="42">
        <f>+L1686+N1686-P1686</f>
        <v/>
      </c>
      <c r="S1686" s="42">
        <f>+M1686+O1686-Q1686</f>
        <v/>
      </c>
    </row>
    <row r="1687" ht="30" customHeight="1">
      <c r="A1687" s="16" t="n">
        <v>45807</v>
      </c>
      <c r="B1687" s="17" t="inlineStr">
        <is>
          <t>MH2505-48</t>
        </is>
      </c>
      <c r="C1687" s="16" t="n">
        <v>45807</v>
      </c>
      <c r="D1687" s="17" t="inlineStr">
        <is>
          <t>00001993</t>
        </is>
      </c>
      <c r="E1687" s="16" t="n">
        <v>45807</v>
      </c>
      <c r="F1687" s="16" t="inlineStr">
        <is>
          <t>XK2505-18</t>
        </is>
      </c>
      <c r="G1687" s="16" t="n">
        <v>45807</v>
      </c>
      <c r="H1687" s="17" t="inlineStr">
        <is>
          <t>CÔNG TY CỔ PHẦN CÔNG NGHIỆP VÀ THƯƠNG MẠI CƯỜNG THỊNH</t>
        </is>
      </c>
      <c r="I1687" s="17" t="inlineStr">
        <is>
          <t>Long đền thường ZP M12B26D1.5</t>
        </is>
      </c>
      <c r="J1687" s="17" t="inlineStr">
        <is>
          <t>Cái</t>
        </is>
      </c>
      <c r="K1687" s="21" t="n">
        <v>190</v>
      </c>
      <c r="L1687" s="21" t="n"/>
      <c r="M1687" s="22" t="n"/>
      <c r="N1687" s="22" t="n">
        <v>3180</v>
      </c>
      <c r="O1687" s="22" t="n">
        <v>604200</v>
      </c>
      <c r="P1687" s="22" t="n">
        <v>3180</v>
      </c>
      <c r="Q1687" s="22" t="n">
        <v>604200</v>
      </c>
      <c r="R1687" s="42">
        <f>+L1687+N1687-P1687</f>
        <v/>
      </c>
      <c r="S1687" s="42">
        <f>+M1687+O1687-Q1687</f>
        <v/>
      </c>
    </row>
    <row r="1688" ht="30" customHeight="1">
      <c r="A1688" s="16" t="n">
        <v>45807</v>
      </c>
      <c r="B1688" s="17" t="inlineStr">
        <is>
          <t>MH2505-48</t>
        </is>
      </c>
      <c r="C1688" s="16" t="n">
        <v>45807</v>
      </c>
      <c r="D1688" s="17" t="inlineStr">
        <is>
          <t>00001993</t>
        </is>
      </c>
      <c r="E1688" s="16" t="n">
        <v>45807</v>
      </c>
      <c r="F1688" s="16" t="inlineStr">
        <is>
          <t>XK2505-18</t>
        </is>
      </c>
      <c r="G1688" s="16" t="n">
        <v>45807</v>
      </c>
      <c r="H1688" s="17" t="inlineStr">
        <is>
          <t>CÔNG TY CỔ PHẦN CÔNG NGHIỆP VÀ THƯƠNG MẠI CƯỜNG THỊNH</t>
        </is>
      </c>
      <c r="I1688" s="17" t="inlineStr">
        <is>
          <t>Ty giằng 2 đầu ren 4.6 Ф11.3-11.5mm ZP M12</t>
        </is>
      </c>
      <c r="J1688" s="17" t="inlineStr">
        <is>
          <t>Mét</t>
        </is>
      </c>
      <c r="K1688" s="21" t="n">
        <v>22500</v>
      </c>
      <c r="L1688" s="21" t="n"/>
      <c r="M1688" s="22" t="n"/>
      <c r="N1688" s="22" t="n">
        <v>79.17</v>
      </c>
      <c r="O1688" s="22" t="n">
        <v>1781325</v>
      </c>
      <c r="P1688" s="22" t="n">
        <v>79.17</v>
      </c>
      <c r="Q1688" s="22" t="n">
        <v>1781325</v>
      </c>
      <c r="R1688" s="42">
        <f>+L1688+N1688-P1688</f>
        <v/>
      </c>
      <c r="S1688" s="42">
        <f>+M1688+O1688-Q1688</f>
        <v/>
      </c>
    </row>
    <row r="1689" ht="30" customHeight="1">
      <c r="A1689" s="16" t="n">
        <v>45807</v>
      </c>
      <c r="B1689" s="17" t="inlineStr">
        <is>
          <t>MH2505-49</t>
        </is>
      </c>
      <c r="C1689" s="16" t="n">
        <v>45807</v>
      </c>
      <c r="D1689" s="17" t="inlineStr">
        <is>
          <t>00001994</t>
        </is>
      </c>
      <c r="E1689" s="16" t="n">
        <v>45807</v>
      </c>
      <c r="F1689" s="16" t="inlineStr">
        <is>
          <t>XK2505-18</t>
        </is>
      </c>
      <c r="G1689" s="16" t="n">
        <v>45807</v>
      </c>
      <c r="H1689" s="17" t="inlineStr">
        <is>
          <t>CÔNG TY CỔ PHẦN CÔNG NGHIỆP VÀ THƯƠNG MẠI CƯỜNG THỊNH</t>
        </is>
      </c>
      <c r="I1689" s="17" t="inlineStr">
        <is>
          <t>Vít B2 Dacromet 12-14x20</t>
        </is>
      </c>
      <c r="J1689" s="17" t="inlineStr">
        <is>
          <t>Cái</t>
        </is>
      </c>
      <c r="K1689" s="21" t="n">
        <v>600</v>
      </c>
      <c r="L1689" s="21" t="n"/>
      <c r="M1689" s="22" t="n"/>
      <c r="N1689" s="22" t="n">
        <v>400</v>
      </c>
      <c r="O1689" s="22" t="n">
        <v>240000</v>
      </c>
      <c r="P1689" s="22" t="n">
        <v>400</v>
      </c>
      <c r="Q1689" s="22" t="n">
        <v>240000</v>
      </c>
      <c r="R1689" s="42">
        <f>+L1689+N1689-P1689</f>
        <v/>
      </c>
      <c r="S1689" s="42">
        <f>+M1689+O1689-Q1689</f>
        <v/>
      </c>
    </row>
    <row r="1690" ht="30" customHeight="1">
      <c r="A1690" s="16" t="n">
        <v>45807</v>
      </c>
      <c r="B1690" s="17" t="inlineStr">
        <is>
          <t>MH2505-49</t>
        </is>
      </c>
      <c r="C1690" s="16" t="n">
        <v>45807</v>
      </c>
      <c r="D1690" s="17" t="inlineStr">
        <is>
          <t>00001994</t>
        </is>
      </c>
      <c r="E1690" s="16" t="n">
        <v>45807</v>
      </c>
      <c r="F1690" s="16" t="inlineStr">
        <is>
          <t>XK2505-18</t>
        </is>
      </c>
      <c r="G1690" s="16" t="n">
        <v>45807</v>
      </c>
      <c r="H1690" s="17" t="inlineStr">
        <is>
          <t>CÔNG TY CỔ PHẦN CÔNG NGHIỆP VÀ THƯƠNG MẠI CƯỜNG THỊNH</t>
        </is>
      </c>
      <c r="I1690" s="17" t="inlineStr">
        <is>
          <t>Bulong nở 4.6 ZP M12x120</t>
        </is>
      </c>
      <c r="J1690" s="17" t="inlineStr">
        <is>
          <t>Bộ</t>
        </is>
      </c>
      <c r="K1690" s="21" t="n">
        <v>9900</v>
      </c>
      <c r="L1690" s="21" t="n"/>
      <c r="M1690" s="22" t="n"/>
      <c r="N1690" s="22" t="n">
        <v>10</v>
      </c>
      <c r="O1690" s="22" t="n">
        <v>99000</v>
      </c>
      <c r="P1690" s="22" t="n">
        <v>10</v>
      </c>
      <c r="Q1690" s="22" t="n">
        <v>99000</v>
      </c>
      <c r="R1690" s="42">
        <f>+L1690+N1690-P1690</f>
        <v/>
      </c>
      <c r="S1690" s="42">
        <f>+M1690+O1690-Q1690</f>
        <v/>
      </c>
    </row>
    <row r="1691" ht="30" customHeight="1">
      <c r="A1691" s="16" t="n">
        <v>45807</v>
      </c>
      <c r="B1691" s="17" t="inlineStr">
        <is>
          <t>MH2505-49</t>
        </is>
      </c>
      <c r="C1691" s="16" t="n">
        <v>45807</v>
      </c>
      <c r="D1691" s="17" t="inlineStr">
        <is>
          <t>00001994</t>
        </is>
      </c>
      <c r="E1691" s="16" t="n">
        <v>45807</v>
      </c>
      <c r="F1691" s="16" t="inlineStr">
        <is>
          <t>XK2505-18</t>
        </is>
      </c>
      <c r="G1691" s="16" t="n">
        <v>45807</v>
      </c>
      <c r="H1691" s="17" t="inlineStr">
        <is>
          <t>CÔNG TY CỔ PHẦN CÔNG NGHIỆP VÀ THƯƠNG MẠI CƯỜNG THỊNH</t>
        </is>
      </c>
      <c r="I1691" s="17" t="inlineStr">
        <is>
          <t>Bulong Din 933 8.8 ZP M20x60</t>
        </is>
      </c>
      <c r="J1691" s="17" t="inlineStr">
        <is>
          <t>Cái</t>
        </is>
      </c>
      <c r="K1691" s="21" t="n">
        <v>6440</v>
      </c>
      <c r="L1691" s="21" t="n"/>
      <c r="M1691" s="22" t="n"/>
      <c r="N1691" s="22" t="n">
        <v>507</v>
      </c>
      <c r="O1691" s="22" t="n">
        <v>3265080</v>
      </c>
      <c r="P1691" s="22" t="n">
        <v>507</v>
      </c>
      <c r="Q1691" s="22" t="n">
        <v>3265080</v>
      </c>
      <c r="R1691" s="42">
        <f>+L1691+N1691-P1691</f>
        <v/>
      </c>
      <c r="S1691" s="42">
        <f>+M1691+O1691-Q1691</f>
        <v/>
      </c>
    </row>
    <row r="1692" ht="30" customHeight="1">
      <c r="A1692" s="16" t="n">
        <v>45807</v>
      </c>
      <c r="B1692" s="17" t="inlineStr">
        <is>
          <t>MH2505-49</t>
        </is>
      </c>
      <c r="C1692" s="16" t="n">
        <v>45807</v>
      </c>
      <c r="D1692" s="17" t="inlineStr">
        <is>
          <t>00001994</t>
        </is>
      </c>
      <c r="E1692" s="16" t="n">
        <v>45807</v>
      </c>
      <c r="F1692" s="16" t="inlineStr">
        <is>
          <t>XK2505-18</t>
        </is>
      </c>
      <c r="G1692" s="16" t="n">
        <v>45807</v>
      </c>
      <c r="H1692" s="17" t="inlineStr">
        <is>
          <t>CÔNG TY CỔ PHẦN CÔNG NGHIỆP VÀ THƯƠNG MẠI CƯỜNG THỊNH</t>
        </is>
      </c>
      <c r="I1692" s="17" t="inlineStr">
        <is>
          <t>Đai ốc Din 934 8 ZP M20</t>
        </is>
      </c>
      <c r="J1692" s="17" t="inlineStr">
        <is>
          <t>Cái</t>
        </is>
      </c>
      <c r="K1692" s="21" t="n">
        <v>2030</v>
      </c>
      <c r="L1692" s="21" t="n"/>
      <c r="M1692" s="22" t="n"/>
      <c r="N1692" s="22" t="n">
        <v>507</v>
      </c>
      <c r="O1692" s="22" t="n">
        <v>1029210</v>
      </c>
      <c r="P1692" s="22" t="n">
        <v>507</v>
      </c>
      <c r="Q1692" s="22" t="n">
        <v>1029210</v>
      </c>
      <c r="R1692" s="42">
        <f>+L1692+N1692-P1692</f>
        <v/>
      </c>
      <c r="S1692" s="42">
        <f>+M1692+O1692-Q1692</f>
        <v/>
      </c>
    </row>
    <row r="1693" ht="30" customHeight="1">
      <c r="A1693" s="16" t="n">
        <v>45807</v>
      </c>
      <c r="B1693" s="17" t="inlineStr">
        <is>
          <t>MH2505-49</t>
        </is>
      </c>
      <c r="C1693" s="16" t="n">
        <v>45807</v>
      </c>
      <c r="D1693" s="17" t="inlineStr">
        <is>
          <t>00001994</t>
        </is>
      </c>
      <c r="E1693" s="16" t="n">
        <v>45807</v>
      </c>
      <c r="F1693" s="16" t="inlineStr">
        <is>
          <t>XK2505-18</t>
        </is>
      </c>
      <c r="G1693" s="16" t="n">
        <v>45807</v>
      </c>
      <c r="H1693" s="17" t="inlineStr">
        <is>
          <t>CÔNG TY CỔ PHẦN CÔNG NGHIỆP VÀ THƯƠNG MẠI CƯỜNG THỊNH</t>
        </is>
      </c>
      <c r="I1693" s="17" t="inlineStr">
        <is>
          <t>Long đền thường ZP M20B35D2</t>
        </is>
      </c>
      <c r="J1693" s="17" t="inlineStr">
        <is>
          <t>Cái</t>
        </is>
      </c>
      <c r="K1693" s="21" t="n">
        <v>350</v>
      </c>
      <c r="L1693" s="21" t="n"/>
      <c r="M1693" s="22" t="n"/>
      <c r="N1693" s="22" t="n">
        <v>507</v>
      </c>
      <c r="O1693" s="22" t="n">
        <v>177450</v>
      </c>
      <c r="P1693" s="22" t="n">
        <v>507</v>
      </c>
      <c r="Q1693" s="22" t="n">
        <v>177450</v>
      </c>
      <c r="R1693" s="42">
        <f>+L1693+N1693-P1693</f>
        <v/>
      </c>
      <c r="S1693" s="42">
        <f>+M1693+O1693-Q1693</f>
        <v/>
      </c>
    </row>
    <row r="1694" ht="30" customHeight="1">
      <c r="A1694" s="16" t="n">
        <v>45807</v>
      </c>
      <c r="B1694" s="17" t="inlineStr">
        <is>
          <t>MH2505-49</t>
        </is>
      </c>
      <c r="C1694" s="16" t="n">
        <v>45807</v>
      </c>
      <c r="D1694" s="17" t="inlineStr">
        <is>
          <t>00001994</t>
        </is>
      </c>
      <c r="E1694" s="16" t="n">
        <v>45807</v>
      </c>
      <c r="F1694" s="16" t="inlineStr">
        <is>
          <t>XK2505-18</t>
        </is>
      </c>
      <c r="G1694" s="16" t="n">
        <v>45807</v>
      </c>
      <c r="H1694" s="17" t="inlineStr">
        <is>
          <t>CÔNG TY CỔ PHẦN CÔNG NGHIỆP VÀ THƯƠNG MẠI CƯỜNG THỊNH</t>
        </is>
      </c>
      <c r="I1694" s="17" t="inlineStr">
        <is>
          <t>Bulong Din 933 8.8 ZP M20x80</t>
        </is>
      </c>
      <c r="J1694" s="17" t="inlineStr">
        <is>
          <t>Cái</t>
        </is>
      </c>
      <c r="K1694" s="21" t="n">
        <v>7730</v>
      </c>
      <c r="L1694" s="21" t="n"/>
      <c r="M1694" s="22" t="n"/>
      <c r="N1694" s="22" t="n">
        <v>87</v>
      </c>
      <c r="O1694" s="22" t="n">
        <v>672510</v>
      </c>
      <c r="P1694" s="22" t="n">
        <v>87</v>
      </c>
      <c r="Q1694" s="22" t="n">
        <v>672510</v>
      </c>
      <c r="R1694" s="42">
        <f>+L1694+N1694-P1694</f>
        <v/>
      </c>
      <c r="S1694" s="42">
        <f>+M1694+O1694-Q1694</f>
        <v/>
      </c>
    </row>
    <row r="1695" ht="30" customHeight="1">
      <c r="A1695" s="16" t="n">
        <v>45807</v>
      </c>
      <c r="B1695" s="17" t="inlineStr">
        <is>
          <t>MH2505-49</t>
        </is>
      </c>
      <c r="C1695" s="16" t="n">
        <v>45807</v>
      </c>
      <c r="D1695" s="17" t="inlineStr">
        <is>
          <t>00001994</t>
        </is>
      </c>
      <c r="E1695" s="16" t="n">
        <v>45807</v>
      </c>
      <c r="F1695" s="16" t="inlineStr">
        <is>
          <t>XK2505-18</t>
        </is>
      </c>
      <c r="G1695" s="16" t="n">
        <v>45807</v>
      </c>
      <c r="H1695" s="17" t="inlineStr">
        <is>
          <t>CÔNG TY CỔ PHẦN CÔNG NGHIỆP VÀ THƯƠNG MẠI CƯỜNG THỊNH</t>
        </is>
      </c>
      <c r="I1695" s="17" t="inlineStr">
        <is>
          <t>Đai ốc Din 934 8 ZP M20</t>
        </is>
      </c>
      <c r="J1695" s="17" t="inlineStr">
        <is>
          <t>Cái</t>
        </is>
      </c>
      <c r="K1695" s="21" t="n">
        <v>2030</v>
      </c>
      <c r="L1695" s="21" t="n"/>
      <c r="M1695" s="22" t="n"/>
      <c r="N1695" s="22" t="n">
        <v>87</v>
      </c>
      <c r="O1695" s="22" t="n">
        <v>176610</v>
      </c>
      <c r="P1695" s="22" t="n">
        <v>87</v>
      </c>
      <c r="Q1695" s="22" t="n">
        <v>176610</v>
      </c>
      <c r="R1695" s="42">
        <f>+L1695+N1695-P1695</f>
        <v/>
      </c>
      <c r="S1695" s="42">
        <f>+M1695+O1695-Q1695</f>
        <v/>
      </c>
    </row>
    <row r="1696" ht="30" customHeight="1">
      <c r="A1696" s="16" t="n">
        <v>45807</v>
      </c>
      <c r="B1696" s="17" t="inlineStr">
        <is>
          <t>MH2505-49</t>
        </is>
      </c>
      <c r="C1696" s="16" t="n">
        <v>45807</v>
      </c>
      <c r="D1696" s="17" t="inlineStr">
        <is>
          <t>00001994</t>
        </is>
      </c>
      <c r="E1696" s="16" t="n">
        <v>45807</v>
      </c>
      <c r="F1696" s="16" t="inlineStr">
        <is>
          <t>XK2505-18</t>
        </is>
      </c>
      <c r="G1696" s="16" t="n">
        <v>45807</v>
      </c>
      <c r="H1696" s="17" t="inlineStr">
        <is>
          <t>CÔNG TY CỔ PHẦN CÔNG NGHIỆP VÀ THƯƠNG MẠI CƯỜNG THỊNH</t>
        </is>
      </c>
      <c r="I1696" s="17" t="inlineStr">
        <is>
          <t>Long đền thường ZP M20B35D2</t>
        </is>
      </c>
      <c r="J1696" s="17" t="inlineStr">
        <is>
          <t>Cái</t>
        </is>
      </c>
      <c r="K1696" s="21" t="n">
        <v>350</v>
      </c>
      <c r="L1696" s="21" t="n"/>
      <c r="M1696" s="22" t="n"/>
      <c r="N1696" s="22" t="n">
        <v>87</v>
      </c>
      <c r="O1696" s="22" t="n">
        <v>30450</v>
      </c>
      <c r="P1696" s="22" t="n">
        <v>87</v>
      </c>
      <c r="Q1696" s="22" t="n">
        <v>30450</v>
      </c>
      <c r="R1696" s="42">
        <f>+L1696+N1696-P1696</f>
        <v/>
      </c>
      <c r="S1696" s="42">
        <f>+M1696+O1696-Q1696</f>
        <v/>
      </c>
    </row>
    <row r="1697" ht="30" customHeight="1">
      <c r="A1697" s="16" t="n">
        <v>45807</v>
      </c>
      <c r="B1697" s="17" t="inlineStr">
        <is>
          <t>MH2505-49</t>
        </is>
      </c>
      <c r="C1697" s="16" t="n">
        <v>45807</v>
      </c>
      <c r="D1697" s="17" t="inlineStr">
        <is>
          <t>00001994</t>
        </is>
      </c>
      <c r="E1697" s="16" t="n">
        <v>45807</v>
      </c>
      <c r="F1697" s="16" t="inlineStr">
        <is>
          <t>XK2505-18</t>
        </is>
      </c>
      <c r="G1697" s="16" t="n">
        <v>45807</v>
      </c>
      <c r="H1697" s="17" t="inlineStr">
        <is>
          <t>CÔNG TY CỔ PHẦN CÔNG NGHIỆP VÀ THƯƠNG MẠI CƯỜNG THỊNH</t>
        </is>
      </c>
      <c r="I1697" s="17" t="inlineStr">
        <is>
          <t>Bulong Din 933 8.8 ZP M24x70</t>
        </is>
      </c>
      <c r="J1697" s="17" t="inlineStr">
        <is>
          <t>Cái</t>
        </is>
      </c>
      <c r="K1697" s="21" t="n">
        <v>11010</v>
      </c>
      <c r="L1697" s="21" t="n"/>
      <c r="M1697" s="22" t="n"/>
      <c r="N1697" s="22" t="n">
        <v>218</v>
      </c>
      <c r="O1697" s="22" t="n">
        <v>2400180</v>
      </c>
      <c r="P1697" s="22" t="n">
        <v>218</v>
      </c>
      <c r="Q1697" s="22" t="n">
        <v>2400180</v>
      </c>
      <c r="R1697" s="42">
        <f>+L1697+N1697-P1697</f>
        <v/>
      </c>
      <c r="S1697" s="42">
        <f>+M1697+O1697-Q1697</f>
        <v/>
      </c>
    </row>
    <row r="1698" ht="30" customHeight="1">
      <c r="A1698" s="16" t="n">
        <v>45807</v>
      </c>
      <c r="B1698" s="17" t="inlineStr">
        <is>
          <t>MH2505-49</t>
        </is>
      </c>
      <c r="C1698" s="16" t="n">
        <v>45807</v>
      </c>
      <c r="D1698" s="17" t="inlineStr">
        <is>
          <t>00001994</t>
        </is>
      </c>
      <c r="E1698" s="16" t="n">
        <v>45807</v>
      </c>
      <c r="F1698" s="16" t="inlineStr">
        <is>
          <t>XK2505-18</t>
        </is>
      </c>
      <c r="G1698" s="16" t="n">
        <v>45807</v>
      </c>
      <c r="H1698" s="17" t="inlineStr">
        <is>
          <t>CÔNG TY CỔ PHẦN CÔNG NGHIỆP VÀ THƯƠNG MẠI CƯỜNG THỊNH</t>
        </is>
      </c>
      <c r="I1698" s="17" t="inlineStr">
        <is>
          <t>Đai ốc Din 934 8 ZP M24</t>
        </is>
      </c>
      <c r="J1698" s="17" t="inlineStr">
        <is>
          <t>Cái</t>
        </is>
      </c>
      <c r="K1698" s="21" t="n">
        <v>3500</v>
      </c>
      <c r="L1698" s="21" t="n"/>
      <c r="M1698" s="22" t="n"/>
      <c r="N1698" s="22" t="n">
        <v>218</v>
      </c>
      <c r="O1698" s="22" t="n">
        <v>763000</v>
      </c>
      <c r="P1698" s="22" t="n">
        <v>218</v>
      </c>
      <c r="Q1698" s="22" t="n">
        <v>763000</v>
      </c>
      <c r="R1698" s="42">
        <f>+L1698+N1698-P1698</f>
        <v/>
      </c>
      <c r="S1698" s="42">
        <f>+M1698+O1698-Q1698</f>
        <v/>
      </c>
    </row>
    <row r="1699" ht="30" customHeight="1">
      <c r="A1699" s="16" t="n">
        <v>45807</v>
      </c>
      <c r="B1699" s="17" t="inlineStr">
        <is>
          <t>MH2505-49</t>
        </is>
      </c>
      <c r="C1699" s="16" t="n">
        <v>45807</v>
      </c>
      <c r="D1699" s="17" t="inlineStr">
        <is>
          <t>00001994</t>
        </is>
      </c>
      <c r="E1699" s="16" t="n">
        <v>45807</v>
      </c>
      <c r="F1699" s="16" t="inlineStr">
        <is>
          <t>XK2505-18</t>
        </is>
      </c>
      <c r="G1699" s="16" t="n">
        <v>45807</v>
      </c>
      <c r="H1699" s="17" t="inlineStr">
        <is>
          <t>CÔNG TY CỔ PHẦN CÔNG NGHIỆP VÀ THƯƠNG MẠI CƯỜNG THỊNH</t>
        </is>
      </c>
      <c r="I1699" s="17" t="inlineStr">
        <is>
          <t>Long đền thường ZP M24B40-42D2</t>
        </is>
      </c>
      <c r="J1699" s="17" t="inlineStr">
        <is>
          <t>Cái</t>
        </is>
      </c>
      <c r="K1699" s="21" t="n">
        <v>660</v>
      </c>
      <c r="L1699" s="21" t="n"/>
      <c r="M1699" s="22" t="n"/>
      <c r="N1699" s="22" t="n">
        <v>218</v>
      </c>
      <c r="O1699" s="22" t="n">
        <v>143880</v>
      </c>
      <c r="P1699" s="22" t="n">
        <v>218</v>
      </c>
      <c r="Q1699" s="22" t="n">
        <v>143880</v>
      </c>
      <c r="R1699" s="42">
        <f>+L1699+N1699-P1699</f>
        <v/>
      </c>
      <c r="S1699" s="42">
        <f>+M1699+O1699-Q1699</f>
        <v/>
      </c>
    </row>
    <row r="1700" ht="30" customHeight="1">
      <c r="A1700" s="16" t="n">
        <v>45807</v>
      </c>
      <c r="B1700" s="17" t="inlineStr">
        <is>
          <t>MH2505-49</t>
        </is>
      </c>
      <c r="C1700" s="16" t="n">
        <v>45807</v>
      </c>
      <c r="D1700" s="17" t="inlineStr">
        <is>
          <t>00001994</t>
        </is>
      </c>
      <c r="E1700" s="16" t="n">
        <v>45807</v>
      </c>
      <c r="F1700" s="16" t="inlineStr">
        <is>
          <t>XK2505-18</t>
        </is>
      </c>
      <c r="G1700" s="16" t="n">
        <v>45807</v>
      </c>
      <c r="H1700" s="17" t="inlineStr">
        <is>
          <t>CÔNG TY CỔ PHẦN CÔNG NGHIỆP VÀ THƯƠNG MẠI CƯỜNG THỊNH</t>
        </is>
      </c>
      <c r="I1700" s="17" t="inlineStr">
        <is>
          <t>Bulong khía 4.6 ZP M12x30</t>
        </is>
      </c>
      <c r="J1700" s="17" t="inlineStr">
        <is>
          <t>Cái</t>
        </is>
      </c>
      <c r="K1700" s="21" t="n">
        <v>5000</v>
      </c>
      <c r="L1700" s="21" t="n"/>
      <c r="M1700" s="22" t="n"/>
      <c r="N1700" s="22" t="n">
        <v>303</v>
      </c>
      <c r="O1700" s="22" t="n">
        <v>1515000</v>
      </c>
      <c r="P1700" s="22" t="n">
        <v>303</v>
      </c>
      <c r="Q1700" s="22" t="n">
        <v>1515000</v>
      </c>
      <c r="R1700" s="42">
        <f>+L1700+N1700-P1700</f>
        <v/>
      </c>
      <c r="S1700" s="42">
        <f>+M1700+O1700-Q1700</f>
        <v/>
      </c>
    </row>
    <row r="1701" ht="30" customHeight="1">
      <c r="A1701" s="16" t="n">
        <v>45807</v>
      </c>
      <c r="B1701" s="17" t="inlineStr">
        <is>
          <t>MH2505-49</t>
        </is>
      </c>
      <c r="C1701" s="16" t="n">
        <v>45807</v>
      </c>
      <c r="D1701" s="17" t="inlineStr">
        <is>
          <t>00001994</t>
        </is>
      </c>
      <c r="E1701" s="16" t="n">
        <v>45807</v>
      </c>
      <c r="F1701" s="16" t="inlineStr">
        <is>
          <t>XK2505-18</t>
        </is>
      </c>
      <c r="G1701" s="16" t="n">
        <v>45807</v>
      </c>
      <c r="H1701" s="17" t="inlineStr">
        <is>
          <t>CÔNG TY CỔ PHẦN CÔNG NGHIỆP VÀ THƯƠNG MẠI CƯỜNG THỊNH</t>
        </is>
      </c>
      <c r="I1701" s="17" t="inlineStr">
        <is>
          <t>Đai ốc thường 4 ZP M12 (9mm)</t>
        </is>
      </c>
      <c r="J1701" s="17" t="inlineStr">
        <is>
          <t>Cái</t>
        </is>
      </c>
      <c r="K1701" s="21" t="n">
        <v>360</v>
      </c>
      <c r="L1701" s="21" t="n"/>
      <c r="M1701" s="22" t="n"/>
      <c r="N1701" s="22" t="n">
        <v>303</v>
      </c>
      <c r="O1701" s="22" t="n">
        <v>109080</v>
      </c>
      <c r="P1701" s="22" t="n">
        <v>303</v>
      </c>
      <c r="Q1701" s="22" t="n">
        <v>109080</v>
      </c>
      <c r="R1701" s="42">
        <f>+L1701+N1701-P1701</f>
        <v/>
      </c>
      <c r="S1701" s="42">
        <f>+M1701+O1701-Q1701</f>
        <v/>
      </c>
    </row>
    <row r="1702" ht="30" customHeight="1">
      <c r="A1702" s="16" t="n">
        <v>45807</v>
      </c>
      <c r="B1702" s="17" t="inlineStr">
        <is>
          <t>MH2505-49</t>
        </is>
      </c>
      <c r="C1702" s="16" t="n">
        <v>45807</v>
      </c>
      <c r="D1702" s="17" t="inlineStr">
        <is>
          <t>00001994</t>
        </is>
      </c>
      <c r="E1702" s="16" t="n">
        <v>45807</v>
      </c>
      <c r="F1702" s="16" t="inlineStr">
        <is>
          <t>XK2505-18</t>
        </is>
      </c>
      <c r="G1702" s="16" t="n">
        <v>45807</v>
      </c>
      <c r="H1702" s="17" t="inlineStr">
        <is>
          <t>CÔNG TY CỔ PHẦN CÔNG NGHIỆP VÀ THƯƠNG MẠI CƯỜNG THỊNH</t>
        </is>
      </c>
      <c r="I1702" s="17" t="inlineStr">
        <is>
          <t>Long đền thường ZP M12B23D1</t>
        </is>
      </c>
      <c r="J1702" s="17" t="inlineStr">
        <is>
          <t>Cái</t>
        </is>
      </c>
      <c r="K1702" s="21" t="n">
        <v>100</v>
      </c>
      <c r="L1702" s="21" t="n"/>
      <c r="M1702" s="22" t="n"/>
      <c r="N1702" s="22" t="n">
        <v>303</v>
      </c>
      <c r="O1702" s="22" t="n">
        <v>30300</v>
      </c>
      <c r="P1702" s="22" t="n">
        <v>303</v>
      </c>
      <c r="Q1702" s="22" t="n">
        <v>30300</v>
      </c>
      <c r="R1702" s="42">
        <f>+L1702+N1702-P1702</f>
        <v/>
      </c>
      <c r="S1702" s="42">
        <f>+M1702+O1702-Q1702</f>
        <v/>
      </c>
    </row>
    <row r="1703" ht="30" customHeight="1">
      <c r="A1703" s="16" t="n">
        <v>45807</v>
      </c>
      <c r="B1703" s="17" t="inlineStr">
        <is>
          <t>MH2505-49</t>
        </is>
      </c>
      <c r="C1703" s="16" t="n">
        <v>45807</v>
      </c>
      <c r="D1703" s="17" t="inlineStr">
        <is>
          <t>00001994</t>
        </is>
      </c>
      <c r="E1703" s="16" t="n">
        <v>45807</v>
      </c>
      <c r="F1703" s="16" t="inlineStr">
        <is>
          <t>XK2505-18</t>
        </is>
      </c>
      <c r="G1703" s="16" t="n">
        <v>45807</v>
      </c>
      <c r="H1703" s="17" t="inlineStr">
        <is>
          <t>CÔNG TY CỔ PHẦN CÔNG NGHIỆP VÀ THƯƠNG MẠI CƯỜNG THỊNH</t>
        </is>
      </c>
      <c r="I1703" s="17" t="inlineStr">
        <is>
          <t>Bulong thường 4.6 ZP M12x40</t>
        </is>
      </c>
      <c r="J1703" s="17" t="inlineStr">
        <is>
          <t>Cái</t>
        </is>
      </c>
      <c r="K1703" s="21" t="n">
        <v>1100</v>
      </c>
      <c r="L1703" s="21" t="n"/>
      <c r="M1703" s="22" t="n"/>
      <c r="N1703" s="22" t="n">
        <v>3850</v>
      </c>
      <c r="O1703" s="22" t="n">
        <v>4235000</v>
      </c>
      <c r="P1703" s="22" t="n">
        <v>3850</v>
      </c>
      <c r="Q1703" s="22" t="n">
        <v>4235000</v>
      </c>
      <c r="R1703" s="42">
        <f>+L1703+N1703-P1703</f>
        <v/>
      </c>
      <c r="S1703" s="42">
        <f>+M1703+O1703-Q1703</f>
        <v/>
      </c>
    </row>
    <row r="1704" ht="30" customHeight="1">
      <c r="A1704" s="16" t="n">
        <v>45807</v>
      </c>
      <c r="B1704" s="17" t="inlineStr">
        <is>
          <t>MH2505-49</t>
        </is>
      </c>
      <c r="C1704" s="16" t="n">
        <v>45807</v>
      </c>
      <c r="D1704" s="17" t="inlineStr">
        <is>
          <t>00001994</t>
        </is>
      </c>
      <c r="E1704" s="16" t="n">
        <v>45807</v>
      </c>
      <c r="F1704" s="16" t="inlineStr">
        <is>
          <t>XK2505-18</t>
        </is>
      </c>
      <c r="G1704" s="16" t="n">
        <v>45807</v>
      </c>
      <c r="H1704" s="17" t="inlineStr">
        <is>
          <t>CÔNG TY CỔ PHẦN CÔNG NGHIỆP VÀ THƯƠNG MẠI CƯỜNG THỊNH</t>
        </is>
      </c>
      <c r="I1704" s="17" t="inlineStr">
        <is>
          <t>Đai ốc thường 4 ZP M12 (9mm)</t>
        </is>
      </c>
      <c r="J1704" s="17" t="inlineStr">
        <is>
          <t>Cái</t>
        </is>
      </c>
      <c r="K1704" s="21" t="n">
        <v>360</v>
      </c>
      <c r="L1704" s="21" t="n"/>
      <c r="M1704" s="22" t="n"/>
      <c r="N1704" s="22" t="n">
        <v>3850</v>
      </c>
      <c r="O1704" s="22" t="n">
        <v>1386000</v>
      </c>
      <c r="P1704" s="22" t="n">
        <v>3850</v>
      </c>
      <c r="Q1704" s="22" t="n">
        <v>1386000</v>
      </c>
      <c r="R1704" s="42">
        <f>+L1704+N1704-P1704</f>
        <v/>
      </c>
      <c r="S1704" s="42">
        <f>+M1704+O1704-Q1704</f>
        <v/>
      </c>
    </row>
    <row r="1705" ht="30" customHeight="1">
      <c r="A1705" s="16" t="n">
        <v>45807</v>
      </c>
      <c r="B1705" s="17" t="inlineStr">
        <is>
          <t>MH2505-49</t>
        </is>
      </c>
      <c r="C1705" s="16" t="n">
        <v>45807</v>
      </c>
      <c r="D1705" s="17" t="inlineStr">
        <is>
          <t>00001994</t>
        </is>
      </c>
      <c r="E1705" s="16" t="n">
        <v>45807</v>
      </c>
      <c r="F1705" s="16" t="inlineStr">
        <is>
          <t>XK2505-18</t>
        </is>
      </c>
      <c r="G1705" s="16" t="n">
        <v>45807</v>
      </c>
      <c r="H1705" s="17" t="inlineStr">
        <is>
          <t>CÔNG TY CỔ PHẦN CÔNG NGHIỆP VÀ THƯƠNG MẠI CƯỜNG THỊNH</t>
        </is>
      </c>
      <c r="I1705" s="17" t="inlineStr">
        <is>
          <t>Long đền thường ZP M12B23D1</t>
        </is>
      </c>
      <c r="J1705" s="17" t="inlineStr">
        <is>
          <t>Cái</t>
        </is>
      </c>
      <c r="K1705" s="21" t="n">
        <v>100</v>
      </c>
      <c r="L1705" s="21" t="n"/>
      <c r="M1705" s="22" t="n"/>
      <c r="N1705" s="22" t="n">
        <v>7700</v>
      </c>
      <c r="O1705" s="22" t="n">
        <v>770000</v>
      </c>
      <c r="P1705" s="22" t="n">
        <v>7700</v>
      </c>
      <c r="Q1705" s="22" t="n">
        <v>770000</v>
      </c>
      <c r="R1705" s="42">
        <f>+L1705+N1705-P1705</f>
        <v/>
      </c>
      <c r="S1705" s="42">
        <f>+M1705+O1705-Q1705</f>
        <v/>
      </c>
    </row>
    <row r="1706" ht="30" customHeight="1">
      <c r="A1706" s="16" t="n">
        <v>45807</v>
      </c>
      <c r="B1706" s="17" t="inlineStr">
        <is>
          <t>MH2505-50</t>
        </is>
      </c>
      <c r="C1706" s="16" t="n">
        <v>45807</v>
      </c>
      <c r="D1706" s="17" t="inlineStr">
        <is>
          <t>00001995</t>
        </is>
      </c>
      <c r="E1706" s="16" t="n">
        <v>45807</v>
      </c>
      <c r="F1706" s="16" t="inlineStr">
        <is>
          <t>XK2505-18</t>
        </is>
      </c>
      <c r="G1706" s="16" t="n">
        <v>45807</v>
      </c>
      <c r="H1706" s="17" t="inlineStr">
        <is>
          <t>CÔNG TY CỔ PHẦN CÔNG NGHIỆP VÀ THƯƠNG MẠI CƯỜNG THỊNH</t>
        </is>
      </c>
      <c r="I1706" s="17" t="inlineStr">
        <is>
          <t>Ty giằng 2 đầu ren 4.6 ZP M16</t>
        </is>
      </c>
      <c r="J1706" s="17" t="inlineStr">
        <is>
          <t>Mét</t>
        </is>
      </c>
      <c r="K1706" s="21" t="n">
        <v>48000</v>
      </c>
      <c r="L1706" s="21" t="n"/>
      <c r="M1706" s="22" t="n"/>
      <c r="N1706" s="22" t="n">
        <v>180.11</v>
      </c>
      <c r="O1706" s="22" t="n">
        <v>8645280</v>
      </c>
      <c r="P1706" s="22" t="n">
        <v>180.11</v>
      </c>
      <c r="Q1706" s="22" t="n">
        <v>8645280</v>
      </c>
      <c r="R1706" s="42">
        <f>+L1706+N1706-P1706</f>
        <v/>
      </c>
      <c r="S1706" s="42">
        <f>+M1706+O1706-Q1706</f>
        <v/>
      </c>
    </row>
    <row r="1707" ht="30" customHeight="1">
      <c r="A1707" s="16" t="n">
        <v>45807</v>
      </c>
      <c r="B1707" s="17" t="inlineStr">
        <is>
          <t>MH2505-50</t>
        </is>
      </c>
      <c r="C1707" s="16" t="n">
        <v>45807</v>
      </c>
      <c r="D1707" s="17" t="inlineStr">
        <is>
          <t>00001995</t>
        </is>
      </c>
      <c r="E1707" s="16" t="n">
        <v>45807</v>
      </c>
      <c r="F1707" s="16" t="inlineStr">
        <is>
          <t>XK2505-18</t>
        </is>
      </c>
      <c r="G1707" s="16" t="n">
        <v>45807</v>
      </c>
      <c r="H1707" s="17" t="inlineStr">
        <is>
          <t>CÔNG TY CỔ PHẦN CÔNG NGHIỆP VÀ THƯƠNG MẠI CƯỜNG THỊNH</t>
        </is>
      </c>
      <c r="I1707" s="17" t="inlineStr">
        <is>
          <t>Đai ốc Din 934 5 ZP M16</t>
        </is>
      </c>
      <c r="J1707" s="17" t="inlineStr">
        <is>
          <t>Cái</t>
        </is>
      </c>
      <c r="K1707" s="21" t="n">
        <v>990</v>
      </c>
      <c r="L1707" s="21" t="n"/>
      <c r="M1707" s="22" t="n"/>
      <c r="N1707" s="22" t="n">
        <v>40</v>
      </c>
      <c r="O1707" s="22" t="n">
        <v>39600</v>
      </c>
      <c r="P1707" s="22" t="n">
        <v>40</v>
      </c>
      <c r="Q1707" s="22" t="n">
        <v>39600</v>
      </c>
      <c r="R1707" s="42">
        <f>+L1707+N1707-P1707</f>
        <v/>
      </c>
      <c r="S1707" s="42">
        <f>+M1707+O1707-Q1707</f>
        <v/>
      </c>
    </row>
    <row r="1708" ht="30" customHeight="1">
      <c r="A1708" s="16" t="n">
        <v>45807</v>
      </c>
      <c r="B1708" s="17" t="inlineStr">
        <is>
          <t>MH2505-50</t>
        </is>
      </c>
      <c r="C1708" s="16" t="n">
        <v>45807</v>
      </c>
      <c r="D1708" s="17" t="inlineStr">
        <is>
          <t>00001995</t>
        </is>
      </c>
      <c r="E1708" s="16" t="n">
        <v>45807</v>
      </c>
      <c r="F1708" s="16" t="inlineStr">
        <is>
          <t>XK2505-18</t>
        </is>
      </c>
      <c r="G1708" s="16" t="n">
        <v>45807</v>
      </c>
      <c r="H1708" s="17" t="inlineStr">
        <is>
          <t>CÔNG TY CỔ PHẦN CÔNG NGHIỆP VÀ THƯƠNG MẠI CƯỜNG THỊNH</t>
        </is>
      </c>
      <c r="I1708" s="17" t="inlineStr">
        <is>
          <t>Long đền thường ZP M16B42D2</t>
        </is>
      </c>
      <c r="J1708" s="17" t="inlineStr">
        <is>
          <t>Cái</t>
        </is>
      </c>
      <c r="K1708" s="21" t="n">
        <v>700</v>
      </c>
      <c r="L1708" s="21" t="n"/>
      <c r="M1708" s="22" t="n"/>
      <c r="N1708" s="22" t="n">
        <v>40</v>
      </c>
      <c r="O1708" s="22" t="n">
        <v>28000</v>
      </c>
      <c r="P1708" s="22" t="n">
        <v>40</v>
      </c>
      <c r="Q1708" s="22" t="n">
        <v>28000</v>
      </c>
      <c r="R1708" s="42">
        <f>+L1708+N1708-P1708</f>
        <v/>
      </c>
      <c r="S1708" s="42">
        <f>+M1708+O1708-Q1708</f>
        <v/>
      </c>
    </row>
    <row r="1709" ht="30" customHeight="1">
      <c r="A1709" s="16" t="n">
        <v>45807</v>
      </c>
      <c r="B1709" s="17" t="inlineStr">
        <is>
          <t>MH2505-50</t>
        </is>
      </c>
      <c r="C1709" s="16" t="n">
        <v>45807</v>
      </c>
      <c r="D1709" s="17" t="inlineStr">
        <is>
          <t>00001995</t>
        </is>
      </c>
      <c r="E1709" s="16" t="n">
        <v>45807</v>
      </c>
      <c r="F1709" s="16" t="inlineStr">
        <is>
          <t>XK2505-18</t>
        </is>
      </c>
      <c r="G1709" s="16" t="n">
        <v>45807</v>
      </c>
      <c r="H1709" s="17" t="inlineStr">
        <is>
          <t>CÔNG TY CỔ PHẦN CÔNG NGHIỆP VÀ THƯƠNG MẠI CƯỜNG THỊNH</t>
        </is>
      </c>
      <c r="I1709" s="17" t="inlineStr">
        <is>
          <t>Long đền móng ngựa ZP M16</t>
        </is>
      </c>
      <c r="J1709" s="17" t="inlineStr">
        <is>
          <t>Cái</t>
        </is>
      </c>
      <c r="K1709" s="21" t="n">
        <v>14830</v>
      </c>
      <c r="L1709" s="21" t="n"/>
      <c r="M1709" s="22" t="n"/>
      <c r="N1709" s="22" t="n">
        <v>40</v>
      </c>
      <c r="O1709" s="22" t="n">
        <v>593200</v>
      </c>
      <c r="P1709" s="22" t="n">
        <v>40</v>
      </c>
      <c r="Q1709" s="22" t="n">
        <v>593200</v>
      </c>
      <c r="R1709" s="42">
        <f>+L1709+N1709-P1709</f>
        <v/>
      </c>
      <c r="S1709" s="42">
        <f>+M1709+O1709-Q1709</f>
        <v/>
      </c>
    </row>
    <row r="1710" ht="30" customHeight="1">
      <c r="A1710" s="16" t="n">
        <v>45807</v>
      </c>
      <c r="B1710" s="17" t="inlineStr">
        <is>
          <t>MH2505-50</t>
        </is>
      </c>
      <c r="C1710" s="16" t="n">
        <v>45807</v>
      </c>
      <c r="D1710" s="17" t="inlineStr">
        <is>
          <t>00001995</t>
        </is>
      </c>
      <c r="E1710" s="16" t="n">
        <v>45807</v>
      </c>
      <c r="F1710" s="16" t="inlineStr">
        <is>
          <t>XK2505-18</t>
        </is>
      </c>
      <c r="G1710" s="16" t="n">
        <v>45807</v>
      </c>
      <c r="H1710" s="17" t="inlineStr">
        <is>
          <t>CÔNG TY CỔ PHẦN CÔNG NGHIỆP VÀ THƯƠNG MẠI CƯỜNG THỊNH</t>
        </is>
      </c>
      <c r="I1710" s="17" t="inlineStr">
        <is>
          <t>Nối Ty ZP M16x100 (23mm)</t>
        </is>
      </c>
      <c r="J1710" s="17" t="inlineStr">
        <is>
          <t>Cái</t>
        </is>
      </c>
      <c r="K1710" s="21" t="n">
        <v>22060</v>
      </c>
      <c r="L1710" s="21" t="n"/>
      <c r="M1710" s="22" t="n"/>
      <c r="N1710" s="22" t="n">
        <v>20</v>
      </c>
      <c r="O1710" s="22" t="n">
        <v>441200</v>
      </c>
      <c r="P1710" s="22" t="n">
        <v>20</v>
      </c>
      <c r="Q1710" s="22" t="n">
        <v>441200</v>
      </c>
      <c r="R1710" s="42">
        <f>+L1710+N1710-P1710</f>
        <v/>
      </c>
      <c r="S1710" s="42">
        <f>+M1710+O1710-Q1710</f>
        <v/>
      </c>
    </row>
    <row r="1711" ht="30" customHeight="1">
      <c r="A1711" s="16" t="n">
        <v>45807</v>
      </c>
      <c r="B1711" s="17" t="inlineStr">
        <is>
          <t>MH2505-50</t>
        </is>
      </c>
      <c r="C1711" s="16" t="n">
        <v>45807</v>
      </c>
      <c r="D1711" s="17" t="inlineStr">
        <is>
          <t>00001995</t>
        </is>
      </c>
      <c r="E1711" s="16" t="n">
        <v>45807</v>
      </c>
      <c r="F1711" s="16" t="inlineStr">
        <is>
          <t>XK2505-18</t>
        </is>
      </c>
      <c r="G1711" s="16" t="n">
        <v>45807</v>
      </c>
      <c r="H1711" s="17" t="inlineStr">
        <is>
          <t>CÔNG TY CỔ PHẦN CÔNG NGHIỆP VÀ THƯƠNG MẠI CƯỜNG THỊNH</t>
        </is>
      </c>
      <c r="I1711" s="17" t="inlineStr">
        <is>
          <t>Ty giằng 2 đầu ren 4.6 ZP M20</t>
        </is>
      </c>
      <c r="J1711" s="17" t="inlineStr">
        <is>
          <t>Mét</t>
        </is>
      </c>
      <c r="K1711" s="21" t="n">
        <v>69000</v>
      </c>
      <c r="L1711" s="21" t="n"/>
      <c r="M1711" s="22" t="n"/>
      <c r="N1711" s="22" t="n">
        <v>298.73</v>
      </c>
      <c r="O1711" s="22" t="n">
        <v>20612370</v>
      </c>
      <c r="P1711" s="22" t="n">
        <v>298.73</v>
      </c>
      <c r="Q1711" s="22" t="n">
        <v>20612370</v>
      </c>
      <c r="R1711" s="42">
        <f>+L1711+N1711-P1711</f>
        <v/>
      </c>
      <c r="S1711" s="42">
        <f>+M1711+O1711-Q1711</f>
        <v/>
      </c>
    </row>
    <row r="1712" ht="30" customHeight="1">
      <c r="A1712" s="16" t="n">
        <v>45807</v>
      </c>
      <c r="B1712" s="17" t="inlineStr">
        <is>
          <t>MH2505-50</t>
        </is>
      </c>
      <c r="C1712" s="16" t="n">
        <v>45807</v>
      </c>
      <c r="D1712" s="17" t="inlineStr">
        <is>
          <t>00001995</t>
        </is>
      </c>
      <c r="E1712" s="16" t="n">
        <v>45807</v>
      </c>
      <c r="F1712" s="16" t="inlineStr">
        <is>
          <t>XK2505-18</t>
        </is>
      </c>
      <c r="G1712" s="16" t="n">
        <v>45807</v>
      </c>
      <c r="H1712" s="17" t="inlineStr">
        <is>
          <t>CÔNG TY CỔ PHẦN CÔNG NGHIỆP VÀ THƯƠNG MẠI CƯỜNG THỊNH</t>
        </is>
      </c>
      <c r="I1712" s="17" t="inlineStr">
        <is>
          <t>Đai ốc Din 934 5 ZP M20</t>
        </is>
      </c>
      <c r="J1712" s="17" t="inlineStr">
        <is>
          <t>Cái</t>
        </is>
      </c>
      <c r="K1712" s="21" t="n">
        <v>1850</v>
      </c>
      <c r="L1712" s="21" t="n"/>
      <c r="M1712" s="22" t="n"/>
      <c r="N1712" s="22" t="n">
        <v>80</v>
      </c>
      <c r="O1712" s="22" t="n">
        <v>148000</v>
      </c>
      <c r="P1712" s="22" t="n">
        <v>80</v>
      </c>
      <c r="Q1712" s="22" t="n">
        <v>148000</v>
      </c>
      <c r="R1712" s="42">
        <f>+L1712+N1712-P1712</f>
        <v/>
      </c>
      <c r="S1712" s="42">
        <f>+M1712+O1712-Q1712</f>
        <v/>
      </c>
    </row>
    <row r="1713" ht="30" customHeight="1">
      <c r="A1713" s="16" t="n">
        <v>45807</v>
      </c>
      <c r="B1713" s="17" t="inlineStr">
        <is>
          <t>MH2505-50</t>
        </is>
      </c>
      <c r="C1713" s="16" t="n">
        <v>45807</v>
      </c>
      <c r="D1713" s="17" t="inlineStr">
        <is>
          <t>00001995</t>
        </is>
      </c>
      <c r="E1713" s="16" t="n">
        <v>45807</v>
      </c>
      <c r="F1713" s="16" t="inlineStr">
        <is>
          <t>XK2505-18</t>
        </is>
      </c>
      <c r="G1713" s="16" t="n">
        <v>45807</v>
      </c>
      <c r="H1713" s="17" t="inlineStr">
        <is>
          <t>CÔNG TY CỔ PHẦN CÔNG NGHIỆP VÀ THƯƠNG MẠI CƯỜNG THỊNH</t>
        </is>
      </c>
      <c r="I1713" s="17" t="inlineStr">
        <is>
          <t>Long đền thường ZP M20B42D2</t>
        </is>
      </c>
      <c r="J1713" s="17" t="inlineStr">
        <is>
          <t>Cái</t>
        </is>
      </c>
      <c r="K1713" s="21" t="n">
        <v>700</v>
      </c>
      <c r="L1713" s="21" t="n"/>
      <c r="M1713" s="22" t="n"/>
      <c r="N1713" s="22" t="n">
        <v>80</v>
      </c>
      <c r="O1713" s="22" t="n">
        <v>56000</v>
      </c>
      <c r="P1713" s="22" t="n">
        <v>80</v>
      </c>
      <c r="Q1713" s="22" t="n">
        <v>56000</v>
      </c>
      <c r="R1713" s="42">
        <f>+L1713+N1713-P1713</f>
        <v/>
      </c>
      <c r="S1713" s="42">
        <f>+M1713+O1713-Q1713</f>
        <v/>
      </c>
    </row>
    <row r="1714" ht="30" customHeight="1">
      <c r="A1714" s="16" t="n">
        <v>45807</v>
      </c>
      <c r="B1714" s="17" t="inlineStr">
        <is>
          <t>MH2505-50</t>
        </is>
      </c>
      <c r="C1714" s="16" t="n">
        <v>45807</v>
      </c>
      <c r="D1714" s="17" t="inlineStr">
        <is>
          <t>00001995</t>
        </is>
      </c>
      <c r="E1714" s="16" t="n">
        <v>45807</v>
      </c>
      <c r="F1714" s="16" t="inlineStr">
        <is>
          <t>XK2505-18</t>
        </is>
      </c>
      <c r="G1714" s="16" t="n">
        <v>45807</v>
      </c>
      <c r="H1714" s="17" t="inlineStr">
        <is>
          <t>CÔNG TY CỔ PHẦN CÔNG NGHIỆP VÀ THƯƠNG MẠI CƯỜNG THỊNH</t>
        </is>
      </c>
      <c r="I1714" s="17" t="inlineStr">
        <is>
          <t>Long đền móng ngựa ZP M20</t>
        </is>
      </c>
      <c r="J1714" s="17" t="inlineStr">
        <is>
          <t>Cái</t>
        </is>
      </c>
      <c r="K1714" s="21" t="n">
        <v>15590</v>
      </c>
      <c r="L1714" s="21" t="n"/>
      <c r="M1714" s="22" t="n"/>
      <c r="N1714" s="22" t="n">
        <v>80</v>
      </c>
      <c r="O1714" s="22" t="n">
        <v>1247200</v>
      </c>
      <c r="P1714" s="22" t="n">
        <v>80</v>
      </c>
      <c r="Q1714" s="22" t="n">
        <v>1247200</v>
      </c>
      <c r="R1714" s="42">
        <f>+L1714+N1714-P1714</f>
        <v/>
      </c>
      <c r="S1714" s="42">
        <f>+M1714+O1714-Q1714</f>
        <v/>
      </c>
    </row>
    <row r="1715" ht="30" customHeight="1">
      <c r="A1715" s="16" t="n">
        <v>45807</v>
      </c>
      <c r="B1715" s="17" t="inlineStr">
        <is>
          <t>MH2505-50</t>
        </is>
      </c>
      <c r="C1715" s="16" t="n">
        <v>45807</v>
      </c>
      <c r="D1715" s="17" t="inlineStr">
        <is>
          <t>00001995</t>
        </is>
      </c>
      <c r="E1715" s="16" t="n">
        <v>45807</v>
      </c>
      <c r="F1715" s="16" t="inlineStr">
        <is>
          <t>XK2505-18</t>
        </is>
      </c>
      <c r="G1715" s="16" t="n">
        <v>45807</v>
      </c>
      <c r="H1715" s="17" t="inlineStr">
        <is>
          <t>CÔNG TY CỔ PHẦN CÔNG NGHIỆP VÀ THƯƠNG MẠI CƯỜNG THỊNH</t>
        </is>
      </c>
      <c r="I1715" s="17" t="inlineStr">
        <is>
          <t>Nối Ty ZP M20x100(28mm)</t>
        </is>
      </c>
      <c r="J1715" s="17" t="inlineStr">
        <is>
          <t>Cái</t>
        </is>
      </c>
      <c r="K1715" s="21" t="n">
        <v>24470</v>
      </c>
      <c r="L1715" s="21" t="n"/>
      <c r="M1715" s="22" t="n"/>
      <c r="N1715" s="22" t="n">
        <v>40</v>
      </c>
      <c r="O1715" s="22" t="n">
        <v>978800</v>
      </c>
      <c r="P1715" s="22" t="n">
        <v>40</v>
      </c>
      <c r="Q1715" s="22" t="n">
        <v>978800</v>
      </c>
      <c r="R1715" s="42">
        <f>+L1715+N1715-P1715</f>
        <v/>
      </c>
      <c r="S1715" s="42">
        <f>+M1715+O1715-Q1715</f>
        <v/>
      </c>
    </row>
    <row r="1716" ht="30" customHeight="1">
      <c r="A1716" s="16" t="n">
        <v>45807</v>
      </c>
      <c r="B1716" s="17" t="inlineStr">
        <is>
          <t>MH2505-50</t>
        </is>
      </c>
      <c r="C1716" s="16" t="n">
        <v>45807</v>
      </c>
      <c r="D1716" s="17" t="inlineStr">
        <is>
          <t>00001995</t>
        </is>
      </c>
      <c r="E1716" s="16" t="n">
        <v>45807</v>
      </c>
      <c r="F1716" s="16" t="inlineStr">
        <is>
          <t>XK2505-18</t>
        </is>
      </c>
      <c r="G1716" s="16" t="n">
        <v>45807</v>
      </c>
      <c r="H1716" s="17" t="inlineStr">
        <is>
          <t>CÔNG TY CỔ PHẦN CÔNG NGHIỆP VÀ THƯƠNG MẠI CƯỜNG THỊNH</t>
        </is>
      </c>
      <c r="I1716" s="17" t="inlineStr">
        <is>
          <t>Ty giằng 2 đầu ren 4.6 Ф11.3-11.5mm ZP M12</t>
        </is>
      </c>
      <c r="J1716" s="17" t="inlineStr">
        <is>
          <t>Mét</t>
        </is>
      </c>
      <c r="K1716" s="21" t="n">
        <v>20500</v>
      </c>
      <c r="L1716" s="21" t="n"/>
      <c r="M1716" s="22" t="n"/>
      <c r="N1716" s="22" t="n">
        <v>892.33</v>
      </c>
      <c r="O1716" s="22" t="n">
        <v>18292765</v>
      </c>
      <c r="P1716" s="22" t="n">
        <v>892.33</v>
      </c>
      <c r="Q1716" s="22" t="n">
        <v>18292765</v>
      </c>
      <c r="R1716" s="42">
        <f>+L1716+N1716-P1716</f>
        <v/>
      </c>
      <c r="S1716" s="42">
        <f>+M1716+O1716-Q1716</f>
        <v/>
      </c>
    </row>
    <row r="1717" ht="30" customHeight="1">
      <c r="A1717" s="16" t="n">
        <v>45807</v>
      </c>
      <c r="B1717" s="17" t="inlineStr">
        <is>
          <t>MH2505-50</t>
        </is>
      </c>
      <c r="C1717" s="16" t="n">
        <v>45807</v>
      </c>
      <c r="D1717" s="17" t="inlineStr">
        <is>
          <t>00001995</t>
        </is>
      </c>
      <c r="E1717" s="16" t="n">
        <v>45807</v>
      </c>
      <c r="F1717" s="16" t="inlineStr">
        <is>
          <t>XK2505-18</t>
        </is>
      </c>
      <c r="G1717" s="16" t="n">
        <v>45807</v>
      </c>
      <c r="H1717" s="17" t="inlineStr">
        <is>
          <t>CÔNG TY CỔ PHẦN CÔNG NGHIỆP VÀ THƯƠNG MẠI CƯỜNG THỊNH</t>
        </is>
      </c>
      <c r="I1717" s="17" t="inlineStr">
        <is>
          <t>Đai ốc thường 4 ZP M12 (9mm)</t>
        </is>
      </c>
      <c r="J1717" s="17" t="inlineStr">
        <is>
          <t>Cái</t>
        </is>
      </c>
      <c r="K1717" s="21" t="n">
        <v>360</v>
      </c>
      <c r="L1717" s="21" t="n"/>
      <c r="M1717" s="22" t="n"/>
      <c r="N1717" s="22" t="n">
        <v>3180</v>
      </c>
      <c r="O1717" s="22" t="n">
        <v>1144800</v>
      </c>
      <c r="P1717" s="22" t="n">
        <v>3180</v>
      </c>
      <c r="Q1717" s="22" t="n">
        <v>1144800</v>
      </c>
      <c r="R1717" s="42">
        <f>+L1717+N1717-P1717</f>
        <v/>
      </c>
      <c r="S1717" s="42">
        <f>+M1717+O1717-Q1717</f>
        <v/>
      </c>
    </row>
    <row r="1718" ht="30" customHeight="1">
      <c r="A1718" s="16" t="n">
        <v>45807</v>
      </c>
      <c r="B1718" s="17" t="inlineStr">
        <is>
          <t>MH2505-50</t>
        </is>
      </c>
      <c r="C1718" s="16" t="n">
        <v>45807</v>
      </c>
      <c r="D1718" s="17" t="inlineStr">
        <is>
          <t>00001995</t>
        </is>
      </c>
      <c r="E1718" s="16" t="n">
        <v>45807</v>
      </c>
      <c r="F1718" s="16" t="inlineStr">
        <is>
          <t>XK2505-18</t>
        </is>
      </c>
      <c r="G1718" s="16" t="n">
        <v>45807</v>
      </c>
      <c r="H1718" s="17" t="inlineStr">
        <is>
          <t>CÔNG TY CỔ PHẦN CÔNG NGHIỆP VÀ THƯƠNG MẠI CƯỜNG THỊNH</t>
        </is>
      </c>
      <c r="I1718" s="17" t="inlineStr">
        <is>
          <t>Long đền thường ZP M12B26D1.5</t>
        </is>
      </c>
      <c r="J1718" s="17" t="inlineStr">
        <is>
          <t>Cái</t>
        </is>
      </c>
      <c r="K1718" s="21" t="n">
        <v>190</v>
      </c>
      <c r="L1718" s="21" t="n"/>
      <c r="M1718" s="22" t="n"/>
      <c r="N1718" s="22" t="n">
        <v>3180</v>
      </c>
      <c r="O1718" s="22" t="n">
        <v>604200</v>
      </c>
      <c r="P1718" s="22" t="n">
        <v>3180</v>
      </c>
      <c r="Q1718" s="22" t="n">
        <v>604200</v>
      </c>
      <c r="R1718" s="42">
        <f>+L1718+N1718-P1718</f>
        <v/>
      </c>
      <c r="S1718" s="42">
        <f>+M1718+O1718-Q1718</f>
        <v/>
      </c>
    </row>
    <row r="1719" ht="30" customHeight="1">
      <c r="A1719" s="16" t="n">
        <v>45807</v>
      </c>
      <c r="B1719" s="17" t="inlineStr">
        <is>
          <t>MH2505-50</t>
        </is>
      </c>
      <c r="C1719" s="16" t="n">
        <v>45807</v>
      </c>
      <c r="D1719" s="17" t="inlineStr">
        <is>
          <t>00001995</t>
        </is>
      </c>
      <c r="E1719" s="16" t="n">
        <v>45807</v>
      </c>
      <c r="F1719" s="16" t="inlineStr">
        <is>
          <t>XK2505-18</t>
        </is>
      </c>
      <c r="G1719" s="16" t="n">
        <v>45807</v>
      </c>
      <c r="H1719" s="17" t="inlineStr">
        <is>
          <t>CÔNG TY CỔ PHẦN CÔNG NGHIỆP VÀ THƯƠNG MẠI CƯỜNG THỊNH</t>
        </is>
      </c>
      <c r="I1719" s="17" t="inlineStr">
        <is>
          <t>Ty giằng 2 đầu ren 4.6 Ф11.3-11.5mm ZP M12</t>
        </is>
      </c>
      <c r="J1719" s="17" t="inlineStr">
        <is>
          <t>Mét</t>
        </is>
      </c>
      <c r="K1719" s="21" t="n">
        <v>22500</v>
      </c>
      <c r="L1719" s="21" t="n"/>
      <c r="M1719" s="22" t="n"/>
      <c r="N1719" s="22" t="n">
        <v>79.17</v>
      </c>
      <c r="O1719" s="22" t="n">
        <v>1781325</v>
      </c>
      <c r="P1719" s="22" t="n">
        <v>79.17</v>
      </c>
      <c r="Q1719" s="22" t="n">
        <v>1781325</v>
      </c>
      <c r="R1719" s="42">
        <f>+L1719+N1719-P1719</f>
        <v/>
      </c>
      <c r="S1719" s="42">
        <f>+M1719+O1719-Q1719</f>
        <v/>
      </c>
    </row>
    <row r="1720" ht="30" customHeight="1">
      <c r="A1720" s="16" t="n">
        <v>45807</v>
      </c>
      <c r="B1720" s="17" t="inlineStr">
        <is>
          <t>MH2505-51</t>
        </is>
      </c>
      <c r="C1720" s="16" t="n">
        <v>45807</v>
      </c>
      <c r="D1720" s="17" t="inlineStr">
        <is>
          <t>00001996</t>
        </is>
      </c>
      <c r="E1720" s="16" t="n">
        <v>45807</v>
      </c>
      <c r="F1720" s="16" t="inlineStr">
        <is>
          <t>XK2505-18</t>
        </is>
      </c>
      <c r="G1720" s="16" t="n">
        <v>45807</v>
      </c>
      <c r="H1720" s="17" t="inlineStr">
        <is>
          <t>CÔNG TY CỔ PHẦN CÔNG NGHIỆP VÀ THƯƠNG MẠI CƯỜNG THỊNH</t>
        </is>
      </c>
      <c r="I1720" s="17" t="inlineStr">
        <is>
          <t>Bulong thường 4.6 ZP M12x40</t>
        </is>
      </c>
      <c r="J1720" s="17" t="inlineStr">
        <is>
          <t>Cái</t>
        </is>
      </c>
      <c r="K1720" s="21" t="n">
        <v>1100</v>
      </c>
      <c r="L1720" s="21" t="n"/>
      <c r="M1720" s="22" t="n"/>
      <c r="N1720" s="22" t="n">
        <v>91</v>
      </c>
      <c r="O1720" s="22" t="n">
        <v>100100</v>
      </c>
      <c r="P1720" s="22" t="n">
        <v>91</v>
      </c>
      <c r="Q1720" s="22" t="n">
        <v>100100</v>
      </c>
      <c r="R1720" s="42">
        <f>+L1720+N1720-P1720</f>
        <v/>
      </c>
      <c r="S1720" s="42">
        <f>+M1720+O1720-Q1720</f>
        <v/>
      </c>
    </row>
    <row r="1721" ht="30" customHeight="1">
      <c r="A1721" s="16" t="n">
        <v>45807</v>
      </c>
      <c r="B1721" s="17" t="inlineStr">
        <is>
          <t>MH2505-51</t>
        </is>
      </c>
      <c r="C1721" s="16" t="n">
        <v>45807</v>
      </c>
      <c r="D1721" s="17" t="inlineStr">
        <is>
          <t>00001996</t>
        </is>
      </c>
      <c r="E1721" s="16" t="n">
        <v>45807</v>
      </c>
      <c r="F1721" s="16" t="inlineStr">
        <is>
          <t>XK2505-18</t>
        </is>
      </c>
      <c r="G1721" s="16" t="n">
        <v>45807</v>
      </c>
      <c r="H1721" s="17" t="inlineStr">
        <is>
          <t>CÔNG TY CỔ PHẦN CÔNG NGHIỆP VÀ THƯƠNG MẠI CƯỜNG THỊNH</t>
        </is>
      </c>
      <c r="I1721" s="17" t="inlineStr">
        <is>
          <t>Đai ốc thường 4 ZP M12 (9mm)</t>
        </is>
      </c>
      <c r="J1721" s="17" t="inlineStr">
        <is>
          <t>Cái</t>
        </is>
      </c>
      <c r="K1721" s="21" t="n">
        <v>360</v>
      </c>
      <c r="L1721" s="21" t="n"/>
      <c r="M1721" s="22" t="n"/>
      <c r="N1721" s="22" t="n">
        <v>91</v>
      </c>
      <c r="O1721" s="22" t="n">
        <v>32760</v>
      </c>
      <c r="P1721" s="22" t="n">
        <v>91</v>
      </c>
      <c r="Q1721" s="22" t="n">
        <v>32760</v>
      </c>
      <c r="R1721" s="42">
        <f>+L1721+N1721-P1721</f>
        <v/>
      </c>
      <c r="S1721" s="42">
        <f>+M1721+O1721-Q1721</f>
        <v/>
      </c>
    </row>
    <row r="1722" ht="30" customHeight="1">
      <c r="A1722" s="16" t="n">
        <v>45807</v>
      </c>
      <c r="B1722" s="17" t="inlineStr">
        <is>
          <t>MH2505-51</t>
        </is>
      </c>
      <c r="C1722" s="16" t="n">
        <v>45807</v>
      </c>
      <c r="D1722" s="17" t="inlineStr">
        <is>
          <t>00001996</t>
        </is>
      </c>
      <c r="E1722" s="16" t="n">
        <v>45807</v>
      </c>
      <c r="F1722" s="16" t="inlineStr">
        <is>
          <t>XK2505-18</t>
        </is>
      </c>
      <c r="G1722" s="16" t="n">
        <v>45807</v>
      </c>
      <c r="H1722" s="17" t="inlineStr">
        <is>
          <t>CÔNG TY CỔ PHẦN CÔNG NGHIỆP VÀ THƯƠNG MẠI CƯỜNG THỊNH</t>
        </is>
      </c>
      <c r="I1722" s="17" t="inlineStr">
        <is>
          <t>Long đền thường ZP M12B23D1</t>
        </is>
      </c>
      <c r="J1722" s="17" t="inlineStr">
        <is>
          <t>Cái</t>
        </is>
      </c>
      <c r="K1722" s="21" t="n">
        <v>100</v>
      </c>
      <c r="L1722" s="21" t="n"/>
      <c r="M1722" s="22" t="n"/>
      <c r="N1722" s="22" t="n">
        <v>182</v>
      </c>
      <c r="O1722" s="22" t="n">
        <v>18200</v>
      </c>
      <c r="P1722" s="22" t="n">
        <v>182</v>
      </c>
      <c r="Q1722" s="22" t="n">
        <v>18200</v>
      </c>
      <c r="R1722" s="42">
        <f>+L1722+N1722-P1722</f>
        <v/>
      </c>
      <c r="S1722" s="42">
        <f>+M1722+O1722-Q1722</f>
        <v/>
      </c>
    </row>
    <row r="1723" ht="30" customHeight="1">
      <c r="A1723" s="16" t="n">
        <v>45807</v>
      </c>
      <c r="B1723" s="17" t="inlineStr">
        <is>
          <t>MH2505-51</t>
        </is>
      </c>
      <c r="C1723" s="16" t="n">
        <v>45807</v>
      </c>
      <c r="D1723" s="17" t="inlineStr">
        <is>
          <t>00001996</t>
        </is>
      </c>
      <c r="E1723" s="16" t="n">
        <v>45807</v>
      </c>
      <c r="F1723" s="16" t="inlineStr">
        <is>
          <t>XK2505-18</t>
        </is>
      </c>
      <c r="G1723" s="16" t="n">
        <v>45807</v>
      </c>
      <c r="H1723" s="17" t="inlineStr">
        <is>
          <t>CÔNG TY CỔ PHẦN CÔNG NGHIỆP VÀ THƯƠNG MẠI CƯỜNG THỊNH</t>
        </is>
      </c>
      <c r="I1723" s="17" t="inlineStr">
        <is>
          <t>Bulong thường 4.6 ZP M12x30</t>
        </is>
      </c>
      <c r="J1723" s="17" t="inlineStr">
        <is>
          <t>Cái</t>
        </is>
      </c>
      <c r="K1723" s="21" t="n">
        <v>950</v>
      </c>
      <c r="L1723" s="21" t="n"/>
      <c r="M1723" s="22" t="n"/>
      <c r="N1723" s="22" t="n">
        <v>3590</v>
      </c>
      <c r="O1723" s="22" t="n">
        <v>3410500</v>
      </c>
      <c r="P1723" s="22" t="n">
        <v>3590</v>
      </c>
      <c r="Q1723" s="22" t="n">
        <v>3410500</v>
      </c>
      <c r="R1723" s="42">
        <f>+L1723+N1723-P1723</f>
        <v/>
      </c>
      <c r="S1723" s="42">
        <f>+M1723+O1723-Q1723</f>
        <v/>
      </c>
    </row>
    <row r="1724" ht="30" customHeight="1">
      <c r="A1724" s="16" t="n">
        <v>45807</v>
      </c>
      <c r="B1724" s="17" t="inlineStr">
        <is>
          <t>MH2505-51</t>
        </is>
      </c>
      <c r="C1724" s="16" t="n">
        <v>45807</v>
      </c>
      <c r="D1724" s="17" t="inlineStr">
        <is>
          <t>00001996</t>
        </is>
      </c>
      <c r="E1724" s="16" t="n">
        <v>45807</v>
      </c>
      <c r="F1724" s="16" t="inlineStr">
        <is>
          <t>XK2505-18</t>
        </is>
      </c>
      <c r="G1724" s="16" t="n">
        <v>45807</v>
      </c>
      <c r="H1724" s="17" t="inlineStr">
        <is>
          <t>CÔNG TY CỔ PHẦN CÔNG NGHIỆP VÀ THƯƠNG MẠI CƯỜNG THỊNH</t>
        </is>
      </c>
      <c r="I1724" s="17" t="inlineStr">
        <is>
          <t>Đai ốc thường 4 ZP M12 (9mm)</t>
        </is>
      </c>
      <c r="J1724" s="17" t="inlineStr">
        <is>
          <t>Cái</t>
        </is>
      </c>
      <c r="K1724" s="21" t="n">
        <v>360</v>
      </c>
      <c r="L1724" s="21" t="n"/>
      <c r="M1724" s="22" t="n"/>
      <c r="N1724" s="22" t="n">
        <v>3590</v>
      </c>
      <c r="O1724" s="22" t="n">
        <v>1292400</v>
      </c>
      <c r="P1724" s="22" t="n">
        <v>3590</v>
      </c>
      <c r="Q1724" s="22" t="n">
        <v>1292400</v>
      </c>
      <c r="R1724" s="42">
        <f>+L1724+N1724-P1724</f>
        <v/>
      </c>
      <c r="S1724" s="42">
        <f>+M1724+O1724-Q1724</f>
        <v/>
      </c>
    </row>
    <row r="1725" ht="30" customHeight="1">
      <c r="A1725" s="16" t="n">
        <v>45807</v>
      </c>
      <c r="B1725" s="17" t="inlineStr">
        <is>
          <t>MH2505-51</t>
        </is>
      </c>
      <c r="C1725" s="16" t="n">
        <v>45807</v>
      </c>
      <c r="D1725" s="17" t="inlineStr">
        <is>
          <t>00001996</t>
        </is>
      </c>
      <c r="E1725" s="16" t="n">
        <v>45807</v>
      </c>
      <c r="F1725" s="16" t="inlineStr">
        <is>
          <t>XK2505-18</t>
        </is>
      </c>
      <c r="G1725" s="16" t="n">
        <v>45807</v>
      </c>
      <c r="H1725" s="17" t="inlineStr">
        <is>
          <t>CÔNG TY CỔ PHẦN CÔNG NGHIỆP VÀ THƯƠNG MẠI CƯỜNG THỊNH</t>
        </is>
      </c>
      <c r="I1725" s="17" t="inlineStr">
        <is>
          <t>Long đền thường ZP M12B23D1</t>
        </is>
      </c>
      <c r="J1725" s="17" t="inlineStr">
        <is>
          <t>Cái</t>
        </is>
      </c>
      <c r="K1725" s="21" t="n">
        <v>100</v>
      </c>
      <c r="L1725" s="21" t="n"/>
      <c r="M1725" s="22" t="n"/>
      <c r="N1725" s="22" t="n">
        <v>7180</v>
      </c>
      <c r="O1725" s="22" t="n">
        <v>718000</v>
      </c>
      <c r="P1725" s="22" t="n">
        <v>7180</v>
      </c>
      <c r="Q1725" s="22" t="n">
        <v>718000</v>
      </c>
      <c r="R1725" s="42">
        <f>+L1725+N1725-P1725</f>
        <v/>
      </c>
      <c r="S1725" s="42">
        <f>+M1725+O1725-Q1725</f>
        <v/>
      </c>
    </row>
    <row r="1726" ht="30" customHeight="1">
      <c r="A1726" s="16" t="n">
        <v>45807</v>
      </c>
      <c r="B1726" s="17" t="inlineStr">
        <is>
          <t>MH2505-51</t>
        </is>
      </c>
      <c r="C1726" s="16" t="n">
        <v>45807</v>
      </c>
      <c r="D1726" s="17" t="inlineStr">
        <is>
          <t>00001996</t>
        </is>
      </c>
      <c r="E1726" s="16" t="n">
        <v>45807</v>
      </c>
      <c r="F1726" s="16" t="inlineStr">
        <is>
          <t>XK2505-18</t>
        </is>
      </c>
      <c r="G1726" s="16" t="n">
        <v>45807</v>
      </c>
      <c r="H1726" s="17" t="inlineStr">
        <is>
          <t>CÔNG TY CỔ PHẦN CÔNG NGHIỆP VÀ THƯƠNG MẠI CƯỜNG THỊNH</t>
        </is>
      </c>
      <c r="I1726" s="17" t="inlineStr">
        <is>
          <t>Bulong Din 933 8.8 ZP M20x50</t>
        </is>
      </c>
      <c r="J1726" s="17" t="inlineStr">
        <is>
          <t>Cái</t>
        </is>
      </c>
      <c r="K1726" s="21" t="n">
        <v>5760</v>
      </c>
      <c r="L1726" s="21" t="n"/>
      <c r="M1726" s="22" t="n"/>
      <c r="N1726" s="22" t="n">
        <v>1307</v>
      </c>
      <c r="O1726" s="22" t="n">
        <v>7528320</v>
      </c>
      <c r="P1726" s="22" t="n">
        <v>1307</v>
      </c>
      <c r="Q1726" s="22" t="n">
        <v>7528320</v>
      </c>
      <c r="R1726" s="42">
        <f>+L1726+N1726-P1726</f>
        <v/>
      </c>
      <c r="S1726" s="42">
        <f>+M1726+O1726-Q1726</f>
        <v/>
      </c>
    </row>
    <row r="1727" ht="30" customHeight="1">
      <c r="A1727" s="16" t="n">
        <v>45807</v>
      </c>
      <c r="B1727" s="17" t="inlineStr">
        <is>
          <t>MH2505-51</t>
        </is>
      </c>
      <c r="C1727" s="16" t="n">
        <v>45807</v>
      </c>
      <c r="D1727" s="17" t="inlineStr">
        <is>
          <t>00001996</t>
        </is>
      </c>
      <c r="E1727" s="16" t="n">
        <v>45807</v>
      </c>
      <c r="F1727" s="16" t="inlineStr">
        <is>
          <t>XK2505-18</t>
        </is>
      </c>
      <c r="G1727" s="16" t="n">
        <v>45807</v>
      </c>
      <c r="H1727" s="17" t="inlineStr">
        <is>
          <t>CÔNG TY CỔ PHẦN CÔNG NGHIỆP VÀ THƯƠNG MẠI CƯỜNG THỊNH</t>
        </is>
      </c>
      <c r="I1727" s="17" t="inlineStr">
        <is>
          <t>Đai ốc Din 934 8 ZP M20</t>
        </is>
      </c>
      <c r="J1727" s="17" t="inlineStr">
        <is>
          <t>Cái</t>
        </is>
      </c>
      <c r="K1727" s="21" t="n">
        <v>2030</v>
      </c>
      <c r="L1727" s="21" t="n"/>
      <c r="M1727" s="22" t="n"/>
      <c r="N1727" s="22" t="n">
        <v>1307</v>
      </c>
      <c r="O1727" s="22" t="n">
        <v>2653210</v>
      </c>
      <c r="P1727" s="22" t="n">
        <v>1307</v>
      </c>
      <c r="Q1727" s="22" t="n">
        <v>2653210</v>
      </c>
      <c r="R1727" s="42">
        <f>+L1727+N1727-P1727</f>
        <v/>
      </c>
      <c r="S1727" s="42">
        <f>+M1727+O1727-Q1727</f>
        <v/>
      </c>
    </row>
    <row r="1728" ht="30" customHeight="1">
      <c r="A1728" s="16" t="n">
        <v>45807</v>
      </c>
      <c r="B1728" s="17" t="inlineStr">
        <is>
          <t>MH2505-51</t>
        </is>
      </c>
      <c r="C1728" s="16" t="n">
        <v>45807</v>
      </c>
      <c r="D1728" s="17" t="inlineStr">
        <is>
          <t>00001996</t>
        </is>
      </c>
      <c r="E1728" s="16" t="n">
        <v>45807</v>
      </c>
      <c r="F1728" s="16" t="inlineStr">
        <is>
          <t>XK2505-18</t>
        </is>
      </c>
      <c r="G1728" s="16" t="n">
        <v>45807</v>
      </c>
      <c r="H1728" s="17" t="inlineStr">
        <is>
          <t>CÔNG TY CỔ PHẦN CÔNG NGHIỆP VÀ THƯƠNG MẠI CƯỜNG THỊNH</t>
        </is>
      </c>
      <c r="I1728" s="17" t="inlineStr">
        <is>
          <t>Long đền thường ZP M20B35D2</t>
        </is>
      </c>
      <c r="J1728" s="17" t="inlineStr">
        <is>
          <t>Cái</t>
        </is>
      </c>
      <c r="K1728" s="21" t="n">
        <v>350</v>
      </c>
      <c r="L1728" s="21" t="n"/>
      <c r="M1728" s="22" t="n"/>
      <c r="N1728" s="22" t="n">
        <v>1307</v>
      </c>
      <c r="O1728" s="22" t="n">
        <v>457450</v>
      </c>
      <c r="P1728" s="22" t="n">
        <v>1307</v>
      </c>
      <c r="Q1728" s="22" t="n">
        <v>457450</v>
      </c>
      <c r="R1728" s="42">
        <f>+L1728+N1728-P1728</f>
        <v/>
      </c>
      <c r="S1728" s="42">
        <f>+M1728+O1728-Q1728</f>
        <v/>
      </c>
    </row>
    <row r="1729" ht="30" customHeight="1">
      <c r="A1729" s="16" t="n">
        <v>45807</v>
      </c>
      <c r="B1729" s="17" t="inlineStr">
        <is>
          <t>MH2505-51</t>
        </is>
      </c>
      <c r="C1729" s="16" t="n">
        <v>45807</v>
      </c>
      <c r="D1729" s="17" t="inlineStr">
        <is>
          <t>00001996</t>
        </is>
      </c>
      <c r="E1729" s="16" t="n">
        <v>45807</v>
      </c>
      <c r="F1729" s="16" t="inlineStr">
        <is>
          <t>XK2505-18</t>
        </is>
      </c>
      <c r="G1729" s="16" t="n">
        <v>45807</v>
      </c>
      <c r="H1729" s="17" t="inlineStr">
        <is>
          <t>CÔNG TY CỔ PHẦN CÔNG NGHIỆP VÀ THƯƠNG MẠI CƯỜNG THỊNH</t>
        </is>
      </c>
      <c r="I1729" s="17" t="inlineStr">
        <is>
          <t>Bulong Din 933 8.8 ZP M20x70</t>
        </is>
      </c>
      <c r="J1729" s="17" t="inlineStr">
        <is>
          <t>Cái</t>
        </is>
      </c>
      <c r="K1729" s="21" t="n">
        <v>7070</v>
      </c>
      <c r="L1729" s="21" t="n"/>
      <c r="M1729" s="22" t="n"/>
      <c r="N1729" s="22" t="n">
        <v>402</v>
      </c>
      <c r="O1729" s="22" t="n">
        <v>2842140</v>
      </c>
      <c r="P1729" s="22" t="n">
        <v>402</v>
      </c>
      <c r="Q1729" s="22" t="n">
        <v>2842140</v>
      </c>
      <c r="R1729" s="42">
        <f>+L1729+N1729-P1729</f>
        <v/>
      </c>
      <c r="S1729" s="42">
        <f>+M1729+O1729-Q1729</f>
        <v/>
      </c>
    </row>
    <row r="1730" ht="30" customHeight="1">
      <c r="A1730" s="16" t="n">
        <v>45807</v>
      </c>
      <c r="B1730" s="17" t="inlineStr">
        <is>
          <t>MH2505-51</t>
        </is>
      </c>
      <c r="C1730" s="16" t="n">
        <v>45807</v>
      </c>
      <c r="D1730" s="17" t="inlineStr">
        <is>
          <t>00001996</t>
        </is>
      </c>
      <c r="E1730" s="16" t="n">
        <v>45807</v>
      </c>
      <c r="F1730" s="16" t="inlineStr">
        <is>
          <t>XK2505-18</t>
        </is>
      </c>
      <c r="G1730" s="16" t="n">
        <v>45807</v>
      </c>
      <c r="H1730" s="17" t="inlineStr">
        <is>
          <t>CÔNG TY CỔ PHẦN CÔNG NGHIỆP VÀ THƯƠNG MẠI CƯỜNG THỊNH</t>
        </is>
      </c>
      <c r="I1730" s="17" t="inlineStr">
        <is>
          <t>Đai ốc Din 934 8 ZP M20</t>
        </is>
      </c>
      <c r="J1730" s="17" t="inlineStr">
        <is>
          <t>Cái</t>
        </is>
      </c>
      <c r="K1730" s="21" t="n">
        <v>2030</v>
      </c>
      <c r="L1730" s="21" t="n"/>
      <c r="M1730" s="22" t="n"/>
      <c r="N1730" s="22" t="n">
        <v>402</v>
      </c>
      <c r="O1730" s="22" t="n">
        <v>816060</v>
      </c>
      <c r="P1730" s="22" t="n">
        <v>402</v>
      </c>
      <c r="Q1730" s="22" t="n">
        <v>816060</v>
      </c>
      <c r="R1730" s="42">
        <f>+L1730+N1730-P1730</f>
        <v/>
      </c>
      <c r="S1730" s="42">
        <f>+M1730+O1730-Q1730</f>
        <v/>
      </c>
    </row>
    <row r="1731" ht="30" customHeight="1">
      <c r="A1731" s="16" t="n">
        <v>45807</v>
      </c>
      <c r="B1731" s="17" t="inlineStr">
        <is>
          <t>MH2505-51</t>
        </is>
      </c>
      <c r="C1731" s="16" t="n">
        <v>45807</v>
      </c>
      <c r="D1731" s="17" t="inlineStr">
        <is>
          <t>00001996</t>
        </is>
      </c>
      <c r="E1731" s="16" t="n">
        <v>45807</v>
      </c>
      <c r="F1731" s="16" t="inlineStr">
        <is>
          <t>XK2505-18</t>
        </is>
      </c>
      <c r="G1731" s="16" t="n">
        <v>45807</v>
      </c>
      <c r="H1731" s="17" t="inlineStr">
        <is>
          <t>CÔNG TY CỔ PHẦN CÔNG NGHIỆP VÀ THƯƠNG MẠI CƯỜNG THỊNH</t>
        </is>
      </c>
      <c r="I1731" s="17" t="inlineStr">
        <is>
          <t>Long đền thường ZP M20B35D2</t>
        </is>
      </c>
      <c r="J1731" s="17" t="inlineStr">
        <is>
          <t>Cái</t>
        </is>
      </c>
      <c r="K1731" s="21" t="n">
        <v>350</v>
      </c>
      <c r="L1731" s="21" t="n"/>
      <c r="M1731" s="22" t="n"/>
      <c r="N1731" s="22" t="n">
        <v>402</v>
      </c>
      <c r="O1731" s="22" t="n">
        <v>140700</v>
      </c>
      <c r="P1731" s="22" t="n">
        <v>402</v>
      </c>
      <c r="Q1731" s="22" t="n">
        <v>140700</v>
      </c>
      <c r="R1731" s="42">
        <f>+L1731+N1731-P1731</f>
        <v/>
      </c>
      <c r="S1731" s="42">
        <f>+M1731+O1731-Q1731</f>
        <v/>
      </c>
    </row>
    <row r="1732" ht="30" customHeight="1">
      <c r="A1732" s="16" t="n">
        <v>45807</v>
      </c>
      <c r="B1732" s="17" t="inlineStr">
        <is>
          <t>MH2505-51</t>
        </is>
      </c>
      <c r="C1732" s="16" t="n">
        <v>45807</v>
      </c>
      <c r="D1732" s="17" t="inlineStr">
        <is>
          <t>00001996</t>
        </is>
      </c>
      <c r="E1732" s="16" t="n">
        <v>45807</v>
      </c>
      <c r="F1732" s="16" t="inlineStr">
        <is>
          <t>XK2505-18</t>
        </is>
      </c>
      <c r="G1732" s="16" t="n">
        <v>45807</v>
      </c>
      <c r="H1732" s="17" t="inlineStr">
        <is>
          <t>CÔNG TY CỔ PHẦN CÔNG NGHIỆP VÀ THƯƠNG MẠI CƯỜNG THỊNH</t>
        </is>
      </c>
      <c r="I1732" s="17" t="inlineStr">
        <is>
          <t>Bulong Din 933 8.8 ZP M20x60</t>
        </is>
      </c>
      <c r="J1732" s="17" t="inlineStr">
        <is>
          <t>Cái</t>
        </is>
      </c>
      <c r="K1732" s="21" t="n">
        <v>6440</v>
      </c>
      <c r="L1732" s="21" t="n"/>
      <c r="M1732" s="22" t="n"/>
      <c r="N1732" s="22" t="n">
        <v>915</v>
      </c>
      <c r="O1732" s="22" t="n">
        <v>5892600</v>
      </c>
      <c r="P1732" s="22" t="n">
        <v>915</v>
      </c>
      <c r="Q1732" s="22" t="n">
        <v>5892600</v>
      </c>
      <c r="R1732" s="42">
        <f>+L1732+N1732-P1732</f>
        <v/>
      </c>
      <c r="S1732" s="42">
        <f>+M1732+O1732-Q1732</f>
        <v/>
      </c>
    </row>
    <row r="1733" ht="30" customHeight="1">
      <c r="A1733" s="16" t="n">
        <v>45807</v>
      </c>
      <c r="B1733" s="17" t="inlineStr">
        <is>
          <t>MH2505-51</t>
        </is>
      </c>
      <c r="C1733" s="16" t="n">
        <v>45807</v>
      </c>
      <c r="D1733" s="17" t="inlineStr">
        <is>
          <t>00001996</t>
        </is>
      </c>
      <c r="E1733" s="16" t="n">
        <v>45807</v>
      </c>
      <c r="F1733" s="16" t="inlineStr">
        <is>
          <t>XK2505-18</t>
        </is>
      </c>
      <c r="G1733" s="16" t="n">
        <v>45807</v>
      </c>
      <c r="H1733" s="17" t="inlineStr">
        <is>
          <t>CÔNG TY CỔ PHẦN CÔNG NGHIỆP VÀ THƯƠNG MẠI CƯỜNG THỊNH</t>
        </is>
      </c>
      <c r="I1733" s="17" t="inlineStr">
        <is>
          <t>Đai ốc Din 934 8 ZP M20</t>
        </is>
      </c>
      <c r="J1733" s="17" t="inlineStr">
        <is>
          <t>Cái</t>
        </is>
      </c>
      <c r="K1733" s="21" t="n">
        <v>2030</v>
      </c>
      <c r="L1733" s="21" t="n"/>
      <c r="M1733" s="22" t="n"/>
      <c r="N1733" s="22" t="n">
        <v>915</v>
      </c>
      <c r="O1733" s="22" t="n">
        <v>1857450</v>
      </c>
      <c r="P1733" s="22" t="n">
        <v>915</v>
      </c>
      <c r="Q1733" s="22" t="n">
        <v>1857450</v>
      </c>
      <c r="R1733" s="42">
        <f>+L1733+N1733-P1733</f>
        <v/>
      </c>
      <c r="S1733" s="42">
        <f>+M1733+O1733-Q1733</f>
        <v/>
      </c>
    </row>
    <row r="1734" ht="30" customHeight="1">
      <c r="A1734" s="16" t="n">
        <v>45807</v>
      </c>
      <c r="B1734" s="17" t="inlineStr">
        <is>
          <t>MH2505-51</t>
        </is>
      </c>
      <c r="C1734" s="16" t="n">
        <v>45807</v>
      </c>
      <c r="D1734" s="17" t="inlineStr">
        <is>
          <t>00001996</t>
        </is>
      </c>
      <c r="E1734" s="16" t="n">
        <v>45807</v>
      </c>
      <c r="F1734" s="16" t="inlineStr">
        <is>
          <t>XK2505-18</t>
        </is>
      </c>
      <c r="G1734" s="16" t="n">
        <v>45807</v>
      </c>
      <c r="H1734" s="17" t="inlineStr">
        <is>
          <t>CÔNG TY CỔ PHẦN CÔNG NGHIỆP VÀ THƯƠNG MẠI CƯỜNG THỊNH</t>
        </is>
      </c>
      <c r="I1734" s="17" t="inlineStr">
        <is>
          <t>Long đền thường ZP M20B35D2</t>
        </is>
      </c>
      <c r="J1734" s="17" t="inlineStr">
        <is>
          <t>Cái</t>
        </is>
      </c>
      <c r="K1734" s="21" t="n">
        <v>350</v>
      </c>
      <c r="L1734" s="21" t="n"/>
      <c r="M1734" s="22" t="n"/>
      <c r="N1734" s="22" t="n">
        <v>915</v>
      </c>
      <c r="O1734" s="22" t="n">
        <v>320250</v>
      </c>
      <c r="P1734" s="22" t="n">
        <v>915</v>
      </c>
      <c r="Q1734" s="22" t="n">
        <v>320250</v>
      </c>
      <c r="R1734" s="42">
        <f>+L1734+N1734-P1734</f>
        <v/>
      </c>
      <c r="S1734" s="42">
        <f>+M1734+O1734-Q1734</f>
        <v/>
      </c>
    </row>
    <row r="1735" ht="30" customHeight="1">
      <c r="A1735" s="16" t="n">
        <v>45807</v>
      </c>
      <c r="B1735" s="17" t="inlineStr">
        <is>
          <t>MH2505-51</t>
        </is>
      </c>
      <c r="C1735" s="16" t="n">
        <v>45807</v>
      </c>
      <c r="D1735" s="17" t="inlineStr">
        <is>
          <t>00001996</t>
        </is>
      </c>
      <c r="E1735" s="16" t="n">
        <v>45807</v>
      </c>
      <c r="F1735" s="16" t="inlineStr">
        <is>
          <t>XK2505-18</t>
        </is>
      </c>
      <c r="G1735" s="16" t="n">
        <v>45807</v>
      </c>
      <c r="H1735" s="17" t="inlineStr">
        <is>
          <t>CÔNG TY CỔ PHẦN CÔNG NGHIỆP VÀ THƯƠNG MẠI CƯỜNG THỊNH</t>
        </is>
      </c>
      <c r="I1735" s="17" t="inlineStr">
        <is>
          <t>Bulong Din 933 8.8 ZP M24x60</t>
        </is>
      </c>
      <c r="J1735" s="17" t="inlineStr">
        <is>
          <t>Cái</t>
        </is>
      </c>
      <c r="K1735" s="21" t="n">
        <v>10030</v>
      </c>
      <c r="L1735" s="21" t="n"/>
      <c r="M1735" s="22" t="n"/>
      <c r="N1735" s="22" t="n">
        <v>96</v>
      </c>
      <c r="O1735" s="22" t="n">
        <v>962880</v>
      </c>
      <c r="P1735" s="22" t="n">
        <v>96</v>
      </c>
      <c r="Q1735" s="22" t="n">
        <v>962880</v>
      </c>
      <c r="R1735" s="42">
        <f>+L1735+N1735-P1735</f>
        <v/>
      </c>
      <c r="S1735" s="42">
        <f>+M1735+O1735-Q1735</f>
        <v/>
      </c>
    </row>
    <row r="1736" ht="30" customHeight="1">
      <c r="A1736" s="16" t="n">
        <v>45807</v>
      </c>
      <c r="B1736" s="17" t="inlineStr">
        <is>
          <t>MH2505-51</t>
        </is>
      </c>
      <c r="C1736" s="16" t="n">
        <v>45807</v>
      </c>
      <c r="D1736" s="17" t="inlineStr">
        <is>
          <t>00001996</t>
        </is>
      </c>
      <c r="E1736" s="16" t="n">
        <v>45807</v>
      </c>
      <c r="F1736" s="16" t="inlineStr">
        <is>
          <t>XK2505-18</t>
        </is>
      </c>
      <c r="G1736" s="16" t="n">
        <v>45807</v>
      </c>
      <c r="H1736" s="17" t="inlineStr">
        <is>
          <t>CÔNG TY CỔ PHẦN CÔNG NGHIỆP VÀ THƯƠNG MẠI CƯỜNG THỊNH</t>
        </is>
      </c>
      <c r="I1736" s="17" t="inlineStr">
        <is>
          <t>Đai ốc Din 934 8 ZP M24</t>
        </is>
      </c>
      <c r="J1736" s="17" t="inlineStr">
        <is>
          <t>Cái</t>
        </is>
      </c>
      <c r="K1736" s="21" t="n">
        <v>3500</v>
      </c>
      <c r="L1736" s="21" t="n"/>
      <c r="M1736" s="22" t="n"/>
      <c r="N1736" s="22" t="n">
        <v>96</v>
      </c>
      <c r="O1736" s="22" t="n">
        <v>336000</v>
      </c>
      <c r="P1736" s="22" t="n">
        <v>96</v>
      </c>
      <c r="Q1736" s="22" t="n">
        <v>336000</v>
      </c>
      <c r="R1736" s="42">
        <f>+L1736+N1736-P1736</f>
        <v/>
      </c>
      <c r="S1736" s="42">
        <f>+M1736+O1736-Q1736</f>
        <v/>
      </c>
    </row>
    <row r="1737" ht="30" customHeight="1">
      <c r="A1737" s="16" t="n">
        <v>45807</v>
      </c>
      <c r="B1737" s="17" t="inlineStr">
        <is>
          <t>MH2505-51</t>
        </is>
      </c>
      <c r="C1737" s="16" t="n">
        <v>45807</v>
      </c>
      <c r="D1737" s="17" t="inlineStr">
        <is>
          <t>00001996</t>
        </is>
      </c>
      <c r="E1737" s="16" t="n">
        <v>45807</v>
      </c>
      <c r="F1737" s="16" t="inlineStr">
        <is>
          <t>XK2505-18</t>
        </is>
      </c>
      <c r="G1737" s="16" t="n">
        <v>45807</v>
      </c>
      <c r="H1737" s="17" t="inlineStr">
        <is>
          <t>CÔNG TY CỔ PHẦN CÔNG NGHIỆP VÀ THƯƠNG MẠI CƯỜNG THỊNH</t>
        </is>
      </c>
      <c r="I1737" s="17" t="inlineStr">
        <is>
          <t>Long đền thường ZP M24B40-42D2</t>
        </is>
      </c>
      <c r="J1737" s="17" t="inlineStr">
        <is>
          <t>Cái</t>
        </is>
      </c>
      <c r="K1737" s="21" t="n">
        <v>710</v>
      </c>
      <c r="L1737" s="21" t="n"/>
      <c r="M1737" s="22" t="n"/>
      <c r="N1737" s="22" t="n">
        <v>96</v>
      </c>
      <c r="O1737" s="22" t="n">
        <v>68160</v>
      </c>
      <c r="P1737" s="22" t="n">
        <v>96</v>
      </c>
      <c r="Q1737" s="22" t="n">
        <v>68160</v>
      </c>
      <c r="R1737" s="42">
        <f>+L1737+N1737-P1737</f>
        <v/>
      </c>
      <c r="S1737" s="42">
        <f>+M1737+O1737-Q1737</f>
        <v/>
      </c>
    </row>
    <row r="1738" ht="30" customHeight="1">
      <c r="A1738" s="16" t="n">
        <v>45807</v>
      </c>
      <c r="B1738" s="17" t="inlineStr">
        <is>
          <t>MH2505-51</t>
        </is>
      </c>
      <c r="C1738" s="16" t="n">
        <v>45807</v>
      </c>
      <c r="D1738" s="17" t="inlineStr">
        <is>
          <t>00001996</t>
        </is>
      </c>
      <c r="E1738" s="16" t="n">
        <v>45807</v>
      </c>
      <c r="F1738" s="16" t="inlineStr">
        <is>
          <t>XK2505-18</t>
        </is>
      </c>
      <c r="G1738" s="16" t="n">
        <v>45807</v>
      </c>
      <c r="H1738" s="17" t="inlineStr">
        <is>
          <t>CÔNG TY CỔ PHẦN CÔNG NGHIỆP VÀ THƯƠNG MẠI CƯỜNG THỊNH</t>
        </is>
      </c>
      <c r="I1738" s="17" t="inlineStr">
        <is>
          <t>Bulong Din 933 8.8 ZP M24x70</t>
        </is>
      </c>
      <c r="J1738" s="17" t="inlineStr">
        <is>
          <t>Cái</t>
        </is>
      </c>
      <c r="K1738" s="21" t="n">
        <v>11010</v>
      </c>
      <c r="L1738" s="21" t="n"/>
      <c r="M1738" s="22" t="n"/>
      <c r="N1738" s="22" t="n">
        <v>1854</v>
      </c>
      <c r="O1738" s="22" t="n">
        <v>20412540</v>
      </c>
      <c r="P1738" s="22" t="n">
        <v>1854</v>
      </c>
      <c r="Q1738" s="22" t="n">
        <v>20412540</v>
      </c>
      <c r="R1738" s="42">
        <f>+L1738+N1738-P1738</f>
        <v/>
      </c>
      <c r="S1738" s="42">
        <f>+M1738+O1738-Q1738</f>
        <v/>
      </c>
    </row>
    <row r="1739" ht="30" customHeight="1">
      <c r="A1739" s="16" t="n">
        <v>45807</v>
      </c>
      <c r="B1739" s="17" t="inlineStr">
        <is>
          <t>MH2505-51</t>
        </is>
      </c>
      <c r="C1739" s="16" t="n">
        <v>45807</v>
      </c>
      <c r="D1739" s="17" t="inlineStr">
        <is>
          <t>00001996</t>
        </is>
      </c>
      <c r="E1739" s="16" t="n">
        <v>45807</v>
      </c>
      <c r="F1739" s="16" t="inlineStr">
        <is>
          <t>XK2505-18</t>
        </is>
      </c>
      <c r="G1739" s="16" t="n">
        <v>45807</v>
      </c>
      <c r="H1739" s="17" t="inlineStr">
        <is>
          <t>CÔNG TY CỔ PHẦN CÔNG NGHIỆP VÀ THƯƠNG MẠI CƯỜNG THỊNH</t>
        </is>
      </c>
      <c r="I1739" s="17" t="inlineStr">
        <is>
          <t>Đai ốc Din 934 8 ZP M24</t>
        </is>
      </c>
      <c r="J1739" s="17" t="inlineStr">
        <is>
          <t>Cái</t>
        </is>
      </c>
      <c r="K1739" s="21" t="n">
        <v>3500</v>
      </c>
      <c r="L1739" s="21" t="n"/>
      <c r="M1739" s="22" t="n"/>
      <c r="N1739" s="22" t="n">
        <v>1854</v>
      </c>
      <c r="O1739" s="22" t="n">
        <v>6489000</v>
      </c>
      <c r="P1739" s="22" t="n">
        <v>1854</v>
      </c>
      <c r="Q1739" s="22" t="n">
        <v>6489000</v>
      </c>
      <c r="R1739" s="42">
        <f>+L1739+N1739-P1739</f>
        <v/>
      </c>
      <c r="S1739" s="42">
        <f>+M1739+O1739-Q1739</f>
        <v/>
      </c>
    </row>
    <row r="1740" ht="30" customHeight="1">
      <c r="A1740" s="16" t="n">
        <v>45807</v>
      </c>
      <c r="B1740" s="17" t="inlineStr">
        <is>
          <t>MH2505-51</t>
        </is>
      </c>
      <c r="C1740" s="16" t="n">
        <v>45807</v>
      </c>
      <c r="D1740" s="17" t="inlineStr">
        <is>
          <t>00001996</t>
        </is>
      </c>
      <c r="E1740" s="16" t="n">
        <v>45807</v>
      </c>
      <c r="F1740" s="16" t="inlineStr">
        <is>
          <t>XK2505-18</t>
        </is>
      </c>
      <c r="G1740" s="16" t="n">
        <v>45807</v>
      </c>
      <c r="H1740" s="17" t="inlineStr">
        <is>
          <t>CÔNG TY CỔ PHẦN CÔNG NGHIỆP VÀ THƯƠNG MẠI CƯỜNG THỊNH</t>
        </is>
      </c>
      <c r="I1740" s="17" t="inlineStr">
        <is>
          <t>Long đền thường ZP M24B40-42D2</t>
        </is>
      </c>
      <c r="J1740" s="17" t="inlineStr">
        <is>
          <t>Cái</t>
        </is>
      </c>
      <c r="K1740" s="21" t="n">
        <v>710</v>
      </c>
      <c r="L1740" s="21" t="n"/>
      <c r="M1740" s="22" t="n"/>
      <c r="N1740" s="22" t="n">
        <v>1854</v>
      </c>
      <c r="O1740" s="22" t="n">
        <v>1316340</v>
      </c>
      <c r="P1740" s="22" t="n">
        <v>1854</v>
      </c>
      <c r="Q1740" s="22" t="n">
        <v>1316340</v>
      </c>
      <c r="R1740" s="42">
        <f>+L1740+N1740-P1740</f>
        <v/>
      </c>
      <c r="S1740" s="42">
        <f>+M1740+O1740-Q1740</f>
        <v/>
      </c>
    </row>
    <row r="1741" ht="30" customHeight="1">
      <c r="A1741" s="16" t="n">
        <v>45807</v>
      </c>
      <c r="B1741" s="17" t="inlineStr">
        <is>
          <t>MH2505-51</t>
        </is>
      </c>
      <c r="C1741" s="16" t="n">
        <v>45807</v>
      </c>
      <c r="D1741" s="17" t="inlineStr">
        <is>
          <t>00001996</t>
        </is>
      </c>
      <c r="E1741" s="16" t="n">
        <v>45807</v>
      </c>
      <c r="F1741" s="16" t="inlineStr">
        <is>
          <t>XK2505-18</t>
        </is>
      </c>
      <c r="G1741" s="16" t="n">
        <v>45807</v>
      </c>
      <c r="H1741" s="17" t="inlineStr">
        <is>
          <t>CÔNG TY CỔ PHẦN CÔNG NGHIỆP VÀ THƯƠNG MẠI CƯỜNG THỊNH</t>
        </is>
      </c>
      <c r="I1741" s="17" t="inlineStr">
        <is>
          <t>Bulong Din 933 8.8 ZP M30x90</t>
        </is>
      </c>
      <c r="J1741" s="17" t="inlineStr">
        <is>
          <t>Cái</t>
        </is>
      </c>
      <c r="K1741" s="21" t="n">
        <v>25570</v>
      </c>
      <c r="L1741" s="21" t="n"/>
      <c r="M1741" s="22" t="n"/>
      <c r="N1741" s="22" t="n">
        <v>614</v>
      </c>
      <c r="O1741" s="22" t="n">
        <v>15699980</v>
      </c>
      <c r="P1741" s="22" t="n">
        <v>614</v>
      </c>
      <c r="Q1741" s="22" t="n">
        <v>15699980</v>
      </c>
      <c r="R1741" s="42">
        <f>+L1741+N1741-P1741</f>
        <v/>
      </c>
      <c r="S1741" s="42">
        <f>+M1741+O1741-Q1741</f>
        <v/>
      </c>
    </row>
    <row r="1742" ht="30" customHeight="1">
      <c r="A1742" s="16" t="n">
        <v>45807</v>
      </c>
      <c r="B1742" s="17" t="inlineStr">
        <is>
          <t>MH2505-51</t>
        </is>
      </c>
      <c r="C1742" s="16" t="n">
        <v>45807</v>
      </c>
      <c r="D1742" s="17" t="inlineStr">
        <is>
          <t>00001996</t>
        </is>
      </c>
      <c r="E1742" s="16" t="n">
        <v>45807</v>
      </c>
      <c r="F1742" s="16" t="inlineStr">
        <is>
          <t>XK2505-18</t>
        </is>
      </c>
      <c r="G1742" s="16" t="n">
        <v>45807</v>
      </c>
      <c r="H1742" s="17" t="inlineStr">
        <is>
          <t>CÔNG TY CỔ PHẦN CÔNG NGHIỆP VÀ THƯƠNG MẠI CƯỜNG THỊNH</t>
        </is>
      </c>
      <c r="I1742" s="17" t="inlineStr">
        <is>
          <t>Đai ốc Din 934 8 ZP M30</t>
        </is>
      </c>
      <c r="J1742" s="17" t="inlineStr">
        <is>
          <t>Cái</t>
        </is>
      </c>
      <c r="K1742" s="21" t="n">
        <v>8310</v>
      </c>
      <c r="L1742" s="21" t="n"/>
      <c r="M1742" s="22" t="n"/>
      <c r="N1742" s="22" t="n">
        <v>614</v>
      </c>
      <c r="O1742" s="22" t="n">
        <v>5102340</v>
      </c>
      <c r="P1742" s="22" t="n">
        <v>614</v>
      </c>
      <c r="Q1742" s="22" t="n">
        <v>5102340</v>
      </c>
      <c r="R1742" s="42">
        <f>+L1742+N1742-P1742</f>
        <v/>
      </c>
      <c r="S1742" s="42">
        <f>+M1742+O1742-Q1742</f>
        <v/>
      </c>
    </row>
    <row r="1743" ht="30" customHeight="1">
      <c r="A1743" s="16" t="n">
        <v>45807</v>
      </c>
      <c r="B1743" s="17" t="inlineStr">
        <is>
          <t>MH2505-51</t>
        </is>
      </c>
      <c r="C1743" s="16" t="n">
        <v>45807</v>
      </c>
      <c r="D1743" s="17" t="inlineStr">
        <is>
          <t>00001996</t>
        </is>
      </c>
      <c r="E1743" s="16" t="n">
        <v>45807</v>
      </c>
      <c r="F1743" s="16" t="inlineStr">
        <is>
          <t>XK2505-18</t>
        </is>
      </c>
      <c r="G1743" s="16" t="n">
        <v>45807</v>
      </c>
      <c r="H1743" s="17" t="inlineStr">
        <is>
          <t>CÔNG TY CỔ PHẦN CÔNG NGHIỆP VÀ THƯƠNG MẠI CƯỜNG THỊNH</t>
        </is>
      </c>
      <c r="I1743" s="17" t="inlineStr">
        <is>
          <t>Long đền thường ZP M30B50D2</t>
        </is>
      </c>
      <c r="J1743" s="17" t="inlineStr">
        <is>
          <t>Cái</t>
        </is>
      </c>
      <c r="K1743" s="21" t="n">
        <v>890</v>
      </c>
      <c r="L1743" s="21" t="n"/>
      <c r="M1743" s="22" t="n"/>
      <c r="N1743" s="22" t="n">
        <v>614</v>
      </c>
      <c r="O1743" s="22" t="n">
        <v>546460</v>
      </c>
      <c r="P1743" s="22" t="n">
        <v>614</v>
      </c>
      <c r="Q1743" s="22" t="n">
        <v>546460</v>
      </c>
      <c r="R1743" s="42">
        <f>+L1743+N1743-P1743</f>
        <v/>
      </c>
      <c r="S1743" s="42">
        <f>+M1743+O1743-Q1743</f>
        <v/>
      </c>
    </row>
    <row r="1744" ht="30" customHeight="1">
      <c r="A1744" s="16" t="n">
        <v>45807</v>
      </c>
      <c r="B1744" s="17" t="inlineStr">
        <is>
          <t>MH2505-51</t>
        </is>
      </c>
      <c r="C1744" s="16" t="n">
        <v>45807</v>
      </c>
      <c r="D1744" s="17" t="inlineStr">
        <is>
          <t>00001996</t>
        </is>
      </c>
      <c r="E1744" s="16" t="n">
        <v>45807</v>
      </c>
      <c r="F1744" s="16" t="inlineStr">
        <is>
          <t>XK2505-18</t>
        </is>
      </c>
      <c r="G1744" s="16" t="n">
        <v>45807</v>
      </c>
      <c r="H1744" s="17" t="inlineStr">
        <is>
          <t>CÔNG TY CỔ PHẦN CÔNG NGHIỆP VÀ THƯƠNG MẠI CƯỜNG THỊNH</t>
        </is>
      </c>
      <c r="I1744" s="17" t="inlineStr">
        <is>
          <t>Bulong Din 933 8.8 ZP M20x40</t>
        </is>
      </c>
      <c r="J1744" s="17" t="inlineStr">
        <is>
          <t>Cái</t>
        </is>
      </c>
      <c r="K1744" s="21" t="n">
        <v>5050</v>
      </c>
      <c r="L1744" s="21" t="n"/>
      <c r="M1744" s="22" t="n"/>
      <c r="N1744" s="22" t="n">
        <v>265</v>
      </c>
      <c r="O1744" s="22" t="n">
        <v>1338250</v>
      </c>
      <c r="P1744" s="22" t="n">
        <v>265</v>
      </c>
      <c r="Q1744" s="22" t="n">
        <v>1338250</v>
      </c>
      <c r="R1744" s="42">
        <f>+L1744+N1744-P1744</f>
        <v/>
      </c>
      <c r="S1744" s="42">
        <f>+M1744+O1744-Q1744</f>
        <v/>
      </c>
    </row>
    <row r="1745" ht="30" customHeight="1">
      <c r="A1745" s="16" t="n">
        <v>45807</v>
      </c>
      <c r="B1745" s="17" t="inlineStr">
        <is>
          <t>MH2505-51</t>
        </is>
      </c>
      <c r="C1745" s="16" t="n">
        <v>45807</v>
      </c>
      <c r="D1745" s="17" t="inlineStr">
        <is>
          <t>00001996</t>
        </is>
      </c>
      <c r="E1745" s="16" t="n">
        <v>45807</v>
      </c>
      <c r="F1745" s="16" t="inlineStr">
        <is>
          <t>XK2505-18</t>
        </is>
      </c>
      <c r="G1745" s="16" t="n">
        <v>45807</v>
      </c>
      <c r="H1745" s="17" t="inlineStr">
        <is>
          <t>CÔNG TY CỔ PHẦN CÔNG NGHIỆP VÀ THƯƠNG MẠI CƯỜNG THỊNH</t>
        </is>
      </c>
      <c r="I1745" s="17" t="inlineStr">
        <is>
          <t>Đai ốc Din 934 8 ZP M20</t>
        </is>
      </c>
      <c r="J1745" s="17" t="inlineStr">
        <is>
          <t>Cái</t>
        </is>
      </c>
      <c r="K1745" s="21" t="n">
        <v>2030</v>
      </c>
      <c r="L1745" s="21" t="n"/>
      <c r="M1745" s="22" t="n"/>
      <c r="N1745" s="22" t="n">
        <v>265</v>
      </c>
      <c r="O1745" s="22" t="n">
        <v>537950</v>
      </c>
      <c r="P1745" s="22" t="n">
        <v>265</v>
      </c>
      <c r="Q1745" s="22" t="n">
        <v>537950</v>
      </c>
      <c r="R1745" s="42">
        <f>+L1745+N1745-P1745</f>
        <v/>
      </c>
      <c r="S1745" s="42">
        <f>+M1745+O1745-Q1745</f>
        <v/>
      </c>
    </row>
    <row r="1746" ht="30" customHeight="1">
      <c r="A1746" s="16" t="n">
        <v>45807</v>
      </c>
      <c r="B1746" s="17" t="inlineStr">
        <is>
          <t>MH2505-51</t>
        </is>
      </c>
      <c r="C1746" s="16" t="n">
        <v>45807</v>
      </c>
      <c r="D1746" s="17" t="inlineStr">
        <is>
          <t>00001996</t>
        </is>
      </c>
      <c r="E1746" s="16" t="n">
        <v>45807</v>
      </c>
      <c r="F1746" s="16" t="inlineStr">
        <is>
          <t>XK2505-18</t>
        </is>
      </c>
      <c r="G1746" s="16" t="n">
        <v>45807</v>
      </c>
      <c r="H1746" s="17" t="inlineStr">
        <is>
          <t>CÔNG TY CỔ PHẦN CÔNG NGHIỆP VÀ THƯƠNG MẠI CƯỜNG THỊNH</t>
        </is>
      </c>
      <c r="I1746" s="17" t="inlineStr">
        <is>
          <t>Long đền thường ZP M20B35D2</t>
        </is>
      </c>
      <c r="J1746" s="17" t="inlineStr">
        <is>
          <t>Cái</t>
        </is>
      </c>
      <c r="K1746" s="21" t="n">
        <v>350</v>
      </c>
      <c r="L1746" s="21" t="n"/>
      <c r="M1746" s="22" t="n"/>
      <c r="N1746" s="22" t="n">
        <v>265</v>
      </c>
      <c r="O1746" s="22" t="n">
        <v>92750</v>
      </c>
      <c r="P1746" s="22" t="n">
        <v>265</v>
      </c>
      <c r="Q1746" s="22" t="n">
        <v>92750</v>
      </c>
      <c r="R1746" s="42">
        <f>+L1746+N1746-P1746</f>
        <v/>
      </c>
      <c r="S1746" s="42">
        <f>+M1746+O1746-Q1746</f>
        <v/>
      </c>
    </row>
    <row r="1747" ht="30" customHeight="1">
      <c r="A1747" s="16" t="n">
        <v>45807</v>
      </c>
      <c r="B1747" s="17" t="inlineStr">
        <is>
          <t>MH2505-51A</t>
        </is>
      </c>
      <c r="C1747" s="16" t="n">
        <v>45807</v>
      </c>
      <c r="D1747" s="17" t="inlineStr">
        <is>
          <t>00000963</t>
        </is>
      </c>
      <c r="E1747" s="16" t="n">
        <v>45807</v>
      </c>
      <c r="F1747" s="16" t="inlineStr">
        <is>
          <t>XK2505-18</t>
        </is>
      </c>
      <c r="G1747" s="16" t="n">
        <v>45807</v>
      </c>
      <c r="H1747" s="17" t="inlineStr">
        <is>
          <t>CÔNG TY TNHH DỊCH VỤ - THƯƠNG MẠI THÉP THIÊN LONG</t>
        </is>
      </c>
      <c r="I1747" s="17" t="inlineStr">
        <is>
          <t>Thép hộp 50x100</t>
        </is>
      </c>
      <c r="J1747" s="17" t="inlineStr">
        <is>
          <t>kg</t>
        </is>
      </c>
      <c r="K1747" s="21" t="n">
        <v>16090.9</v>
      </c>
      <c r="L1747" s="21" t="n"/>
      <c r="M1747" s="22" t="n"/>
      <c r="N1747" s="22" t="n">
        <v>14784</v>
      </c>
      <c r="O1747" s="22" t="n">
        <v>237888000</v>
      </c>
      <c r="P1747" s="22" t="n">
        <v>14784</v>
      </c>
      <c r="Q1747" s="22" t="n">
        <v>237888000</v>
      </c>
      <c r="R1747" s="42">
        <f>+L1747+N1747-P1747</f>
        <v/>
      </c>
      <c r="S1747" s="42">
        <f>+M1747+O1747-Q1747</f>
        <v/>
      </c>
    </row>
    <row r="1748" ht="30" customHeight="1">
      <c r="A1748" s="16" t="n">
        <v>45807</v>
      </c>
      <c r="B1748" s="17" t="inlineStr">
        <is>
          <t>MH2505-51B</t>
        </is>
      </c>
      <c r="C1748" s="16" t="n">
        <v>45807</v>
      </c>
      <c r="D1748" s="17" t="inlineStr">
        <is>
          <t>00001997</t>
        </is>
      </c>
      <c r="E1748" s="16" t="n">
        <v>45807</v>
      </c>
      <c r="F1748" s="16" t="inlineStr">
        <is>
          <t>XK2505-18</t>
        </is>
      </c>
      <c r="G1748" s="16" t="n">
        <v>45807</v>
      </c>
      <c r="H1748" s="17" t="inlineStr">
        <is>
          <t>CÔNG TY CỔ PHẦN CÔNG NGHIỆP VÀ THƯƠNG MẠI CƯỜNG THỊNH</t>
        </is>
      </c>
      <c r="I1748" s="17" t="inlineStr">
        <is>
          <t>Bulong Din 933 8.8 ZP M12x40</t>
        </is>
      </c>
      <c r="J1748" s="17" t="inlineStr">
        <is>
          <t>Cái</t>
        </is>
      </c>
      <c r="K1748" s="21" t="n">
        <v>1610</v>
      </c>
      <c r="L1748" s="21" t="n"/>
      <c r="M1748" s="22" t="n"/>
      <c r="N1748" s="22" t="n">
        <v>3560</v>
      </c>
      <c r="O1748" s="22" t="n">
        <v>5731600</v>
      </c>
      <c r="P1748" s="22" t="n">
        <v>3560</v>
      </c>
      <c r="Q1748" s="22" t="n">
        <v>5731600</v>
      </c>
      <c r="R1748" s="42">
        <f>+L1748+N1748-P1748</f>
        <v/>
      </c>
      <c r="S1748" s="42">
        <f>+M1748+O1748-Q1748</f>
        <v/>
      </c>
    </row>
    <row r="1749" ht="30" customHeight="1">
      <c r="A1749" s="16" t="n">
        <v>45807</v>
      </c>
      <c r="B1749" s="17" t="inlineStr">
        <is>
          <t>MH2505-51B</t>
        </is>
      </c>
      <c r="C1749" s="16" t="n">
        <v>45807</v>
      </c>
      <c r="D1749" s="17" t="inlineStr">
        <is>
          <t>00001997</t>
        </is>
      </c>
      <c r="E1749" s="16" t="n">
        <v>45807</v>
      </c>
      <c r="F1749" s="16" t="inlineStr">
        <is>
          <t>XK2505-18</t>
        </is>
      </c>
      <c r="G1749" s="16" t="n">
        <v>45807</v>
      </c>
      <c r="H1749" s="17" t="inlineStr">
        <is>
          <t>CÔNG TY CỔ PHẦN CÔNG NGHIỆP VÀ THƯƠNG MẠI CƯỜNG THỊNH</t>
        </is>
      </c>
      <c r="I1749" s="17" t="inlineStr">
        <is>
          <t>Đai ốc Din 934 8 ZP M12</t>
        </is>
      </c>
      <c r="J1749" s="17" t="inlineStr">
        <is>
          <t>Cái</t>
        </is>
      </c>
      <c r="K1749" s="21" t="n">
        <v>570</v>
      </c>
      <c r="L1749" s="21" t="n"/>
      <c r="M1749" s="22" t="n"/>
      <c r="N1749" s="22" t="n">
        <v>3560</v>
      </c>
      <c r="O1749" s="22" t="n">
        <v>2029200</v>
      </c>
      <c r="P1749" s="22" t="n">
        <v>3560</v>
      </c>
      <c r="Q1749" s="22" t="n">
        <v>2029200</v>
      </c>
      <c r="R1749" s="42">
        <f>+L1749+N1749-P1749</f>
        <v/>
      </c>
      <c r="S1749" s="42">
        <f>+M1749+O1749-Q1749</f>
        <v/>
      </c>
    </row>
    <row r="1750" ht="30" customHeight="1">
      <c r="A1750" s="16" t="n">
        <v>45807</v>
      </c>
      <c r="B1750" s="17" t="inlineStr">
        <is>
          <t>MH2505-51B</t>
        </is>
      </c>
      <c r="C1750" s="16" t="n">
        <v>45807</v>
      </c>
      <c r="D1750" s="17" t="inlineStr">
        <is>
          <t>00001997</t>
        </is>
      </c>
      <c r="E1750" s="16" t="n">
        <v>45807</v>
      </c>
      <c r="F1750" s="16" t="inlineStr">
        <is>
          <t>XK2505-18</t>
        </is>
      </c>
      <c r="G1750" s="16" t="n">
        <v>45807</v>
      </c>
      <c r="H1750" s="17" t="inlineStr">
        <is>
          <t>CÔNG TY CỔ PHẦN CÔNG NGHIỆP VÀ THƯƠNG MẠI CƯỜNG THỊNH</t>
        </is>
      </c>
      <c r="I1750" s="17" t="inlineStr">
        <is>
          <t>Long đền thường ZP M12B23D1</t>
        </is>
      </c>
      <c r="J1750" s="17" t="inlineStr">
        <is>
          <t>Cái</t>
        </is>
      </c>
      <c r="K1750" s="21" t="n">
        <v>100</v>
      </c>
      <c r="L1750" s="21" t="n"/>
      <c r="M1750" s="22" t="n"/>
      <c r="N1750" s="22" t="n">
        <v>7120</v>
      </c>
      <c r="O1750" s="22" t="n">
        <v>712000</v>
      </c>
      <c r="P1750" s="22" t="n">
        <v>7120</v>
      </c>
      <c r="Q1750" s="22" t="n">
        <v>712000</v>
      </c>
      <c r="R1750" s="42">
        <f>+L1750+N1750-P1750</f>
        <v/>
      </c>
      <c r="S1750" s="42">
        <f>+M1750+O1750-Q1750</f>
        <v/>
      </c>
    </row>
    <row r="1751" ht="30" customHeight="1">
      <c r="A1751" s="16" t="n">
        <v>45807</v>
      </c>
      <c r="B1751" s="17" t="inlineStr">
        <is>
          <t>MH2505-52B</t>
        </is>
      </c>
      <c r="C1751" s="16" t="n">
        <v>45807</v>
      </c>
      <c r="D1751" s="17" t="inlineStr">
        <is>
          <t>00001998</t>
        </is>
      </c>
      <c r="E1751" s="16" t="n">
        <v>45807</v>
      </c>
      <c r="F1751" s="16" t="inlineStr">
        <is>
          <t>XK2505-18</t>
        </is>
      </c>
      <c r="G1751" s="16" t="n">
        <v>45807</v>
      </c>
      <c r="H1751" s="17" t="inlineStr">
        <is>
          <t>CÔNG TY CỔ PHẦN CÔNG NGHIỆP VÀ THƯƠNG MẠI CƯỜNG THỊNH</t>
        </is>
      </c>
      <c r="I1751" s="17" t="inlineStr">
        <is>
          <t>Ty giằng 2 đầu ren 4.6 ZP M20</t>
        </is>
      </c>
      <c r="J1751" s="17" t="inlineStr">
        <is>
          <t>Mét</t>
        </is>
      </c>
      <c r="K1751" s="21" t="n">
        <v>69000</v>
      </c>
      <c r="L1751" s="21" t="n"/>
      <c r="M1751" s="22" t="n"/>
      <c r="N1751" s="22" t="n">
        <v>858.65</v>
      </c>
      <c r="O1751" s="22" t="n">
        <v>59246850</v>
      </c>
      <c r="P1751" s="22" t="n">
        <v>858.65</v>
      </c>
      <c r="Q1751" s="22" t="n">
        <v>59246850</v>
      </c>
      <c r="R1751" s="42">
        <f>+L1751+N1751-P1751</f>
        <v/>
      </c>
      <c r="S1751" s="42">
        <f>+M1751+O1751-Q1751</f>
        <v/>
      </c>
    </row>
    <row r="1752" ht="30" customHeight="1">
      <c r="A1752" s="16" t="n">
        <v>45807</v>
      </c>
      <c r="B1752" s="17" t="inlineStr">
        <is>
          <t>MH2505-52B</t>
        </is>
      </c>
      <c r="C1752" s="16" t="n">
        <v>45807</v>
      </c>
      <c r="D1752" s="17" t="inlineStr">
        <is>
          <t>00001998</t>
        </is>
      </c>
      <c r="E1752" s="16" t="n">
        <v>45807</v>
      </c>
      <c r="F1752" s="16" t="inlineStr">
        <is>
          <t>XK2505-18</t>
        </is>
      </c>
      <c r="G1752" s="16" t="n">
        <v>45807</v>
      </c>
      <c r="H1752" s="17" t="inlineStr">
        <is>
          <t>CÔNG TY CỔ PHẦN CÔNG NGHIỆP VÀ THƯƠNG MẠI CƯỜNG THỊNH</t>
        </is>
      </c>
      <c r="I1752" s="17" t="inlineStr">
        <is>
          <t>Đai ốc Din 934 5 ZP M20</t>
        </is>
      </c>
      <c r="J1752" s="17" t="inlineStr">
        <is>
          <t>Cái</t>
        </is>
      </c>
      <c r="K1752" s="21" t="n">
        <v>1850</v>
      </c>
      <c r="L1752" s="21" t="n"/>
      <c r="M1752" s="22" t="n"/>
      <c r="N1752" s="22" t="n">
        <v>216</v>
      </c>
      <c r="O1752" s="22" t="n">
        <v>399600</v>
      </c>
      <c r="P1752" s="22" t="n">
        <v>216</v>
      </c>
      <c r="Q1752" s="22" t="n">
        <v>399600</v>
      </c>
      <c r="R1752" s="42">
        <f>+L1752+N1752-P1752</f>
        <v/>
      </c>
      <c r="S1752" s="42">
        <f>+M1752+O1752-Q1752</f>
        <v/>
      </c>
    </row>
    <row r="1753" ht="30" customHeight="1">
      <c r="A1753" s="16" t="n">
        <v>45807</v>
      </c>
      <c r="B1753" s="17" t="inlineStr">
        <is>
          <t>MH2505-52B</t>
        </is>
      </c>
      <c r="C1753" s="16" t="n">
        <v>45807</v>
      </c>
      <c r="D1753" s="17" t="inlineStr">
        <is>
          <t>00001998</t>
        </is>
      </c>
      <c r="E1753" s="16" t="n">
        <v>45807</v>
      </c>
      <c r="F1753" s="16" t="inlineStr">
        <is>
          <t>XK2505-18</t>
        </is>
      </c>
      <c r="G1753" s="16" t="n">
        <v>45807</v>
      </c>
      <c r="H1753" s="17" t="inlineStr">
        <is>
          <t>CÔNG TY CỔ PHẦN CÔNG NGHIỆP VÀ THƯƠNG MẠI CƯỜNG THỊNH</t>
        </is>
      </c>
      <c r="I1753" s="17" t="inlineStr">
        <is>
          <t>Long đền thường ZP M20B42D2</t>
        </is>
      </c>
      <c r="J1753" s="17" t="inlineStr">
        <is>
          <t>Cái</t>
        </is>
      </c>
      <c r="K1753" s="21" t="n">
        <v>700</v>
      </c>
      <c r="L1753" s="21" t="n"/>
      <c r="M1753" s="22" t="n"/>
      <c r="N1753" s="22" t="n">
        <v>216</v>
      </c>
      <c r="O1753" s="22" t="n">
        <v>151200</v>
      </c>
      <c r="P1753" s="22" t="n">
        <v>216</v>
      </c>
      <c r="Q1753" s="22" t="n">
        <v>151200</v>
      </c>
      <c r="R1753" s="42">
        <f>+L1753+N1753-P1753</f>
        <v/>
      </c>
      <c r="S1753" s="42">
        <f>+M1753+O1753-Q1753</f>
        <v/>
      </c>
    </row>
    <row r="1754" ht="30" customHeight="1">
      <c r="A1754" s="16" t="n">
        <v>45807</v>
      </c>
      <c r="B1754" s="17" t="inlineStr">
        <is>
          <t>MH2505-52B</t>
        </is>
      </c>
      <c r="C1754" s="16" t="n">
        <v>45807</v>
      </c>
      <c r="D1754" s="17" t="inlineStr">
        <is>
          <t>00001998</t>
        </is>
      </c>
      <c r="E1754" s="16" t="n">
        <v>45807</v>
      </c>
      <c r="F1754" s="16" t="inlineStr">
        <is>
          <t>XK2505-18</t>
        </is>
      </c>
      <c r="G1754" s="16" t="n">
        <v>45807</v>
      </c>
      <c r="H1754" s="17" t="inlineStr">
        <is>
          <t>CÔNG TY CỔ PHẦN CÔNG NGHIỆP VÀ THƯƠNG MẠI CƯỜNG THỊNH</t>
        </is>
      </c>
      <c r="I1754" s="17" t="inlineStr">
        <is>
          <t>Long đền móng ngựa ZP M20</t>
        </is>
      </c>
      <c r="J1754" s="17" t="inlineStr">
        <is>
          <t>Cái</t>
        </is>
      </c>
      <c r="K1754" s="21" t="n">
        <v>15590</v>
      </c>
      <c r="L1754" s="21" t="n"/>
      <c r="M1754" s="22" t="n"/>
      <c r="N1754" s="22" t="n">
        <v>216</v>
      </c>
      <c r="O1754" s="22" t="n">
        <v>3367440</v>
      </c>
      <c r="P1754" s="22" t="n">
        <v>216</v>
      </c>
      <c r="Q1754" s="22" t="n">
        <v>3367440</v>
      </c>
      <c r="R1754" s="42">
        <f>+L1754+N1754-P1754</f>
        <v/>
      </c>
      <c r="S1754" s="42">
        <f>+M1754+O1754-Q1754</f>
        <v/>
      </c>
    </row>
    <row r="1755" ht="30" customHeight="1">
      <c r="A1755" s="16" t="n">
        <v>45807</v>
      </c>
      <c r="B1755" s="17" t="inlineStr">
        <is>
          <t>MH2505-52B</t>
        </is>
      </c>
      <c r="C1755" s="16" t="n">
        <v>45807</v>
      </c>
      <c r="D1755" s="17" t="inlineStr">
        <is>
          <t>00001998</t>
        </is>
      </c>
      <c r="E1755" s="16" t="n">
        <v>45807</v>
      </c>
      <c r="F1755" s="16" t="inlineStr">
        <is>
          <t>XK2505-18</t>
        </is>
      </c>
      <c r="G1755" s="16" t="n">
        <v>45807</v>
      </c>
      <c r="H1755" s="17" t="inlineStr">
        <is>
          <t>CÔNG TY CỔ PHẦN CÔNG NGHIỆP VÀ THƯƠNG MẠI CƯỜNG THỊNH</t>
        </is>
      </c>
      <c r="I1755" s="17" t="inlineStr">
        <is>
          <t>Nối Ty ZP M20x100(28mm)</t>
        </is>
      </c>
      <c r="J1755" s="17" t="inlineStr">
        <is>
          <t>Cái</t>
        </is>
      </c>
      <c r="K1755" s="21" t="n">
        <v>24470</v>
      </c>
      <c r="L1755" s="21" t="n"/>
      <c r="M1755" s="22" t="n"/>
      <c r="N1755" s="22" t="n">
        <v>99</v>
      </c>
      <c r="O1755" s="22" t="n">
        <v>2422530</v>
      </c>
      <c r="P1755" s="22" t="n">
        <v>99</v>
      </c>
      <c r="Q1755" s="22" t="n">
        <v>2422530</v>
      </c>
      <c r="R1755" s="42">
        <f>+L1755+N1755-P1755</f>
        <v/>
      </c>
      <c r="S1755" s="42">
        <f>+M1755+O1755-Q1755</f>
        <v/>
      </c>
    </row>
    <row r="1756" ht="30" customHeight="1">
      <c r="A1756" s="16" t="n">
        <v>45807</v>
      </c>
      <c r="B1756" s="17" t="inlineStr">
        <is>
          <t>MH2505-52B</t>
        </is>
      </c>
      <c r="C1756" s="16" t="n">
        <v>45807</v>
      </c>
      <c r="D1756" s="17" t="inlineStr">
        <is>
          <t>00001998</t>
        </is>
      </c>
      <c r="E1756" s="16" t="n">
        <v>45807</v>
      </c>
      <c r="F1756" s="16" t="inlineStr">
        <is>
          <t>XK2505-18</t>
        </is>
      </c>
      <c r="G1756" s="16" t="n">
        <v>45807</v>
      </c>
      <c r="H1756" s="17" t="inlineStr">
        <is>
          <t>CÔNG TY CỔ PHẦN CÔNG NGHIỆP VÀ THƯƠNG MẠI CƯỜNG THỊNH</t>
        </is>
      </c>
      <c r="I1756" s="17" t="inlineStr">
        <is>
          <t>Ty giằng 2 đầu ren 4.6 Ф11.3-11.5mm ZP M12</t>
        </is>
      </c>
      <c r="J1756" s="17" t="inlineStr">
        <is>
          <t>Mét</t>
        </is>
      </c>
      <c r="K1756" s="21" t="n">
        <v>20500</v>
      </c>
      <c r="L1756" s="21" t="n"/>
      <c r="M1756" s="22" t="n"/>
      <c r="N1756" s="22" t="n">
        <v>1041.54</v>
      </c>
      <c r="O1756" s="22" t="n">
        <v>21351570</v>
      </c>
      <c r="P1756" s="22" t="n">
        <v>1041.54</v>
      </c>
      <c r="Q1756" s="22" t="n">
        <v>21351570</v>
      </c>
      <c r="R1756" s="42">
        <f>+L1756+N1756-P1756</f>
        <v/>
      </c>
      <c r="S1756" s="42">
        <f>+M1756+O1756-Q1756</f>
        <v/>
      </c>
    </row>
    <row r="1757" ht="30" customHeight="1">
      <c r="A1757" s="16" t="n">
        <v>45807</v>
      </c>
      <c r="B1757" s="17" t="inlineStr">
        <is>
          <t>MH2505-52B</t>
        </is>
      </c>
      <c r="C1757" s="16" t="n">
        <v>45807</v>
      </c>
      <c r="D1757" s="17" t="inlineStr">
        <is>
          <t>00001998</t>
        </is>
      </c>
      <c r="E1757" s="16" t="n">
        <v>45807</v>
      </c>
      <c r="F1757" s="16" t="inlineStr">
        <is>
          <t>XK2505-18</t>
        </is>
      </c>
      <c r="G1757" s="16" t="n">
        <v>45807</v>
      </c>
      <c r="H1757" s="17" t="inlineStr">
        <is>
          <t>CÔNG TY CỔ PHẦN CÔNG NGHIỆP VÀ THƯƠNG MẠI CƯỜNG THỊNH</t>
        </is>
      </c>
      <c r="I1757" s="17" t="inlineStr">
        <is>
          <t>Đai ốc thường 4 ZP M12 (9mm)</t>
        </is>
      </c>
      <c r="J1757" s="17" t="inlineStr">
        <is>
          <t>Cái</t>
        </is>
      </c>
      <c r="K1757" s="21" t="n">
        <v>360</v>
      </c>
      <c r="L1757" s="21" t="n"/>
      <c r="M1757" s="22" t="n"/>
      <c r="N1757" s="22" t="n">
        <v>3532</v>
      </c>
      <c r="O1757" s="22" t="n">
        <v>1271520</v>
      </c>
      <c r="P1757" s="22" t="n">
        <v>3532</v>
      </c>
      <c r="Q1757" s="22" t="n">
        <v>1271520</v>
      </c>
      <c r="R1757" s="42">
        <f>+L1757+N1757-P1757</f>
        <v/>
      </c>
      <c r="S1757" s="42">
        <f>+M1757+O1757-Q1757</f>
        <v/>
      </c>
    </row>
    <row r="1758" ht="30" customHeight="1">
      <c r="A1758" s="16" t="n">
        <v>45807</v>
      </c>
      <c r="B1758" s="17" t="inlineStr">
        <is>
          <t>MH2505-52B</t>
        </is>
      </c>
      <c r="C1758" s="16" t="n">
        <v>45807</v>
      </c>
      <c r="D1758" s="17" t="inlineStr">
        <is>
          <t>00001998</t>
        </is>
      </c>
      <c r="E1758" s="16" t="n">
        <v>45807</v>
      </c>
      <c r="F1758" s="16" t="inlineStr">
        <is>
          <t>XK2505-18</t>
        </is>
      </c>
      <c r="G1758" s="16" t="n">
        <v>45807</v>
      </c>
      <c r="H1758" s="17" t="inlineStr">
        <is>
          <t>CÔNG TY CỔ PHẦN CÔNG NGHIỆP VÀ THƯƠNG MẠI CƯỜNG THỊNH</t>
        </is>
      </c>
      <c r="I1758" s="17" t="inlineStr">
        <is>
          <t>Long đền thường ZP M12B26D1.5</t>
        </is>
      </c>
      <c r="J1758" s="17" t="inlineStr">
        <is>
          <t>Cái</t>
        </is>
      </c>
      <c r="K1758" s="21" t="n">
        <v>190</v>
      </c>
      <c r="L1758" s="21" t="n"/>
      <c r="M1758" s="22" t="n"/>
      <c r="N1758" s="22" t="n">
        <v>3532</v>
      </c>
      <c r="O1758" s="22" t="n">
        <v>671080</v>
      </c>
      <c r="P1758" s="22" t="n">
        <v>3532</v>
      </c>
      <c r="Q1758" s="22" t="n">
        <v>671080</v>
      </c>
      <c r="R1758" s="42">
        <f>+L1758+N1758-P1758</f>
        <v/>
      </c>
      <c r="S1758" s="42">
        <f>+M1758+O1758-Q1758</f>
        <v/>
      </c>
    </row>
    <row r="1759" ht="30" customHeight="1">
      <c r="A1759" s="16" t="n">
        <v>45807</v>
      </c>
      <c r="B1759" s="17" t="inlineStr">
        <is>
          <t>MH2505-52B</t>
        </is>
      </c>
      <c r="C1759" s="16" t="n">
        <v>45807</v>
      </c>
      <c r="D1759" s="17" t="inlineStr">
        <is>
          <t>00001998</t>
        </is>
      </c>
      <c r="E1759" s="16" t="n">
        <v>45807</v>
      </c>
      <c r="F1759" s="16" t="inlineStr">
        <is>
          <t>XK2505-18</t>
        </is>
      </c>
      <c r="G1759" s="16" t="n">
        <v>45807</v>
      </c>
      <c r="H1759" s="17" t="inlineStr">
        <is>
          <t>CÔNG TY CỔ PHẦN CÔNG NGHIỆP VÀ THƯƠNG MẠI CƯỜNG THỊNH</t>
        </is>
      </c>
      <c r="I1759" s="17" t="inlineStr">
        <is>
          <t>Ty giằng 2 đầu ren 5.6 ZP M24</t>
        </is>
      </c>
      <c r="J1759" s="17" t="inlineStr">
        <is>
          <t>Mét</t>
        </is>
      </c>
      <c r="K1759" s="21" t="n">
        <v>106000</v>
      </c>
      <c r="L1759" s="21" t="n"/>
      <c r="M1759" s="22" t="n"/>
      <c r="N1759" s="22" t="n">
        <v>154.58</v>
      </c>
      <c r="O1759" s="22" t="n">
        <v>16385480</v>
      </c>
      <c r="P1759" s="22" t="n">
        <v>154.58</v>
      </c>
      <c r="Q1759" s="22" t="n">
        <v>16385480</v>
      </c>
      <c r="R1759" s="42">
        <f>+L1759+N1759-P1759</f>
        <v/>
      </c>
      <c r="S1759" s="42">
        <f>+M1759+O1759-Q1759</f>
        <v/>
      </c>
    </row>
    <row r="1760" ht="30" customHeight="1">
      <c r="A1760" s="16" t="n">
        <v>45807</v>
      </c>
      <c r="B1760" s="17" t="inlineStr">
        <is>
          <t>MH2505-52B</t>
        </is>
      </c>
      <c r="C1760" s="16" t="n">
        <v>45807</v>
      </c>
      <c r="D1760" s="17" t="inlineStr">
        <is>
          <t>00001998</t>
        </is>
      </c>
      <c r="E1760" s="16" t="n">
        <v>45807</v>
      </c>
      <c r="F1760" s="16" t="inlineStr">
        <is>
          <t>XK2505-18</t>
        </is>
      </c>
      <c r="G1760" s="16" t="n">
        <v>45807</v>
      </c>
      <c r="H1760" s="17" t="inlineStr">
        <is>
          <t>CÔNG TY CỔ PHẦN CÔNG NGHIỆP VÀ THƯƠNG MẠI CƯỜNG THỊNH</t>
        </is>
      </c>
      <c r="I1760" s="17" t="inlineStr">
        <is>
          <t>Đai ốc Din 934 5 ZP M24</t>
        </is>
      </c>
      <c r="J1760" s="17" t="inlineStr">
        <is>
          <t>Cái</t>
        </is>
      </c>
      <c r="K1760" s="21" t="n">
        <v>2930</v>
      </c>
      <c r="L1760" s="21" t="n"/>
      <c r="M1760" s="22" t="n"/>
      <c r="N1760" s="22" t="n">
        <v>44</v>
      </c>
      <c r="O1760" s="22" t="n">
        <v>128920</v>
      </c>
      <c r="P1760" s="22" t="n">
        <v>44</v>
      </c>
      <c r="Q1760" s="22" t="n">
        <v>128920</v>
      </c>
      <c r="R1760" s="42">
        <f>+L1760+N1760-P1760</f>
        <v/>
      </c>
      <c r="S1760" s="42">
        <f>+M1760+O1760-Q1760</f>
        <v/>
      </c>
    </row>
    <row r="1761" ht="30" customHeight="1">
      <c r="A1761" s="16" t="n">
        <v>45807</v>
      </c>
      <c r="B1761" s="17" t="inlineStr">
        <is>
          <t>MH2505-52B</t>
        </is>
      </c>
      <c r="C1761" s="16" t="n">
        <v>45807</v>
      </c>
      <c r="D1761" s="17" t="inlineStr">
        <is>
          <t>00001998</t>
        </is>
      </c>
      <c r="E1761" s="16" t="n">
        <v>45807</v>
      </c>
      <c r="F1761" s="16" t="inlineStr">
        <is>
          <t>XK2505-18</t>
        </is>
      </c>
      <c r="G1761" s="16" t="n">
        <v>45807</v>
      </c>
      <c r="H1761" s="17" t="inlineStr">
        <is>
          <t>CÔNG TY CỔ PHẦN CÔNG NGHIỆP VÀ THƯƠNG MẠI CƯỜNG THỊNH</t>
        </is>
      </c>
      <c r="I1761" s="17" t="inlineStr">
        <is>
          <t>Long đền thường ZP M24B45D2</t>
        </is>
      </c>
      <c r="J1761" s="17" t="inlineStr">
        <is>
          <t>Cái</t>
        </is>
      </c>
      <c r="K1761" s="21" t="n">
        <v>770</v>
      </c>
      <c r="L1761" s="21" t="n"/>
      <c r="M1761" s="22" t="n"/>
      <c r="N1761" s="22" t="n">
        <v>44</v>
      </c>
      <c r="O1761" s="22" t="n">
        <v>33880</v>
      </c>
      <c r="P1761" s="22" t="n">
        <v>44</v>
      </c>
      <c r="Q1761" s="22" t="n">
        <v>33880</v>
      </c>
      <c r="R1761" s="42">
        <f>+L1761+N1761-P1761</f>
        <v/>
      </c>
      <c r="S1761" s="42">
        <f>+M1761+O1761-Q1761</f>
        <v/>
      </c>
    </row>
    <row r="1762" ht="30" customHeight="1">
      <c r="A1762" s="16" t="n">
        <v>45807</v>
      </c>
      <c r="B1762" s="17" t="inlineStr">
        <is>
          <t>MH2505-52B</t>
        </is>
      </c>
      <c r="C1762" s="16" t="n">
        <v>45807</v>
      </c>
      <c r="D1762" s="17" t="inlineStr">
        <is>
          <t>00001998</t>
        </is>
      </c>
      <c r="E1762" s="16" t="n">
        <v>45807</v>
      </c>
      <c r="F1762" s="16" t="inlineStr">
        <is>
          <t>XK2505-18</t>
        </is>
      </c>
      <c r="G1762" s="16" t="n">
        <v>45807</v>
      </c>
      <c r="H1762" s="17" t="inlineStr">
        <is>
          <t>CÔNG TY CỔ PHẦN CÔNG NGHIỆP VÀ THƯƠNG MẠI CƯỜNG THỊNH</t>
        </is>
      </c>
      <c r="I1762" s="17" t="inlineStr">
        <is>
          <t>Long đền móng ngựa ZP M24</t>
        </is>
      </c>
      <c r="J1762" s="17" t="inlineStr">
        <is>
          <t>Cái</t>
        </is>
      </c>
      <c r="K1762" s="21" t="n">
        <v>23500</v>
      </c>
      <c r="L1762" s="21" t="n"/>
      <c r="M1762" s="22" t="n"/>
      <c r="N1762" s="22" t="n">
        <v>44</v>
      </c>
      <c r="O1762" s="22" t="n">
        <v>1034000</v>
      </c>
      <c r="P1762" s="22" t="n">
        <v>44</v>
      </c>
      <c r="Q1762" s="22" t="n">
        <v>1034000</v>
      </c>
      <c r="R1762" s="42">
        <f>+L1762+N1762-P1762</f>
        <v/>
      </c>
      <c r="S1762" s="42">
        <f>+M1762+O1762-Q1762</f>
        <v/>
      </c>
    </row>
    <row r="1763" ht="30" customHeight="1">
      <c r="A1763" s="16" t="n">
        <v>45807</v>
      </c>
      <c r="B1763" s="17" t="inlineStr">
        <is>
          <t>MH2505-52B</t>
        </is>
      </c>
      <c r="C1763" s="16" t="n">
        <v>45807</v>
      </c>
      <c r="D1763" s="17" t="inlineStr">
        <is>
          <t>00001998</t>
        </is>
      </c>
      <c r="E1763" s="16" t="n">
        <v>45807</v>
      </c>
      <c r="F1763" s="16" t="inlineStr">
        <is>
          <t>XK2505-18</t>
        </is>
      </c>
      <c r="G1763" s="16" t="n">
        <v>45807</v>
      </c>
      <c r="H1763" s="17" t="inlineStr">
        <is>
          <t>CÔNG TY CỔ PHẦN CÔNG NGHIỆP VÀ THƯƠNG MẠI CƯỜNG THỊNH</t>
        </is>
      </c>
      <c r="I1763" s="17" t="inlineStr">
        <is>
          <t>Nối Ty ZP M24x100 (34mm)</t>
        </is>
      </c>
      <c r="J1763" s="17" t="inlineStr">
        <is>
          <t>Cái</t>
        </is>
      </c>
      <c r="K1763" s="21" t="n">
        <v>35220</v>
      </c>
      <c r="L1763" s="21" t="n"/>
      <c r="M1763" s="22" t="n"/>
      <c r="N1763" s="22" t="n">
        <v>24</v>
      </c>
      <c r="O1763" s="22" t="n">
        <v>845280</v>
      </c>
      <c r="P1763" s="22" t="n">
        <v>24</v>
      </c>
      <c r="Q1763" s="22" t="n">
        <v>845280</v>
      </c>
      <c r="R1763" s="42">
        <f>+L1763+N1763-P1763</f>
        <v/>
      </c>
      <c r="S1763" s="42">
        <f>+M1763+O1763-Q1763</f>
        <v/>
      </c>
    </row>
    <row r="1764" ht="30" customHeight="1">
      <c r="A1764" s="16" t="n">
        <v>45807</v>
      </c>
      <c r="B1764" s="17" t="inlineStr">
        <is>
          <t>MH2505-52C</t>
        </is>
      </c>
      <c r="C1764" s="16" t="n">
        <v>45807</v>
      </c>
      <c r="D1764" s="17" t="inlineStr">
        <is>
          <t>00002000</t>
        </is>
      </c>
      <c r="E1764" s="16" t="n">
        <v>45807</v>
      </c>
      <c r="F1764" s="16" t="inlineStr">
        <is>
          <t>XK2505-18</t>
        </is>
      </c>
      <c r="G1764" s="16" t="n">
        <v>45807</v>
      </c>
      <c r="H1764" s="17" t="inlineStr">
        <is>
          <t>CÔNG TY CỔ PHẦN CÔNG NGHIỆP VÀ THƯƠNG MẠI CƯỜNG THỊNH</t>
        </is>
      </c>
      <c r="I1764" s="17" t="inlineStr">
        <is>
          <t>STR H/H B A325M Type 1 ZP M20x50(50)</t>
        </is>
      </c>
      <c r="J1764" s="17" t="inlineStr">
        <is>
          <t>Cái</t>
        </is>
      </c>
      <c r="K1764" s="21" t="n">
        <v>19720</v>
      </c>
      <c r="L1764" s="21" t="n"/>
      <c r="M1764" s="22" t="n"/>
      <c r="N1764" s="22" t="n">
        <v>433</v>
      </c>
      <c r="O1764" s="22" t="n">
        <v>8538760</v>
      </c>
      <c r="P1764" s="22" t="n">
        <v>433</v>
      </c>
      <c r="Q1764" s="22" t="n">
        <v>8538760</v>
      </c>
      <c r="R1764" s="42">
        <f>+L1764+N1764-P1764</f>
        <v/>
      </c>
      <c r="S1764" s="42">
        <f>+M1764+O1764-Q1764</f>
        <v/>
      </c>
    </row>
    <row r="1765" ht="30" customHeight="1">
      <c r="A1765" s="16" t="n">
        <v>45807</v>
      </c>
      <c r="B1765" s="17" t="inlineStr">
        <is>
          <t>MH2505-52C</t>
        </is>
      </c>
      <c r="C1765" s="16" t="n">
        <v>45807</v>
      </c>
      <c r="D1765" s="17" t="inlineStr">
        <is>
          <t>00002000</t>
        </is>
      </c>
      <c r="E1765" s="16" t="n">
        <v>45807</v>
      </c>
      <c r="F1765" s="16" t="inlineStr">
        <is>
          <t>XK2505-18</t>
        </is>
      </c>
      <c r="G1765" s="16" t="n">
        <v>45807</v>
      </c>
      <c r="H1765" s="17" t="inlineStr">
        <is>
          <t>CÔNG TY CỔ PHẦN CÔNG NGHIỆP VÀ THƯƠNG MẠI CƯỜNG THỊNH</t>
        </is>
      </c>
      <c r="I1765" s="17" t="inlineStr">
        <is>
          <t>H/H N A563M 10 ZP M20</t>
        </is>
      </c>
      <c r="J1765" s="17" t="inlineStr">
        <is>
          <t>Cái</t>
        </is>
      </c>
      <c r="K1765" s="21" t="n">
        <v>5410</v>
      </c>
      <c r="L1765" s="21" t="n"/>
      <c r="M1765" s="22" t="n"/>
      <c r="N1765" s="22" t="n">
        <v>433</v>
      </c>
      <c r="O1765" s="22" t="n">
        <v>2342530</v>
      </c>
      <c r="P1765" s="22" t="n">
        <v>433</v>
      </c>
      <c r="Q1765" s="22" t="n">
        <v>2342530</v>
      </c>
      <c r="R1765" s="42">
        <f>+L1765+N1765-P1765</f>
        <v/>
      </c>
      <c r="S1765" s="42">
        <f>+M1765+O1765-Q1765</f>
        <v/>
      </c>
    </row>
    <row r="1766" ht="30" customHeight="1">
      <c r="A1766" s="16" t="n">
        <v>45807</v>
      </c>
      <c r="B1766" s="17" t="inlineStr">
        <is>
          <t>MH2505-52C</t>
        </is>
      </c>
      <c r="C1766" s="16" t="n">
        <v>45807</v>
      </c>
      <c r="D1766" s="17" t="inlineStr">
        <is>
          <t>00002000</t>
        </is>
      </c>
      <c r="E1766" s="16" t="n">
        <v>45807</v>
      </c>
      <c r="F1766" s="16" t="inlineStr">
        <is>
          <t>XK2505-18</t>
        </is>
      </c>
      <c r="G1766" s="16" t="n">
        <v>45807</v>
      </c>
      <c r="H1766" s="17" t="inlineStr">
        <is>
          <t>CÔNG TY CỔ PHẦN CÔNG NGHIỆP VÀ THƯƠNG MẠI CƯỜNG THỊNH</t>
        </is>
      </c>
      <c r="I1766" s="17" t="inlineStr">
        <is>
          <t>W F436M Type 1 ZP M20</t>
        </is>
      </c>
      <c r="J1766" s="17" t="inlineStr">
        <is>
          <t>Cái</t>
        </is>
      </c>
      <c r="K1766" s="21" t="n">
        <v>1500</v>
      </c>
      <c r="L1766" s="21" t="n"/>
      <c r="M1766" s="22" t="n"/>
      <c r="N1766" s="22" t="n">
        <v>433</v>
      </c>
      <c r="O1766" s="22" t="n">
        <v>649500</v>
      </c>
      <c r="P1766" s="22" t="n">
        <v>433</v>
      </c>
      <c r="Q1766" s="22" t="n">
        <v>649500</v>
      </c>
      <c r="R1766" s="42">
        <f>+L1766+N1766-P1766</f>
        <v/>
      </c>
      <c r="S1766" s="42">
        <f>+M1766+O1766-Q1766</f>
        <v/>
      </c>
    </row>
    <row r="1767" ht="30" customHeight="1">
      <c r="A1767" s="16" t="n">
        <v>45807</v>
      </c>
      <c r="B1767" s="17" t="inlineStr">
        <is>
          <t>MH2505-52C</t>
        </is>
      </c>
      <c r="C1767" s="16" t="n">
        <v>45807</v>
      </c>
      <c r="D1767" s="17" t="inlineStr">
        <is>
          <t>00002000</t>
        </is>
      </c>
      <c r="E1767" s="16" t="n">
        <v>45807</v>
      </c>
      <c r="F1767" s="16" t="inlineStr">
        <is>
          <t>XK2505-18</t>
        </is>
      </c>
      <c r="G1767" s="16" t="n">
        <v>45807</v>
      </c>
      <c r="H1767" s="17" t="inlineStr">
        <is>
          <t>CÔNG TY CỔ PHẦN CÔNG NGHIỆP VÀ THƯƠNG MẠI CƯỜNG THỊNH</t>
        </is>
      </c>
      <c r="I1767" s="17" t="inlineStr">
        <is>
          <t>STR H/H B A325M Type 1 ZP M20x70(70)</t>
        </is>
      </c>
      <c r="J1767" s="17" t="inlineStr">
        <is>
          <t>Cái</t>
        </is>
      </c>
      <c r="K1767" s="21" t="n">
        <v>23130</v>
      </c>
      <c r="L1767" s="21" t="n"/>
      <c r="M1767" s="22" t="n"/>
      <c r="N1767" s="22" t="n">
        <v>183</v>
      </c>
      <c r="O1767" s="22" t="n">
        <v>4232790</v>
      </c>
      <c r="P1767" s="22" t="n">
        <v>183</v>
      </c>
      <c r="Q1767" s="22" t="n">
        <v>4232790</v>
      </c>
      <c r="R1767" s="42">
        <f>+L1767+N1767-P1767</f>
        <v/>
      </c>
      <c r="S1767" s="42">
        <f>+M1767+O1767-Q1767</f>
        <v/>
      </c>
    </row>
    <row r="1768" ht="30" customHeight="1">
      <c r="A1768" s="16" t="n">
        <v>45807</v>
      </c>
      <c r="B1768" s="17" t="inlineStr">
        <is>
          <t>MH2505-52C</t>
        </is>
      </c>
      <c r="C1768" s="16" t="n">
        <v>45807</v>
      </c>
      <c r="D1768" s="17" t="inlineStr">
        <is>
          <t>00002000</t>
        </is>
      </c>
      <c r="E1768" s="16" t="n">
        <v>45807</v>
      </c>
      <c r="F1768" s="16" t="inlineStr">
        <is>
          <t>XK2505-18</t>
        </is>
      </c>
      <c r="G1768" s="16" t="n">
        <v>45807</v>
      </c>
      <c r="H1768" s="17" t="inlineStr">
        <is>
          <t>CÔNG TY CỔ PHẦN CÔNG NGHIỆP VÀ THƯƠNG MẠI CƯỜNG THỊNH</t>
        </is>
      </c>
      <c r="I1768" s="17" t="inlineStr">
        <is>
          <t>H/H N A563M 10 ZP M20</t>
        </is>
      </c>
      <c r="J1768" s="17" t="inlineStr">
        <is>
          <t>Cái</t>
        </is>
      </c>
      <c r="K1768" s="21" t="n">
        <v>5410</v>
      </c>
      <c r="L1768" s="21" t="n"/>
      <c r="M1768" s="22" t="n"/>
      <c r="N1768" s="22" t="n">
        <v>183</v>
      </c>
      <c r="O1768" s="22" t="n">
        <v>990030</v>
      </c>
      <c r="P1768" s="22" t="n">
        <v>183</v>
      </c>
      <c r="Q1768" s="22" t="n">
        <v>990030</v>
      </c>
      <c r="R1768" s="42">
        <f>+L1768+N1768-P1768</f>
        <v/>
      </c>
      <c r="S1768" s="42">
        <f>+M1768+O1768-Q1768</f>
        <v/>
      </c>
    </row>
    <row r="1769" ht="30" customHeight="1">
      <c r="A1769" s="16" t="n">
        <v>45807</v>
      </c>
      <c r="B1769" s="17" t="inlineStr">
        <is>
          <t>MH2505-52C</t>
        </is>
      </c>
      <c r="C1769" s="16" t="n">
        <v>45807</v>
      </c>
      <c r="D1769" s="17" t="inlineStr">
        <is>
          <t>00002000</t>
        </is>
      </c>
      <c r="E1769" s="16" t="n">
        <v>45807</v>
      </c>
      <c r="F1769" s="16" t="inlineStr">
        <is>
          <t>XK2505-18</t>
        </is>
      </c>
      <c r="G1769" s="16" t="n">
        <v>45807</v>
      </c>
      <c r="H1769" s="17" t="inlineStr">
        <is>
          <t>CÔNG TY CỔ PHẦN CÔNG NGHIỆP VÀ THƯƠNG MẠI CƯỜNG THỊNH</t>
        </is>
      </c>
      <c r="I1769" s="17" t="inlineStr">
        <is>
          <t>W F436M Type 1 ZP M20</t>
        </is>
      </c>
      <c r="J1769" s="17" t="inlineStr">
        <is>
          <t>Cái</t>
        </is>
      </c>
      <c r="K1769" s="21" t="n">
        <v>1500</v>
      </c>
      <c r="L1769" s="21" t="n"/>
      <c r="M1769" s="22" t="n"/>
      <c r="N1769" s="22" t="n">
        <v>183</v>
      </c>
      <c r="O1769" s="22" t="n">
        <v>274500</v>
      </c>
      <c r="P1769" s="22" t="n">
        <v>183</v>
      </c>
      <c r="Q1769" s="22" t="n">
        <v>274500</v>
      </c>
      <c r="R1769" s="42">
        <f>+L1769+N1769-P1769</f>
        <v/>
      </c>
      <c r="S1769" s="42">
        <f>+M1769+O1769-Q1769</f>
        <v/>
      </c>
    </row>
    <row r="1770" ht="30" customHeight="1">
      <c r="A1770" s="16" t="n">
        <v>45807</v>
      </c>
      <c r="B1770" s="17" t="inlineStr">
        <is>
          <t>MH2505-52C</t>
        </is>
      </c>
      <c r="C1770" s="16" t="n">
        <v>45807</v>
      </c>
      <c r="D1770" s="17" t="inlineStr">
        <is>
          <t>00002000</t>
        </is>
      </c>
      <c r="E1770" s="16" t="n">
        <v>45807</v>
      </c>
      <c r="F1770" s="16" t="inlineStr">
        <is>
          <t>XK2505-18</t>
        </is>
      </c>
      <c r="G1770" s="16" t="n">
        <v>45807</v>
      </c>
      <c r="H1770" s="17" t="inlineStr">
        <is>
          <t>CÔNG TY CỔ PHẦN CÔNG NGHIỆP VÀ THƯƠNG MẠI CƯỜNG THỊNH</t>
        </is>
      </c>
      <c r="I1770" s="17" t="inlineStr">
        <is>
          <t>STR H/H B A325M Type 1 ZP M20x80(80)</t>
        </is>
      </c>
      <c r="J1770" s="17" t="inlineStr">
        <is>
          <t>Cái</t>
        </is>
      </c>
      <c r="K1770" s="21" t="n">
        <v>25110</v>
      </c>
      <c r="L1770" s="21" t="n"/>
      <c r="M1770" s="22" t="n"/>
      <c r="N1770" s="22" t="n">
        <v>29</v>
      </c>
      <c r="O1770" s="22" t="n">
        <v>728190</v>
      </c>
      <c r="P1770" s="22" t="n">
        <v>29</v>
      </c>
      <c r="Q1770" s="22" t="n">
        <v>728190</v>
      </c>
      <c r="R1770" s="42">
        <f>+L1770+N1770-P1770</f>
        <v/>
      </c>
      <c r="S1770" s="42">
        <f>+M1770+O1770-Q1770</f>
        <v/>
      </c>
    </row>
    <row r="1771" ht="30" customHeight="1">
      <c r="A1771" s="16" t="n">
        <v>45807</v>
      </c>
      <c r="B1771" s="17" t="inlineStr">
        <is>
          <t>MH2505-52C</t>
        </is>
      </c>
      <c r="C1771" s="16" t="n">
        <v>45807</v>
      </c>
      <c r="D1771" s="17" t="inlineStr">
        <is>
          <t>00002000</t>
        </is>
      </c>
      <c r="E1771" s="16" t="n">
        <v>45807</v>
      </c>
      <c r="F1771" s="16" t="inlineStr">
        <is>
          <t>XK2505-18</t>
        </is>
      </c>
      <c r="G1771" s="16" t="n">
        <v>45807</v>
      </c>
      <c r="H1771" s="17" t="inlineStr">
        <is>
          <t>CÔNG TY CỔ PHẦN CÔNG NGHIỆP VÀ THƯƠNG MẠI CƯỜNG THỊNH</t>
        </is>
      </c>
      <c r="I1771" s="17" t="inlineStr">
        <is>
          <t>H/H N A563M 10 ZP M20</t>
        </is>
      </c>
      <c r="J1771" s="17" t="inlineStr">
        <is>
          <t>Cái</t>
        </is>
      </c>
      <c r="K1771" s="21" t="n">
        <v>5410</v>
      </c>
      <c r="L1771" s="21" t="n"/>
      <c r="M1771" s="22" t="n"/>
      <c r="N1771" s="22" t="n">
        <v>29</v>
      </c>
      <c r="O1771" s="22" t="n">
        <v>156890</v>
      </c>
      <c r="P1771" s="22" t="n">
        <v>29</v>
      </c>
      <c r="Q1771" s="22" t="n">
        <v>156890</v>
      </c>
      <c r="R1771" s="42">
        <f>+L1771+N1771-P1771</f>
        <v/>
      </c>
      <c r="S1771" s="42">
        <f>+M1771+O1771-Q1771</f>
        <v/>
      </c>
    </row>
    <row r="1772" ht="30" customHeight="1">
      <c r="A1772" s="16" t="n">
        <v>45807</v>
      </c>
      <c r="B1772" s="17" t="inlineStr">
        <is>
          <t>MH2505-52C</t>
        </is>
      </c>
      <c r="C1772" s="16" t="n">
        <v>45807</v>
      </c>
      <c r="D1772" s="17" t="inlineStr">
        <is>
          <t>00002000</t>
        </is>
      </c>
      <c r="E1772" s="16" t="n">
        <v>45807</v>
      </c>
      <c r="F1772" s="16" t="inlineStr">
        <is>
          <t>XK2505-18</t>
        </is>
      </c>
      <c r="G1772" s="16" t="n">
        <v>45807</v>
      </c>
      <c r="H1772" s="17" t="inlineStr">
        <is>
          <t>CÔNG TY CỔ PHẦN CÔNG NGHIỆP VÀ THƯƠNG MẠI CƯỜNG THỊNH</t>
        </is>
      </c>
      <c r="I1772" s="17" t="inlineStr">
        <is>
          <t>W F436M Type 1 ZP M20</t>
        </is>
      </c>
      <c r="J1772" s="17" t="inlineStr">
        <is>
          <t>Cái</t>
        </is>
      </c>
      <c r="K1772" s="21" t="n">
        <v>1500</v>
      </c>
      <c r="L1772" s="21" t="n"/>
      <c r="M1772" s="22" t="n"/>
      <c r="N1772" s="22" t="n">
        <v>29</v>
      </c>
      <c r="O1772" s="22" t="n">
        <v>43500</v>
      </c>
      <c r="P1772" s="22" t="n">
        <v>29</v>
      </c>
      <c r="Q1772" s="22" t="n">
        <v>43500</v>
      </c>
      <c r="R1772" s="42">
        <f>+L1772+N1772-P1772</f>
        <v/>
      </c>
      <c r="S1772" s="42">
        <f>+M1772+O1772-Q1772</f>
        <v/>
      </c>
    </row>
    <row r="1773" ht="30" customHeight="1">
      <c r="A1773" s="16" t="n">
        <v>45807</v>
      </c>
      <c r="B1773" s="17" t="inlineStr">
        <is>
          <t>MH2505-52C</t>
        </is>
      </c>
      <c r="C1773" s="16" t="n">
        <v>45807</v>
      </c>
      <c r="D1773" s="17" t="inlineStr">
        <is>
          <t>00002000</t>
        </is>
      </c>
      <c r="E1773" s="16" t="n">
        <v>45807</v>
      </c>
      <c r="F1773" s="16" t="inlineStr">
        <is>
          <t>XK2505-18</t>
        </is>
      </c>
      <c r="G1773" s="16" t="n">
        <v>45807</v>
      </c>
      <c r="H1773" s="17" t="inlineStr">
        <is>
          <t>CÔNG TY CỔ PHẦN CÔNG NGHIỆP VÀ THƯƠNG MẠI CƯỜNG THỊNH</t>
        </is>
      </c>
      <c r="I1773" s="17" t="inlineStr">
        <is>
          <t>STR H/H B A325M Type 1 ZP M27x80(80)</t>
        </is>
      </c>
      <c r="J1773" s="17" t="inlineStr">
        <is>
          <t>Cái</t>
        </is>
      </c>
      <c r="K1773" s="21" t="n">
        <v>50910</v>
      </c>
      <c r="L1773" s="21" t="n"/>
      <c r="M1773" s="22" t="n"/>
      <c r="N1773" s="22" t="n">
        <v>16</v>
      </c>
      <c r="O1773" s="22" t="n">
        <v>814560</v>
      </c>
      <c r="P1773" s="22" t="n">
        <v>16</v>
      </c>
      <c r="Q1773" s="22" t="n">
        <v>814560</v>
      </c>
      <c r="R1773" s="42">
        <f>+L1773+N1773-P1773</f>
        <v/>
      </c>
      <c r="S1773" s="42">
        <f>+M1773+O1773-Q1773</f>
        <v/>
      </c>
    </row>
    <row r="1774" ht="30" customHeight="1">
      <c r="A1774" s="16" t="n">
        <v>45807</v>
      </c>
      <c r="B1774" s="17" t="inlineStr">
        <is>
          <t>MH2505-52C</t>
        </is>
      </c>
      <c r="C1774" s="16" t="n">
        <v>45807</v>
      </c>
      <c r="D1774" s="17" t="inlineStr">
        <is>
          <t>00002000</t>
        </is>
      </c>
      <c r="E1774" s="16" t="n">
        <v>45807</v>
      </c>
      <c r="F1774" s="16" t="inlineStr">
        <is>
          <t>XK2505-18</t>
        </is>
      </c>
      <c r="G1774" s="16" t="n">
        <v>45807</v>
      </c>
      <c r="H1774" s="17" t="inlineStr">
        <is>
          <t>CÔNG TY CỔ PHẦN CÔNG NGHIỆP VÀ THƯƠNG MẠI CƯỜNG THỊNH</t>
        </is>
      </c>
      <c r="I1774" s="17" t="inlineStr">
        <is>
          <t>H/H N A563M 10 ZP M27</t>
        </is>
      </c>
      <c r="J1774" s="17" t="inlineStr">
        <is>
          <t>Cái</t>
        </is>
      </c>
      <c r="K1774" s="21" t="n">
        <v>15730</v>
      </c>
      <c r="L1774" s="21" t="n"/>
      <c r="M1774" s="22" t="n"/>
      <c r="N1774" s="22" t="n">
        <v>16</v>
      </c>
      <c r="O1774" s="22" t="n">
        <v>251680</v>
      </c>
      <c r="P1774" s="22" t="n">
        <v>16</v>
      </c>
      <c r="Q1774" s="22" t="n">
        <v>251680</v>
      </c>
      <c r="R1774" s="42">
        <f>+L1774+N1774-P1774</f>
        <v/>
      </c>
      <c r="S1774" s="42">
        <f>+M1774+O1774-Q1774</f>
        <v/>
      </c>
    </row>
    <row r="1775" ht="30" customHeight="1">
      <c r="A1775" s="16" t="n">
        <v>45807</v>
      </c>
      <c r="B1775" s="17" t="inlineStr">
        <is>
          <t>MH2505-52C</t>
        </is>
      </c>
      <c r="C1775" s="16" t="n">
        <v>45807</v>
      </c>
      <c r="D1775" s="17" t="inlineStr">
        <is>
          <t>00002000</t>
        </is>
      </c>
      <c r="E1775" s="16" t="n">
        <v>45807</v>
      </c>
      <c r="F1775" s="16" t="inlineStr">
        <is>
          <t>XK2505-18</t>
        </is>
      </c>
      <c r="G1775" s="16" t="n">
        <v>45807</v>
      </c>
      <c r="H1775" s="17" t="inlineStr">
        <is>
          <t>CÔNG TY CỔ PHẦN CÔNG NGHIỆP VÀ THƯƠNG MẠI CƯỜNG THỊNH</t>
        </is>
      </c>
      <c r="I1775" s="17" t="inlineStr">
        <is>
          <t>W F436M Type 1 ZP M27</t>
        </is>
      </c>
      <c r="J1775" s="17" t="inlineStr">
        <is>
          <t>Cái</t>
        </is>
      </c>
      <c r="K1775" s="21" t="n">
        <v>2810</v>
      </c>
      <c r="L1775" s="21" t="n"/>
      <c r="M1775" s="22" t="n"/>
      <c r="N1775" s="22" t="n">
        <v>16</v>
      </c>
      <c r="O1775" s="22" t="n">
        <v>44960</v>
      </c>
      <c r="P1775" s="22" t="n">
        <v>16</v>
      </c>
      <c r="Q1775" s="22" t="n">
        <v>44960</v>
      </c>
      <c r="R1775" s="42">
        <f>+L1775+N1775-P1775</f>
        <v/>
      </c>
      <c r="S1775" s="42">
        <f>+M1775+O1775-Q1775</f>
        <v/>
      </c>
    </row>
    <row r="1776" ht="30" customHeight="1">
      <c r="A1776" s="16" t="n">
        <v>45807</v>
      </c>
      <c r="B1776" s="17" t="inlineStr">
        <is>
          <t>MH2505-52C</t>
        </is>
      </c>
      <c r="C1776" s="16" t="n">
        <v>45807</v>
      </c>
      <c r="D1776" s="17" t="inlineStr">
        <is>
          <t>00002000</t>
        </is>
      </c>
      <c r="E1776" s="16" t="n">
        <v>45807</v>
      </c>
      <c r="F1776" s="16" t="inlineStr">
        <is>
          <t>XK2505-18</t>
        </is>
      </c>
      <c r="G1776" s="16" t="n">
        <v>45807</v>
      </c>
      <c r="H1776" s="17" t="inlineStr">
        <is>
          <t>CÔNG TY CỔ PHẦN CÔNG NGHIỆP VÀ THƯƠNG MẠI CƯỜNG THỊNH</t>
        </is>
      </c>
      <c r="I1776" s="17" t="inlineStr">
        <is>
          <t>STR H/H B A325M Type 1 ZP M30x90(90)</t>
        </is>
      </c>
      <c r="J1776" s="17" t="inlineStr">
        <is>
          <t>Cái</t>
        </is>
      </c>
      <c r="K1776" s="21" t="n">
        <v>30440</v>
      </c>
      <c r="L1776" s="21" t="n"/>
      <c r="M1776" s="22" t="n"/>
      <c r="N1776" s="22" t="n">
        <v>58</v>
      </c>
      <c r="O1776" s="22" t="n">
        <v>1765520</v>
      </c>
      <c r="P1776" s="22" t="n">
        <v>58</v>
      </c>
      <c r="Q1776" s="22" t="n">
        <v>1765520</v>
      </c>
      <c r="R1776" s="42">
        <f>+L1776+N1776-P1776</f>
        <v/>
      </c>
      <c r="S1776" s="42">
        <f>+M1776+O1776-Q1776</f>
        <v/>
      </c>
    </row>
    <row r="1777" ht="30" customHeight="1">
      <c r="A1777" s="16" t="n">
        <v>45807</v>
      </c>
      <c r="B1777" s="17" t="inlineStr">
        <is>
          <t>MH2505-52C</t>
        </is>
      </c>
      <c r="C1777" s="16" t="n">
        <v>45807</v>
      </c>
      <c r="D1777" s="17" t="inlineStr">
        <is>
          <t>00002000</t>
        </is>
      </c>
      <c r="E1777" s="16" t="n">
        <v>45807</v>
      </c>
      <c r="F1777" s="16" t="inlineStr">
        <is>
          <t>XK2505-18</t>
        </is>
      </c>
      <c r="G1777" s="16" t="n">
        <v>45807</v>
      </c>
      <c r="H1777" s="17" t="inlineStr">
        <is>
          <t>CÔNG TY CỔ PHẦN CÔNG NGHIỆP VÀ THƯƠNG MẠI CƯỜNG THỊNH</t>
        </is>
      </c>
      <c r="I1777" s="17" t="inlineStr">
        <is>
          <t>H/H N A563M 10 ZP M30</t>
        </is>
      </c>
      <c r="J1777" s="17" t="inlineStr">
        <is>
          <t>Cái</t>
        </is>
      </c>
      <c r="K1777" s="21" t="n">
        <v>16790</v>
      </c>
      <c r="L1777" s="21" t="n"/>
      <c r="M1777" s="22" t="n"/>
      <c r="N1777" s="22" t="n">
        <v>58</v>
      </c>
      <c r="O1777" s="22" t="n">
        <v>973820</v>
      </c>
      <c r="P1777" s="22" t="n">
        <v>58</v>
      </c>
      <c r="Q1777" s="22" t="n">
        <v>973820</v>
      </c>
      <c r="R1777" s="42">
        <f>+L1777+N1777-P1777</f>
        <v/>
      </c>
      <c r="S1777" s="42">
        <f>+M1777+O1777-Q1777</f>
        <v/>
      </c>
    </row>
    <row r="1778" ht="30" customHeight="1">
      <c r="A1778" s="16" t="n">
        <v>45807</v>
      </c>
      <c r="B1778" s="17" t="inlineStr">
        <is>
          <t>MH2505-52C</t>
        </is>
      </c>
      <c r="C1778" s="16" t="n">
        <v>45807</v>
      </c>
      <c r="D1778" s="17" t="inlineStr">
        <is>
          <t>00002000</t>
        </is>
      </c>
      <c r="E1778" s="16" t="n">
        <v>45807</v>
      </c>
      <c r="F1778" s="16" t="inlineStr">
        <is>
          <t>XK2505-18</t>
        </is>
      </c>
      <c r="G1778" s="16" t="n">
        <v>45807</v>
      </c>
      <c r="H1778" s="17" t="inlineStr">
        <is>
          <t>CÔNG TY CỔ PHẦN CÔNG NGHIỆP VÀ THƯƠNG MẠI CƯỜNG THỊNH</t>
        </is>
      </c>
      <c r="I1778" s="17" t="inlineStr">
        <is>
          <t>W F436M Type 1 ZP M30</t>
        </is>
      </c>
      <c r="J1778" s="17" t="inlineStr">
        <is>
          <t>Cái</t>
        </is>
      </c>
      <c r="K1778" s="21" t="n">
        <v>2630</v>
      </c>
      <c r="L1778" s="21" t="n"/>
      <c r="M1778" s="22" t="n"/>
      <c r="N1778" s="22" t="n">
        <v>58</v>
      </c>
      <c r="O1778" s="22" t="n">
        <v>152540</v>
      </c>
      <c r="P1778" s="22" t="n">
        <v>58</v>
      </c>
      <c r="Q1778" s="22" t="n">
        <v>152540</v>
      </c>
      <c r="R1778" s="42">
        <f>+L1778+N1778-P1778</f>
        <v/>
      </c>
      <c r="S1778" s="42">
        <f>+M1778+O1778-Q1778</f>
        <v/>
      </c>
    </row>
    <row r="1779" ht="30" customHeight="1">
      <c r="A1779" s="16" t="n">
        <v>45807</v>
      </c>
      <c r="B1779" s="17" t="inlineStr">
        <is>
          <t>MH2505-52C</t>
        </is>
      </c>
      <c r="C1779" s="16" t="n">
        <v>45807</v>
      </c>
      <c r="D1779" s="17" t="inlineStr">
        <is>
          <t>00002000</t>
        </is>
      </c>
      <c r="E1779" s="16" t="n">
        <v>45807</v>
      </c>
      <c r="F1779" s="16" t="inlineStr">
        <is>
          <t>XK2505-18</t>
        </is>
      </c>
      <c r="G1779" s="16" t="n">
        <v>45807</v>
      </c>
      <c r="H1779" s="17" t="inlineStr">
        <is>
          <t>CÔNG TY CỔ PHẦN CÔNG NGHIỆP VÀ THƯƠNG MẠI CƯỜNG THỊNH</t>
        </is>
      </c>
      <c r="I1779" s="17" t="inlineStr">
        <is>
          <t>Dịch vụ vận chuyển</t>
        </is>
      </c>
      <c r="J1779" s="17" t="inlineStr">
        <is>
          <t>Cái</t>
        </is>
      </c>
      <c r="K1779" s="21" t="n">
        <v>5000000</v>
      </c>
      <c r="L1779" s="21" t="n"/>
      <c r="M1779" s="22" t="n"/>
      <c r="N1779" s="22" t="n">
        <v>1</v>
      </c>
      <c r="O1779" s="22" t="n">
        <v>5000000</v>
      </c>
      <c r="P1779" s="22" t="n">
        <v>1</v>
      </c>
      <c r="Q1779" s="22" t="n">
        <v>5000000</v>
      </c>
      <c r="R1779" s="42">
        <f>+L1779+N1779-P1779</f>
        <v/>
      </c>
      <c r="S1779" s="42">
        <f>+M1779+O1779-Q1779</f>
        <v/>
      </c>
    </row>
    <row r="1780" ht="30" customHeight="1">
      <c r="A1780" s="16" t="n">
        <v>45808</v>
      </c>
      <c r="B1780" s="17" t="inlineStr">
        <is>
          <t>MH2505-52</t>
        </is>
      </c>
      <c r="C1780" s="16" t="n">
        <v>45808</v>
      </c>
      <c r="D1780" s="17" t="inlineStr">
        <is>
          <t>1172</t>
        </is>
      </c>
      <c r="E1780" s="16" t="n">
        <v>45808</v>
      </c>
      <c r="F1780" s="16" t="inlineStr">
        <is>
          <t>XK2505-19</t>
        </is>
      </c>
      <c r="G1780" s="16" t="n">
        <v>45808</v>
      </c>
      <c r="H1780" s="17" t="inlineStr">
        <is>
          <t>CÔNG TY TNHH THƯƠNG MẠI THÉP TOÀN THẮNG</t>
        </is>
      </c>
      <c r="I1780" s="17" t="inlineStr">
        <is>
          <t>Thép tấm 28x2000x12000mm   A572</t>
        </is>
      </c>
      <c r="J1780" s="17" t="inlineStr">
        <is>
          <t>kg</t>
        </is>
      </c>
      <c r="K1780" s="21" t="n">
        <v>14545</v>
      </c>
      <c r="L1780" s="21" t="n"/>
      <c r="M1780" s="22" t="n"/>
      <c r="N1780" s="22" t="n">
        <v>15825.6</v>
      </c>
      <c r="O1780" s="22" t="n">
        <v>230183352</v>
      </c>
      <c r="P1780" s="22" t="n">
        <v>15825.6</v>
      </c>
      <c r="Q1780" s="22" t="n">
        <v>230183352</v>
      </c>
      <c r="R1780" s="42">
        <f>+L1780+N1780-P1780</f>
        <v/>
      </c>
      <c r="S1780" s="42">
        <f>+M1780+O1780-Q1780</f>
        <v/>
      </c>
    </row>
    <row r="1781" ht="30" customHeight="1">
      <c r="A1781" s="16" t="n">
        <v>45808</v>
      </c>
      <c r="B1781" s="17" t="inlineStr">
        <is>
          <t>MH2505-52</t>
        </is>
      </c>
      <c r="C1781" s="16" t="n">
        <v>45808</v>
      </c>
      <c r="D1781" s="17" t="inlineStr">
        <is>
          <t>1172</t>
        </is>
      </c>
      <c r="E1781" s="16" t="n">
        <v>45808</v>
      </c>
      <c r="F1781" s="16" t="inlineStr">
        <is>
          <t>XK2505-19</t>
        </is>
      </c>
      <c r="G1781" s="16" t="n">
        <v>45808</v>
      </c>
      <c r="H1781" s="17" t="inlineStr">
        <is>
          <t>CÔNG TY TNHH THƯƠNG MẠI THÉP TOÀN THẮNG</t>
        </is>
      </c>
      <c r="I1781" s="17" t="inlineStr">
        <is>
          <t>Thép tấm 30x2000x12000mm  A572</t>
        </is>
      </c>
      <c r="J1781" s="17" t="inlineStr">
        <is>
          <t>kg</t>
        </is>
      </c>
      <c r="K1781" s="21" t="n">
        <v>14545</v>
      </c>
      <c r="L1781" s="21" t="n"/>
      <c r="M1781" s="22" t="n"/>
      <c r="N1781" s="22" t="n">
        <v>16956</v>
      </c>
      <c r="O1781" s="22" t="n">
        <v>246625020</v>
      </c>
      <c r="P1781" s="22" t="n">
        <v>16956</v>
      </c>
      <c r="Q1781" s="22" t="n">
        <v>246625020</v>
      </c>
      <c r="R1781" s="42">
        <f>+L1781+N1781-P1781</f>
        <v/>
      </c>
      <c r="S1781" s="42">
        <f>+M1781+O1781-Q1781</f>
        <v/>
      </c>
    </row>
    <row r="1782" ht="30" customHeight="1">
      <c r="A1782" s="16" t="n">
        <v>45808</v>
      </c>
      <c r="B1782" s="17" t="inlineStr">
        <is>
          <t>MH2505-53</t>
        </is>
      </c>
      <c r="C1782" s="16" t="n">
        <v>45808</v>
      </c>
      <c r="D1782" s="17" t="inlineStr">
        <is>
          <t>00000493</t>
        </is>
      </c>
      <c r="E1782" s="16" t="n">
        <v>45808</v>
      </c>
      <c r="F1782" s="16" t="inlineStr">
        <is>
          <t>XK2505-20</t>
        </is>
      </c>
      <c r="G1782" s="16" t="n">
        <v>45808</v>
      </c>
      <c r="H1782" s="17" t="inlineStr">
        <is>
          <t>CÔNG TY TNHH XUẤT NHẬP KHẨU THƯƠNG MẠI KIÊN HOÀNG</t>
        </is>
      </c>
      <c r="I1782" s="17" t="inlineStr">
        <is>
          <t>Thép tấm (91x450x5032mm)</t>
        </is>
      </c>
      <c r="J1782" s="17" t="inlineStr">
        <is>
          <t>kg</t>
        </is>
      </c>
      <c r="K1782" s="21" t="n">
        <v>16909.09</v>
      </c>
      <c r="L1782" s="21" t="n"/>
      <c r="M1782" s="22" t="n"/>
      <c r="N1782" s="22" t="n">
        <v>4852.72</v>
      </c>
      <c r="O1782" s="22" t="n">
        <v>82055079</v>
      </c>
      <c r="P1782" s="22" t="n">
        <v>4852.72</v>
      </c>
      <c r="Q1782" s="22" t="n">
        <v>82055079</v>
      </c>
      <c r="R1782" s="42">
        <f>+L1782+N1782-P1782</f>
        <v/>
      </c>
      <c r="S1782" s="42">
        <f>+M1782+O1782-Q1782</f>
        <v/>
      </c>
    </row>
    <row r="1783" ht="30" customHeight="1">
      <c r="A1783" s="16" t="n">
        <v>45808</v>
      </c>
      <c r="B1783" s="17" t="inlineStr">
        <is>
          <t>MH2505-53</t>
        </is>
      </c>
      <c r="C1783" s="16" t="n">
        <v>45808</v>
      </c>
      <c r="D1783" s="17" t="inlineStr">
        <is>
          <t>00000493</t>
        </is>
      </c>
      <c r="E1783" s="16" t="n">
        <v>45808</v>
      </c>
      <c r="F1783" s="16" t="inlineStr">
        <is>
          <t>XK2505-20</t>
        </is>
      </c>
      <c r="G1783" s="16" t="n">
        <v>45808</v>
      </c>
      <c r="H1783" s="17" t="inlineStr">
        <is>
          <t>CÔNG TY TNHH XUẤT NHẬP KHẨU THƯƠNG MẠI KIÊN HOÀNG</t>
        </is>
      </c>
      <c r="I1783" s="17" t="inlineStr">
        <is>
          <t>Thép tấm (91x450x6212mm)</t>
        </is>
      </c>
      <c r="J1783" s="17" t="inlineStr">
        <is>
          <t>kg</t>
        </is>
      </c>
      <c r="K1783" s="21" t="n">
        <v>16909.09</v>
      </c>
      <c r="L1783" s="21" t="n"/>
      <c r="M1783" s="22" t="n"/>
      <c r="N1783" s="22" t="n">
        <v>3993.79</v>
      </c>
      <c r="O1783" s="22" t="n">
        <v>67531355</v>
      </c>
      <c r="P1783" s="22" t="n">
        <v>3993.79</v>
      </c>
      <c r="Q1783" s="22" t="n">
        <v>67531355</v>
      </c>
      <c r="R1783" s="42">
        <f>+L1783+N1783-P1783</f>
        <v/>
      </c>
      <c r="S1783" s="42">
        <f>+M1783+O1783-Q1783</f>
        <v/>
      </c>
    </row>
    <row r="1784" ht="30" customHeight="1">
      <c r="A1784" s="16" t="n">
        <v>45808</v>
      </c>
      <c r="B1784" s="17" t="inlineStr">
        <is>
          <t>MH2505-53</t>
        </is>
      </c>
      <c r="C1784" s="16" t="n">
        <v>45808</v>
      </c>
      <c r="D1784" s="17" t="inlineStr">
        <is>
          <t>00000493</t>
        </is>
      </c>
      <c r="E1784" s="16" t="n">
        <v>45808</v>
      </c>
      <c r="F1784" s="16" t="inlineStr">
        <is>
          <t>XK2505-20</t>
        </is>
      </c>
      <c r="G1784" s="16" t="n">
        <v>45808</v>
      </c>
      <c r="H1784" s="17" t="inlineStr">
        <is>
          <t>CÔNG TY TNHH XUẤT NHẬP KHẨU THƯƠNG MẠI KIÊN HOÀNG</t>
        </is>
      </c>
      <c r="I1784" s="17" t="inlineStr">
        <is>
          <t>Thép tấm (91x450x5766mm)</t>
        </is>
      </c>
      <c r="J1784" s="17" t="inlineStr">
        <is>
          <t>kg</t>
        </is>
      </c>
      <c r="K1784" s="21" t="n">
        <v>16909.09</v>
      </c>
      <c r="L1784" s="21" t="n"/>
      <c r="M1784" s="22" t="n"/>
      <c r="N1784" s="22" t="n">
        <v>3707.05</v>
      </c>
      <c r="O1784" s="22" t="n">
        <v>62682842</v>
      </c>
      <c r="P1784" s="22" t="n">
        <v>3707.05</v>
      </c>
      <c r="Q1784" s="22" t="n">
        <v>62682842</v>
      </c>
      <c r="R1784" s="42">
        <f>+L1784+N1784-P1784</f>
        <v/>
      </c>
      <c r="S1784" s="42">
        <f>+M1784+O1784-Q1784</f>
        <v/>
      </c>
    </row>
    <row r="1785" ht="30" customHeight="1">
      <c r="A1785" s="16" t="n">
        <v>45808</v>
      </c>
      <c r="B1785" s="17" t="inlineStr">
        <is>
          <t>MH2505-53</t>
        </is>
      </c>
      <c r="C1785" s="16" t="n">
        <v>45808</v>
      </c>
      <c r="D1785" s="17" t="inlineStr">
        <is>
          <t>00000493</t>
        </is>
      </c>
      <c r="E1785" s="16" t="n">
        <v>45808</v>
      </c>
      <c r="F1785" s="16" t="inlineStr">
        <is>
          <t>XK2505-20</t>
        </is>
      </c>
      <c r="G1785" s="16" t="n">
        <v>45808</v>
      </c>
      <c r="H1785" s="17" t="inlineStr">
        <is>
          <t>CÔNG TY TNHH XUẤT NHẬP KHẨU THƯƠNG MẠI KIÊN HOÀNG</t>
        </is>
      </c>
      <c r="I1785" s="17" t="inlineStr">
        <is>
          <t>Thép tấm (91x450x7402mm)</t>
        </is>
      </c>
      <c r="J1785" s="17" t="inlineStr">
        <is>
          <t>kg</t>
        </is>
      </c>
      <c r="K1785" s="21" t="n">
        <v>16909.09</v>
      </c>
      <c r="L1785" s="21" t="n"/>
      <c r="M1785" s="22" t="n"/>
      <c r="N1785" s="22" t="n">
        <v>7138.29</v>
      </c>
      <c r="O1785" s="22" t="n">
        <v>120701988</v>
      </c>
      <c r="P1785" s="22" t="n">
        <v>7138.29</v>
      </c>
      <c r="Q1785" s="22" t="n">
        <v>120701988</v>
      </c>
      <c r="R1785" s="42">
        <f>+L1785+N1785-P1785</f>
        <v/>
      </c>
      <c r="S1785" s="42">
        <f>+M1785+O1785-Q1785</f>
        <v/>
      </c>
    </row>
    <row r="1786" ht="30" customHeight="1">
      <c r="A1786" s="16" t="n">
        <v>45808</v>
      </c>
      <c r="B1786" s="17" t="inlineStr">
        <is>
          <t>MH2505-53</t>
        </is>
      </c>
      <c r="C1786" s="16" t="n">
        <v>45808</v>
      </c>
      <c r="D1786" s="17" t="inlineStr">
        <is>
          <t>00000493</t>
        </is>
      </c>
      <c r="E1786" s="16" t="n">
        <v>45808</v>
      </c>
      <c r="F1786" s="16" t="inlineStr">
        <is>
          <t>XK2505-20</t>
        </is>
      </c>
      <c r="G1786" s="16" t="n">
        <v>45808</v>
      </c>
      <c r="H1786" s="17" t="inlineStr">
        <is>
          <t>CÔNG TY TNHH XUẤT NHẬP KHẨU THƯƠNG MẠI KIÊN HOÀNG</t>
        </is>
      </c>
      <c r="I1786" s="17" t="inlineStr">
        <is>
          <t>Thép tấm (91x450x2742mm)</t>
        </is>
      </c>
      <c r="J1786" s="17" t="inlineStr">
        <is>
          <t>kg</t>
        </is>
      </c>
      <c r="K1786" s="21" t="n">
        <v>16909.09</v>
      </c>
      <c r="L1786" s="21" t="n"/>
      <c r="M1786" s="22" t="n"/>
      <c r="N1786" s="22" t="n">
        <v>5288.62</v>
      </c>
      <c r="O1786" s="22" t="n">
        <v>89425752</v>
      </c>
      <c r="P1786" s="22" t="n">
        <v>5288.62</v>
      </c>
      <c r="Q1786" s="22" t="n">
        <v>89425752</v>
      </c>
      <c r="R1786" s="42">
        <f>+L1786+N1786-P1786</f>
        <v/>
      </c>
      <c r="S1786" s="42">
        <f>+M1786+O1786-Q1786</f>
        <v/>
      </c>
    </row>
    <row r="1787" ht="30" customHeight="1">
      <c r="A1787" s="16" t="n">
        <v>45808</v>
      </c>
      <c r="B1787" s="17" t="inlineStr">
        <is>
          <t>MH2505-53</t>
        </is>
      </c>
      <c r="C1787" s="16" t="n">
        <v>45808</v>
      </c>
      <c r="D1787" s="17" t="inlineStr">
        <is>
          <t>00000493</t>
        </is>
      </c>
      <c r="E1787" s="16" t="n">
        <v>45808</v>
      </c>
      <c r="F1787" s="16" t="inlineStr">
        <is>
          <t>XK2505-20</t>
        </is>
      </c>
      <c r="G1787" s="16" t="n">
        <v>45808</v>
      </c>
      <c r="H1787" s="17" t="inlineStr">
        <is>
          <t>CÔNG TY TNHH XUẤT NHẬP KHẨU THƯƠNG MẠI KIÊN HOÀNG</t>
        </is>
      </c>
      <c r="I1787" s="17" t="inlineStr">
        <is>
          <t>Thép tấm (91x450x5776mm)</t>
        </is>
      </c>
      <c r="J1787" s="17" t="inlineStr">
        <is>
          <t>kg</t>
        </is>
      </c>
      <c r="K1787" s="21" t="n">
        <v>16909.09</v>
      </c>
      <c r="L1787" s="21" t="n"/>
      <c r="M1787" s="22" t="n"/>
      <c r="N1787" s="22" t="n">
        <v>3713.48</v>
      </c>
      <c r="O1787" s="22" t="n">
        <v>62791568</v>
      </c>
      <c r="P1787" s="22" t="n">
        <v>3713.48</v>
      </c>
      <c r="Q1787" s="22" t="n">
        <v>62791568</v>
      </c>
      <c r="R1787" s="42">
        <f>+L1787+N1787-P1787</f>
        <v/>
      </c>
      <c r="S1787" s="42">
        <f>+M1787+O1787-Q1787</f>
        <v/>
      </c>
    </row>
    <row r="1788" ht="30" customHeight="1">
      <c r="A1788" s="16" t="n">
        <v>45808</v>
      </c>
      <c r="B1788" s="17" t="inlineStr">
        <is>
          <t>MH2505-53</t>
        </is>
      </c>
      <c r="C1788" s="16" t="n">
        <v>45808</v>
      </c>
      <c r="D1788" s="17" t="inlineStr">
        <is>
          <t>00000493</t>
        </is>
      </c>
      <c r="E1788" s="16" t="n">
        <v>45808</v>
      </c>
      <c r="F1788" s="16" t="inlineStr">
        <is>
          <t>XK2505-20</t>
        </is>
      </c>
      <c r="G1788" s="16" t="n">
        <v>45808</v>
      </c>
      <c r="H1788" s="17" t="inlineStr">
        <is>
          <t>CÔNG TY TNHH XUẤT NHẬP KHẨU THƯƠNG MẠI KIÊN HOÀNG</t>
        </is>
      </c>
      <c r="I1788" s="17" t="inlineStr">
        <is>
          <t>Thép tấm (91x450x6217mm)</t>
        </is>
      </c>
      <c r="J1788" s="17" t="inlineStr">
        <is>
          <t>kg</t>
        </is>
      </c>
      <c r="K1788" s="21" t="n">
        <v>16909.09</v>
      </c>
      <c r="L1788" s="21" t="n"/>
      <c r="M1788" s="22" t="n"/>
      <c r="N1788" s="22" t="n">
        <v>3997</v>
      </c>
      <c r="O1788" s="22" t="n">
        <v>67585633</v>
      </c>
      <c r="P1788" s="22" t="n">
        <v>3997</v>
      </c>
      <c r="Q1788" s="22" t="n">
        <v>67585633</v>
      </c>
      <c r="R1788" s="42">
        <f>+L1788+N1788-P1788</f>
        <v/>
      </c>
      <c r="S1788" s="42">
        <f>+M1788+O1788-Q1788</f>
        <v/>
      </c>
    </row>
    <row r="1789" ht="30" customHeight="1">
      <c r="A1789" s="16" t="n">
        <v>45808</v>
      </c>
      <c r="B1789" s="17" t="inlineStr">
        <is>
          <t>MH2505-54</t>
        </is>
      </c>
      <c r="C1789" s="16" t="n">
        <v>45808</v>
      </c>
      <c r="D1789" s="17" t="inlineStr">
        <is>
          <t>00002039</t>
        </is>
      </c>
      <c r="E1789" s="16" t="n">
        <v>45808</v>
      </c>
      <c r="F1789" s="16" t="inlineStr">
        <is>
          <t>XK2505-21</t>
        </is>
      </c>
      <c r="G1789" s="16" t="n">
        <v>45808</v>
      </c>
      <c r="H1789" s="17" t="inlineStr">
        <is>
          <t>CÔNG TY CỔ PHẦN CÔNG NGHIỆP VÀ THƯƠNG MẠI CƯỜNG THỊNH</t>
        </is>
      </c>
      <c r="I1789" s="17" t="inlineStr">
        <is>
          <t>Đai ốc Din 934 8 ZP M30</t>
        </is>
      </c>
      <c r="J1789" s="17" t="inlineStr">
        <is>
          <t>Cái</t>
        </is>
      </c>
      <c r="K1789" s="21" t="n">
        <v>8310</v>
      </c>
      <c r="L1789" s="21" t="n"/>
      <c r="M1789" s="22" t="n"/>
      <c r="N1789" s="22" t="n">
        <v>200</v>
      </c>
      <c r="O1789" s="22" t="n">
        <v>1662000</v>
      </c>
      <c r="P1789" s="22" t="n">
        <v>200</v>
      </c>
      <c r="Q1789" s="22" t="n">
        <v>1662000</v>
      </c>
      <c r="R1789" s="42">
        <f>+L1789+N1789-P1789</f>
        <v/>
      </c>
      <c r="S1789" s="42">
        <f>+M1789+O1789-Q1789</f>
        <v/>
      </c>
    </row>
    <row r="1790" ht="15" customHeight="1">
      <c r="A1790" s="16" t="n">
        <v>45808</v>
      </c>
      <c r="B1790" s="17" t="inlineStr">
        <is>
          <t>MH2505-55</t>
        </is>
      </c>
      <c r="C1790" s="16" t="n">
        <v>45808</v>
      </c>
      <c r="D1790" s="17" t="inlineStr">
        <is>
          <t>00001839</t>
        </is>
      </c>
      <c r="E1790" s="16" t="n">
        <v>45808</v>
      </c>
      <c r="F1790" s="16" t="inlineStr">
        <is>
          <t>XK2505-22</t>
        </is>
      </c>
      <c r="G1790" s="16" t="n">
        <v>45808</v>
      </c>
      <c r="H1790" s="17" t="inlineStr">
        <is>
          <t>CÔNG TY TNHH TÂN MỸ HẠNH</t>
        </is>
      </c>
      <c r="I1790" s="17" t="inlineStr">
        <is>
          <t>Thép dày mạ kẽm</t>
        </is>
      </c>
      <c r="J1790" s="17" t="inlineStr">
        <is>
          <t>kg</t>
        </is>
      </c>
      <c r="K1790" s="21" t="n">
        <v>22696</v>
      </c>
      <c r="L1790" s="21" t="n"/>
      <c r="M1790" s="22" t="n"/>
      <c r="N1790" s="22" t="n">
        <v>305.5912</v>
      </c>
      <c r="O1790" s="22" t="n">
        <v>6935698</v>
      </c>
      <c r="P1790" s="22" t="n">
        <v>305.5912</v>
      </c>
      <c r="Q1790" s="22" t="n">
        <v>6935698</v>
      </c>
      <c r="R1790" s="42">
        <f>+L1790+N1790-P1790</f>
        <v/>
      </c>
      <c r="S1790" s="42">
        <f>+M1790+O1790-Q1790</f>
        <v/>
      </c>
    </row>
    <row r="1791" ht="15" customHeight="1">
      <c r="A1791" s="16" t="n">
        <v>45808</v>
      </c>
      <c r="B1791" s="17" t="inlineStr">
        <is>
          <t>MH2505-55</t>
        </is>
      </c>
      <c r="C1791" s="16" t="n">
        <v>45808</v>
      </c>
      <c r="D1791" s="17" t="inlineStr">
        <is>
          <t>00001839</t>
        </is>
      </c>
      <c r="E1791" s="16" t="n">
        <v>45808</v>
      </c>
      <c r="F1791" s="16" t="inlineStr">
        <is>
          <t>XK2505-22</t>
        </is>
      </c>
      <c r="G1791" s="16" t="n">
        <v>45808</v>
      </c>
      <c r="H1791" s="17" t="inlineStr">
        <is>
          <t>CÔNG TY TNHH TÂN MỸ HẠNH</t>
        </is>
      </c>
      <c r="I1791" s="17" t="inlineStr">
        <is>
          <t>Xà gồ kẽm Z</t>
        </is>
      </c>
      <c r="J1791" s="17" t="inlineStr">
        <is>
          <t>kg</t>
        </is>
      </c>
      <c r="K1791" s="21" t="n">
        <v>18976</v>
      </c>
      <c r="L1791" s="21" t="n"/>
      <c r="M1791" s="22" t="n"/>
      <c r="N1791" s="22" t="n">
        <v>11256.13</v>
      </c>
      <c r="O1791" s="22" t="n">
        <v>213596323</v>
      </c>
      <c r="P1791" s="22" t="n">
        <v>11256.13</v>
      </c>
      <c r="Q1791" s="22" t="n">
        <v>213596323</v>
      </c>
      <c r="R1791" s="42">
        <f>+L1791+N1791-P1791</f>
        <v/>
      </c>
      <c r="S1791" s="42">
        <f>+M1791+O1791-Q1791</f>
        <v/>
      </c>
    </row>
    <row r="1792" ht="30" customHeight="1">
      <c r="A1792" s="16" t="n">
        <v>45808</v>
      </c>
      <c r="B1792" s="17" t="inlineStr">
        <is>
          <t>MH2505-56</t>
        </is>
      </c>
      <c r="C1792" s="16" t="n">
        <v>45808</v>
      </c>
      <c r="D1792" s="17" t="inlineStr">
        <is>
          <t>00002046</t>
        </is>
      </c>
      <c r="E1792" s="16" t="n">
        <v>45808</v>
      </c>
      <c r="F1792" s="16" t="inlineStr">
        <is>
          <t>XK2505-23</t>
        </is>
      </c>
      <c r="G1792" s="16" t="n">
        <v>45808</v>
      </c>
      <c r="H1792" s="17" t="inlineStr">
        <is>
          <t>CÔNG TY CỔ PHẦN CÔNG NGHIỆP VÀ THƯƠNG MẠI CƯỜNG THỊNH</t>
        </is>
      </c>
      <c r="I1792" s="17" t="inlineStr">
        <is>
          <t>STR H/H B A325M Type 1 ZP M30x90(90)</t>
        </is>
      </c>
      <c r="J1792" s="17" t="inlineStr">
        <is>
          <t>Cái</t>
        </is>
      </c>
      <c r="K1792" s="21" t="n">
        <v>30440</v>
      </c>
      <c r="L1792" s="21" t="n"/>
      <c r="M1792" s="22" t="n"/>
      <c r="N1792" s="22" t="n">
        <v>1785</v>
      </c>
      <c r="O1792" s="22" t="n">
        <v>54335400</v>
      </c>
      <c r="P1792" s="22" t="n">
        <v>1785</v>
      </c>
      <c r="Q1792" s="22" t="n">
        <v>54335400</v>
      </c>
      <c r="R1792" s="42">
        <f>+L1792+N1792-P1792</f>
        <v/>
      </c>
      <c r="S1792" s="42">
        <f>+M1792+O1792-Q1792</f>
        <v/>
      </c>
    </row>
    <row r="1793" ht="30" customHeight="1">
      <c r="A1793" s="16" t="n">
        <v>45808</v>
      </c>
      <c r="B1793" s="17" t="inlineStr">
        <is>
          <t>MH2505-56</t>
        </is>
      </c>
      <c r="C1793" s="16" t="n">
        <v>45808</v>
      </c>
      <c r="D1793" s="17" t="inlineStr">
        <is>
          <t>00002046</t>
        </is>
      </c>
      <c r="E1793" s="16" t="n">
        <v>45808</v>
      </c>
      <c r="F1793" s="16" t="inlineStr">
        <is>
          <t>XK2505-23</t>
        </is>
      </c>
      <c r="G1793" s="16" t="n">
        <v>45808</v>
      </c>
      <c r="H1793" s="17" t="inlineStr">
        <is>
          <t>CÔNG TY CỔ PHẦN CÔNG NGHIỆP VÀ THƯƠNG MẠI CƯỜNG THỊNH</t>
        </is>
      </c>
      <c r="I1793" s="17" t="inlineStr">
        <is>
          <t>H/H N A563M 10 ZP M30</t>
        </is>
      </c>
      <c r="J1793" s="17" t="inlineStr">
        <is>
          <t>Cái</t>
        </is>
      </c>
      <c r="K1793" s="21" t="n">
        <v>16790</v>
      </c>
      <c r="L1793" s="21" t="n"/>
      <c r="M1793" s="22" t="n"/>
      <c r="N1793" s="22" t="n">
        <v>1785</v>
      </c>
      <c r="O1793" s="22" t="n">
        <v>29970150</v>
      </c>
      <c r="P1793" s="22" t="n">
        <v>1785</v>
      </c>
      <c r="Q1793" s="22" t="n">
        <v>29970150</v>
      </c>
      <c r="R1793" s="42">
        <f>+L1793+N1793-P1793</f>
        <v/>
      </c>
      <c r="S1793" s="42">
        <f>+M1793+O1793-Q1793</f>
        <v/>
      </c>
    </row>
    <row r="1794" ht="30" customHeight="1">
      <c r="A1794" s="16" t="n">
        <v>45808</v>
      </c>
      <c r="B1794" s="17" t="inlineStr">
        <is>
          <t>MH2505-56</t>
        </is>
      </c>
      <c r="C1794" s="16" t="n">
        <v>45808</v>
      </c>
      <c r="D1794" s="17" t="inlineStr">
        <is>
          <t>00002046</t>
        </is>
      </c>
      <c r="E1794" s="16" t="n">
        <v>45808</v>
      </c>
      <c r="F1794" s="16" t="inlineStr">
        <is>
          <t>XK2505-23</t>
        </is>
      </c>
      <c r="G1794" s="16" t="n">
        <v>45808</v>
      </c>
      <c r="H1794" s="17" t="inlineStr">
        <is>
          <t>CÔNG TY CỔ PHẦN CÔNG NGHIỆP VÀ THƯƠNG MẠI CƯỜNG THỊNH</t>
        </is>
      </c>
      <c r="I1794" s="17" t="inlineStr">
        <is>
          <t>W F436M Type 1 ZP M30</t>
        </is>
      </c>
      <c r="J1794" s="17" t="inlineStr">
        <is>
          <t>Cái</t>
        </is>
      </c>
      <c r="K1794" s="21" t="n">
        <v>2630</v>
      </c>
      <c r="L1794" s="21" t="n"/>
      <c r="M1794" s="22" t="n"/>
      <c r="N1794" s="22" t="n">
        <v>1785</v>
      </c>
      <c r="O1794" s="22" t="n">
        <v>4694550</v>
      </c>
      <c r="P1794" s="22" t="n">
        <v>1785</v>
      </c>
      <c r="Q1794" s="22" t="n">
        <v>4694550</v>
      </c>
      <c r="R1794" s="42">
        <f>+L1794+N1794-P1794</f>
        <v/>
      </c>
      <c r="S1794" s="42">
        <f>+M1794+O1794-Q1794</f>
        <v/>
      </c>
    </row>
    <row r="1795" ht="30" customHeight="1">
      <c r="A1795" s="16" t="n">
        <v>45808</v>
      </c>
      <c r="B1795" s="17" t="inlineStr">
        <is>
          <t>MH2505-56</t>
        </is>
      </c>
      <c r="C1795" s="16" t="n">
        <v>45808</v>
      </c>
      <c r="D1795" s="17" t="inlineStr">
        <is>
          <t>00002046</t>
        </is>
      </c>
      <c r="E1795" s="16" t="n">
        <v>45808</v>
      </c>
      <c r="F1795" s="16" t="inlineStr">
        <is>
          <t>XK2505-23</t>
        </is>
      </c>
      <c r="G1795" s="16" t="n">
        <v>45808</v>
      </c>
      <c r="H1795" s="17" t="inlineStr">
        <is>
          <t>CÔNG TY CỔ PHẦN CÔNG NGHIỆP VÀ THƯƠNG MẠI CƯỜNG THỊNH</t>
        </is>
      </c>
      <c r="I1795" s="17" t="inlineStr">
        <is>
          <t>STR H/H B A325M Type 1 ZP M30x100(100)</t>
        </is>
      </c>
      <c r="J1795" s="17" t="inlineStr">
        <is>
          <t>Cái</t>
        </is>
      </c>
      <c r="K1795" s="21" t="n">
        <v>32910</v>
      </c>
      <c r="L1795" s="21" t="n"/>
      <c r="M1795" s="22" t="n"/>
      <c r="N1795" s="22" t="n">
        <v>1792</v>
      </c>
      <c r="O1795" s="22" t="n">
        <v>58974720</v>
      </c>
      <c r="P1795" s="22" t="n">
        <v>1792</v>
      </c>
      <c r="Q1795" s="22" t="n">
        <v>58974720</v>
      </c>
      <c r="R1795" s="42">
        <f>+L1795+N1795-P1795</f>
        <v/>
      </c>
      <c r="S1795" s="42">
        <f>+M1795+O1795-Q1795</f>
        <v/>
      </c>
    </row>
    <row r="1796" ht="30" customHeight="1">
      <c r="A1796" s="16" t="n">
        <v>45808</v>
      </c>
      <c r="B1796" s="17" t="inlineStr">
        <is>
          <t>MH2505-56</t>
        </is>
      </c>
      <c r="C1796" s="16" t="n">
        <v>45808</v>
      </c>
      <c r="D1796" s="17" t="inlineStr">
        <is>
          <t>00002046</t>
        </is>
      </c>
      <c r="E1796" s="16" t="n">
        <v>45808</v>
      </c>
      <c r="F1796" s="16" t="inlineStr">
        <is>
          <t>XK2505-23</t>
        </is>
      </c>
      <c r="G1796" s="16" t="n">
        <v>45808</v>
      </c>
      <c r="H1796" s="17" t="inlineStr">
        <is>
          <t>CÔNG TY CỔ PHẦN CÔNG NGHIỆP VÀ THƯƠNG MẠI CƯỜNG THỊNH</t>
        </is>
      </c>
      <c r="I1796" s="17" t="inlineStr">
        <is>
          <t>H/H N A563M 10 ZP M30</t>
        </is>
      </c>
      <c r="J1796" s="17" t="inlineStr">
        <is>
          <t>Cái</t>
        </is>
      </c>
      <c r="K1796" s="21" t="n">
        <v>16790</v>
      </c>
      <c r="L1796" s="21" t="n"/>
      <c r="M1796" s="22" t="n"/>
      <c r="N1796" s="22" t="n">
        <v>1792</v>
      </c>
      <c r="O1796" s="22" t="n">
        <v>30087680</v>
      </c>
      <c r="P1796" s="22" t="n">
        <v>1792</v>
      </c>
      <c r="Q1796" s="22" t="n">
        <v>30087680</v>
      </c>
      <c r="R1796" s="42">
        <f>+L1796+N1796-P1796</f>
        <v/>
      </c>
      <c r="S1796" s="42">
        <f>+M1796+O1796-Q1796</f>
        <v/>
      </c>
    </row>
    <row r="1797" ht="30" customHeight="1">
      <c r="A1797" s="16" t="n">
        <v>45808</v>
      </c>
      <c r="B1797" s="17" t="inlineStr">
        <is>
          <t>MH2505-56</t>
        </is>
      </c>
      <c r="C1797" s="16" t="n">
        <v>45808</v>
      </c>
      <c r="D1797" s="17" t="inlineStr">
        <is>
          <t>00002046</t>
        </is>
      </c>
      <c r="E1797" s="16" t="n">
        <v>45808</v>
      </c>
      <c r="F1797" s="16" t="inlineStr">
        <is>
          <t>XK2505-23</t>
        </is>
      </c>
      <c r="G1797" s="16" t="n">
        <v>45808</v>
      </c>
      <c r="H1797" s="17" t="inlineStr">
        <is>
          <t>CÔNG TY CỔ PHẦN CÔNG NGHIỆP VÀ THƯƠNG MẠI CƯỜNG THỊNH</t>
        </is>
      </c>
      <c r="I1797" s="17" t="inlineStr">
        <is>
          <t>W F436M Type 1 ZP M30</t>
        </is>
      </c>
      <c r="J1797" s="17" t="inlineStr">
        <is>
          <t>Cái</t>
        </is>
      </c>
      <c r="K1797" s="21" t="n">
        <v>2630</v>
      </c>
      <c r="L1797" s="21" t="n"/>
      <c r="M1797" s="22" t="n"/>
      <c r="N1797" s="22" t="n">
        <v>1792</v>
      </c>
      <c r="O1797" s="22" t="n">
        <v>4712960</v>
      </c>
      <c r="P1797" s="22" t="n">
        <v>1792</v>
      </c>
      <c r="Q1797" s="22" t="n">
        <v>4712960</v>
      </c>
      <c r="R1797" s="42">
        <f>+L1797+N1797-P1797</f>
        <v/>
      </c>
      <c r="S1797" s="42">
        <f>+M1797+O1797-Q1797</f>
        <v/>
      </c>
    </row>
    <row r="1798" ht="30" customHeight="1">
      <c r="A1798" s="16" t="n">
        <v>45808</v>
      </c>
      <c r="B1798" s="17" t="inlineStr">
        <is>
          <t>MH2505-56</t>
        </is>
      </c>
      <c r="C1798" s="16" t="n">
        <v>45808</v>
      </c>
      <c r="D1798" s="17" t="inlineStr">
        <is>
          <t>00002046</t>
        </is>
      </c>
      <c r="E1798" s="16" t="n">
        <v>45808</v>
      </c>
      <c r="F1798" s="16" t="inlineStr">
        <is>
          <t>XK2505-23</t>
        </is>
      </c>
      <c r="G1798" s="16" t="n">
        <v>45808</v>
      </c>
      <c r="H1798" s="17" t="inlineStr">
        <is>
          <t>CÔNG TY CỔ PHẦN CÔNG NGHIỆP VÀ THƯƠNG MẠI CƯỜNG THỊNH</t>
        </is>
      </c>
      <c r="I1798" s="17" t="inlineStr">
        <is>
          <t>STR H/H B A325M Type 1 ZP M30x110(110)</t>
        </is>
      </c>
      <c r="J1798" s="17" t="inlineStr">
        <is>
          <t>Cái</t>
        </is>
      </c>
      <c r="K1798" s="21" t="n">
        <v>34410</v>
      </c>
      <c r="L1798" s="21" t="n"/>
      <c r="M1798" s="22" t="n"/>
      <c r="N1798" s="22" t="n">
        <v>1029</v>
      </c>
      <c r="O1798" s="22" t="n">
        <v>35407890</v>
      </c>
      <c r="P1798" s="22" t="n">
        <v>1029</v>
      </c>
      <c r="Q1798" s="22" t="n">
        <v>35407890</v>
      </c>
      <c r="R1798" s="42">
        <f>+L1798+N1798-P1798</f>
        <v/>
      </c>
      <c r="S1798" s="42">
        <f>+M1798+O1798-Q1798</f>
        <v/>
      </c>
    </row>
    <row r="1799" ht="30" customHeight="1">
      <c r="A1799" s="16" t="n">
        <v>45808</v>
      </c>
      <c r="B1799" s="17" t="inlineStr">
        <is>
          <t>MH2505-56</t>
        </is>
      </c>
      <c r="C1799" s="16" t="n">
        <v>45808</v>
      </c>
      <c r="D1799" s="17" t="inlineStr">
        <is>
          <t>00002046</t>
        </is>
      </c>
      <c r="E1799" s="16" t="n">
        <v>45808</v>
      </c>
      <c r="F1799" s="16" t="inlineStr">
        <is>
          <t>XK2505-23</t>
        </is>
      </c>
      <c r="G1799" s="16" t="n">
        <v>45808</v>
      </c>
      <c r="H1799" s="17" t="inlineStr">
        <is>
          <t>CÔNG TY CỔ PHẦN CÔNG NGHIỆP VÀ THƯƠNG MẠI CƯỜNG THỊNH</t>
        </is>
      </c>
      <c r="I1799" s="17" t="inlineStr">
        <is>
          <t>H/H N A563M 10 ZP M30</t>
        </is>
      </c>
      <c r="J1799" s="17" t="inlineStr">
        <is>
          <t>Cái</t>
        </is>
      </c>
      <c r="K1799" s="21" t="n">
        <v>16790</v>
      </c>
      <c r="L1799" s="21" t="n"/>
      <c r="M1799" s="22" t="n"/>
      <c r="N1799" s="22" t="n">
        <v>1029</v>
      </c>
      <c r="O1799" s="22" t="n">
        <v>17276910</v>
      </c>
      <c r="P1799" s="22" t="n">
        <v>1029</v>
      </c>
      <c r="Q1799" s="22" t="n">
        <v>17276910</v>
      </c>
      <c r="R1799" s="42">
        <f>+L1799+N1799-P1799</f>
        <v/>
      </c>
      <c r="S1799" s="42">
        <f>+M1799+O1799-Q1799</f>
        <v/>
      </c>
    </row>
    <row r="1800" ht="30" customHeight="1">
      <c r="A1800" s="16" t="n">
        <v>45808</v>
      </c>
      <c r="B1800" s="17" t="inlineStr">
        <is>
          <t>MH2505-56</t>
        </is>
      </c>
      <c r="C1800" s="16" t="n">
        <v>45808</v>
      </c>
      <c r="D1800" s="17" t="inlineStr">
        <is>
          <t>00002046</t>
        </is>
      </c>
      <c r="E1800" s="16" t="n">
        <v>45808</v>
      </c>
      <c r="F1800" s="16" t="inlineStr">
        <is>
          <t>XK2505-23</t>
        </is>
      </c>
      <c r="G1800" s="16" t="n">
        <v>45808</v>
      </c>
      <c r="H1800" s="17" t="inlineStr">
        <is>
          <t>CÔNG TY CỔ PHẦN CÔNG NGHIỆP VÀ THƯƠNG MẠI CƯỜNG THỊNH</t>
        </is>
      </c>
      <c r="I1800" s="17" t="inlineStr">
        <is>
          <t>W F436M Type 1 ZP M30</t>
        </is>
      </c>
      <c r="J1800" s="17" t="inlineStr">
        <is>
          <t>Cái</t>
        </is>
      </c>
      <c r="K1800" s="21" t="n">
        <v>2630</v>
      </c>
      <c r="L1800" s="21" t="n"/>
      <c r="M1800" s="22" t="n"/>
      <c r="N1800" s="22" t="n">
        <v>1029</v>
      </c>
      <c r="O1800" s="22" t="n">
        <v>2706270</v>
      </c>
      <c r="P1800" s="22" t="n">
        <v>1029</v>
      </c>
      <c r="Q1800" s="22" t="n">
        <v>2706270</v>
      </c>
      <c r="R1800" s="42">
        <f>+L1800+N1800-P1800</f>
        <v/>
      </c>
      <c r="S1800" s="42">
        <f>+M1800+O1800-Q1800</f>
        <v/>
      </c>
    </row>
    <row r="1801" ht="30" customHeight="1">
      <c r="A1801" s="16" t="n">
        <v>45808</v>
      </c>
      <c r="B1801" s="17" t="inlineStr">
        <is>
          <t>MH2505-56</t>
        </is>
      </c>
      <c r="C1801" s="16" t="n">
        <v>45808</v>
      </c>
      <c r="D1801" s="17" t="inlineStr">
        <is>
          <t>00002046</t>
        </is>
      </c>
      <c r="E1801" s="16" t="n">
        <v>45808</v>
      </c>
      <c r="F1801" s="16" t="inlineStr">
        <is>
          <t>XK2505-23</t>
        </is>
      </c>
      <c r="G1801" s="16" t="n">
        <v>45808</v>
      </c>
      <c r="H1801" s="17" t="inlineStr">
        <is>
          <t>CÔNG TY CỔ PHẦN CÔNG NGHIỆP VÀ THƯƠNG MẠI CƯỜNG THỊNH</t>
        </is>
      </c>
      <c r="I1801" s="17" t="inlineStr">
        <is>
          <t>H/H N A563M 10 ZP M30</t>
        </is>
      </c>
      <c r="J1801" s="17" t="inlineStr">
        <is>
          <t>Cái</t>
        </is>
      </c>
      <c r="K1801" s="21" t="n">
        <v>16790</v>
      </c>
      <c r="L1801" s="21" t="n"/>
      <c r="M1801" s="22" t="n"/>
      <c r="N1801" s="22" t="n">
        <v>1724</v>
      </c>
      <c r="O1801" s="22" t="n">
        <v>28945960</v>
      </c>
      <c r="P1801" s="22" t="n">
        <v>1724</v>
      </c>
      <c r="Q1801" s="22" t="n">
        <v>28945960</v>
      </c>
      <c r="R1801" s="42">
        <f>+L1801+N1801-P1801</f>
        <v/>
      </c>
      <c r="S1801" s="42">
        <f>+M1801+O1801-Q1801</f>
        <v/>
      </c>
    </row>
    <row r="1802" ht="30" customHeight="1">
      <c r="A1802" s="16" t="n">
        <v>45808</v>
      </c>
      <c r="B1802" s="17" t="inlineStr">
        <is>
          <t>MH2505-56</t>
        </is>
      </c>
      <c r="C1802" s="16" t="n">
        <v>45808</v>
      </c>
      <c r="D1802" s="17" t="inlineStr">
        <is>
          <t>00002046</t>
        </is>
      </c>
      <c r="E1802" s="16" t="n">
        <v>45808</v>
      </c>
      <c r="F1802" s="16" t="inlineStr">
        <is>
          <t>XK2505-23</t>
        </is>
      </c>
      <c r="G1802" s="16" t="n">
        <v>45808</v>
      </c>
      <c r="H1802" s="17" t="inlineStr">
        <is>
          <t>CÔNG TY CỔ PHẦN CÔNG NGHIỆP VÀ THƯƠNG MẠI CƯỜNG THỊNH</t>
        </is>
      </c>
      <c r="I1802" s="17" t="inlineStr">
        <is>
          <t>W F436M Type 1 ZP M30</t>
        </is>
      </c>
      <c r="J1802" s="17" t="inlineStr">
        <is>
          <t>Cái</t>
        </is>
      </c>
      <c r="K1802" s="21" t="n">
        <v>2630</v>
      </c>
      <c r="L1802" s="21" t="n"/>
      <c r="M1802" s="22" t="n"/>
      <c r="N1802" s="22" t="n">
        <v>1724</v>
      </c>
      <c r="O1802" s="22" t="n">
        <v>4534120</v>
      </c>
      <c r="P1802" s="22" t="n">
        <v>1724</v>
      </c>
      <c r="Q1802" s="22" t="n">
        <v>4534120</v>
      </c>
      <c r="R1802" s="42">
        <f>+L1802+N1802-P1802</f>
        <v/>
      </c>
      <c r="S1802" s="42">
        <f>+M1802+O1802-Q1802</f>
        <v/>
      </c>
    </row>
    <row r="1803" ht="30" customHeight="1">
      <c r="A1803" s="16" t="n">
        <v>45808</v>
      </c>
      <c r="B1803" s="17" t="inlineStr">
        <is>
          <t>MH2505-56</t>
        </is>
      </c>
      <c r="C1803" s="16" t="n">
        <v>45808</v>
      </c>
      <c r="D1803" s="17" t="inlineStr">
        <is>
          <t>00002046</t>
        </is>
      </c>
      <c r="E1803" s="16" t="n">
        <v>45808</v>
      </c>
      <c r="F1803" s="16" t="inlineStr">
        <is>
          <t>XK2505-23</t>
        </is>
      </c>
      <c r="G1803" s="16" t="n">
        <v>45808</v>
      </c>
      <c r="H1803" s="17" t="inlineStr">
        <is>
          <t>CÔNG TY CỔ PHẦN CÔNG NGHIỆP VÀ THƯƠNG MẠI CƯỜNG THỊNH</t>
        </is>
      </c>
      <c r="I1803" s="17" t="inlineStr">
        <is>
          <t>STR H/H B A325M Type 1 ZP M30x120(120)</t>
        </is>
      </c>
      <c r="J1803" s="17" t="inlineStr">
        <is>
          <t>Cái</t>
        </is>
      </c>
      <c r="K1803" s="21" t="n">
        <v>36120</v>
      </c>
      <c r="L1803" s="21" t="n"/>
      <c r="M1803" s="22" t="n"/>
      <c r="N1803" s="22" t="n">
        <v>1724</v>
      </c>
      <c r="O1803" s="22" t="n">
        <v>62270880</v>
      </c>
      <c r="P1803" s="22" t="n">
        <v>1724</v>
      </c>
      <c r="Q1803" s="22" t="n">
        <v>62270880</v>
      </c>
      <c r="R1803" s="42">
        <f>+L1803+N1803-P1803</f>
        <v/>
      </c>
      <c r="S1803" s="42">
        <f>+M1803+O1803-Q1803</f>
        <v/>
      </c>
    </row>
    <row r="1804" ht="30" customHeight="1">
      <c r="A1804" s="16" t="n">
        <v>45808</v>
      </c>
      <c r="B1804" s="17" t="inlineStr">
        <is>
          <t>MH2505-56</t>
        </is>
      </c>
      <c r="C1804" s="16" t="n">
        <v>45808</v>
      </c>
      <c r="D1804" s="17" t="inlineStr">
        <is>
          <t>00002046</t>
        </is>
      </c>
      <c r="E1804" s="16" t="n">
        <v>45808</v>
      </c>
      <c r="F1804" s="16" t="inlineStr">
        <is>
          <t>XK2505-23</t>
        </is>
      </c>
      <c r="G1804" s="16" t="n">
        <v>45808</v>
      </c>
      <c r="H1804" s="17" t="inlineStr">
        <is>
          <t>CÔNG TY CỔ PHẦN CÔNG NGHIỆP VÀ THƯƠNG MẠI CƯỜNG THỊNH</t>
        </is>
      </c>
      <c r="I1804" s="17" t="inlineStr">
        <is>
          <t>H/H N A563M 10 ZP M30</t>
        </is>
      </c>
      <c r="J1804" s="17" t="inlineStr">
        <is>
          <t>Cái</t>
        </is>
      </c>
      <c r="K1804" s="21" t="n">
        <v>16790</v>
      </c>
      <c r="L1804" s="21" t="n"/>
      <c r="M1804" s="22" t="n"/>
      <c r="N1804" s="22" t="n">
        <v>1055</v>
      </c>
      <c r="O1804" s="22" t="n">
        <v>17713450</v>
      </c>
      <c r="P1804" s="22" t="n">
        <v>1055</v>
      </c>
      <c r="Q1804" s="22" t="n">
        <v>17713450</v>
      </c>
      <c r="R1804" s="42">
        <f>+L1804+N1804-P1804</f>
        <v/>
      </c>
      <c r="S1804" s="42">
        <f>+M1804+O1804-Q1804</f>
        <v/>
      </c>
    </row>
    <row r="1805" ht="30" customHeight="1">
      <c r="A1805" s="16" t="n">
        <v>45808</v>
      </c>
      <c r="B1805" s="17" t="inlineStr">
        <is>
          <t>MH2505-56</t>
        </is>
      </c>
      <c r="C1805" s="16" t="n">
        <v>45808</v>
      </c>
      <c r="D1805" s="17" t="inlineStr">
        <is>
          <t>00002046</t>
        </is>
      </c>
      <c r="E1805" s="16" t="n">
        <v>45808</v>
      </c>
      <c r="F1805" s="16" t="inlineStr">
        <is>
          <t>XK2505-23</t>
        </is>
      </c>
      <c r="G1805" s="16" t="n">
        <v>45808</v>
      </c>
      <c r="H1805" s="17" t="inlineStr">
        <is>
          <t>CÔNG TY CỔ PHẦN CÔNG NGHIỆP VÀ THƯƠNG MẠI CƯỜNG THỊNH</t>
        </is>
      </c>
      <c r="I1805" s="17" t="inlineStr">
        <is>
          <t>W F436M Type 1 ZP M30</t>
        </is>
      </c>
      <c r="J1805" s="17" t="inlineStr">
        <is>
          <t>Cái</t>
        </is>
      </c>
      <c r="K1805" s="21" t="n">
        <v>2630</v>
      </c>
      <c r="L1805" s="21" t="n"/>
      <c r="M1805" s="22" t="n"/>
      <c r="N1805" s="22" t="n">
        <v>1055</v>
      </c>
      <c r="O1805" s="22" t="n">
        <v>2774650</v>
      </c>
      <c r="P1805" s="22" t="n">
        <v>1055</v>
      </c>
      <c r="Q1805" s="22" t="n">
        <v>2774650</v>
      </c>
      <c r="R1805" s="42">
        <f>+L1805+N1805-P1805</f>
        <v/>
      </c>
      <c r="S1805" s="42">
        <f>+M1805+O1805-Q1805</f>
        <v/>
      </c>
    </row>
    <row r="1806" ht="30" customHeight="1">
      <c r="A1806" s="16" t="n">
        <v>45808</v>
      </c>
      <c r="B1806" s="17" t="inlineStr">
        <is>
          <t>MH2505-56</t>
        </is>
      </c>
      <c r="C1806" s="16" t="n">
        <v>45808</v>
      </c>
      <c r="D1806" s="17" t="inlineStr">
        <is>
          <t>00002046</t>
        </is>
      </c>
      <c r="E1806" s="16" t="n">
        <v>45808</v>
      </c>
      <c r="F1806" s="16" t="inlineStr">
        <is>
          <t>XK2505-23</t>
        </is>
      </c>
      <c r="G1806" s="16" t="n">
        <v>45808</v>
      </c>
      <c r="H1806" s="17" t="inlineStr">
        <is>
          <t>CÔNG TY CỔ PHẦN CÔNG NGHIỆP VÀ THƯƠNG MẠI CƯỜNG THỊNH</t>
        </is>
      </c>
      <c r="I1806" s="17" t="inlineStr">
        <is>
          <t>STR H/H B A325M Type 1 ZP M30x130(130)</t>
        </is>
      </c>
      <c r="J1806" s="17" t="inlineStr">
        <is>
          <t>Cái</t>
        </is>
      </c>
      <c r="K1806" s="21" t="n">
        <v>38690</v>
      </c>
      <c r="L1806" s="21" t="n"/>
      <c r="M1806" s="22" t="n"/>
      <c r="N1806" s="22" t="n">
        <v>1055</v>
      </c>
      <c r="O1806" s="22" t="n">
        <v>40817950</v>
      </c>
      <c r="P1806" s="22" t="n">
        <v>1055</v>
      </c>
      <c r="Q1806" s="22" t="n">
        <v>40817950</v>
      </c>
      <c r="R1806" s="42">
        <f>+L1806+N1806-P1806</f>
        <v/>
      </c>
      <c r="S1806" s="42">
        <f>+M1806+O1806-Q1806</f>
        <v/>
      </c>
    </row>
    <row r="1807" ht="30" customHeight="1">
      <c r="A1807" s="16" t="n">
        <v>45808</v>
      </c>
      <c r="B1807" s="17" t="inlineStr">
        <is>
          <t>MH2505-56</t>
        </is>
      </c>
      <c r="C1807" s="16" t="n">
        <v>45808</v>
      </c>
      <c r="D1807" s="17" t="inlineStr">
        <is>
          <t>00002046</t>
        </is>
      </c>
      <c r="E1807" s="16" t="n">
        <v>45808</v>
      </c>
      <c r="F1807" s="16" t="inlineStr">
        <is>
          <t>XK2505-23</t>
        </is>
      </c>
      <c r="G1807" s="16" t="n">
        <v>45808</v>
      </c>
      <c r="H1807" s="17" t="inlineStr">
        <is>
          <t>CÔNG TY CỔ PHẦN CÔNG NGHIỆP VÀ THƯƠNG MẠI CƯỜNG THỊNH</t>
        </is>
      </c>
      <c r="I1807" s="17" t="inlineStr">
        <is>
          <t>STR H/H B A325M Type 1 ZP M30x140(140)</t>
        </is>
      </c>
      <c r="J1807" s="17" t="inlineStr">
        <is>
          <t>Cái</t>
        </is>
      </c>
      <c r="K1807" s="21" t="n">
        <v>40820</v>
      </c>
      <c r="L1807" s="21" t="n"/>
      <c r="M1807" s="22" t="n"/>
      <c r="N1807" s="22" t="n">
        <v>2087</v>
      </c>
      <c r="O1807" s="22" t="n">
        <v>85191340</v>
      </c>
      <c r="P1807" s="22" t="n">
        <v>2087</v>
      </c>
      <c r="Q1807" s="22" t="n">
        <v>85191340</v>
      </c>
      <c r="R1807" s="42">
        <f>+L1807+N1807-P1807</f>
        <v/>
      </c>
      <c r="S1807" s="42">
        <f>+M1807+O1807-Q1807</f>
        <v/>
      </c>
    </row>
    <row r="1808" ht="30" customHeight="1">
      <c r="A1808" s="16" t="n">
        <v>45808</v>
      </c>
      <c r="B1808" s="17" t="inlineStr">
        <is>
          <t>MH2505-56</t>
        </is>
      </c>
      <c r="C1808" s="16" t="n">
        <v>45808</v>
      </c>
      <c r="D1808" s="17" t="inlineStr">
        <is>
          <t>00002046</t>
        </is>
      </c>
      <c r="E1808" s="16" t="n">
        <v>45808</v>
      </c>
      <c r="F1808" s="16" t="inlineStr">
        <is>
          <t>XK2505-23</t>
        </is>
      </c>
      <c r="G1808" s="16" t="n">
        <v>45808</v>
      </c>
      <c r="H1808" s="17" t="inlineStr">
        <is>
          <t>CÔNG TY CỔ PHẦN CÔNG NGHIỆP VÀ THƯƠNG MẠI CƯỜNG THỊNH</t>
        </is>
      </c>
      <c r="I1808" s="17" t="inlineStr">
        <is>
          <t>H/H N A563M 10 ZP M30</t>
        </is>
      </c>
      <c r="J1808" s="17" t="inlineStr">
        <is>
          <t>Cái</t>
        </is>
      </c>
      <c r="K1808" s="21" t="n">
        <v>16790</v>
      </c>
      <c r="L1808" s="21" t="n"/>
      <c r="M1808" s="22" t="n"/>
      <c r="N1808" s="22" t="n">
        <v>2087</v>
      </c>
      <c r="O1808" s="22" t="n">
        <v>35040730</v>
      </c>
      <c r="P1808" s="22" t="n">
        <v>2087</v>
      </c>
      <c r="Q1808" s="22" t="n">
        <v>35040730</v>
      </c>
      <c r="R1808" s="42">
        <f>+L1808+N1808-P1808</f>
        <v/>
      </c>
      <c r="S1808" s="42">
        <f>+M1808+O1808-Q1808</f>
        <v/>
      </c>
    </row>
    <row r="1809" ht="30" customHeight="1">
      <c r="A1809" s="16" t="n">
        <v>45808</v>
      </c>
      <c r="B1809" s="17" t="inlineStr">
        <is>
          <t>MH2505-56</t>
        </is>
      </c>
      <c r="C1809" s="16" t="n">
        <v>45808</v>
      </c>
      <c r="D1809" s="17" t="inlineStr">
        <is>
          <t>00002046</t>
        </is>
      </c>
      <c r="E1809" s="16" t="n">
        <v>45808</v>
      </c>
      <c r="F1809" s="16" t="inlineStr">
        <is>
          <t>XK2505-23</t>
        </is>
      </c>
      <c r="G1809" s="16" t="n">
        <v>45808</v>
      </c>
      <c r="H1809" s="17" t="inlineStr">
        <is>
          <t>CÔNG TY CỔ PHẦN CÔNG NGHIỆP VÀ THƯƠNG MẠI CƯỜNG THỊNH</t>
        </is>
      </c>
      <c r="I1809" s="17" t="inlineStr">
        <is>
          <t>W F436M Type 1 ZP M30</t>
        </is>
      </c>
      <c r="J1809" s="17" t="inlineStr">
        <is>
          <t>Cái</t>
        </is>
      </c>
      <c r="K1809" s="21" t="n">
        <v>2630</v>
      </c>
      <c r="L1809" s="21" t="n"/>
      <c r="M1809" s="22" t="n"/>
      <c r="N1809" s="22" t="n">
        <v>2087</v>
      </c>
      <c r="O1809" s="22" t="n">
        <v>5488810</v>
      </c>
      <c r="P1809" s="22" t="n">
        <v>2087</v>
      </c>
      <c r="Q1809" s="22" t="n">
        <v>5488810</v>
      </c>
      <c r="R1809" s="42">
        <f>+L1809+N1809-P1809</f>
        <v/>
      </c>
      <c r="S1809" s="42">
        <f>+M1809+O1809-Q1809</f>
        <v/>
      </c>
    </row>
    <row r="1810" ht="30" customHeight="1">
      <c r="A1810" s="16" t="n">
        <v>45808</v>
      </c>
      <c r="B1810" s="17" t="inlineStr">
        <is>
          <t>MH2505-56</t>
        </is>
      </c>
      <c r="C1810" s="16" t="n">
        <v>45808</v>
      </c>
      <c r="D1810" s="17" t="inlineStr">
        <is>
          <t>00002046</t>
        </is>
      </c>
      <c r="E1810" s="16" t="n">
        <v>45808</v>
      </c>
      <c r="F1810" s="16" t="inlineStr">
        <is>
          <t>XK2505-23</t>
        </is>
      </c>
      <c r="G1810" s="16" t="n">
        <v>45808</v>
      </c>
      <c r="H1810" s="17" t="inlineStr">
        <is>
          <t>CÔNG TY CỔ PHẦN CÔNG NGHIỆP VÀ THƯƠNG MẠI CƯỜNG THỊNH</t>
        </is>
      </c>
      <c r="I1810" s="17" t="inlineStr">
        <is>
          <t>H/H N A563M 10 ZP M30</t>
        </is>
      </c>
      <c r="J1810" s="17" t="inlineStr">
        <is>
          <t>Cái</t>
        </is>
      </c>
      <c r="K1810" s="21" t="n">
        <v>16790</v>
      </c>
      <c r="L1810" s="21" t="n"/>
      <c r="M1810" s="22" t="n"/>
      <c r="N1810" s="22" t="n">
        <v>1387</v>
      </c>
      <c r="O1810" s="22" t="n">
        <v>23287730</v>
      </c>
      <c r="P1810" s="22" t="n">
        <v>1387</v>
      </c>
      <c r="Q1810" s="22" t="n">
        <v>23287730</v>
      </c>
      <c r="R1810" s="42">
        <f>+L1810+N1810-P1810</f>
        <v/>
      </c>
      <c r="S1810" s="42">
        <f>+M1810+O1810-Q1810</f>
        <v/>
      </c>
    </row>
    <row r="1811" ht="30" customHeight="1">
      <c r="A1811" s="16" t="n">
        <v>45808</v>
      </c>
      <c r="B1811" s="17" t="inlineStr">
        <is>
          <t>MH2505-56</t>
        </is>
      </c>
      <c r="C1811" s="16" t="n">
        <v>45808</v>
      </c>
      <c r="D1811" s="17" t="inlineStr">
        <is>
          <t>00002046</t>
        </is>
      </c>
      <c r="E1811" s="16" t="n">
        <v>45808</v>
      </c>
      <c r="F1811" s="16" t="inlineStr">
        <is>
          <t>XK2505-23</t>
        </is>
      </c>
      <c r="G1811" s="16" t="n">
        <v>45808</v>
      </c>
      <c r="H1811" s="17" t="inlineStr">
        <is>
          <t>CÔNG TY CỔ PHẦN CÔNG NGHIỆP VÀ THƯƠNG MẠI CƯỜNG THỊNH</t>
        </is>
      </c>
      <c r="I1811" s="17" t="inlineStr">
        <is>
          <t>W F436M Type 1 ZP M30</t>
        </is>
      </c>
      <c r="J1811" s="17" t="inlineStr">
        <is>
          <t>Cái</t>
        </is>
      </c>
      <c r="K1811" s="21" t="n">
        <v>2630</v>
      </c>
      <c r="L1811" s="21" t="n"/>
      <c r="M1811" s="22" t="n"/>
      <c r="N1811" s="22" t="n">
        <v>1387</v>
      </c>
      <c r="O1811" s="22" t="n">
        <v>3647810</v>
      </c>
      <c r="P1811" s="22" t="n">
        <v>1387</v>
      </c>
      <c r="Q1811" s="22" t="n">
        <v>3647810</v>
      </c>
      <c r="R1811" s="42">
        <f>+L1811+N1811-P1811</f>
        <v/>
      </c>
      <c r="S1811" s="42">
        <f>+M1811+O1811-Q1811</f>
        <v/>
      </c>
    </row>
    <row r="1812" ht="30" customHeight="1">
      <c r="A1812" s="16" t="n">
        <v>45808</v>
      </c>
      <c r="B1812" s="17" t="inlineStr">
        <is>
          <t>MH2505-56</t>
        </is>
      </c>
      <c r="C1812" s="16" t="n">
        <v>45808</v>
      </c>
      <c r="D1812" s="17" t="inlineStr">
        <is>
          <t>00002046</t>
        </is>
      </c>
      <c r="E1812" s="16" t="n">
        <v>45808</v>
      </c>
      <c r="F1812" s="16" t="inlineStr">
        <is>
          <t>XK2505-23</t>
        </is>
      </c>
      <c r="G1812" s="16" t="n">
        <v>45808</v>
      </c>
      <c r="H1812" s="17" t="inlineStr">
        <is>
          <t>CÔNG TY CỔ PHẦN CÔNG NGHIỆP VÀ THƯƠNG MẠI CƯỜNG THỊNH</t>
        </is>
      </c>
      <c r="I1812" s="17" t="inlineStr">
        <is>
          <t>STR H/H B A325M Type 1 ZP M30x150(150)</t>
        </is>
      </c>
      <c r="J1812" s="17" t="inlineStr">
        <is>
          <t>Cái</t>
        </is>
      </c>
      <c r="K1812" s="21" t="n">
        <v>42860</v>
      </c>
      <c r="L1812" s="21" t="n"/>
      <c r="M1812" s="22" t="n"/>
      <c r="N1812" s="22" t="n">
        <v>1387</v>
      </c>
      <c r="O1812" s="22" t="n">
        <v>59446820</v>
      </c>
      <c r="P1812" s="22" t="n">
        <v>1387</v>
      </c>
      <c r="Q1812" s="22" t="n">
        <v>59446820</v>
      </c>
      <c r="R1812" s="42">
        <f>+L1812+N1812-P1812</f>
        <v/>
      </c>
      <c r="S1812" s="42">
        <f>+M1812+O1812-Q1812</f>
        <v/>
      </c>
    </row>
    <row r="1813" ht="30" customHeight="1">
      <c r="A1813" s="16" t="n">
        <v>45808</v>
      </c>
      <c r="B1813" s="17" t="inlineStr">
        <is>
          <t>MH2505-56</t>
        </is>
      </c>
      <c r="C1813" s="16" t="n">
        <v>45808</v>
      </c>
      <c r="D1813" s="17" t="inlineStr">
        <is>
          <t>00002046</t>
        </is>
      </c>
      <c r="E1813" s="16" t="n">
        <v>45808</v>
      </c>
      <c r="F1813" s="16" t="inlineStr">
        <is>
          <t>XK2505-23</t>
        </is>
      </c>
      <c r="G1813" s="16" t="n">
        <v>45808</v>
      </c>
      <c r="H1813" s="17" t="inlineStr">
        <is>
          <t>CÔNG TY CỔ PHẦN CÔNG NGHIỆP VÀ THƯƠNG MẠI CƯỜNG THỊNH</t>
        </is>
      </c>
      <c r="I1813" s="17" t="inlineStr">
        <is>
          <t>STR H/H B A325M Type 1 ZP M30x160(160)</t>
        </is>
      </c>
      <c r="J1813" s="17" t="inlineStr">
        <is>
          <t>Cái</t>
        </is>
      </c>
      <c r="K1813" s="21" t="n">
        <v>45700</v>
      </c>
      <c r="L1813" s="21" t="n"/>
      <c r="M1813" s="22" t="n"/>
      <c r="N1813" s="22" t="n">
        <v>99</v>
      </c>
      <c r="O1813" s="22" t="n">
        <v>4524300</v>
      </c>
      <c r="P1813" s="22" t="n">
        <v>99</v>
      </c>
      <c r="Q1813" s="22" t="n">
        <v>4524300</v>
      </c>
      <c r="R1813" s="42">
        <f>+L1813+N1813-P1813</f>
        <v/>
      </c>
      <c r="S1813" s="42">
        <f>+M1813+O1813-Q1813</f>
        <v/>
      </c>
    </row>
    <row r="1814" ht="30" customHeight="1">
      <c r="A1814" s="16" t="n">
        <v>45808</v>
      </c>
      <c r="B1814" s="17" t="inlineStr">
        <is>
          <t>MH2505-56</t>
        </is>
      </c>
      <c r="C1814" s="16" t="n">
        <v>45808</v>
      </c>
      <c r="D1814" s="17" t="inlineStr">
        <is>
          <t>00002046</t>
        </is>
      </c>
      <c r="E1814" s="16" t="n">
        <v>45808</v>
      </c>
      <c r="F1814" s="16" t="inlineStr">
        <is>
          <t>XK2505-23</t>
        </is>
      </c>
      <c r="G1814" s="16" t="n">
        <v>45808</v>
      </c>
      <c r="H1814" s="17" t="inlineStr">
        <is>
          <t>CÔNG TY CỔ PHẦN CÔNG NGHIỆP VÀ THƯƠNG MẠI CƯỜNG THỊNH</t>
        </is>
      </c>
      <c r="I1814" s="17" t="inlineStr">
        <is>
          <t>H/H N A563M 10 ZP M30</t>
        </is>
      </c>
      <c r="J1814" s="17" t="inlineStr">
        <is>
          <t>Cái</t>
        </is>
      </c>
      <c r="K1814" s="21" t="n">
        <v>16790</v>
      </c>
      <c r="L1814" s="21" t="n"/>
      <c r="M1814" s="22" t="n"/>
      <c r="N1814" s="22" t="n">
        <v>99</v>
      </c>
      <c r="O1814" s="22" t="n">
        <v>1662210</v>
      </c>
      <c r="P1814" s="22" t="n">
        <v>99</v>
      </c>
      <c r="Q1814" s="22" t="n">
        <v>1662210</v>
      </c>
      <c r="R1814" s="42">
        <f>+L1814+N1814-P1814</f>
        <v/>
      </c>
      <c r="S1814" s="42">
        <f>+M1814+O1814-Q1814</f>
        <v/>
      </c>
    </row>
    <row r="1815" ht="30" customHeight="1">
      <c r="A1815" s="16" t="n">
        <v>45808</v>
      </c>
      <c r="B1815" s="17" t="inlineStr">
        <is>
          <t>MH2505-56</t>
        </is>
      </c>
      <c r="C1815" s="16" t="n">
        <v>45808</v>
      </c>
      <c r="D1815" s="17" t="inlineStr">
        <is>
          <t>00002046</t>
        </is>
      </c>
      <c r="E1815" s="16" t="n">
        <v>45808</v>
      </c>
      <c r="F1815" s="16" t="inlineStr">
        <is>
          <t>XK2505-23</t>
        </is>
      </c>
      <c r="G1815" s="16" t="n">
        <v>45808</v>
      </c>
      <c r="H1815" s="17" t="inlineStr">
        <is>
          <t>CÔNG TY CỔ PHẦN CÔNG NGHIỆP VÀ THƯƠNG MẠI CƯỜNG THỊNH</t>
        </is>
      </c>
      <c r="I1815" s="17" t="inlineStr">
        <is>
          <t>W F436M Type 1 ZP M30</t>
        </is>
      </c>
      <c r="J1815" s="17" t="inlineStr">
        <is>
          <t>Cái</t>
        </is>
      </c>
      <c r="K1815" s="21" t="n">
        <v>2630</v>
      </c>
      <c r="L1815" s="21" t="n"/>
      <c r="M1815" s="22" t="n"/>
      <c r="N1815" s="22" t="n">
        <v>99</v>
      </c>
      <c r="O1815" s="22" t="n">
        <v>260370</v>
      </c>
      <c r="P1815" s="22" t="n">
        <v>99</v>
      </c>
      <c r="Q1815" s="22" t="n">
        <v>260370</v>
      </c>
      <c r="R1815" s="42">
        <f>+L1815+N1815-P1815</f>
        <v/>
      </c>
      <c r="S1815" s="42">
        <f>+M1815+O1815-Q1815</f>
        <v/>
      </c>
    </row>
    <row r="1816" ht="30" customHeight="1">
      <c r="A1816" s="16" t="n">
        <v>45808</v>
      </c>
      <c r="B1816" s="17" t="inlineStr">
        <is>
          <t>MH2505-56</t>
        </is>
      </c>
      <c r="C1816" s="16" t="n">
        <v>45808</v>
      </c>
      <c r="D1816" s="17" t="inlineStr">
        <is>
          <t>00002046</t>
        </is>
      </c>
      <c r="E1816" s="16" t="n">
        <v>45808</v>
      </c>
      <c r="F1816" s="16" t="inlineStr">
        <is>
          <t>XK2505-23</t>
        </is>
      </c>
      <c r="G1816" s="16" t="n">
        <v>45808</v>
      </c>
      <c r="H1816" s="17" t="inlineStr">
        <is>
          <t>CÔNG TY CỔ PHẦN CÔNG NGHIỆP VÀ THƯƠNG MẠI CƯỜNG THỊNH</t>
        </is>
      </c>
      <c r="I1816" s="17" t="inlineStr">
        <is>
          <t>STR H/H B A325M Type 1 ZP M30x170(170)</t>
        </is>
      </c>
      <c r="J1816" s="17" t="inlineStr">
        <is>
          <t>Cái</t>
        </is>
      </c>
      <c r="K1816" s="21" t="n">
        <v>47980</v>
      </c>
      <c r="L1816" s="21" t="n"/>
      <c r="M1816" s="22" t="n"/>
      <c r="N1816" s="22" t="n">
        <v>82</v>
      </c>
      <c r="O1816" s="22" t="n">
        <v>3934360</v>
      </c>
      <c r="P1816" s="22" t="n">
        <v>82</v>
      </c>
      <c r="Q1816" s="22" t="n">
        <v>3934360</v>
      </c>
      <c r="R1816" s="42">
        <f>+L1816+N1816-P1816</f>
        <v/>
      </c>
      <c r="S1816" s="42">
        <f>+M1816+O1816-Q1816</f>
        <v/>
      </c>
    </row>
    <row r="1817" ht="30" customHeight="1">
      <c r="A1817" s="16" t="n">
        <v>45808</v>
      </c>
      <c r="B1817" s="17" t="inlineStr">
        <is>
          <t>MH2505-56</t>
        </is>
      </c>
      <c r="C1817" s="16" t="n">
        <v>45808</v>
      </c>
      <c r="D1817" s="17" t="inlineStr">
        <is>
          <t>00002046</t>
        </is>
      </c>
      <c r="E1817" s="16" t="n">
        <v>45808</v>
      </c>
      <c r="F1817" s="16" t="inlineStr">
        <is>
          <t>XK2505-23</t>
        </is>
      </c>
      <c r="G1817" s="16" t="n">
        <v>45808</v>
      </c>
      <c r="H1817" s="17" t="inlineStr">
        <is>
          <t>CÔNG TY CỔ PHẦN CÔNG NGHIỆP VÀ THƯƠNG MẠI CƯỜNG THỊNH</t>
        </is>
      </c>
      <c r="I1817" s="17" t="inlineStr">
        <is>
          <t>H/H N A563M 10 ZP M30</t>
        </is>
      </c>
      <c r="J1817" s="17" t="inlineStr">
        <is>
          <t>Cái</t>
        </is>
      </c>
      <c r="K1817" s="21" t="n">
        <v>16790</v>
      </c>
      <c r="L1817" s="21" t="n"/>
      <c r="M1817" s="22" t="n"/>
      <c r="N1817" s="22" t="n">
        <v>82</v>
      </c>
      <c r="O1817" s="22" t="n">
        <v>1376780</v>
      </c>
      <c r="P1817" s="22" t="n">
        <v>82</v>
      </c>
      <c r="Q1817" s="22" t="n">
        <v>1376780</v>
      </c>
      <c r="R1817" s="42">
        <f>+L1817+N1817-P1817</f>
        <v/>
      </c>
      <c r="S1817" s="42">
        <f>+M1817+O1817-Q1817</f>
        <v/>
      </c>
    </row>
    <row r="1818" ht="30" customHeight="1">
      <c r="A1818" s="16" t="n">
        <v>45808</v>
      </c>
      <c r="B1818" s="17" t="inlineStr">
        <is>
          <t>MH2505-56</t>
        </is>
      </c>
      <c r="C1818" s="16" t="n">
        <v>45808</v>
      </c>
      <c r="D1818" s="17" t="inlineStr">
        <is>
          <t>00002046</t>
        </is>
      </c>
      <c r="E1818" s="16" t="n">
        <v>45808</v>
      </c>
      <c r="F1818" s="16" t="inlineStr">
        <is>
          <t>XK2505-23</t>
        </is>
      </c>
      <c r="G1818" s="16" t="n">
        <v>45808</v>
      </c>
      <c r="H1818" s="17" t="inlineStr">
        <is>
          <t>CÔNG TY CỔ PHẦN CÔNG NGHIỆP VÀ THƯƠNG MẠI CƯỜNG THỊNH</t>
        </is>
      </c>
      <c r="I1818" s="17" t="inlineStr">
        <is>
          <t>W F436M Type 1 ZP M30</t>
        </is>
      </c>
      <c r="J1818" s="17" t="inlineStr">
        <is>
          <t>Cái</t>
        </is>
      </c>
      <c r="K1818" s="21" t="n">
        <v>2630</v>
      </c>
      <c r="L1818" s="21" t="n"/>
      <c r="M1818" s="22" t="n"/>
      <c r="N1818" s="22" t="n">
        <v>82</v>
      </c>
      <c r="O1818" s="22" t="n">
        <v>215660</v>
      </c>
      <c r="P1818" s="22" t="n">
        <v>82</v>
      </c>
      <c r="Q1818" s="22" t="n">
        <v>215660</v>
      </c>
      <c r="R1818" s="42">
        <f>+L1818+N1818-P1818</f>
        <v/>
      </c>
      <c r="S1818" s="42">
        <f>+M1818+O1818-Q1818</f>
        <v/>
      </c>
    </row>
    <row r="1819" ht="30" customHeight="1">
      <c r="A1819" s="16" t="n">
        <v>45808</v>
      </c>
      <c r="B1819" s="17" t="inlineStr">
        <is>
          <t>MH2505-56</t>
        </is>
      </c>
      <c r="C1819" s="16" t="n">
        <v>45808</v>
      </c>
      <c r="D1819" s="17" t="inlineStr">
        <is>
          <t>00002046</t>
        </is>
      </c>
      <c r="E1819" s="16" t="n">
        <v>45808</v>
      </c>
      <c r="F1819" s="16" t="inlineStr">
        <is>
          <t>XK2505-23</t>
        </is>
      </c>
      <c r="G1819" s="16" t="n">
        <v>45808</v>
      </c>
      <c r="H1819" s="17" t="inlineStr">
        <is>
          <t>CÔNG TY CỔ PHẦN CÔNG NGHIỆP VÀ THƯƠNG MẠI CƯỜNG THỊNH</t>
        </is>
      </c>
      <c r="I1819" s="17" t="inlineStr">
        <is>
          <t>STR H/H B A325M Type 1 ZP M30x180(180)</t>
        </is>
      </c>
      <c r="J1819" s="17" t="inlineStr">
        <is>
          <t>Cái</t>
        </is>
      </c>
      <c r="K1819" s="21" t="n">
        <v>49860</v>
      </c>
      <c r="L1819" s="21" t="n"/>
      <c r="M1819" s="22" t="n"/>
      <c r="N1819" s="22" t="n">
        <v>346</v>
      </c>
      <c r="O1819" s="22" t="n">
        <v>17251560</v>
      </c>
      <c r="P1819" s="22" t="n">
        <v>346</v>
      </c>
      <c r="Q1819" s="22" t="n">
        <v>17251560</v>
      </c>
      <c r="R1819" s="42">
        <f>+L1819+N1819-P1819</f>
        <v/>
      </c>
      <c r="S1819" s="42">
        <f>+M1819+O1819-Q1819</f>
        <v/>
      </c>
    </row>
    <row r="1820" ht="30" customHeight="1">
      <c r="A1820" s="16" t="n">
        <v>45808</v>
      </c>
      <c r="B1820" s="17" t="inlineStr">
        <is>
          <t>MH2505-56</t>
        </is>
      </c>
      <c r="C1820" s="16" t="n">
        <v>45808</v>
      </c>
      <c r="D1820" s="17" t="inlineStr">
        <is>
          <t>00002046</t>
        </is>
      </c>
      <c r="E1820" s="16" t="n">
        <v>45808</v>
      </c>
      <c r="F1820" s="16" t="inlineStr">
        <is>
          <t>XK2505-23</t>
        </is>
      </c>
      <c r="G1820" s="16" t="n">
        <v>45808</v>
      </c>
      <c r="H1820" s="17" t="inlineStr">
        <is>
          <t>CÔNG TY CỔ PHẦN CÔNG NGHIỆP VÀ THƯƠNG MẠI CƯỜNG THỊNH</t>
        </is>
      </c>
      <c r="I1820" s="17" t="inlineStr">
        <is>
          <t>H/H N A563M 10 ZP M30</t>
        </is>
      </c>
      <c r="J1820" s="17" t="inlineStr">
        <is>
          <t>Cái</t>
        </is>
      </c>
      <c r="K1820" s="21" t="n">
        <v>16790</v>
      </c>
      <c r="L1820" s="21" t="n"/>
      <c r="M1820" s="22" t="n"/>
      <c r="N1820" s="22" t="n">
        <v>346</v>
      </c>
      <c r="O1820" s="22" t="n">
        <v>5809340</v>
      </c>
      <c r="P1820" s="22" t="n">
        <v>346</v>
      </c>
      <c r="Q1820" s="22" t="n">
        <v>5809340</v>
      </c>
      <c r="R1820" s="42">
        <f>+L1820+N1820-P1820</f>
        <v/>
      </c>
      <c r="S1820" s="42">
        <f>+M1820+O1820-Q1820</f>
        <v/>
      </c>
    </row>
    <row r="1821" ht="30" customHeight="1">
      <c r="A1821" s="28" t="n">
        <v>45808</v>
      </c>
      <c r="B1821" s="29" t="inlineStr">
        <is>
          <t>MH2505-56</t>
        </is>
      </c>
      <c r="C1821" s="28" t="n">
        <v>45808</v>
      </c>
      <c r="D1821" s="29" t="inlineStr">
        <is>
          <t>00002046</t>
        </is>
      </c>
      <c r="E1821" s="28" t="n">
        <v>45808</v>
      </c>
      <c r="F1821" s="16" t="inlineStr">
        <is>
          <t>XK2505-23</t>
        </is>
      </c>
      <c r="G1821" s="28" t="n">
        <v>45808</v>
      </c>
      <c r="H1821" s="29" t="inlineStr">
        <is>
          <t>CÔNG TY CỔ PHẦN CÔNG NGHIỆP VÀ THƯƠNG MẠI CƯỜNG THỊNH</t>
        </is>
      </c>
      <c r="I1821" s="29" t="inlineStr">
        <is>
          <t>W F436M Type 1 ZP M30</t>
        </is>
      </c>
      <c r="J1821" s="17" t="inlineStr">
        <is>
          <t>Cái</t>
        </is>
      </c>
      <c r="K1821" s="21" t="n">
        <v>2630</v>
      </c>
      <c r="L1821" s="21" t="n"/>
      <c r="M1821" s="22" t="n"/>
      <c r="N1821" s="22" t="n">
        <v>346</v>
      </c>
      <c r="O1821" s="22" t="n">
        <v>909980</v>
      </c>
      <c r="P1821" s="22" t="n">
        <v>346</v>
      </c>
      <c r="Q1821" s="22" t="n">
        <v>909980</v>
      </c>
      <c r="R1821" s="42">
        <f>+L1821+N1821-P1821</f>
        <v/>
      </c>
      <c r="S1821" s="42">
        <f>+M1821+O1821-Q1821</f>
        <v/>
      </c>
    </row>
    <row r="1822" ht="30.75" customHeight="1">
      <c r="A1822" s="16" t="n">
        <v>45810</v>
      </c>
      <c r="B1822" s="17" t="inlineStr">
        <is>
          <t>MH2506-01</t>
        </is>
      </c>
      <c r="C1822" s="16" t="n">
        <v>45810</v>
      </c>
      <c r="D1822" s="17" t="inlineStr">
        <is>
          <t>00002946</t>
        </is>
      </c>
      <c r="E1822" s="16" t="n">
        <v>45810</v>
      </c>
      <c r="F1822" s="16" t="inlineStr">
        <is>
          <t>XK2506-01</t>
        </is>
      </c>
      <c r="G1822" s="16" t="n">
        <v>45810</v>
      </c>
      <c r="H1822" s="17" t="inlineStr">
        <is>
          <t>Công Ty TNHH Đầu Tư Thương Mại Dịch Vụ Việt Tiến Phát</t>
        </is>
      </c>
      <c r="I1822" s="17" t="inlineStr">
        <is>
          <t>Thép ống 113.5x4.0x6m</t>
        </is>
      </c>
      <c r="J1822" s="17" t="inlineStr">
        <is>
          <t>kg</t>
        </is>
      </c>
      <c r="K1822" s="21" t="n">
        <v>16259.87</v>
      </c>
      <c r="L1822" s="20" t="n"/>
      <c r="M1822" s="27" t="n"/>
      <c r="N1822" s="43" t="n">
        <v>1685.1</v>
      </c>
      <c r="O1822" s="27" t="n">
        <v>27399507</v>
      </c>
      <c r="P1822" s="43" t="n">
        <v>1685.1</v>
      </c>
      <c r="Q1822" s="27" t="n">
        <v>27399507</v>
      </c>
      <c r="R1822" s="42">
        <f>+L1822+N1822-P1822</f>
        <v/>
      </c>
      <c r="S1822" s="42">
        <f>+M1822+O1822-Q1822</f>
        <v/>
      </c>
    </row>
    <row r="1823" ht="30" customHeight="1">
      <c r="A1823" s="16" t="n">
        <v>45810</v>
      </c>
      <c r="B1823" s="17" t="inlineStr">
        <is>
          <t>MH2506-01</t>
        </is>
      </c>
      <c r="C1823" s="16" t="n">
        <v>45810</v>
      </c>
      <c r="D1823" s="17" t="inlineStr">
        <is>
          <t>00002946</t>
        </is>
      </c>
      <c r="E1823" s="16" t="n">
        <v>45810</v>
      </c>
      <c r="F1823" s="16" t="inlineStr">
        <is>
          <t>XK2506-01</t>
        </is>
      </c>
      <c r="G1823" s="16" t="n">
        <v>45810</v>
      </c>
      <c r="H1823" s="17" t="inlineStr">
        <is>
          <t>Công Ty TNHH Đầu Tư Thương Mại Dịch Vụ Việt Tiến Phát</t>
        </is>
      </c>
      <c r="I1823" s="17" t="inlineStr">
        <is>
          <t>Thép ống141.3x3.96x6m</t>
        </is>
      </c>
      <c r="J1823" s="17" t="inlineStr">
        <is>
          <t>kg</t>
        </is>
      </c>
      <c r="K1823" s="21" t="n">
        <v>16441.69</v>
      </c>
      <c r="L1823" s="20" t="n"/>
      <c r="M1823" s="20" t="n"/>
      <c r="N1823" s="43" t="n">
        <v>804.6</v>
      </c>
      <c r="O1823" s="20" t="n">
        <v>13228984</v>
      </c>
      <c r="P1823" s="43" t="n">
        <v>804.6</v>
      </c>
      <c r="Q1823" s="20" t="n">
        <v>13228984</v>
      </c>
      <c r="R1823" s="42">
        <f>+L1823+N1823-P1823</f>
        <v/>
      </c>
      <c r="S1823" s="42">
        <f>+M1823+O1823-Q1823</f>
        <v/>
      </c>
    </row>
    <row r="1824" ht="30" customHeight="1">
      <c r="A1824" s="16" t="n">
        <v>45810</v>
      </c>
      <c r="B1824" s="17" t="inlineStr">
        <is>
          <t>MH2506-01</t>
        </is>
      </c>
      <c r="C1824" s="16" t="n">
        <v>45810</v>
      </c>
      <c r="D1824" s="17" t="inlineStr">
        <is>
          <t>00002946</t>
        </is>
      </c>
      <c r="E1824" s="16" t="n">
        <v>45810</v>
      </c>
      <c r="F1824" s="16" t="inlineStr">
        <is>
          <t>XK2506-01</t>
        </is>
      </c>
      <c r="G1824" s="16" t="n">
        <v>45810</v>
      </c>
      <c r="H1824" s="17" t="inlineStr">
        <is>
          <t>Công Ty TNHH Đầu Tư Thương Mại Dịch Vụ Việt Tiến Phát</t>
        </is>
      </c>
      <c r="I1824" s="17" t="inlineStr">
        <is>
          <t>Thép ống 141.3x5.16x6m</t>
        </is>
      </c>
      <c r="J1824" s="17" t="inlineStr">
        <is>
          <t>kg</t>
        </is>
      </c>
      <c r="K1824" s="21" t="n">
        <v>16441.69</v>
      </c>
      <c r="L1824" s="20" t="n"/>
      <c r="M1824" s="20" t="n"/>
      <c r="N1824" s="43" t="n">
        <v>2806.7</v>
      </c>
      <c r="O1824" s="20" t="n">
        <v>46146891</v>
      </c>
      <c r="P1824" s="43" t="n">
        <v>2806.7</v>
      </c>
      <c r="Q1824" s="20" t="n">
        <v>46146891</v>
      </c>
      <c r="R1824" s="42">
        <f>+L1824+N1824-P1824</f>
        <v/>
      </c>
      <c r="S1824" s="42">
        <f>+M1824+O1824-Q1824</f>
        <v/>
      </c>
    </row>
    <row r="1825" ht="30" customHeight="1">
      <c r="A1825" s="16" t="n">
        <v>45810</v>
      </c>
      <c r="B1825" s="17" t="inlineStr">
        <is>
          <t>MH2506-01</t>
        </is>
      </c>
      <c r="C1825" s="16" t="n">
        <v>45810</v>
      </c>
      <c r="D1825" s="17" t="inlineStr">
        <is>
          <t>00002946</t>
        </is>
      </c>
      <c r="E1825" s="16" t="n">
        <v>45810</v>
      </c>
      <c r="F1825" s="16" t="inlineStr">
        <is>
          <t>XK2506-01</t>
        </is>
      </c>
      <c r="G1825" s="16" t="n">
        <v>45810</v>
      </c>
      <c r="H1825" s="17" t="inlineStr">
        <is>
          <t>Công Ty TNHH Đầu Tư Thương Mại Dịch Vụ Việt Tiến Phát</t>
        </is>
      </c>
      <c r="I1825" s="17" t="inlineStr">
        <is>
          <t>Thép ống 168.3x5.56x6m</t>
        </is>
      </c>
      <c r="J1825" s="17" t="inlineStr">
        <is>
          <t>kg</t>
        </is>
      </c>
      <c r="K1825" s="21" t="n">
        <v>16441.69</v>
      </c>
      <c r="L1825" s="20" t="n"/>
      <c r="M1825" s="20" t="n"/>
      <c r="N1825" s="43" t="n">
        <v>937</v>
      </c>
      <c r="O1825" s="20" t="n">
        <v>15405864</v>
      </c>
      <c r="P1825" s="43" t="n">
        <v>937</v>
      </c>
      <c r="Q1825" s="20" t="n">
        <v>15405864</v>
      </c>
      <c r="R1825" s="42">
        <f>+L1825+N1825-P1825</f>
        <v/>
      </c>
      <c r="S1825" s="42">
        <f>+M1825+O1825-Q1825</f>
        <v/>
      </c>
    </row>
    <row r="1826" ht="30" customHeight="1">
      <c r="A1826" s="16" t="n">
        <v>45810</v>
      </c>
      <c r="B1826" s="17" t="inlineStr">
        <is>
          <t>MH2506-01</t>
        </is>
      </c>
      <c r="C1826" s="16" t="n">
        <v>45810</v>
      </c>
      <c r="D1826" s="17" t="inlineStr">
        <is>
          <t>00002946</t>
        </is>
      </c>
      <c r="E1826" s="16" t="n">
        <v>45810</v>
      </c>
      <c r="F1826" s="16" t="inlineStr">
        <is>
          <t>XK2506-01</t>
        </is>
      </c>
      <c r="G1826" s="16" t="n">
        <v>45810</v>
      </c>
      <c r="H1826" s="17" t="inlineStr">
        <is>
          <t>Công Ty TNHH Đầu Tư Thương Mại Dịch Vụ Việt Tiến Phát</t>
        </is>
      </c>
      <c r="I1826" s="17" t="inlineStr">
        <is>
          <t>Thép ống 168.3x7.11x6m</t>
        </is>
      </c>
      <c r="J1826" s="17" t="inlineStr">
        <is>
          <t>kg</t>
        </is>
      </c>
      <c r="K1826" s="21" t="n">
        <v>16623.51</v>
      </c>
      <c r="L1826" s="20" t="n"/>
      <c r="M1826" s="20" t="n"/>
      <c r="N1826" s="43" t="n">
        <v>1526</v>
      </c>
      <c r="O1826" s="20" t="n">
        <v>25367476</v>
      </c>
      <c r="P1826" s="43" t="n">
        <v>1526</v>
      </c>
      <c r="Q1826" s="20" t="n">
        <v>25367476</v>
      </c>
      <c r="R1826" s="42">
        <f>+L1826+N1826-P1826</f>
        <v/>
      </c>
      <c r="S1826" s="42">
        <f>+M1826+O1826-Q1826</f>
        <v/>
      </c>
    </row>
    <row r="1827" ht="30" customHeight="1">
      <c r="A1827" s="16" t="n">
        <v>45810</v>
      </c>
      <c r="B1827" s="17" t="inlineStr">
        <is>
          <t>MH2506-01</t>
        </is>
      </c>
      <c r="C1827" s="16" t="n">
        <v>45810</v>
      </c>
      <c r="D1827" s="17" t="inlineStr">
        <is>
          <t>00002946</t>
        </is>
      </c>
      <c r="E1827" s="16" t="n">
        <v>45810</v>
      </c>
      <c r="F1827" s="16" t="inlineStr">
        <is>
          <t>XK2506-01</t>
        </is>
      </c>
      <c r="G1827" s="16" t="n">
        <v>45810</v>
      </c>
      <c r="H1827" s="17" t="inlineStr">
        <is>
          <t>Công Ty TNHH Đầu Tư Thương Mại Dịch Vụ Việt Tiến Phát</t>
        </is>
      </c>
      <c r="I1827" s="17" t="inlineStr">
        <is>
          <t>Thép ống 88.3x3.0x6m</t>
        </is>
      </c>
      <c r="J1827" s="17" t="inlineStr">
        <is>
          <t>kg</t>
        </is>
      </c>
      <c r="K1827" s="21" t="n">
        <v>16259.87</v>
      </c>
      <c r="L1827" s="20" t="n"/>
      <c r="M1827" s="20" t="n"/>
      <c r="N1827" s="43" t="n">
        <v>1060.4</v>
      </c>
      <c r="O1827" s="20" t="n">
        <v>17241966</v>
      </c>
      <c r="P1827" s="43" t="n">
        <v>1060.4</v>
      </c>
      <c r="Q1827" s="20" t="n">
        <v>17241966</v>
      </c>
      <c r="R1827" s="42">
        <f>+L1827+N1827-P1827</f>
        <v/>
      </c>
      <c r="S1827" s="42">
        <f>+M1827+O1827-Q1827</f>
        <v/>
      </c>
    </row>
    <row r="1828" ht="30" customHeight="1">
      <c r="A1828" s="16" t="n">
        <v>45810</v>
      </c>
      <c r="B1828" s="17" t="inlineStr">
        <is>
          <t>MH2506-01</t>
        </is>
      </c>
      <c r="C1828" s="16" t="n">
        <v>45810</v>
      </c>
      <c r="D1828" s="17" t="inlineStr">
        <is>
          <t>00002946</t>
        </is>
      </c>
      <c r="E1828" s="16" t="n">
        <v>45810</v>
      </c>
      <c r="F1828" s="16" t="inlineStr">
        <is>
          <t>XK2506-01</t>
        </is>
      </c>
      <c r="G1828" s="16" t="n">
        <v>45810</v>
      </c>
      <c r="H1828" s="17" t="inlineStr">
        <is>
          <t>Công Ty TNHH Đầu Tư Thương Mại Dịch Vụ Việt Tiến Phát</t>
        </is>
      </c>
      <c r="I1828" s="17" t="inlineStr">
        <is>
          <t>Thép hộp 150x150x4.5x6m</t>
        </is>
      </c>
      <c r="J1828" s="17" t="inlineStr">
        <is>
          <t>kg</t>
        </is>
      </c>
      <c r="K1828" s="21" t="n">
        <v>16623.51</v>
      </c>
      <c r="L1828" s="20" t="n"/>
      <c r="M1828" s="20" t="n"/>
      <c r="N1828" s="43" t="n">
        <v>613.1</v>
      </c>
      <c r="O1828" s="20" t="n">
        <v>10191874</v>
      </c>
      <c r="P1828" s="43" t="n">
        <v>613.1</v>
      </c>
      <c r="Q1828" s="20" t="n">
        <v>10191874</v>
      </c>
      <c r="R1828" s="42">
        <f>+L1828+N1828-P1828</f>
        <v/>
      </c>
      <c r="S1828" s="42">
        <f>+M1828+O1828-Q1828</f>
        <v/>
      </c>
    </row>
    <row r="1829" ht="30" customHeight="1">
      <c r="A1829" s="16" t="n">
        <v>45810</v>
      </c>
      <c r="B1829" s="17" t="inlineStr">
        <is>
          <t>MH2506-01</t>
        </is>
      </c>
      <c r="C1829" s="16" t="n">
        <v>45810</v>
      </c>
      <c r="D1829" s="17" t="inlineStr">
        <is>
          <t>00002946</t>
        </is>
      </c>
      <c r="E1829" s="16" t="n">
        <v>45810</v>
      </c>
      <c r="F1829" s="16" t="inlineStr">
        <is>
          <t>XK2506-01</t>
        </is>
      </c>
      <c r="G1829" s="16" t="n">
        <v>45810</v>
      </c>
      <c r="H1829" s="17" t="inlineStr">
        <is>
          <t>Công Ty TNHH Đầu Tư Thương Mại Dịch Vụ Việt Tiến Phát</t>
        </is>
      </c>
      <c r="I1829" s="17" t="inlineStr">
        <is>
          <t>Thép hộp 200x200x4.0x6m</t>
        </is>
      </c>
      <c r="J1829" s="17" t="inlineStr">
        <is>
          <t>kg</t>
        </is>
      </c>
      <c r="K1829" s="21" t="n">
        <v>16895.99</v>
      </c>
      <c r="L1829" s="20" t="n"/>
      <c r="M1829" s="20" t="n"/>
      <c r="N1829" s="43" t="n">
        <v>4560.1</v>
      </c>
      <c r="O1829" s="20" t="n">
        <v>77047404</v>
      </c>
      <c r="P1829" s="43" t="n">
        <v>4560.1</v>
      </c>
      <c r="Q1829" s="20" t="n">
        <v>77047404</v>
      </c>
      <c r="R1829" s="42">
        <f>+L1829+N1829-P1829</f>
        <v/>
      </c>
      <c r="S1829" s="42">
        <f>+M1829+O1829-Q1829</f>
        <v/>
      </c>
    </row>
    <row r="1830" ht="30" customHeight="1">
      <c r="A1830" s="16" t="n">
        <v>45810</v>
      </c>
      <c r="B1830" s="17" t="inlineStr">
        <is>
          <t>MH2506-02</t>
        </is>
      </c>
      <c r="C1830" s="16" t="n">
        <v>45810</v>
      </c>
      <c r="D1830" s="17" t="inlineStr">
        <is>
          <t>00000986</t>
        </is>
      </c>
      <c r="E1830" s="16" t="n">
        <v>45810</v>
      </c>
      <c r="F1830" s="16" t="inlineStr">
        <is>
          <t>XK2506-02</t>
        </is>
      </c>
      <c r="G1830" s="16" t="n">
        <v>45810</v>
      </c>
      <c r="H1830" s="17" t="inlineStr">
        <is>
          <t>CÔNG TY TNHH DỊCH VỤ - THƯƠNG MẠI THÉP THIÊN LONG</t>
        </is>
      </c>
      <c r="I1830" s="17" t="inlineStr">
        <is>
          <t>Thép tấm 10ly</t>
        </is>
      </c>
      <c r="J1830" s="17" t="inlineStr">
        <is>
          <t>kg</t>
        </is>
      </c>
      <c r="K1830" s="21" t="n">
        <v>13427.27</v>
      </c>
      <c r="L1830" s="20" t="n"/>
      <c r="M1830" s="20" t="n"/>
      <c r="N1830" s="43" t="n">
        <v>52752</v>
      </c>
      <c r="O1830" s="20" t="n">
        <v>708315347</v>
      </c>
      <c r="P1830" s="43" t="n">
        <v>52752</v>
      </c>
      <c r="Q1830" s="20" t="n">
        <v>708315347</v>
      </c>
      <c r="R1830" s="42">
        <f>+L1830+N1830-P1830</f>
        <v/>
      </c>
      <c r="S1830" s="42">
        <f>+M1830+O1830-Q1830</f>
        <v/>
      </c>
    </row>
    <row r="1831" ht="30" customHeight="1">
      <c r="A1831" s="16" t="n">
        <v>45810</v>
      </c>
      <c r="B1831" s="17" t="inlineStr">
        <is>
          <t>MH2506-02</t>
        </is>
      </c>
      <c r="C1831" s="16" t="n">
        <v>45810</v>
      </c>
      <c r="D1831" s="17" t="inlineStr">
        <is>
          <t>00000986</t>
        </is>
      </c>
      <c r="E1831" s="16" t="n">
        <v>45810</v>
      </c>
      <c r="F1831" s="16" t="inlineStr">
        <is>
          <t>XK2506-02</t>
        </is>
      </c>
      <c r="G1831" s="16" t="n">
        <v>45810</v>
      </c>
      <c r="H1831" s="17" t="inlineStr">
        <is>
          <t>CÔNG TY TNHH DỊCH VỤ - THƯƠNG MẠI THÉP THIÊN LONG</t>
        </is>
      </c>
      <c r="I1831" s="17" t="inlineStr">
        <is>
          <t>Thép tấm 16ly</t>
        </is>
      </c>
      <c r="J1831" s="17" t="inlineStr">
        <is>
          <t>kg</t>
        </is>
      </c>
      <c r="K1831" s="21" t="n">
        <v>14336.36</v>
      </c>
      <c r="L1831" s="20" t="n"/>
      <c r="M1831" s="20" t="n"/>
      <c r="N1831" s="43" t="n">
        <v>9043.200000000001</v>
      </c>
      <c r="O1831" s="20" t="n">
        <v>129646571</v>
      </c>
      <c r="P1831" s="43" t="n">
        <v>9043.200000000001</v>
      </c>
      <c r="Q1831" s="20" t="n">
        <v>129646571</v>
      </c>
      <c r="R1831" s="42">
        <f>+L1831+N1831-P1831</f>
        <v/>
      </c>
      <c r="S1831" s="42">
        <f>+M1831+O1831-Q1831</f>
        <v/>
      </c>
    </row>
    <row r="1832" ht="15" customHeight="1">
      <c r="A1832" s="16" t="n">
        <v>45810</v>
      </c>
      <c r="B1832" s="17" t="inlineStr">
        <is>
          <t>MH2506-03</t>
        </is>
      </c>
      <c r="C1832" s="16" t="n">
        <v>45810</v>
      </c>
      <c r="D1832" s="17" t="inlineStr">
        <is>
          <t>00000142</t>
        </is>
      </c>
      <c r="E1832" s="16" t="n">
        <v>45810</v>
      </c>
      <c r="F1832" s="16" t="inlineStr">
        <is>
          <t>XK2506-03</t>
        </is>
      </c>
      <c r="G1832" s="16" t="n">
        <v>45810</v>
      </c>
      <c r="H1832" s="17" t="inlineStr">
        <is>
          <t>CÔNG TY TNHH CƠ KHÍ ĐỨC HIỆP</t>
        </is>
      </c>
      <c r="I1832" s="17" t="inlineStr">
        <is>
          <t>Bulong neo i M24x530, DIN 976, 4.6</t>
        </is>
      </c>
      <c r="J1832" s="17" t="inlineStr">
        <is>
          <t>Cái</t>
        </is>
      </c>
      <c r="K1832" s="21" t="n">
        <v>59500</v>
      </c>
      <c r="L1832" s="20" t="n"/>
      <c r="M1832" s="20" t="n"/>
      <c r="N1832" s="43" t="n">
        <v>1000</v>
      </c>
      <c r="O1832" s="20" t="n">
        <v>59500000</v>
      </c>
      <c r="P1832" s="43" t="n">
        <v>1000</v>
      </c>
      <c r="Q1832" s="20" t="n">
        <v>59500000</v>
      </c>
      <c r="R1832" s="42">
        <f>+L1832+N1832-P1832</f>
        <v/>
      </c>
      <c r="S1832" s="42">
        <f>+M1832+O1832-Q1832</f>
        <v/>
      </c>
    </row>
    <row r="1833" ht="30" customHeight="1">
      <c r="A1833" s="16" t="n">
        <v>45810</v>
      </c>
      <c r="B1833" s="17" t="inlineStr">
        <is>
          <t>MH2506-04</t>
        </is>
      </c>
      <c r="C1833" s="16" t="n">
        <v>45810</v>
      </c>
      <c r="D1833" s="17" t="inlineStr">
        <is>
          <t>00002820</t>
        </is>
      </c>
      <c r="E1833" s="16" t="n">
        <v>45810</v>
      </c>
      <c r="F1833" s="16" t="inlineStr">
        <is>
          <t>XK2506-04</t>
        </is>
      </c>
      <c r="G1833" s="16" t="n">
        <v>45810</v>
      </c>
      <c r="H1833" s="17" t="inlineStr">
        <is>
          <t>CÔNG TY TNHH MTV SẢN XUẤT THƯƠNG MẠI DỊCH VỤ THANH HUYỀN</t>
        </is>
      </c>
      <c r="I1833" s="17" t="inlineStr">
        <is>
          <t>Thép mạ kẽm chấn</t>
        </is>
      </c>
      <c r="J1833" s="17" t="inlineStr">
        <is>
          <t>kg</t>
        </is>
      </c>
      <c r="K1833" s="21" t="n">
        <v>21852.48</v>
      </c>
      <c r="L1833" s="20" t="n"/>
      <c r="M1833" s="20" t="n"/>
      <c r="N1833" s="43" t="n">
        <v>451</v>
      </c>
      <c r="O1833" s="20" t="n">
        <v>9855468</v>
      </c>
      <c r="P1833" s="43" t="n">
        <v>451</v>
      </c>
      <c r="Q1833" s="20" t="n">
        <v>9855468</v>
      </c>
      <c r="R1833" s="42">
        <f>+L1833+N1833-P1833</f>
        <v/>
      </c>
      <c r="S1833" s="42">
        <f>+M1833+O1833-Q1833</f>
        <v/>
      </c>
    </row>
    <row r="1834" ht="30" customHeight="1">
      <c r="A1834" s="16" t="n">
        <v>45810</v>
      </c>
      <c r="B1834" s="17" t="inlineStr">
        <is>
          <t>MH2506-04</t>
        </is>
      </c>
      <c r="C1834" s="16" t="n">
        <v>45810</v>
      </c>
      <c r="D1834" s="17" t="inlineStr">
        <is>
          <t>00002820</t>
        </is>
      </c>
      <c r="E1834" s="16" t="n">
        <v>45810</v>
      </c>
      <c r="F1834" s="16" t="inlineStr">
        <is>
          <t>XK2506-04</t>
        </is>
      </c>
      <c r="G1834" s="16" t="n">
        <v>45810</v>
      </c>
      <c r="H1834" s="17" t="inlineStr">
        <is>
          <t>CÔNG TY TNHH MTV SẢN XUẤT THƯƠNG MẠI DỊCH VỤ THANH HUYỀN</t>
        </is>
      </c>
      <c r="I1834" s="17" t="inlineStr">
        <is>
          <t>Xà gồ mạ kẽm</t>
        </is>
      </c>
      <c r="J1834" s="17" t="inlineStr">
        <is>
          <t>kg</t>
        </is>
      </c>
      <c r="K1834" s="21" t="n">
        <v>18465.13</v>
      </c>
      <c r="L1834" s="20" t="n"/>
      <c r="M1834" s="20" t="n"/>
      <c r="N1834" s="43" t="n">
        <v>1602</v>
      </c>
      <c r="O1834" s="20" t="n">
        <v>29581143</v>
      </c>
      <c r="P1834" s="43" t="n">
        <v>1602</v>
      </c>
      <c r="Q1834" s="20" t="n">
        <v>29581143</v>
      </c>
      <c r="R1834" s="42">
        <f>+L1834+N1834-P1834</f>
        <v/>
      </c>
      <c r="S1834" s="42">
        <f>+M1834+O1834-Q1834</f>
        <v/>
      </c>
    </row>
    <row r="1835" ht="30" customHeight="1">
      <c r="A1835" s="16" t="n">
        <v>45810</v>
      </c>
      <c r="B1835" s="17" t="inlineStr">
        <is>
          <t>MH2506-04</t>
        </is>
      </c>
      <c r="C1835" s="16" t="n">
        <v>45810</v>
      </c>
      <c r="D1835" s="17" t="inlineStr">
        <is>
          <t>00002820</t>
        </is>
      </c>
      <c r="E1835" s="16" t="n">
        <v>45810</v>
      </c>
      <c r="F1835" s="16" t="inlineStr">
        <is>
          <t>XK2506-04</t>
        </is>
      </c>
      <c r="G1835" s="16" t="n">
        <v>45810</v>
      </c>
      <c r="H1835" s="17" t="inlineStr">
        <is>
          <t>CÔNG TY TNHH MTV SẢN XUẤT THƯƠNG MẠI DỊCH VỤ THANH HUYỀN</t>
        </is>
      </c>
      <c r="I1835" s="17" t="inlineStr">
        <is>
          <t>Thép dày mạ kẽm</t>
        </is>
      </c>
      <c r="J1835" s="17" t="inlineStr">
        <is>
          <t>kg</t>
        </is>
      </c>
      <c r="K1835" s="21" t="n">
        <v>17127.32</v>
      </c>
      <c r="L1835" s="20" t="n"/>
      <c r="M1835" s="20" t="n"/>
      <c r="N1835" s="43" t="n">
        <v>2627</v>
      </c>
      <c r="O1835" s="20" t="n">
        <v>44993472</v>
      </c>
      <c r="P1835" s="43" t="n">
        <v>2627</v>
      </c>
      <c r="Q1835" s="20" t="n">
        <v>44993472</v>
      </c>
      <c r="R1835" s="42">
        <f>+L1835+N1835-P1835</f>
        <v/>
      </c>
      <c r="S1835" s="42">
        <f>+M1835+O1835-Q1835</f>
        <v/>
      </c>
    </row>
    <row r="1836" ht="30" customHeight="1">
      <c r="A1836" s="16" t="n">
        <v>45810</v>
      </c>
      <c r="B1836" s="17" t="inlineStr">
        <is>
          <t>MH2506-05</t>
        </is>
      </c>
      <c r="C1836" s="16" t="n">
        <v>45810</v>
      </c>
      <c r="D1836" s="17" t="inlineStr">
        <is>
          <t>00002821</t>
        </is>
      </c>
      <c r="E1836" s="16" t="n">
        <v>45810</v>
      </c>
      <c r="F1836" s="16" t="inlineStr">
        <is>
          <t>XK2506-04</t>
        </is>
      </c>
      <c r="G1836" s="16" t="n">
        <v>45810</v>
      </c>
      <c r="H1836" s="17" t="inlineStr">
        <is>
          <t>CÔNG TY TNHH MTV SẢN XUẤT THƯƠNG MẠI DỊCH VỤ THANH HUYỀN</t>
        </is>
      </c>
      <c r="I1836" s="17" t="inlineStr">
        <is>
          <t>Thép mạ kẽm chấn</t>
        </is>
      </c>
      <c r="J1836" s="17" t="inlineStr">
        <is>
          <t>kg</t>
        </is>
      </c>
      <c r="K1836" s="21" t="n">
        <v>21842.98</v>
      </c>
      <c r="L1836" s="20" t="n"/>
      <c r="M1836" s="20" t="n"/>
      <c r="N1836" s="43" t="n">
        <v>308</v>
      </c>
      <c r="O1836" s="20" t="n">
        <v>6727636</v>
      </c>
      <c r="P1836" s="43" t="n">
        <v>308</v>
      </c>
      <c r="Q1836" s="20" t="n">
        <v>6727636</v>
      </c>
      <c r="R1836" s="42">
        <f>+L1836+N1836-P1836</f>
        <v/>
      </c>
      <c r="S1836" s="42">
        <f>+M1836+O1836-Q1836</f>
        <v/>
      </c>
    </row>
    <row r="1837" ht="30" customHeight="1">
      <c r="A1837" s="16" t="n">
        <v>45810</v>
      </c>
      <c r="B1837" s="17" t="inlineStr">
        <is>
          <t>MH2506-06</t>
        </is>
      </c>
      <c r="C1837" s="16" t="n">
        <v>45810</v>
      </c>
      <c r="D1837" s="17" t="inlineStr">
        <is>
          <t>00002819</t>
        </is>
      </c>
      <c r="E1837" s="16" t="n">
        <v>45810</v>
      </c>
      <c r="F1837" s="16" t="inlineStr">
        <is>
          <t>XK2506-04</t>
        </is>
      </c>
      <c r="G1837" s="16" t="n">
        <v>45810</v>
      </c>
      <c r="H1837" s="17" t="inlineStr">
        <is>
          <t>CÔNG TY TNHH MTV SẢN XUẤT THƯƠNG MẠI DỊCH VỤ THANH HUYỀN</t>
        </is>
      </c>
      <c r="I1837" s="17" t="inlineStr">
        <is>
          <t>Thép mạ kẽm chấn</t>
        </is>
      </c>
      <c r="J1837" s="17" t="inlineStr">
        <is>
          <t>kg</t>
        </is>
      </c>
      <c r="K1837" s="21" t="n">
        <v>21814.16</v>
      </c>
      <c r="L1837" s="20" t="n"/>
      <c r="M1837" s="20" t="n"/>
      <c r="N1837" s="43" t="n">
        <v>1563</v>
      </c>
      <c r="O1837" s="20" t="n">
        <v>34095529</v>
      </c>
      <c r="P1837" s="43" t="n">
        <v>1563</v>
      </c>
      <c r="Q1837" s="20" t="n">
        <v>34095529</v>
      </c>
      <c r="R1837" s="42">
        <f>+L1837+N1837-P1837</f>
        <v/>
      </c>
      <c r="S1837" s="42">
        <f>+M1837+O1837-Q1837</f>
        <v/>
      </c>
    </row>
    <row r="1838" ht="30" customHeight="1">
      <c r="A1838" s="16" t="n">
        <v>45810</v>
      </c>
      <c r="B1838" s="17" t="inlineStr">
        <is>
          <t>MH2506-06</t>
        </is>
      </c>
      <c r="C1838" s="16" t="n">
        <v>45810</v>
      </c>
      <c r="D1838" s="17" t="inlineStr">
        <is>
          <t>00002819</t>
        </is>
      </c>
      <c r="E1838" s="16" t="n">
        <v>45810</v>
      </c>
      <c r="F1838" s="16" t="inlineStr">
        <is>
          <t>XK2506-04</t>
        </is>
      </c>
      <c r="G1838" s="16" t="n">
        <v>45810</v>
      </c>
      <c r="H1838" s="17" t="inlineStr">
        <is>
          <t>CÔNG TY TNHH MTV SẢN XUẤT THƯƠNG MẠI DỊCH VỤ THANH HUYỀN</t>
        </is>
      </c>
      <c r="I1838" s="17" t="inlineStr">
        <is>
          <t>Xà gồ mạ kẽm</t>
        </is>
      </c>
      <c r="J1838" s="17" t="inlineStr">
        <is>
          <t>kg</t>
        </is>
      </c>
      <c r="K1838" s="21" t="n">
        <v>18321.75</v>
      </c>
      <c r="L1838" s="20" t="n"/>
      <c r="M1838" s="20" t="n"/>
      <c r="N1838" s="43" t="n">
        <v>17461</v>
      </c>
      <c r="O1838" s="20" t="n">
        <v>319916129</v>
      </c>
      <c r="P1838" s="43" t="n">
        <v>17461</v>
      </c>
      <c r="Q1838" s="20" t="n">
        <v>319916129</v>
      </c>
      <c r="R1838" s="42">
        <f>+L1838+N1838-P1838</f>
        <v/>
      </c>
      <c r="S1838" s="42">
        <f>+M1838+O1838-Q1838</f>
        <v/>
      </c>
    </row>
    <row r="1839" ht="30" customHeight="1">
      <c r="A1839" s="16" t="n">
        <v>45810</v>
      </c>
      <c r="B1839" s="17" t="inlineStr">
        <is>
          <t>MH2506-07</t>
        </is>
      </c>
      <c r="C1839" s="16" t="n">
        <v>45810</v>
      </c>
      <c r="D1839" s="17" t="inlineStr">
        <is>
          <t>00002818</t>
        </is>
      </c>
      <c r="E1839" s="16" t="n">
        <v>45810</v>
      </c>
      <c r="F1839" s="16" t="inlineStr">
        <is>
          <t>XK2506-04</t>
        </is>
      </c>
      <c r="G1839" s="16" t="n">
        <v>45810</v>
      </c>
      <c r="H1839" s="17" t="inlineStr">
        <is>
          <t>CÔNG TY TNHH MTV SẢN XUẤT THƯƠNG MẠI DỊCH VỤ THANH HUYỀN</t>
        </is>
      </c>
      <c r="I1839" s="17" t="inlineStr">
        <is>
          <t>Thép mạ kẽm chấn</t>
        </is>
      </c>
      <c r="J1839" s="17" t="inlineStr">
        <is>
          <t>kg</t>
        </is>
      </c>
      <c r="K1839" s="21" t="n">
        <v>21849.54</v>
      </c>
      <c r="L1839" s="20" t="n"/>
      <c r="M1839" s="20" t="n"/>
      <c r="N1839" s="43" t="n">
        <v>598</v>
      </c>
      <c r="O1839" s="20" t="n">
        <v>13066025</v>
      </c>
      <c r="P1839" s="43" t="n">
        <v>598</v>
      </c>
      <c r="Q1839" s="20" t="n">
        <v>13066025</v>
      </c>
      <c r="R1839" s="42">
        <f>+L1839+N1839-P1839</f>
        <v/>
      </c>
      <c r="S1839" s="42">
        <f>+M1839+O1839-Q1839</f>
        <v/>
      </c>
    </row>
    <row r="1840" ht="30" customHeight="1">
      <c r="A1840" s="16" t="n">
        <v>45810</v>
      </c>
      <c r="B1840" s="17" t="inlineStr">
        <is>
          <t>MH2506-07</t>
        </is>
      </c>
      <c r="C1840" s="16" t="n">
        <v>45810</v>
      </c>
      <c r="D1840" s="17" t="inlineStr">
        <is>
          <t>00002818</t>
        </is>
      </c>
      <c r="E1840" s="16" t="n">
        <v>45810</v>
      </c>
      <c r="F1840" s="16" t="inlineStr">
        <is>
          <t>XK2506-04</t>
        </is>
      </c>
      <c r="G1840" s="16" t="n">
        <v>45810</v>
      </c>
      <c r="H1840" s="17" t="inlineStr">
        <is>
          <t>CÔNG TY TNHH MTV SẢN XUẤT THƯƠNG MẠI DỊCH VỤ THANH HUYỀN</t>
        </is>
      </c>
      <c r="I1840" s="17" t="inlineStr">
        <is>
          <t>Xà gồ mạ kẽm</t>
        </is>
      </c>
      <c r="J1840" s="17" t="inlineStr">
        <is>
          <t>kg</t>
        </is>
      </c>
      <c r="K1840" s="21" t="n">
        <v>18997.67</v>
      </c>
      <c r="L1840" s="20" t="n"/>
      <c r="M1840" s="20" t="n"/>
      <c r="N1840" s="43" t="n">
        <v>9650</v>
      </c>
      <c r="O1840" s="20" t="n">
        <v>183327487</v>
      </c>
      <c r="P1840" s="43" t="n">
        <v>9650</v>
      </c>
      <c r="Q1840" s="20" t="n">
        <v>183327487</v>
      </c>
      <c r="R1840" s="42">
        <f>+L1840+N1840-P1840</f>
        <v/>
      </c>
      <c r="S1840" s="42">
        <f>+M1840+O1840-Q1840</f>
        <v/>
      </c>
    </row>
    <row r="1841" ht="30" customHeight="1">
      <c r="A1841" s="16" t="n">
        <v>45811</v>
      </c>
      <c r="B1841" s="17" t="inlineStr">
        <is>
          <t>MH2506-08</t>
        </is>
      </c>
      <c r="C1841" s="16" t="n">
        <v>45811</v>
      </c>
      <c r="D1841" s="17" t="inlineStr">
        <is>
          <t>00002052</t>
        </is>
      </c>
      <c r="E1841" s="16" t="n">
        <v>45811</v>
      </c>
      <c r="F1841" s="16" t="inlineStr">
        <is>
          <t>XK2506-05</t>
        </is>
      </c>
      <c r="G1841" s="16" t="n">
        <v>45811</v>
      </c>
      <c r="H1841" s="17" t="inlineStr">
        <is>
          <t>CÔNG TY CỔ PHẦN CÔNG NGHIỆP VÀ THƯƠNG MẠI CƯỜNG THỊNH</t>
        </is>
      </c>
      <c r="I1841" s="17" t="inlineStr">
        <is>
          <t>STR H/H B A325M Type 1 ZP M24x80(80)</t>
        </is>
      </c>
      <c r="J1841" s="17" t="inlineStr">
        <is>
          <t>Cái</t>
        </is>
      </c>
      <c r="K1841" s="21" t="n">
        <v>18000</v>
      </c>
      <c r="L1841" s="21" t="n"/>
      <c r="M1841" s="22" t="n"/>
      <c r="N1841" s="22" t="n">
        <v>19</v>
      </c>
      <c r="O1841" s="22" t="n">
        <v>342000</v>
      </c>
      <c r="P1841" s="22" t="n">
        <v>19</v>
      </c>
      <c r="Q1841" s="22" t="n">
        <v>342000</v>
      </c>
      <c r="R1841" s="42">
        <f>+L1841+N1841-P1841</f>
        <v/>
      </c>
      <c r="S1841" s="42">
        <f>+M1841+O1841-Q1841</f>
        <v/>
      </c>
    </row>
    <row r="1842" ht="30" customHeight="1">
      <c r="A1842" s="16" t="n">
        <v>45811</v>
      </c>
      <c r="B1842" s="17" t="inlineStr">
        <is>
          <t>MH2506-08</t>
        </is>
      </c>
      <c r="C1842" s="16" t="n">
        <v>45811</v>
      </c>
      <c r="D1842" s="17" t="inlineStr">
        <is>
          <t>00002052</t>
        </is>
      </c>
      <c r="E1842" s="16" t="n">
        <v>45811</v>
      </c>
      <c r="F1842" s="16" t="inlineStr">
        <is>
          <t>XK2506-05</t>
        </is>
      </c>
      <c r="G1842" s="16" t="n">
        <v>45811</v>
      </c>
      <c r="H1842" s="17" t="inlineStr">
        <is>
          <t>CÔNG TY CỔ PHẦN CÔNG NGHIỆP VÀ THƯƠNG MẠI CƯỜNG THỊNH</t>
        </is>
      </c>
      <c r="I1842" s="17" t="inlineStr">
        <is>
          <t>H/H N A563M 10 ZP M24</t>
        </is>
      </c>
      <c r="J1842" s="17" t="inlineStr">
        <is>
          <t>Cái</t>
        </is>
      </c>
      <c r="K1842" s="21" t="n">
        <v>8540</v>
      </c>
      <c r="L1842" s="21" t="n"/>
      <c r="M1842" s="22" t="n"/>
      <c r="N1842" s="22" t="n">
        <v>19</v>
      </c>
      <c r="O1842" s="22" t="n">
        <v>162260</v>
      </c>
      <c r="P1842" s="22" t="n">
        <v>19</v>
      </c>
      <c r="Q1842" s="22" t="n">
        <v>162260</v>
      </c>
      <c r="R1842" s="42">
        <f>+L1842+N1842-P1842</f>
        <v/>
      </c>
      <c r="S1842" s="42">
        <f>+M1842+O1842-Q1842</f>
        <v/>
      </c>
    </row>
    <row r="1843" ht="30" customHeight="1">
      <c r="A1843" s="16" t="n">
        <v>45811</v>
      </c>
      <c r="B1843" s="17" t="inlineStr">
        <is>
          <t>MH2506-08</t>
        </is>
      </c>
      <c r="C1843" s="16" t="n">
        <v>45811</v>
      </c>
      <c r="D1843" s="17" t="inlineStr">
        <is>
          <t>00002052</t>
        </is>
      </c>
      <c r="E1843" s="16" t="n">
        <v>45811</v>
      </c>
      <c r="F1843" s="16" t="inlineStr">
        <is>
          <t>XK2506-06</t>
        </is>
      </c>
      <c r="G1843" s="16" t="n">
        <v>45811</v>
      </c>
      <c r="H1843" s="17" t="inlineStr">
        <is>
          <t>CÔNG TY CỔ PHẦN CÔNG NGHIỆP VÀ THƯƠNG MẠI CƯỜNG THỊNH</t>
        </is>
      </c>
      <c r="I1843" s="17" t="inlineStr">
        <is>
          <t>W F436M Type 1 ZP M24</t>
        </is>
      </c>
      <c r="J1843" s="17" t="inlineStr">
        <is>
          <t>Cái</t>
        </is>
      </c>
      <c r="K1843" s="21" t="n">
        <v>1910</v>
      </c>
      <c r="L1843" s="21" t="n"/>
      <c r="M1843" s="22" t="n"/>
      <c r="N1843" s="22" t="n">
        <v>19</v>
      </c>
      <c r="O1843" s="22" t="n">
        <v>36290</v>
      </c>
      <c r="P1843" s="22" t="n">
        <v>19</v>
      </c>
      <c r="Q1843" s="22" t="n">
        <v>36290</v>
      </c>
      <c r="R1843" s="42">
        <f>+L1843+N1843-P1843</f>
        <v/>
      </c>
      <c r="S1843" s="42">
        <f>+M1843+O1843-Q1843</f>
        <v/>
      </c>
    </row>
    <row r="1844" ht="30" customHeight="1">
      <c r="A1844" s="16" t="n">
        <v>45811</v>
      </c>
      <c r="B1844" s="17" t="inlineStr">
        <is>
          <t>MH2506-10</t>
        </is>
      </c>
      <c r="C1844" s="16" t="n">
        <v>45811</v>
      </c>
      <c r="D1844" s="17" t="inlineStr">
        <is>
          <t>00000501</t>
        </is>
      </c>
      <c r="E1844" s="16" t="n">
        <v>45811</v>
      </c>
      <c r="F1844" s="16" t="inlineStr">
        <is>
          <t>XK2506-06</t>
        </is>
      </c>
      <c r="G1844" s="16" t="n">
        <v>45811</v>
      </c>
      <c r="H1844" s="17" t="inlineStr">
        <is>
          <t>CÔNG TY TNHH XUẤT NHẬP KHẨU THƯƠNG MẠI KIÊN HOÀNG</t>
        </is>
      </c>
      <c r="I1844" s="17" t="inlineStr">
        <is>
          <t>Thép tấm (57x365x11750mm)</t>
        </is>
      </c>
      <c r="J1844" s="17" t="inlineStr">
        <is>
          <t>kg</t>
        </is>
      </c>
      <c r="K1844" s="21" t="n">
        <v>16909.09</v>
      </c>
      <c r="L1844" s="21" t="n"/>
      <c r="M1844" s="22" t="n"/>
      <c r="N1844" s="22" t="n">
        <v>7676</v>
      </c>
      <c r="O1844" s="22" t="n">
        <v>129794175</v>
      </c>
      <c r="P1844" s="22" t="n">
        <v>7676</v>
      </c>
      <c r="Q1844" s="22" t="n">
        <v>129794175</v>
      </c>
      <c r="R1844" s="42">
        <f>+L1844+N1844-P1844</f>
        <v/>
      </c>
      <c r="S1844" s="42">
        <f>+M1844+O1844-Q1844</f>
        <v/>
      </c>
    </row>
    <row r="1845" ht="30" customHeight="1">
      <c r="A1845" s="16" t="n">
        <v>45811</v>
      </c>
      <c r="B1845" s="17" t="inlineStr">
        <is>
          <t>MH2506-10</t>
        </is>
      </c>
      <c r="C1845" s="16" t="n">
        <v>45811</v>
      </c>
      <c r="D1845" s="17" t="inlineStr">
        <is>
          <t>00000501</t>
        </is>
      </c>
      <c r="E1845" s="16" t="n">
        <v>45811</v>
      </c>
      <c r="F1845" s="16" t="inlineStr">
        <is>
          <t>XK2506-06</t>
        </is>
      </c>
      <c r="G1845" s="16" t="n">
        <v>45811</v>
      </c>
      <c r="H1845" s="17" t="inlineStr">
        <is>
          <t>CÔNG TY TNHH XUẤT NHẬP KHẨU THƯƠNG MẠI KIÊN HOÀNG</t>
        </is>
      </c>
      <c r="I1845" s="17" t="inlineStr">
        <is>
          <t>Thép tấm (57x365x11612mm)</t>
        </is>
      </c>
      <c r="J1845" s="17" t="inlineStr">
        <is>
          <t>kg</t>
        </is>
      </c>
      <c r="K1845" s="21" t="n">
        <v>16909.09</v>
      </c>
      <c r="L1845" s="21" t="n"/>
      <c r="M1845" s="22" t="n"/>
      <c r="N1845" s="22" t="n">
        <v>3792.93</v>
      </c>
      <c r="O1845" s="22" t="n">
        <v>64134995</v>
      </c>
      <c r="P1845" s="22" t="n">
        <v>3792.93</v>
      </c>
      <c r="Q1845" s="22" t="n">
        <v>64134995</v>
      </c>
      <c r="R1845" s="42">
        <f>+L1845+N1845-P1845</f>
        <v/>
      </c>
      <c r="S1845" s="42">
        <f>+M1845+O1845-Q1845</f>
        <v/>
      </c>
    </row>
    <row r="1846" ht="30" customHeight="1">
      <c r="A1846" s="16" t="n">
        <v>45811</v>
      </c>
      <c r="B1846" s="17" t="inlineStr">
        <is>
          <t>MH2506-10</t>
        </is>
      </c>
      <c r="C1846" s="16" t="n">
        <v>45811</v>
      </c>
      <c r="D1846" s="17" t="inlineStr">
        <is>
          <t>00000501</t>
        </is>
      </c>
      <c r="E1846" s="16" t="n">
        <v>45811</v>
      </c>
      <c r="F1846" s="16" t="inlineStr">
        <is>
          <t>XK2506-06</t>
        </is>
      </c>
      <c r="G1846" s="16" t="n">
        <v>45811</v>
      </c>
      <c r="H1846" s="17" t="inlineStr">
        <is>
          <t>CÔNG TY TNHH XUẤT NHẬP KHẨU THƯƠNG MẠI KIÊN HOÀNG</t>
        </is>
      </c>
      <c r="I1846" s="17" t="inlineStr">
        <is>
          <t>Thép tấm (57x365x6690mm)</t>
        </is>
      </c>
      <c r="J1846" s="17" t="inlineStr">
        <is>
          <t>kg</t>
        </is>
      </c>
      <c r="K1846" s="21" t="n">
        <v>16909.09</v>
      </c>
      <c r="L1846" s="21" t="n"/>
      <c r="M1846" s="22" t="n"/>
      <c r="N1846" s="22" t="n">
        <v>2185.86</v>
      </c>
      <c r="O1846" s="22" t="n">
        <v>36960903</v>
      </c>
      <c r="P1846" s="22" t="n">
        <v>2185.86</v>
      </c>
      <c r="Q1846" s="22" t="n">
        <v>36960903</v>
      </c>
      <c r="R1846" s="42">
        <f>+L1846+N1846-P1846</f>
        <v/>
      </c>
      <c r="S1846" s="42">
        <f>+M1846+O1846-Q1846</f>
        <v/>
      </c>
    </row>
    <row r="1847" ht="30" customHeight="1">
      <c r="A1847" s="16" t="n">
        <v>45811</v>
      </c>
      <c r="B1847" s="17" t="inlineStr">
        <is>
          <t>MH2506-10</t>
        </is>
      </c>
      <c r="C1847" s="16" t="n">
        <v>45811</v>
      </c>
      <c r="D1847" s="17" t="inlineStr">
        <is>
          <t>00000501</t>
        </is>
      </c>
      <c r="E1847" s="16" t="n">
        <v>45811</v>
      </c>
      <c r="F1847" s="16" t="inlineStr">
        <is>
          <t>XK2506-06</t>
        </is>
      </c>
      <c r="G1847" s="16" t="n">
        <v>45811</v>
      </c>
      <c r="H1847" s="17" t="inlineStr">
        <is>
          <t>CÔNG TY TNHH XUẤT NHẬP KHẨU THƯƠNG MẠI KIÊN HOÀNG</t>
        </is>
      </c>
      <c r="I1847" s="17" t="inlineStr">
        <is>
          <t>Thép tấm (57x365x6574mm)</t>
        </is>
      </c>
      <c r="J1847" s="17" t="inlineStr">
        <is>
          <t>kg</t>
        </is>
      </c>
      <c r="K1847" s="21" t="n">
        <v>16909.09</v>
      </c>
      <c r="L1847" s="21" t="n"/>
      <c r="M1847" s="22" t="n"/>
      <c r="N1847" s="22" t="n">
        <v>2147.32</v>
      </c>
      <c r="O1847" s="22" t="n">
        <v>36309227</v>
      </c>
      <c r="P1847" s="22" t="n">
        <v>2147.32</v>
      </c>
      <c r="Q1847" s="22" t="n">
        <v>36309227</v>
      </c>
      <c r="R1847" s="42">
        <f>+L1847+N1847-P1847</f>
        <v/>
      </c>
      <c r="S1847" s="42">
        <f>+M1847+O1847-Q1847</f>
        <v/>
      </c>
    </row>
    <row r="1848" ht="30" customHeight="1">
      <c r="A1848" s="16" t="n">
        <v>45811</v>
      </c>
      <c r="B1848" s="17" t="inlineStr">
        <is>
          <t>MH2506-10</t>
        </is>
      </c>
      <c r="C1848" s="16" t="n">
        <v>45811</v>
      </c>
      <c r="D1848" s="17" t="inlineStr">
        <is>
          <t>00000501</t>
        </is>
      </c>
      <c r="E1848" s="16" t="n">
        <v>45811</v>
      </c>
      <c r="F1848" s="16" t="inlineStr">
        <is>
          <t>XK2506-06</t>
        </is>
      </c>
      <c r="G1848" s="16" t="n">
        <v>45811</v>
      </c>
      <c r="H1848" s="17" t="inlineStr">
        <is>
          <t>CÔNG TY TNHH XUẤT NHẬP KHẨU THƯƠNG MẠI KIÊN HOÀNG</t>
        </is>
      </c>
      <c r="I1848" s="17" t="inlineStr">
        <is>
          <t>Thép tấm (57x365x5172mm)</t>
        </is>
      </c>
      <c r="J1848" s="17" t="inlineStr">
        <is>
          <t>kg</t>
        </is>
      </c>
      <c r="K1848" s="21" t="n">
        <v>16909.09</v>
      </c>
      <c r="L1848" s="21" t="n"/>
      <c r="M1848" s="22" t="n"/>
      <c r="N1848" s="22" t="n">
        <v>1689.37</v>
      </c>
      <c r="O1848" s="22" t="n">
        <v>28565709</v>
      </c>
      <c r="P1848" s="22" t="n">
        <v>1689.37</v>
      </c>
      <c r="Q1848" s="22" t="n">
        <v>28565709</v>
      </c>
      <c r="R1848" s="42">
        <f>+L1848+N1848-P1848</f>
        <v/>
      </c>
      <c r="S1848" s="42">
        <f>+M1848+O1848-Q1848</f>
        <v/>
      </c>
    </row>
    <row r="1849" ht="30" customHeight="1">
      <c r="A1849" s="16" t="n">
        <v>45811</v>
      </c>
      <c r="B1849" s="17" t="inlineStr">
        <is>
          <t>MH2506-10</t>
        </is>
      </c>
      <c r="C1849" s="16" t="n">
        <v>45811</v>
      </c>
      <c r="D1849" s="17" t="inlineStr">
        <is>
          <t>00000501</t>
        </is>
      </c>
      <c r="E1849" s="16" t="n">
        <v>45811</v>
      </c>
      <c r="F1849" s="16" t="inlineStr">
        <is>
          <t>XK2506-06</t>
        </is>
      </c>
      <c r="G1849" s="16" t="n">
        <v>45811</v>
      </c>
      <c r="H1849" s="17" t="inlineStr">
        <is>
          <t>CÔNG TY TNHH XUẤT NHẬP KHẨU THƯƠNG MẠI KIÊN HOÀNG</t>
        </is>
      </c>
      <c r="I1849" s="17" t="inlineStr">
        <is>
          <t>Thép tấm (56x346x939mm)</t>
        </is>
      </c>
      <c r="J1849" s="17" t="inlineStr">
        <is>
          <t>kg</t>
        </is>
      </c>
      <c r="K1849" s="21" t="n">
        <v>16909.09</v>
      </c>
      <c r="L1849" s="21" t="n"/>
      <c r="M1849" s="22" t="n"/>
      <c r="N1849" s="22" t="n">
        <v>1142.59</v>
      </c>
      <c r="O1849" s="22" t="n">
        <v>19320157</v>
      </c>
      <c r="P1849" s="22" t="n">
        <v>1142.59</v>
      </c>
      <c r="Q1849" s="22" t="n">
        <v>19320157</v>
      </c>
      <c r="R1849" s="42">
        <f>+L1849+N1849-P1849</f>
        <v/>
      </c>
      <c r="S1849" s="42">
        <f>+M1849+O1849-Q1849</f>
        <v/>
      </c>
    </row>
    <row r="1850" ht="30" customHeight="1">
      <c r="A1850" s="16" t="n">
        <v>45811</v>
      </c>
      <c r="B1850" s="17" t="inlineStr">
        <is>
          <t>MH2506-10</t>
        </is>
      </c>
      <c r="C1850" s="16" t="n">
        <v>45811</v>
      </c>
      <c r="D1850" s="17" t="inlineStr">
        <is>
          <t>00000501</t>
        </is>
      </c>
      <c r="E1850" s="16" t="n">
        <v>45811</v>
      </c>
      <c r="F1850" s="16" t="inlineStr">
        <is>
          <t>XK2506-06</t>
        </is>
      </c>
      <c r="G1850" s="16" t="n">
        <v>45811</v>
      </c>
      <c r="H1850" s="17" t="inlineStr">
        <is>
          <t>CÔNG TY TNHH XUẤT NHẬP KHẨU THƯƠNG MẠI KIÊN HOÀNG</t>
        </is>
      </c>
      <c r="I1850" s="17" t="inlineStr">
        <is>
          <t>Thép tấm (56x340x946mm)</t>
        </is>
      </c>
      <c r="J1850" s="17" t="inlineStr">
        <is>
          <t>kg</t>
        </is>
      </c>
      <c r="K1850" s="21" t="n">
        <v>16909.09</v>
      </c>
      <c r="L1850" s="21" t="n"/>
      <c r="M1850" s="22" t="n"/>
      <c r="N1850" s="22" t="n">
        <v>282.79</v>
      </c>
      <c r="O1850" s="22" t="n">
        <v>4781722</v>
      </c>
      <c r="P1850" s="22" t="n">
        <v>282.79</v>
      </c>
      <c r="Q1850" s="22" t="n">
        <v>4781722</v>
      </c>
      <c r="R1850" s="42">
        <f>+L1850+N1850-P1850</f>
        <v/>
      </c>
      <c r="S1850" s="42">
        <f>+M1850+O1850-Q1850</f>
        <v/>
      </c>
    </row>
    <row r="1851" ht="30" customHeight="1">
      <c r="A1851" s="16" t="n">
        <v>45811</v>
      </c>
      <c r="B1851" s="17" t="inlineStr">
        <is>
          <t>MH2506-10</t>
        </is>
      </c>
      <c r="C1851" s="16" t="n">
        <v>45811</v>
      </c>
      <c r="D1851" s="17" t="inlineStr">
        <is>
          <t>00000501</t>
        </is>
      </c>
      <c r="E1851" s="16" t="n">
        <v>45811</v>
      </c>
      <c r="F1851" s="16" t="inlineStr">
        <is>
          <t>XK2506-06</t>
        </is>
      </c>
      <c r="G1851" s="16" t="n">
        <v>45811</v>
      </c>
      <c r="H1851" s="17" t="inlineStr">
        <is>
          <t>CÔNG TY TNHH XUẤT NHẬP KHẨU THƯƠNG MẠI KIÊN HOÀNG</t>
        </is>
      </c>
      <c r="I1851" s="17" t="inlineStr">
        <is>
          <t>Thép tấm (56x340x931mm)</t>
        </is>
      </c>
      <c r="J1851" s="17" t="inlineStr">
        <is>
          <t>kg</t>
        </is>
      </c>
      <c r="K1851" s="21" t="n">
        <v>16909.09</v>
      </c>
      <c r="L1851" s="21" t="n"/>
      <c r="M1851" s="22" t="n"/>
      <c r="N1851" s="22" t="n">
        <v>278.3</v>
      </c>
      <c r="O1851" s="22" t="n">
        <v>4705800</v>
      </c>
      <c r="P1851" s="22" t="n">
        <v>278.3</v>
      </c>
      <c r="Q1851" s="22" t="n">
        <v>4705800</v>
      </c>
      <c r="R1851" s="42">
        <f>+L1851+N1851-P1851</f>
        <v/>
      </c>
      <c r="S1851" s="42">
        <f>+M1851+O1851-Q1851</f>
        <v/>
      </c>
    </row>
    <row r="1852" ht="30" customHeight="1">
      <c r="A1852" s="16" t="n">
        <v>45811</v>
      </c>
      <c r="B1852" s="17" t="inlineStr">
        <is>
          <t>MH2506-10</t>
        </is>
      </c>
      <c r="C1852" s="16" t="n">
        <v>45811</v>
      </c>
      <c r="D1852" s="17" t="inlineStr">
        <is>
          <t>00000501</t>
        </is>
      </c>
      <c r="E1852" s="16" t="n">
        <v>45811</v>
      </c>
      <c r="F1852" s="16" t="inlineStr">
        <is>
          <t>XK2506-06</t>
        </is>
      </c>
      <c r="G1852" s="16" t="n">
        <v>45811</v>
      </c>
      <c r="H1852" s="17" t="inlineStr">
        <is>
          <t>CÔNG TY TNHH XUẤT NHẬP KHẨU THƯƠNG MẠI KIÊN HOÀNG</t>
        </is>
      </c>
      <c r="I1852" s="17" t="inlineStr">
        <is>
          <t>Thép tấm (56x340x928mm)</t>
        </is>
      </c>
      <c r="J1852" s="17" t="inlineStr">
        <is>
          <t>kg</t>
        </is>
      </c>
      <c r="K1852" s="21" t="n">
        <v>16909.09</v>
      </c>
      <c r="L1852" s="21" t="n"/>
      <c r="M1852" s="22" t="n"/>
      <c r="N1852" s="22" t="n">
        <v>277.41</v>
      </c>
      <c r="O1852" s="22" t="n">
        <v>4690751</v>
      </c>
      <c r="P1852" s="22" t="n">
        <v>277.41</v>
      </c>
      <c r="Q1852" s="22" t="n">
        <v>4690751</v>
      </c>
      <c r="R1852" s="42">
        <f>+L1852+N1852-P1852</f>
        <v/>
      </c>
      <c r="S1852" s="42">
        <f>+M1852+O1852-Q1852</f>
        <v/>
      </c>
    </row>
    <row r="1853" ht="30" customHeight="1">
      <c r="A1853" s="16" t="n">
        <v>45811</v>
      </c>
      <c r="B1853" s="17" t="inlineStr">
        <is>
          <t>MH2506-10</t>
        </is>
      </c>
      <c r="C1853" s="16" t="n">
        <v>45811</v>
      </c>
      <c r="D1853" s="17" t="inlineStr">
        <is>
          <t>00000501</t>
        </is>
      </c>
      <c r="E1853" s="16" t="n">
        <v>45811</v>
      </c>
      <c r="F1853" s="16" t="inlineStr">
        <is>
          <t>XK2506-06</t>
        </is>
      </c>
      <c r="G1853" s="16" t="n">
        <v>45811</v>
      </c>
      <c r="H1853" s="17" t="inlineStr">
        <is>
          <t>CÔNG TY TNHH XUẤT NHẬP KHẨU THƯƠNG MẠI KIÊN HOÀNG</t>
        </is>
      </c>
      <c r="I1853" s="17" t="inlineStr">
        <is>
          <t>Thép tấm (56x340x928mm)</t>
        </is>
      </c>
      <c r="J1853" s="17" t="inlineStr">
        <is>
          <t>kg</t>
        </is>
      </c>
      <c r="K1853" s="21" t="n">
        <v>16909.09</v>
      </c>
      <c r="L1853" s="21" t="n"/>
      <c r="M1853" s="22" t="n"/>
      <c r="N1853" s="22" t="n">
        <v>1434.43</v>
      </c>
      <c r="O1853" s="22" t="n">
        <v>24254906</v>
      </c>
      <c r="P1853" s="22" t="n">
        <v>1434.43</v>
      </c>
      <c r="Q1853" s="22" t="n">
        <v>24254906</v>
      </c>
      <c r="R1853" s="42">
        <f>+L1853+N1853-P1853</f>
        <v/>
      </c>
      <c r="S1853" s="42">
        <f>+M1853+O1853-Q1853</f>
        <v/>
      </c>
    </row>
    <row r="1854" ht="30" customHeight="1">
      <c r="A1854" s="16" t="n">
        <v>45811</v>
      </c>
      <c r="B1854" s="17" t="inlineStr">
        <is>
          <t>MH2506-10</t>
        </is>
      </c>
      <c r="C1854" s="16" t="n">
        <v>45811</v>
      </c>
      <c r="D1854" s="17" t="inlineStr">
        <is>
          <t>00000501</t>
        </is>
      </c>
      <c r="E1854" s="16" t="n">
        <v>45811</v>
      </c>
      <c r="F1854" s="16" t="inlineStr">
        <is>
          <t>XK2506-06</t>
        </is>
      </c>
      <c r="G1854" s="16" t="n">
        <v>45811</v>
      </c>
      <c r="H1854" s="17" t="inlineStr">
        <is>
          <t>CÔNG TY TNHH XUẤT NHẬP KHẨU THƯƠNG MẠI KIÊN HOÀNG</t>
        </is>
      </c>
      <c r="I1854" s="17" t="inlineStr">
        <is>
          <t>Thép tấm (56x330x817mm)</t>
        </is>
      </c>
      <c r="J1854" s="17" t="inlineStr">
        <is>
          <t>kg</t>
        </is>
      </c>
      <c r="K1854" s="21" t="n">
        <v>16909.09</v>
      </c>
      <c r="L1854" s="21" t="n"/>
      <c r="M1854" s="22" t="n"/>
      <c r="N1854" s="22" t="n">
        <v>711.12</v>
      </c>
      <c r="O1854" s="22" t="n">
        <v>12024392</v>
      </c>
      <c r="P1854" s="22" t="n">
        <v>711.12</v>
      </c>
      <c r="Q1854" s="22" t="n">
        <v>12024392</v>
      </c>
      <c r="R1854" s="42">
        <f>+L1854+N1854-P1854</f>
        <v/>
      </c>
      <c r="S1854" s="42">
        <f>+M1854+O1854-Q1854</f>
        <v/>
      </c>
    </row>
    <row r="1855" ht="30" customHeight="1">
      <c r="A1855" s="16" t="n">
        <v>45811</v>
      </c>
      <c r="B1855" s="17" t="inlineStr">
        <is>
          <t>MH2506-10</t>
        </is>
      </c>
      <c r="C1855" s="16" t="n">
        <v>45811</v>
      </c>
      <c r="D1855" s="17" t="inlineStr">
        <is>
          <t>00000501</t>
        </is>
      </c>
      <c r="E1855" s="16" t="n">
        <v>45811</v>
      </c>
      <c r="F1855" s="16" t="inlineStr">
        <is>
          <t>XK2506-06</t>
        </is>
      </c>
      <c r="G1855" s="16" t="n">
        <v>45811</v>
      </c>
      <c r="H1855" s="17" t="inlineStr">
        <is>
          <t>CÔNG TY TNHH XUẤT NHẬP KHẨU THƯƠNG MẠI KIÊN HOÀNG</t>
        </is>
      </c>
      <c r="I1855" s="17" t="inlineStr">
        <is>
          <t>Thép tấm (56x330x815mm)</t>
        </is>
      </c>
      <c r="J1855" s="17" t="inlineStr">
        <is>
          <t>kg</t>
        </is>
      </c>
      <c r="K1855" s="21" t="n">
        <v>16909.09</v>
      </c>
      <c r="L1855" s="21" t="n"/>
      <c r="M1855" s="22" t="n"/>
      <c r="N1855" s="22" t="n">
        <v>709.38</v>
      </c>
      <c r="O1855" s="22" t="n">
        <v>11994970</v>
      </c>
      <c r="P1855" s="22" t="n">
        <v>709.38</v>
      </c>
      <c r="Q1855" s="22" t="n">
        <v>11994970</v>
      </c>
      <c r="R1855" s="42">
        <f>+L1855+N1855-P1855</f>
        <v/>
      </c>
      <c r="S1855" s="42">
        <f>+M1855+O1855-Q1855</f>
        <v/>
      </c>
    </row>
    <row r="1856" ht="30" customHeight="1">
      <c r="A1856" s="16" t="n">
        <v>45811</v>
      </c>
      <c r="B1856" s="17" t="inlineStr">
        <is>
          <t>MH2506-10</t>
        </is>
      </c>
      <c r="C1856" s="16" t="n">
        <v>45811</v>
      </c>
      <c r="D1856" s="17" t="inlineStr">
        <is>
          <t>00000501</t>
        </is>
      </c>
      <c r="E1856" s="16" t="n">
        <v>45811</v>
      </c>
      <c r="F1856" s="16" t="inlineStr">
        <is>
          <t>XK2506-06</t>
        </is>
      </c>
      <c r="G1856" s="16" t="n">
        <v>45811</v>
      </c>
      <c r="H1856" s="17" t="inlineStr">
        <is>
          <t>CÔNG TY TNHH XUẤT NHẬP KHẨU THƯƠNG MẠI KIÊN HOÀNG</t>
        </is>
      </c>
      <c r="I1856" s="17" t="inlineStr">
        <is>
          <t>Thép tấm (56x255x650mm)</t>
        </is>
      </c>
      <c r="J1856" s="17" t="inlineStr">
        <is>
          <t>kg</t>
        </is>
      </c>
      <c r="K1856" s="21" t="n">
        <v>16909.09</v>
      </c>
      <c r="L1856" s="21" t="n"/>
      <c r="M1856" s="22" t="n"/>
      <c r="N1856" s="22" t="n">
        <v>437.18</v>
      </c>
      <c r="O1856" s="22" t="n">
        <v>7392316</v>
      </c>
      <c r="P1856" s="22" t="n">
        <v>437.18</v>
      </c>
      <c r="Q1856" s="22" t="n">
        <v>7392316</v>
      </c>
      <c r="R1856" s="42">
        <f>+L1856+N1856-P1856</f>
        <v/>
      </c>
      <c r="S1856" s="42">
        <f>+M1856+O1856-Q1856</f>
        <v/>
      </c>
    </row>
    <row r="1857" ht="30" customHeight="1">
      <c r="A1857" s="16" t="n">
        <v>45811</v>
      </c>
      <c r="B1857" s="17" t="inlineStr">
        <is>
          <t>MH2506-10</t>
        </is>
      </c>
      <c r="C1857" s="16" t="n">
        <v>45811</v>
      </c>
      <c r="D1857" s="17" t="inlineStr">
        <is>
          <t>00000501</t>
        </is>
      </c>
      <c r="E1857" s="16" t="n">
        <v>45811</v>
      </c>
      <c r="F1857" s="16" t="inlineStr">
        <is>
          <t>XK2506-06</t>
        </is>
      </c>
      <c r="G1857" s="16" t="n">
        <v>45811</v>
      </c>
      <c r="H1857" s="17" t="inlineStr">
        <is>
          <t>CÔNG TY TNHH XUẤT NHẬP KHẨU THƯƠNG MẠI KIÊN HOÀNG</t>
        </is>
      </c>
      <c r="I1857" s="17" t="inlineStr">
        <is>
          <t>Thép tấm (60x335x7402mm)</t>
        </is>
      </c>
      <c r="J1857" s="17" t="inlineStr">
        <is>
          <t>kg</t>
        </is>
      </c>
      <c r="K1857" s="21" t="n">
        <v>16909.09</v>
      </c>
      <c r="L1857" s="21" t="n"/>
      <c r="M1857" s="22" t="n"/>
      <c r="N1857" s="22" t="n">
        <v>3503.77</v>
      </c>
      <c r="O1857" s="22" t="n">
        <v>59245562</v>
      </c>
      <c r="P1857" s="22" t="n">
        <v>3503.77</v>
      </c>
      <c r="Q1857" s="22" t="n">
        <v>59245562</v>
      </c>
      <c r="R1857" s="42">
        <f>+L1857+N1857-P1857</f>
        <v/>
      </c>
      <c r="S1857" s="42">
        <f>+M1857+O1857-Q1857</f>
        <v/>
      </c>
    </row>
    <row r="1858" ht="30" customHeight="1">
      <c r="A1858" s="16" t="n">
        <v>45811</v>
      </c>
      <c r="B1858" s="17" t="inlineStr">
        <is>
          <t>MH2506-10</t>
        </is>
      </c>
      <c r="C1858" s="16" t="n">
        <v>45811</v>
      </c>
      <c r="D1858" s="17" t="inlineStr">
        <is>
          <t>00000501</t>
        </is>
      </c>
      <c r="E1858" s="16" t="n">
        <v>45811</v>
      </c>
      <c r="F1858" s="16" t="inlineStr">
        <is>
          <t>XK2506-06</t>
        </is>
      </c>
      <c r="G1858" s="16" t="n">
        <v>45811</v>
      </c>
      <c r="H1858" s="17" t="inlineStr">
        <is>
          <t>CÔNG TY TNHH XUẤT NHẬP KHẨU THƯƠNG MẠI KIÊN HOÀNG</t>
        </is>
      </c>
      <c r="I1858" s="17" t="inlineStr">
        <is>
          <t>Thép tấm (60x335x6198mm)</t>
        </is>
      </c>
      <c r="J1858" s="17" t="inlineStr">
        <is>
          <t>kg</t>
        </is>
      </c>
      <c r="K1858" s="21" t="n">
        <v>16909.09</v>
      </c>
      <c r="L1858" s="21" t="n"/>
      <c r="M1858" s="22" t="n"/>
      <c r="N1858" s="22" t="n">
        <v>977.95</v>
      </c>
      <c r="O1858" s="22" t="n">
        <v>16536245</v>
      </c>
      <c r="P1858" s="22" t="n">
        <v>977.95</v>
      </c>
      <c r="Q1858" s="22" t="n">
        <v>16536245</v>
      </c>
      <c r="R1858" s="42">
        <f>+L1858+N1858-P1858</f>
        <v/>
      </c>
      <c r="S1858" s="42">
        <f>+M1858+O1858-Q1858</f>
        <v/>
      </c>
    </row>
    <row r="1859" ht="30" customHeight="1">
      <c r="A1859" s="16" t="n">
        <v>45811</v>
      </c>
      <c r="B1859" s="17" t="inlineStr">
        <is>
          <t>MH2506-10</t>
        </is>
      </c>
      <c r="C1859" s="16" t="n">
        <v>45811</v>
      </c>
      <c r="D1859" s="17" t="inlineStr">
        <is>
          <t>00000501</t>
        </is>
      </c>
      <c r="E1859" s="16" t="n">
        <v>45811</v>
      </c>
      <c r="F1859" s="16" t="inlineStr">
        <is>
          <t>XK2506-06</t>
        </is>
      </c>
      <c r="G1859" s="16" t="n">
        <v>45811</v>
      </c>
      <c r="H1859" s="17" t="inlineStr">
        <is>
          <t>CÔNG TY TNHH XUẤT NHẬP KHẨU THƯƠNG MẠI KIÊN HOÀNG</t>
        </is>
      </c>
      <c r="I1859" s="17" t="inlineStr">
        <is>
          <t>Thép tấm (60x335x6193mm)</t>
        </is>
      </c>
      <c r="J1859" s="17" t="inlineStr">
        <is>
          <t>kg</t>
        </is>
      </c>
      <c r="K1859" s="21" t="n">
        <v>16909.09</v>
      </c>
      <c r="L1859" s="21" t="n"/>
      <c r="M1859" s="22" t="n"/>
      <c r="N1859" s="22" t="n">
        <v>977.16</v>
      </c>
      <c r="O1859" s="22" t="n">
        <v>16522886</v>
      </c>
      <c r="P1859" s="22" t="n">
        <v>977.16</v>
      </c>
      <c r="Q1859" s="22" t="n">
        <v>16522886</v>
      </c>
      <c r="R1859" s="42">
        <f>+L1859+N1859-P1859</f>
        <v/>
      </c>
      <c r="S1859" s="42">
        <f>+M1859+O1859-Q1859</f>
        <v/>
      </c>
    </row>
    <row r="1860" ht="30" customHeight="1">
      <c r="A1860" s="16" t="n">
        <v>45811</v>
      </c>
      <c r="B1860" s="17" t="inlineStr">
        <is>
          <t>MH2506-10</t>
        </is>
      </c>
      <c r="C1860" s="16" t="n">
        <v>45811</v>
      </c>
      <c r="D1860" s="17" t="inlineStr">
        <is>
          <t>00000501</t>
        </is>
      </c>
      <c r="E1860" s="16" t="n">
        <v>45811</v>
      </c>
      <c r="F1860" s="16" t="inlineStr">
        <is>
          <t>XK2506-06</t>
        </is>
      </c>
      <c r="G1860" s="16" t="n">
        <v>45811</v>
      </c>
      <c r="H1860" s="17" t="inlineStr">
        <is>
          <t>CÔNG TY TNHH XUẤT NHẬP KHẨU THƯƠNG MẠI KIÊN HOÀNG</t>
        </is>
      </c>
      <c r="I1860" s="17" t="inlineStr">
        <is>
          <t>Thép tấm (60x335x5758mm)</t>
        </is>
      </c>
      <c r="J1860" s="17" t="inlineStr">
        <is>
          <t>kg</t>
        </is>
      </c>
      <c r="K1860" s="21" t="n">
        <v>16909.09</v>
      </c>
      <c r="L1860" s="21" t="n"/>
      <c r="M1860" s="22" t="n"/>
      <c r="N1860" s="22" t="n">
        <v>908.53</v>
      </c>
      <c r="O1860" s="22" t="n">
        <v>15362416</v>
      </c>
      <c r="P1860" s="22" t="n">
        <v>908.53</v>
      </c>
      <c r="Q1860" s="22" t="n">
        <v>15362416</v>
      </c>
      <c r="R1860" s="42">
        <f>+L1860+N1860-P1860</f>
        <v/>
      </c>
      <c r="S1860" s="42">
        <f>+M1860+O1860-Q1860</f>
        <v/>
      </c>
    </row>
    <row r="1861" ht="30" customHeight="1">
      <c r="A1861" s="16" t="n">
        <v>45811</v>
      </c>
      <c r="B1861" s="17" t="inlineStr">
        <is>
          <t>MH2506-10</t>
        </is>
      </c>
      <c r="C1861" s="16" t="n">
        <v>45811</v>
      </c>
      <c r="D1861" s="17" t="inlineStr">
        <is>
          <t>00000501</t>
        </is>
      </c>
      <c r="E1861" s="16" t="n">
        <v>45811</v>
      </c>
      <c r="F1861" s="16" t="inlineStr">
        <is>
          <t>XK2506-06</t>
        </is>
      </c>
      <c r="G1861" s="16" t="n">
        <v>45811</v>
      </c>
      <c r="H1861" s="17" t="inlineStr">
        <is>
          <t>CÔNG TY TNHH XUẤT NHẬP KHẨU THƯƠNG MẠI KIÊN HOÀNG</t>
        </is>
      </c>
      <c r="I1861" s="17" t="inlineStr">
        <is>
          <t>Thép tấm (60x335x5747mm)</t>
        </is>
      </c>
      <c r="J1861" s="17" t="inlineStr">
        <is>
          <t>kg</t>
        </is>
      </c>
      <c r="K1861" s="21" t="n">
        <v>16909.09</v>
      </c>
      <c r="L1861" s="21" t="n"/>
      <c r="M1861" s="22" t="n"/>
      <c r="N1861" s="22" t="n">
        <v>906.79</v>
      </c>
      <c r="O1861" s="22" t="n">
        <v>15332994</v>
      </c>
      <c r="P1861" s="22" t="n">
        <v>906.79</v>
      </c>
      <c r="Q1861" s="22" t="n">
        <v>15332994</v>
      </c>
      <c r="R1861" s="42">
        <f>+L1861+N1861-P1861</f>
        <v/>
      </c>
      <c r="S1861" s="42">
        <f>+M1861+O1861-Q1861</f>
        <v/>
      </c>
    </row>
    <row r="1862" ht="30" customHeight="1">
      <c r="A1862" s="16" t="n">
        <v>45811</v>
      </c>
      <c r="B1862" s="17" t="inlineStr">
        <is>
          <t>MH2506-10</t>
        </is>
      </c>
      <c r="C1862" s="16" t="n">
        <v>45811</v>
      </c>
      <c r="D1862" s="17" t="inlineStr">
        <is>
          <t>00000501</t>
        </is>
      </c>
      <c r="E1862" s="16" t="n">
        <v>45811</v>
      </c>
      <c r="F1862" s="16" t="inlineStr">
        <is>
          <t>XK2506-06</t>
        </is>
      </c>
      <c r="G1862" s="16" t="n">
        <v>45811</v>
      </c>
      <c r="H1862" s="17" t="inlineStr">
        <is>
          <t>CÔNG TY TNHH XUẤT NHẬP KHẨU THƯƠNG MẠI KIÊN HOÀNG</t>
        </is>
      </c>
      <c r="I1862" s="17" t="inlineStr">
        <is>
          <t>Thép tấm (60x335x5317mm)</t>
        </is>
      </c>
      <c r="J1862" s="17" t="inlineStr">
        <is>
          <t>kg</t>
        </is>
      </c>
      <c r="K1862" s="21" t="n">
        <v>16909.09</v>
      </c>
      <c r="L1862" s="21" t="n"/>
      <c r="M1862" s="22" t="n"/>
      <c r="N1862" s="22" t="n">
        <v>838.9400000000001</v>
      </c>
      <c r="O1862" s="22" t="n">
        <v>14185712</v>
      </c>
      <c r="P1862" s="22" t="n">
        <v>838.9400000000001</v>
      </c>
      <c r="Q1862" s="22" t="n">
        <v>14185712</v>
      </c>
      <c r="R1862" s="42">
        <f>+L1862+N1862-P1862</f>
        <v/>
      </c>
      <c r="S1862" s="42">
        <f>+M1862+O1862-Q1862</f>
        <v/>
      </c>
    </row>
    <row r="1863" ht="30" customHeight="1">
      <c r="A1863" s="16" t="n">
        <v>45811</v>
      </c>
      <c r="B1863" s="17" t="inlineStr">
        <is>
          <t>MH2506-10</t>
        </is>
      </c>
      <c r="C1863" s="16" t="n">
        <v>45811</v>
      </c>
      <c r="D1863" s="17" t="inlineStr">
        <is>
          <t>00000501</t>
        </is>
      </c>
      <c r="E1863" s="16" t="n">
        <v>45811</v>
      </c>
      <c r="F1863" s="16" t="inlineStr">
        <is>
          <t>XK2506-06</t>
        </is>
      </c>
      <c r="G1863" s="16" t="n">
        <v>45811</v>
      </c>
      <c r="H1863" s="17" t="inlineStr">
        <is>
          <t>CÔNG TY TNHH XUẤT NHẬP KHẨU THƯƠNG MẠI KIÊN HOÀNG</t>
        </is>
      </c>
      <c r="I1863" s="17" t="inlineStr">
        <is>
          <t>Thép tấm (60x335x5301mm)</t>
        </is>
      </c>
      <c r="J1863" s="17" t="inlineStr">
        <is>
          <t>kg</t>
        </is>
      </c>
      <c r="K1863" s="21" t="n">
        <v>16909.09</v>
      </c>
      <c r="L1863" s="21" t="n"/>
      <c r="M1863" s="22" t="n"/>
      <c r="N1863" s="22" t="n">
        <v>836.42</v>
      </c>
      <c r="O1863" s="22" t="n">
        <v>14143101</v>
      </c>
      <c r="P1863" s="22" t="n">
        <v>836.42</v>
      </c>
      <c r="Q1863" s="22" t="n">
        <v>14143101</v>
      </c>
      <c r="R1863" s="42">
        <f>+L1863+N1863-P1863</f>
        <v/>
      </c>
      <c r="S1863" s="42">
        <f>+M1863+O1863-Q1863</f>
        <v/>
      </c>
    </row>
    <row r="1864" ht="30" customHeight="1">
      <c r="A1864" s="16" t="n">
        <v>45811</v>
      </c>
      <c r="B1864" s="17" t="inlineStr">
        <is>
          <t>MH2506-10</t>
        </is>
      </c>
      <c r="C1864" s="16" t="n">
        <v>45811</v>
      </c>
      <c r="D1864" s="17" t="inlineStr">
        <is>
          <t>00000501</t>
        </is>
      </c>
      <c r="E1864" s="16" t="n">
        <v>45811</v>
      </c>
      <c r="F1864" s="16" t="inlineStr">
        <is>
          <t>XK2506-06</t>
        </is>
      </c>
      <c r="G1864" s="16" t="n">
        <v>45811</v>
      </c>
      <c r="H1864" s="17" t="inlineStr">
        <is>
          <t>CÔNG TY TNHH XUẤT NHẬP KHẨU THƯƠNG MẠI KIÊN HOÀNG</t>
        </is>
      </c>
      <c r="I1864" s="17" t="inlineStr">
        <is>
          <t>Thép tấm (60x335x4877mm)</t>
        </is>
      </c>
      <c r="J1864" s="17" t="inlineStr">
        <is>
          <t>kg</t>
        </is>
      </c>
      <c r="K1864" s="21" t="n">
        <v>16909.09</v>
      </c>
      <c r="L1864" s="21" t="n"/>
      <c r="M1864" s="22" t="n"/>
      <c r="N1864" s="22" t="n">
        <v>769.52</v>
      </c>
      <c r="O1864" s="22" t="n">
        <v>13011883</v>
      </c>
      <c r="P1864" s="22" t="n">
        <v>769.52</v>
      </c>
      <c r="Q1864" s="22" t="n">
        <v>13011883</v>
      </c>
      <c r="R1864" s="42">
        <f>+L1864+N1864-P1864</f>
        <v/>
      </c>
      <c r="S1864" s="42">
        <f>+M1864+O1864-Q1864</f>
        <v/>
      </c>
    </row>
    <row r="1865" ht="30" customHeight="1">
      <c r="A1865" s="16" t="n">
        <v>45811</v>
      </c>
      <c r="B1865" s="17" t="inlineStr">
        <is>
          <t>MH2506-10</t>
        </is>
      </c>
      <c r="C1865" s="16" t="n">
        <v>45811</v>
      </c>
      <c r="D1865" s="17" t="inlineStr">
        <is>
          <t>00000501</t>
        </is>
      </c>
      <c r="E1865" s="16" t="n">
        <v>45811</v>
      </c>
      <c r="F1865" s="16" t="inlineStr">
        <is>
          <t>XK2506-06</t>
        </is>
      </c>
      <c r="G1865" s="16" t="n">
        <v>45811</v>
      </c>
      <c r="H1865" s="17" t="inlineStr">
        <is>
          <t>CÔNG TY TNHH XUẤT NHẬP KHẨU THƯƠNG MẠI KIÊN HOÀNG</t>
        </is>
      </c>
      <c r="I1865" s="17" t="inlineStr">
        <is>
          <t>Thép tấm (60x335x4855mm)</t>
        </is>
      </c>
      <c r="J1865" s="17" t="inlineStr">
        <is>
          <t>kg</t>
        </is>
      </c>
      <c r="K1865" s="21" t="n">
        <v>16909.09</v>
      </c>
      <c r="L1865" s="21" t="n"/>
      <c r="M1865" s="22" t="n"/>
      <c r="N1865" s="22" t="n">
        <v>766.05</v>
      </c>
      <c r="O1865" s="22" t="n">
        <v>12953208</v>
      </c>
      <c r="P1865" s="22" t="n">
        <v>766.05</v>
      </c>
      <c r="Q1865" s="22" t="n">
        <v>12953208</v>
      </c>
      <c r="R1865" s="42">
        <f>+L1865+N1865-P1865</f>
        <v/>
      </c>
      <c r="S1865" s="42">
        <f>+M1865+O1865-Q1865</f>
        <v/>
      </c>
    </row>
    <row r="1866" ht="30" customHeight="1">
      <c r="A1866" s="16" t="n">
        <v>45811</v>
      </c>
      <c r="B1866" s="17" t="inlineStr">
        <is>
          <t>MH2506-11</t>
        </is>
      </c>
      <c r="C1866" s="16" t="n">
        <v>45811</v>
      </c>
      <c r="D1866" s="17" t="inlineStr">
        <is>
          <t>00000500</t>
        </is>
      </c>
      <c r="E1866" s="16" t="n">
        <v>45811</v>
      </c>
      <c r="F1866" s="16" t="inlineStr">
        <is>
          <t>XK2506-06</t>
        </is>
      </c>
      <c r="G1866" s="16" t="n">
        <v>45811</v>
      </c>
      <c r="H1866" s="17" t="inlineStr">
        <is>
          <t>CÔNG TY TNHH XUẤT NHẬP KHẨU THƯƠNG MẠI KIÊN HOÀNG</t>
        </is>
      </c>
      <c r="I1866" s="17" t="inlineStr">
        <is>
          <t>Thép tấm (70x433x742mm)</t>
        </is>
      </c>
      <c r="J1866" s="17" t="inlineStr">
        <is>
          <t>kg</t>
        </is>
      </c>
      <c r="K1866" s="21" t="n">
        <v>16909.09</v>
      </c>
      <c r="L1866" s="21" t="n"/>
      <c r="M1866" s="22" t="n"/>
      <c r="N1866" s="22" t="n">
        <v>706.1900000000001</v>
      </c>
      <c r="O1866" s="22" t="n">
        <v>11941030</v>
      </c>
      <c r="P1866" s="22" t="n">
        <v>706.1900000000001</v>
      </c>
      <c r="Q1866" s="22" t="n">
        <v>11941030</v>
      </c>
      <c r="R1866" s="42">
        <f>+L1866+N1866-P1866</f>
        <v/>
      </c>
      <c r="S1866" s="42">
        <f>+M1866+O1866-Q1866</f>
        <v/>
      </c>
    </row>
    <row r="1867" ht="30" customHeight="1">
      <c r="A1867" s="16" t="n">
        <v>45811</v>
      </c>
      <c r="B1867" s="17" t="inlineStr">
        <is>
          <t>MH2506-11</t>
        </is>
      </c>
      <c r="C1867" s="16" t="n">
        <v>45811</v>
      </c>
      <c r="D1867" s="17" t="inlineStr">
        <is>
          <t>00000500</t>
        </is>
      </c>
      <c r="E1867" s="16" t="n">
        <v>45811</v>
      </c>
      <c r="F1867" s="16" t="inlineStr">
        <is>
          <t>XK2506-06</t>
        </is>
      </c>
      <c r="G1867" s="16" t="n">
        <v>45811</v>
      </c>
      <c r="H1867" s="17" t="inlineStr">
        <is>
          <t>CÔNG TY TNHH XUẤT NHẬP KHẨU THƯƠNG MẠI KIÊN HOÀNG</t>
        </is>
      </c>
      <c r="I1867" s="17" t="inlineStr">
        <is>
          <t>Thép tấm (70x338x921mm)</t>
        </is>
      </c>
      <c r="J1867" s="17" t="inlineStr">
        <is>
          <t>kg</t>
        </is>
      </c>
      <c r="K1867" s="21" t="n">
        <v>16909.09</v>
      </c>
      <c r="L1867" s="21" t="n"/>
      <c r="M1867" s="22" t="n"/>
      <c r="N1867" s="22" t="n">
        <v>1368.47</v>
      </c>
      <c r="O1867" s="22" t="n">
        <v>23139582</v>
      </c>
      <c r="P1867" s="22" t="n">
        <v>1368.47</v>
      </c>
      <c r="Q1867" s="22" t="n">
        <v>23139582</v>
      </c>
      <c r="R1867" s="42">
        <f>+L1867+N1867-P1867</f>
        <v/>
      </c>
      <c r="S1867" s="42">
        <f>+M1867+O1867-Q1867</f>
        <v/>
      </c>
    </row>
    <row r="1868" ht="30" customHeight="1">
      <c r="A1868" s="16" t="n">
        <v>45811</v>
      </c>
      <c r="B1868" s="17" t="inlineStr">
        <is>
          <t>MH2506-11</t>
        </is>
      </c>
      <c r="C1868" s="16" t="n">
        <v>45811</v>
      </c>
      <c r="D1868" s="17" t="inlineStr">
        <is>
          <t>00000500</t>
        </is>
      </c>
      <c r="E1868" s="16" t="n">
        <v>45811</v>
      </c>
      <c r="F1868" s="16" t="inlineStr">
        <is>
          <t>XK2506-06</t>
        </is>
      </c>
      <c r="G1868" s="16" t="n">
        <v>45811</v>
      </c>
      <c r="H1868" s="17" t="inlineStr">
        <is>
          <t>CÔNG TY TNHH XUẤT NHẬP KHẨU THƯƠNG MẠI KIÊN HOÀNG</t>
        </is>
      </c>
      <c r="I1868" s="17" t="inlineStr">
        <is>
          <t>Thép tấm (70x332x905mm)</t>
        </is>
      </c>
      <c r="J1868" s="17" t="inlineStr">
        <is>
          <t>kg</t>
        </is>
      </c>
      <c r="K1868" s="21" t="n">
        <v>16909.09</v>
      </c>
      <c r="L1868" s="21" t="n"/>
      <c r="M1868" s="22" t="n"/>
      <c r="N1868" s="22" t="n">
        <v>330.21</v>
      </c>
      <c r="O1868" s="22" t="n">
        <v>5583551</v>
      </c>
      <c r="P1868" s="22" t="n">
        <v>330.21</v>
      </c>
      <c r="Q1868" s="22" t="n">
        <v>5583551</v>
      </c>
      <c r="R1868" s="42">
        <f>+L1868+N1868-P1868</f>
        <v/>
      </c>
      <c r="S1868" s="42">
        <f>+M1868+O1868-Q1868</f>
        <v/>
      </c>
    </row>
    <row r="1869" ht="30" customHeight="1">
      <c r="A1869" s="16" t="n">
        <v>45811</v>
      </c>
      <c r="B1869" s="17" t="inlineStr">
        <is>
          <t>MH2506-11</t>
        </is>
      </c>
      <c r="C1869" s="16" t="n">
        <v>45811</v>
      </c>
      <c r="D1869" s="17" t="inlineStr">
        <is>
          <t>00000500</t>
        </is>
      </c>
      <c r="E1869" s="16" t="n">
        <v>45811</v>
      </c>
      <c r="F1869" s="16" t="inlineStr">
        <is>
          <t>XK2506-06</t>
        </is>
      </c>
      <c r="G1869" s="16" t="n">
        <v>45811</v>
      </c>
      <c r="H1869" s="17" t="inlineStr">
        <is>
          <t>CÔNG TY TNHH XUẤT NHẬP KHẨU THƯƠNG MẠI KIÊN HOÀNG</t>
        </is>
      </c>
      <c r="I1869" s="17" t="inlineStr">
        <is>
          <t>Thép tấm (89x450x7402mm)</t>
        </is>
      </c>
      <c r="J1869" s="17" t="inlineStr">
        <is>
          <t>kg</t>
        </is>
      </c>
      <c r="K1869" s="21" t="n">
        <v>16909.09</v>
      </c>
      <c r="L1869" s="21" t="n"/>
      <c r="M1869" s="22" t="n"/>
      <c r="N1869" s="22" t="n">
        <v>6981.41</v>
      </c>
      <c r="O1869" s="22" t="n">
        <v>118049290</v>
      </c>
      <c r="P1869" s="22" t="n">
        <v>6981.41</v>
      </c>
      <c r="Q1869" s="22" t="n">
        <v>118049290</v>
      </c>
      <c r="R1869" s="42">
        <f>+L1869+N1869-P1869</f>
        <v/>
      </c>
      <c r="S1869" s="42">
        <f>+M1869+O1869-Q1869</f>
        <v/>
      </c>
    </row>
    <row r="1870" ht="30" customHeight="1">
      <c r="A1870" s="16" t="n">
        <v>45811</v>
      </c>
      <c r="B1870" s="17" t="inlineStr">
        <is>
          <t>MH2506-11</t>
        </is>
      </c>
      <c r="C1870" s="16" t="n">
        <v>45811</v>
      </c>
      <c r="D1870" s="17" t="inlineStr">
        <is>
          <t>00000500</t>
        </is>
      </c>
      <c r="E1870" s="16" t="n">
        <v>45811</v>
      </c>
      <c r="F1870" s="16" t="inlineStr">
        <is>
          <t>XK2506-06</t>
        </is>
      </c>
      <c r="G1870" s="16" t="n">
        <v>45811</v>
      </c>
      <c r="H1870" s="17" t="inlineStr">
        <is>
          <t>CÔNG TY TNHH XUẤT NHẬP KHẨU THƯƠNG MẠI KIÊN HOÀNG</t>
        </is>
      </c>
      <c r="I1870" s="17" t="inlineStr">
        <is>
          <t>Thép tấm (91x450x5336mm)</t>
        </is>
      </c>
      <c r="J1870" s="17" t="inlineStr">
        <is>
          <t>kg</t>
        </is>
      </c>
      <c r="K1870" s="21" t="n">
        <v>16909.09</v>
      </c>
      <c r="L1870" s="21" t="n"/>
      <c r="M1870" s="22" t="n"/>
      <c r="N1870" s="22" t="n">
        <v>1715.3</v>
      </c>
      <c r="O1870" s="22" t="n">
        <v>29004162</v>
      </c>
      <c r="P1870" s="22" t="n">
        <v>1715.3</v>
      </c>
      <c r="Q1870" s="22" t="n">
        <v>29004162</v>
      </c>
      <c r="R1870" s="42">
        <f>+L1870+N1870-P1870</f>
        <v/>
      </c>
      <c r="S1870" s="42">
        <f>+M1870+O1870-Q1870</f>
        <v/>
      </c>
    </row>
    <row r="1871" ht="30" customHeight="1">
      <c r="A1871" s="16" t="n">
        <v>45811</v>
      </c>
      <c r="B1871" s="17" t="inlineStr">
        <is>
          <t>MH2506-11</t>
        </is>
      </c>
      <c r="C1871" s="16" t="n">
        <v>45811</v>
      </c>
      <c r="D1871" s="17" t="inlineStr">
        <is>
          <t>00000500</t>
        </is>
      </c>
      <c r="E1871" s="16" t="n">
        <v>45811</v>
      </c>
      <c r="F1871" s="16" t="inlineStr">
        <is>
          <t>XK2506-06</t>
        </is>
      </c>
      <c r="G1871" s="16" t="n">
        <v>45811</v>
      </c>
      <c r="H1871" s="17" t="inlineStr">
        <is>
          <t>CÔNG TY TNHH XUẤT NHẬP KHẨU THƯƠNG MẠI KIÊN HOÀNG</t>
        </is>
      </c>
      <c r="I1871" s="17" t="inlineStr">
        <is>
          <t>Thép tấm (89x450x4895mm)</t>
        </is>
      </c>
      <c r="J1871" s="17" t="inlineStr">
        <is>
          <t>kg</t>
        </is>
      </c>
      <c r="K1871" s="21" t="n">
        <v>16909.09</v>
      </c>
      <c r="L1871" s="21" t="n"/>
      <c r="M1871" s="22" t="n"/>
      <c r="N1871" s="22" t="n">
        <v>3077.9</v>
      </c>
      <c r="O1871" s="22" t="n">
        <v>52044488</v>
      </c>
      <c r="P1871" s="22" t="n">
        <v>3077.9</v>
      </c>
      <c r="Q1871" s="22" t="n">
        <v>52044488</v>
      </c>
      <c r="R1871" s="42">
        <f>+L1871+N1871-P1871</f>
        <v/>
      </c>
      <c r="S1871" s="42">
        <f>+M1871+O1871-Q1871</f>
        <v/>
      </c>
    </row>
    <row r="1872" ht="30" customHeight="1">
      <c r="A1872" s="16" t="n">
        <v>45811</v>
      </c>
      <c r="B1872" s="17" t="inlineStr">
        <is>
          <t>MH2506-11</t>
        </is>
      </c>
      <c r="C1872" s="16" t="n">
        <v>45811</v>
      </c>
      <c r="D1872" s="17" t="inlineStr">
        <is>
          <t>00000500</t>
        </is>
      </c>
      <c r="E1872" s="16" t="n">
        <v>45811</v>
      </c>
      <c r="F1872" s="16" t="inlineStr">
        <is>
          <t>XK2506-06</t>
        </is>
      </c>
      <c r="G1872" s="16" t="n">
        <v>45811</v>
      </c>
      <c r="H1872" s="17" t="inlineStr">
        <is>
          <t>CÔNG TY TNHH XUẤT NHẬP KHẨU THƯƠNG MẠI KIÊN HOÀNG</t>
        </is>
      </c>
      <c r="I1872" s="17" t="inlineStr">
        <is>
          <t>Thép tấm (89x450x4874mm)</t>
        </is>
      </c>
      <c r="J1872" s="17" t="inlineStr">
        <is>
          <t>kg</t>
        </is>
      </c>
      <c r="K1872" s="21" t="n">
        <v>16909.09</v>
      </c>
      <c r="L1872" s="21" t="n"/>
      <c r="M1872" s="22" t="n"/>
      <c r="N1872" s="22" t="n">
        <v>3064.7</v>
      </c>
      <c r="O1872" s="22" t="n">
        <v>51821288</v>
      </c>
      <c r="P1872" s="22" t="n">
        <v>3064.7</v>
      </c>
      <c r="Q1872" s="22" t="n">
        <v>51821288</v>
      </c>
      <c r="R1872" s="42">
        <f>+L1872+N1872-P1872</f>
        <v/>
      </c>
      <c r="S1872" s="42">
        <f>+M1872+O1872-Q1872</f>
        <v/>
      </c>
    </row>
    <row r="1873" ht="30" customHeight="1">
      <c r="A1873" s="16" t="n">
        <v>45811</v>
      </c>
      <c r="B1873" s="17" t="inlineStr">
        <is>
          <t>MH2506-11</t>
        </is>
      </c>
      <c r="C1873" s="16" t="n">
        <v>45811</v>
      </c>
      <c r="D1873" s="17" t="inlineStr">
        <is>
          <t>00000500</t>
        </is>
      </c>
      <c r="E1873" s="16" t="n">
        <v>45811</v>
      </c>
      <c r="F1873" s="16" t="inlineStr">
        <is>
          <t>XK2506-06</t>
        </is>
      </c>
      <c r="G1873" s="16" t="n">
        <v>45811</v>
      </c>
      <c r="H1873" s="17" t="inlineStr">
        <is>
          <t>CÔNG TY TNHH XUẤT NHẬP KHẨU THƯƠNG MẠI KIÊN HOÀNG</t>
        </is>
      </c>
      <c r="I1873" s="17" t="inlineStr">
        <is>
          <t>Thép tấm (89x450x4728mm)</t>
        </is>
      </c>
      <c r="J1873" s="17" t="inlineStr">
        <is>
          <t>kg</t>
        </is>
      </c>
      <c r="K1873" s="21" t="n">
        <v>16909.09</v>
      </c>
      <c r="L1873" s="21" t="n"/>
      <c r="M1873" s="22" t="n"/>
      <c r="N1873" s="22" t="n">
        <v>5945.79</v>
      </c>
      <c r="O1873" s="22" t="n">
        <v>100537898</v>
      </c>
      <c r="P1873" s="22" t="n">
        <v>5945.79</v>
      </c>
      <c r="Q1873" s="22" t="n">
        <v>100537898</v>
      </c>
      <c r="R1873" s="42">
        <f>+L1873+N1873-P1873</f>
        <v/>
      </c>
      <c r="S1873" s="42">
        <f>+M1873+O1873-Q1873</f>
        <v/>
      </c>
    </row>
    <row r="1874" ht="30" customHeight="1">
      <c r="A1874" s="16" t="n">
        <v>45811</v>
      </c>
      <c r="B1874" s="17" t="inlineStr">
        <is>
          <t>MH2506-11</t>
        </is>
      </c>
      <c r="C1874" s="16" t="n">
        <v>45811</v>
      </c>
      <c r="D1874" s="17" t="inlineStr">
        <is>
          <t>00000500</t>
        </is>
      </c>
      <c r="E1874" s="16" t="n">
        <v>45811</v>
      </c>
      <c r="F1874" s="16" t="inlineStr">
        <is>
          <t>XK2506-06</t>
        </is>
      </c>
      <c r="G1874" s="16" t="n">
        <v>45811</v>
      </c>
      <c r="H1874" s="17" t="inlineStr">
        <is>
          <t>CÔNG TY TNHH XUẤT NHẬP KHẨU THƯƠNG MẠI KIÊN HOÀNG</t>
        </is>
      </c>
      <c r="I1874" s="17" t="inlineStr">
        <is>
          <t>Thép tấm (91x450x3482mm)</t>
        </is>
      </c>
      <c r="J1874" s="17" t="inlineStr">
        <is>
          <t>kg</t>
        </is>
      </c>
      <c r="K1874" s="21" t="n">
        <v>16909.09</v>
      </c>
      <c r="L1874" s="21" t="n"/>
      <c r="M1874" s="22" t="n"/>
      <c r="N1874" s="22" t="n">
        <v>8954.52</v>
      </c>
      <c r="O1874" s="22" t="n">
        <v>151412785</v>
      </c>
      <c r="P1874" s="22" t="n">
        <v>8954.52</v>
      </c>
      <c r="Q1874" s="22" t="n">
        <v>151412785</v>
      </c>
      <c r="R1874" s="42">
        <f>+L1874+N1874-P1874</f>
        <v/>
      </c>
      <c r="S1874" s="42">
        <f>+M1874+O1874-Q1874</f>
        <v/>
      </c>
    </row>
    <row r="1875" ht="15" customHeight="1">
      <c r="A1875" s="16" t="n">
        <v>45812</v>
      </c>
      <c r="B1875" s="17" t="inlineStr">
        <is>
          <t>MH2506-12</t>
        </is>
      </c>
      <c r="C1875" s="16" t="n">
        <v>45812</v>
      </c>
      <c r="D1875" s="17" t="inlineStr">
        <is>
          <t>00000319</t>
        </is>
      </c>
      <c r="E1875" s="16" t="n">
        <v>45812</v>
      </c>
      <c r="F1875" s="16" t="inlineStr">
        <is>
          <t>XK2506-07</t>
        </is>
      </c>
      <c r="G1875" s="16" t="n">
        <v>45812</v>
      </c>
      <c r="H1875" s="17" t="inlineStr">
        <is>
          <t>CÔNG TY TNHH HILSET VIỆT NAM</t>
        </is>
      </c>
      <c r="I1875" s="17" t="inlineStr">
        <is>
          <t>Hóa chất HIT-RE 500 V4</t>
        </is>
      </c>
      <c r="J1875" s="17" t="inlineStr">
        <is>
          <t>Gói</t>
        </is>
      </c>
      <c r="K1875" s="21" t="n">
        <v>875000</v>
      </c>
      <c r="L1875" s="21" t="n"/>
      <c r="M1875" s="22" t="n"/>
      <c r="N1875" s="22" t="n">
        <v>20</v>
      </c>
      <c r="O1875" s="22" t="n">
        <v>17500000</v>
      </c>
      <c r="P1875" s="22" t="n">
        <v>20</v>
      </c>
      <c r="Q1875" s="22" t="n">
        <v>17500000</v>
      </c>
      <c r="R1875" s="42">
        <f>+L1875+N1875-P1875</f>
        <v/>
      </c>
      <c r="S1875" s="42">
        <f>+M1875+O1875-Q1875</f>
        <v/>
      </c>
    </row>
    <row r="1876" ht="30" customHeight="1">
      <c r="A1876" s="16" t="n">
        <v>45812</v>
      </c>
      <c r="B1876" s="17" t="inlineStr">
        <is>
          <t>MH2506-14</t>
        </is>
      </c>
      <c r="C1876" s="16" t="n">
        <v>45812</v>
      </c>
      <c r="D1876" s="17" t="inlineStr">
        <is>
          <t>00001009</t>
        </is>
      </c>
      <c r="E1876" s="16" t="n">
        <v>45812</v>
      </c>
      <c r="F1876" s="16" t="inlineStr">
        <is>
          <t>XK2506-08</t>
        </is>
      </c>
      <c r="G1876" s="16" t="n">
        <v>45812</v>
      </c>
      <c r="H1876" s="17" t="inlineStr">
        <is>
          <t>CÔNG TY TNHH DỊCH VỤ - THƯƠNG MẠI THÉP THIÊN LONG</t>
        </is>
      </c>
      <c r="I1876" s="17" t="inlineStr">
        <is>
          <t>Thép tấm 16ly</t>
        </is>
      </c>
      <c r="J1876" s="17" t="inlineStr">
        <is>
          <t>kg</t>
        </is>
      </c>
      <c r="K1876" s="21" t="n">
        <v>14336.36</v>
      </c>
      <c r="L1876" s="21" t="n"/>
      <c r="M1876" s="22" t="n"/>
      <c r="N1876" s="22" t="n">
        <v>33158.4</v>
      </c>
      <c r="O1876" s="22" t="n">
        <v>475370759</v>
      </c>
      <c r="P1876" s="22" t="n">
        <v>33158.4</v>
      </c>
      <c r="Q1876" s="22" t="n">
        <v>475370759</v>
      </c>
      <c r="R1876" s="42">
        <f>+L1876+N1876-P1876</f>
        <v/>
      </c>
      <c r="S1876" s="42">
        <f>+M1876+O1876-Q1876</f>
        <v/>
      </c>
    </row>
    <row r="1877" ht="15" customHeight="1">
      <c r="A1877" s="16" t="n">
        <v>45812</v>
      </c>
      <c r="B1877" s="17" t="inlineStr">
        <is>
          <t>MH2506-15</t>
        </is>
      </c>
      <c r="C1877" s="16" t="n">
        <v>45812</v>
      </c>
      <c r="D1877" s="17" t="inlineStr">
        <is>
          <t>700</t>
        </is>
      </c>
      <c r="E1877" s="16" t="n">
        <v>45812</v>
      </c>
      <c r="F1877" s="16" t="inlineStr">
        <is>
          <t>XK2506-09</t>
        </is>
      </c>
      <c r="G1877" s="16" t="n">
        <v>45812</v>
      </c>
      <c r="H1877" s="17" t="inlineStr">
        <is>
          <t>CÔNG TY CỔ PHẦN QH PLUS</t>
        </is>
      </c>
      <c r="I1877" s="17" t="inlineStr">
        <is>
          <t>Thép tấm cán nóng 22x2000x12000</t>
        </is>
      </c>
      <c r="J1877" s="17" t="inlineStr">
        <is>
          <t>kg</t>
        </is>
      </c>
      <c r="K1877" s="21" t="n">
        <v>14545</v>
      </c>
      <c r="L1877" s="21" t="n"/>
      <c r="M1877" s="22" t="n"/>
      <c r="N1877" s="22" t="n">
        <v>29013.6</v>
      </c>
      <c r="O1877" s="22" t="n">
        <v>422002812</v>
      </c>
      <c r="P1877" s="22" t="n">
        <v>29013.6</v>
      </c>
      <c r="Q1877" s="22" t="n">
        <v>422002812</v>
      </c>
      <c r="R1877" s="42">
        <f>+L1877+N1877-P1877</f>
        <v/>
      </c>
      <c r="S1877" s="42">
        <f>+M1877+O1877-Q1877</f>
        <v/>
      </c>
    </row>
    <row r="1878" ht="15" customHeight="1">
      <c r="A1878" s="16" t="n">
        <v>45812</v>
      </c>
      <c r="B1878" s="17" t="inlineStr">
        <is>
          <t>MH2506-15</t>
        </is>
      </c>
      <c r="C1878" s="16" t="n">
        <v>45812</v>
      </c>
      <c r="D1878" s="17" t="inlineStr">
        <is>
          <t>700</t>
        </is>
      </c>
      <c r="E1878" s="16" t="n">
        <v>45812</v>
      </c>
      <c r="F1878" s="16" t="inlineStr">
        <is>
          <t>XK2506-09</t>
        </is>
      </c>
      <c r="G1878" s="16" t="n">
        <v>45812</v>
      </c>
      <c r="H1878" s="17" t="inlineStr">
        <is>
          <t>CÔNG TY CỔ PHẦN QH PLUS</t>
        </is>
      </c>
      <c r="I1878" s="17" t="inlineStr">
        <is>
          <t>Thép tấm cán nóng 35x2000x12000</t>
        </is>
      </c>
      <c r="J1878" s="17" t="inlineStr">
        <is>
          <t>kg</t>
        </is>
      </c>
      <c r="K1878" s="21" t="n">
        <v>14545</v>
      </c>
      <c r="L1878" s="21" t="n"/>
      <c r="M1878" s="22" t="n"/>
      <c r="N1878" s="22" t="n">
        <v>46158</v>
      </c>
      <c r="O1878" s="22" t="n">
        <v>671368110</v>
      </c>
      <c r="P1878" s="22" t="n">
        <v>46158</v>
      </c>
      <c r="Q1878" s="22" t="n">
        <v>671368110</v>
      </c>
      <c r="R1878" s="42">
        <f>+L1878+N1878-P1878</f>
        <v/>
      </c>
      <c r="S1878" s="42">
        <f>+M1878+O1878-Q1878</f>
        <v/>
      </c>
    </row>
    <row r="1879" ht="15" customHeight="1">
      <c r="A1879" s="16" t="n">
        <v>45813</v>
      </c>
      <c r="B1879" s="17" t="inlineStr">
        <is>
          <t>MH2506-16</t>
        </is>
      </c>
      <c r="C1879" s="16" t="n">
        <v>45813</v>
      </c>
      <c r="D1879" s="17" t="inlineStr">
        <is>
          <t>00005073</t>
        </is>
      </c>
      <c r="E1879" s="16" t="n">
        <v>45813</v>
      </c>
      <c r="F1879" s="16" t="inlineStr">
        <is>
          <t>XK2506-10</t>
        </is>
      </c>
      <c r="G1879" s="16" t="n">
        <v>45813</v>
      </c>
      <c r="H1879" s="17" t="inlineStr">
        <is>
          <t>CÔNG TY TNHH SƠN JOTUN VIỆT NAM</t>
        </is>
      </c>
      <c r="I1879" s="17" t="inlineStr">
        <is>
          <t>SƠN FUTURA CLASSIC RAL 7037 20L</t>
        </is>
      </c>
      <c r="J1879" s="17" t="inlineStr">
        <is>
          <t>Lít</t>
        </is>
      </c>
      <c r="K1879" s="21" t="n">
        <v>155000</v>
      </c>
      <c r="L1879" s="21" t="n"/>
      <c r="M1879" s="22" t="n"/>
      <c r="N1879" s="22" t="n">
        <v>1380</v>
      </c>
      <c r="O1879" s="22" t="n">
        <v>213900000</v>
      </c>
      <c r="P1879" s="22" t="n">
        <v>1380</v>
      </c>
      <c r="Q1879" s="22" t="n">
        <v>213900000</v>
      </c>
      <c r="R1879" s="42">
        <f>+L1879+N1879-P1879</f>
        <v/>
      </c>
      <c r="S1879" s="42">
        <f>+M1879+O1879-Q1879</f>
        <v/>
      </c>
    </row>
    <row r="1880" ht="30" customHeight="1">
      <c r="A1880" s="16" t="n">
        <v>45813</v>
      </c>
      <c r="B1880" s="17" t="inlineStr">
        <is>
          <t>MH2506-17</t>
        </is>
      </c>
      <c r="C1880" s="16" t="n">
        <v>45813</v>
      </c>
      <c r="D1880" s="17" t="inlineStr">
        <is>
          <t>00000512</t>
        </is>
      </c>
      <c r="E1880" s="16" t="n">
        <v>45813</v>
      </c>
      <c r="F1880" s="16" t="inlineStr">
        <is>
          <t>XK2506-11</t>
        </is>
      </c>
      <c r="G1880" s="16" t="n">
        <v>45813</v>
      </c>
      <c r="H1880" s="17" t="inlineStr">
        <is>
          <t>CÔNG TY TNHH XUẤT NHẬP KHẨU THƯƠNG MẠI KIÊN HOÀNG</t>
        </is>
      </c>
      <c r="I1880" s="17" t="inlineStr">
        <is>
          <t>Thép tấm (55x365x3677mm)</t>
        </is>
      </c>
      <c r="J1880" s="17" t="inlineStr">
        <is>
          <t>kg</t>
        </is>
      </c>
      <c r="K1880" s="21" t="n">
        <v>16909.09</v>
      </c>
      <c r="L1880" s="21" t="n"/>
      <c r="M1880" s="22" t="n"/>
      <c r="N1880" s="22" t="n">
        <v>2317.82</v>
      </c>
      <c r="O1880" s="22" t="n">
        <v>39192227</v>
      </c>
      <c r="P1880" s="22" t="n">
        <v>2317.82</v>
      </c>
      <c r="Q1880" s="22" t="n">
        <v>39192227</v>
      </c>
      <c r="R1880" s="42">
        <f>+L1880+N1880-P1880</f>
        <v/>
      </c>
      <c r="S1880" s="42">
        <f>+M1880+O1880-Q1880</f>
        <v/>
      </c>
    </row>
    <row r="1881" ht="30" customHeight="1">
      <c r="A1881" s="16" t="n">
        <v>45813</v>
      </c>
      <c r="B1881" s="17" t="inlineStr">
        <is>
          <t>MH2506-17</t>
        </is>
      </c>
      <c r="C1881" s="16" t="n">
        <v>45813</v>
      </c>
      <c r="D1881" s="17" t="inlineStr">
        <is>
          <t>00000512</t>
        </is>
      </c>
      <c r="E1881" s="16" t="n">
        <v>45813</v>
      </c>
      <c r="F1881" s="16" t="inlineStr">
        <is>
          <t>XK2506-11</t>
        </is>
      </c>
      <c r="G1881" s="16" t="n">
        <v>45813</v>
      </c>
      <c r="H1881" s="17" t="inlineStr">
        <is>
          <t>CÔNG TY TNHH XUẤT NHẬP KHẨU THƯƠNG MẠI KIÊN HOÀNG</t>
        </is>
      </c>
      <c r="I1881" s="17" t="inlineStr">
        <is>
          <t>Thép tấm (72x530x530mm)</t>
        </is>
      </c>
      <c r="J1881" s="17" t="inlineStr">
        <is>
          <t>kg</t>
        </is>
      </c>
      <c r="K1881" s="21" t="n">
        <v>16909.09</v>
      </c>
      <c r="L1881" s="21" t="n"/>
      <c r="M1881" s="22" t="n"/>
      <c r="N1881" s="22" t="n">
        <v>158.76</v>
      </c>
      <c r="O1881" s="22" t="n">
        <v>2684487</v>
      </c>
      <c r="P1881" s="22" t="n">
        <v>158.76</v>
      </c>
      <c r="Q1881" s="22" t="n">
        <v>2684487</v>
      </c>
      <c r="R1881" s="42">
        <f>+L1881+N1881-P1881</f>
        <v/>
      </c>
      <c r="S1881" s="42">
        <f>+M1881+O1881-Q1881</f>
        <v/>
      </c>
    </row>
    <row r="1882" ht="30" customHeight="1">
      <c r="A1882" s="16" t="n">
        <v>45813</v>
      </c>
      <c r="B1882" s="17" t="inlineStr">
        <is>
          <t>MH2506-17</t>
        </is>
      </c>
      <c r="C1882" s="16" t="n">
        <v>45813</v>
      </c>
      <c r="D1882" s="17" t="inlineStr">
        <is>
          <t>00000512</t>
        </is>
      </c>
      <c r="E1882" s="16" t="n">
        <v>45813</v>
      </c>
      <c r="F1882" s="16" t="inlineStr">
        <is>
          <t>XK2506-11</t>
        </is>
      </c>
      <c r="G1882" s="16" t="n">
        <v>45813</v>
      </c>
      <c r="H1882" s="17" t="inlineStr">
        <is>
          <t>CÔNG TY TNHH XUẤT NHẬP KHẨU THƯƠNG MẠI KIÊN HOÀNG</t>
        </is>
      </c>
      <c r="I1882" s="17" t="inlineStr">
        <is>
          <t>Thép tấm (72x530x515mm)</t>
        </is>
      </c>
      <c r="J1882" s="17" t="inlineStr">
        <is>
          <t>kg</t>
        </is>
      </c>
      <c r="K1882" s="21" t="n">
        <v>16909.09</v>
      </c>
      <c r="L1882" s="21" t="n"/>
      <c r="M1882" s="22" t="n"/>
      <c r="N1882" s="22" t="n">
        <v>3856.78</v>
      </c>
      <c r="O1882" s="22" t="n">
        <v>65214640</v>
      </c>
      <c r="P1882" s="22" t="n">
        <v>3856.78</v>
      </c>
      <c r="Q1882" s="22" t="n">
        <v>65214640</v>
      </c>
      <c r="R1882" s="42">
        <f>+L1882+N1882-P1882</f>
        <v/>
      </c>
      <c r="S1882" s="42">
        <f>+M1882+O1882-Q1882</f>
        <v/>
      </c>
    </row>
    <row r="1883" ht="30" customHeight="1">
      <c r="A1883" s="16" t="n">
        <v>45813</v>
      </c>
      <c r="B1883" s="17" t="inlineStr">
        <is>
          <t>MH2506-17</t>
        </is>
      </c>
      <c r="C1883" s="16" t="n">
        <v>45813</v>
      </c>
      <c r="D1883" s="17" t="inlineStr">
        <is>
          <t>00000512</t>
        </is>
      </c>
      <c r="E1883" s="16" t="n">
        <v>45813</v>
      </c>
      <c r="F1883" s="16" t="inlineStr">
        <is>
          <t>XK2506-11</t>
        </is>
      </c>
      <c r="G1883" s="16" t="n">
        <v>45813</v>
      </c>
      <c r="H1883" s="17" t="inlineStr">
        <is>
          <t>CÔNG TY TNHH XUẤT NHẬP KHẨU THƯƠNG MẠI KIÊN HOÀNG</t>
        </is>
      </c>
      <c r="I1883" s="17" t="inlineStr">
        <is>
          <t>Thép tấm (72x338x919mm)</t>
        </is>
      </c>
      <c r="J1883" s="17" t="inlineStr">
        <is>
          <t>kg</t>
        </is>
      </c>
      <c r="K1883" s="21" t="n">
        <v>16909.09</v>
      </c>
      <c r="L1883" s="21" t="n"/>
      <c r="M1883" s="22" t="n"/>
      <c r="N1883" s="22" t="n">
        <v>175.56</v>
      </c>
      <c r="O1883" s="22" t="n">
        <v>2968560</v>
      </c>
      <c r="P1883" s="22" t="n">
        <v>175.56</v>
      </c>
      <c r="Q1883" s="22" t="n">
        <v>2968560</v>
      </c>
      <c r="R1883" s="42">
        <f>+L1883+N1883-P1883</f>
        <v/>
      </c>
      <c r="S1883" s="42">
        <f>+M1883+O1883-Q1883</f>
        <v/>
      </c>
    </row>
    <row r="1884" ht="30" customHeight="1">
      <c r="A1884" s="16" t="n">
        <v>45813</v>
      </c>
      <c r="B1884" s="17" t="inlineStr">
        <is>
          <t>MH2506-17</t>
        </is>
      </c>
      <c r="C1884" s="16" t="n">
        <v>45813</v>
      </c>
      <c r="D1884" s="17" t="inlineStr">
        <is>
          <t>00000512</t>
        </is>
      </c>
      <c r="E1884" s="16" t="n">
        <v>45813</v>
      </c>
      <c r="F1884" s="16" t="inlineStr">
        <is>
          <t>XK2506-11</t>
        </is>
      </c>
      <c r="G1884" s="16" t="n">
        <v>45813</v>
      </c>
      <c r="H1884" s="17" t="inlineStr">
        <is>
          <t>CÔNG TY TNHH XUẤT NHẬP KHẨU THƯƠNG MẠI KIÊN HOÀNG</t>
        </is>
      </c>
      <c r="I1884" s="17" t="inlineStr">
        <is>
          <t>Thép tấm (72x338x912mm)</t>
        </is>
      </c>
      <c r="J1884" s="17" t="inlineStr">
        <is>
          <t>kg</t>
        </is>
      </c>
      <c r="K1884" s="21" t="n">
        <v>16909.09</v>
      </c>
      <c r="L1884" s="21" t="n"/>
      <c r="M1884" s="22" t="n"/>
      <c r="N1884" s="22" t="n">
        <v>1393.81</v>
      </c>
      <c r="O1884" s="22" t="n">
        <v>23568059</v>
      </c>
      <c r="P1884" s="22" t="n">
        <v>1393.81</v>
      </c>
      <c r="Q1884" s="22" t="n">
        <v>23568059</v>
      </c>
      <c r="R1884" s="42">
        <f>+L1884+N1884-P1884</f>
        <v/>
      </c>
      <c r="S1884" s="42">
        <f>+M1884+O1884-Q1884</f>
        <v/>
      </c>
    </row>
    <row r="1885" ht="30" customHeight="1">
      <c r="A1885" s="16" t="n">
        <v>45813</v>
      </c>
      <c r="B1885" s="17" t="inlineStr">
        <is>
          <t>MH2506-17</t>
        </is>
      </c>
      <c r="C1885" s="16" t="n">
        <v>45813</v>
      </c>
      <c r="D1885" s="17" t="inlineStr">
        <is>
          <t>00000512</t>
        </is>
      </c>
      <c r="E1885" s="16" t="n">
        <v>45813</v>
      </c>
      <c r="F1885" s="16" t="inlineStr">
        <is>
          <t>XK2506-11</t>
        </is>
      </c>
      <c r="G1885" s="16" t="n">
        <v>45813</v>
      </c>
      <c r="H1885" s="17" t="inlineStr">
        <is>
          <t>CÔNG TY TNHH XUẤT NHẬP KHẨU THƯƠNG MẠI KIÊN HOÀNG</t>
        </is>
      </c>
      <c r="I1885" s="17" t="inlineStr">
        <is>
          <t>Thép tấm (72x338x910mm)</t>
        </is>
      </c>
      <c r="J1885" s="17" t="inlineStr">
        <is>
          <t>kg</t>
        </is>
      </c>
      <c r="K1885" s="21" t="n">
        <v>16909.09</v>
      </c>
      <c r="L1885" s="21" t="n"/>
      <c r="M1885" s="22" t="n"/>
      <c r="N1885" s="22" t="n">
        <v>1390.75</v>
      </c>
      <c r="O1885" s="22" t="n">
        <v>23516317</v>
      </c>
      <c r="P1885" s="22" t="n">
        <v>1390.75</v>
      </c>
      <c r="Q1885" s="22" t="n">
        <v>23516317</v>
      </c>
      <c r="R1885" s="42">
        <f>+L1885+N1885-P1885</f>
        <v/>
      </c>
      <c r="S1885" s="42">
        <f>+M1885+O1885-Q1885</f>
        <v/>
      </c>
    </row>
    <row r="1886" ht="30" customHeight="1">
      <c r="A1886" s="16" t="n">
        <v>45813</v>
      </c>
      <c r="B1886" s="17" t="inlineStr">
        <is>
          <t>MH2506-17</t>
        </is>
      </c>
      <c r="C1886" s="16" t="n">
        <v>45813</v>
      </c>
      <c r="D1886" s="17" t="inlineStr">
        <is>
          <t>00000512</t>
        </is>
      </c>
      <c r="E1886" s="16" t="n">
        <v>45813</v>
      </c>
      <c r="F1886" s="16" t="inlineStr">
        <is>
          <t>XK2506-11</t>
        </is>
      </c>
      <c r="G1886" s="16" t="n">
        <v>45813</v>
      </c>
      <c r="H1886" s="17" t="inlineStr">
        <is>
          <t>CÔNG TY TNHH XUẤT NHẬP KHẨU THƯƠNG MẠI KIÊN HOÀNG</t>
        </is>
      </c>
      <c r="I1886" s="17" t="inlineStr">
        <is>
          <t>Thép tấm (72x337x916mm)</t>
        </is>
      </c>
      <c r="J1886" s="17" t="inlineStr">
        <is>
          <t>kg</t>
        </is>
      </c>
      <c r="K1886" s="21" t="n">
        <v>16909.09</v>
      </c>
      <c r="L1886" s="21" t="n"/>
      <c r="M1886" s="22" t="n"/>
      <c r="N1886" s="22" t="n">
        <v>2791.56</v>
      </c>
      <c r="O1886" s="22" t="n">
        <v>47202739</v>
      </c>
      <c r="P1886" s="22" t="n">
        <v>2791.56</v>
      </c>
      <c r="Q1886" s="22" t="n">
        <v>47202739</v>
      </c>
      <c r="R1886" s="42">
        <f>+L1886+N1886-P1886</f>
        <v/>
      </c>
      <c r="S1886" s="42">
        <f>+M1886+O1886-Q1886</f>
        <v/>
      </c>
    </row>
    <row r="1887" ht="30" customHeight="1">
      <c r="A1887" s="16" t="n">
        <v>45813</v>
      </c>
      <c r="B1887" s="17" t="inlineStr">
        <is>
          <t>MH2506-17</t>
        </is>
      </c>
      <c r="C1887" s="16" t="n">
        <v>45813</v>
      </c>
      <c r="D1887" s="17" t="inlineStr">
        <is>
          <t>00000512</t>
        </is>
      </c>
      <c r="E1887" s="16" t="n">
        <v>45813</v>
      </c>
      <c r="F1887" s="16" t="inlineStr">
        <is>
          <t>XK2506-11</t>
        </is>
      </c>
      <c r="G1887" s="16" t="n">
        <v>45813</v>
      </c>
      <c r="H1887" s="17" t="inlineStr">
        <is>
          <t>CÔNG TY TNHH XUẤT NHẬP KHẨU THƯƠNG MẠI KIÊN HOÀNG</t>
        </is>
      </c>
      <c r="I1887" s="17" t="inlineStr">
        <is>
          <t>Thép tấm (72x337x915mm)</t>
        </is>
      </c>
      <c r="J1887" s="17" t="inlineStr">
        <is>
          <t>kg</t>
        </is>
      </c>
      <c r="K1887" s="21" t="n">
        <v>16909.09</v>
      </c>
      <c r="L1887" s="21" t="n"/>
      <c r="M1887" s="22" t="n"/>
      <c r="N1887" s="22" t="n">
        <v>348.56</v>
      </c>
      <c r="O1887" s="22" t="n">
        <v>5893832</v>
      </c>
      <c r="P1887" s="22" t="n">
        <v>348.56</v>
      </c>
      <c r="Q1887" s="22" t="n">
        <v>5893832</v>
      </c>
      <c r="R1887" s="42">
        <f>+L1887+N1887-P1887</f>
        <v/>
      </c>
      <c r="S1887" s="42">
        <f>+M1887+O1887-Q1887</f>
        <v/>
      </c>
    </row>
    <row r="1888" ht="30" customHeight="1">
      <c r="A1888" s="16" t="n">
        <v>45813</v>
      </c>
      <c r="B1888" s="17" t="inlineStr">
        <is>
          <t>MH2506-17</t>
        </is>
      </c>
      <c r="C1888" s="16" t="n">
        <v>45813</v>
      </c>
      <c r="D1888" s="17" t="inlineStr">
        <is>
          <t>00000512</t>
        </is>
      </c>
      <c r="E1888" s="16" t="n">
        <v>45813</v>
      </c>
      <c r="F1888" s="16" t="inlineStr">
        <is>
          <t>XK2506-11</t>
        </is>
      </c>
      <c r="G1888" s="16" t="n">
        <v>45813</v>
      </c>
      <c r="H1888" s="17" t="inlineStr">
        <is>
          <t>CÔNG TY TNHH XUẤT NHẬP KHẨU THƯƠNG MẠI KIÊN HOÀNG</t>
        </is>
      </c>
      <c r="I1888" s="17" t="inlineStr">
        <is>
          <t>Thép tấm (72x337x911mm)</t>
        </is>
      </c>
      <c r="J1888" s="17" t="inlineStr">
        <is>
          <t>kg</t>
        </is>
      </c>
      <c r="K1888" s="21" t="n">
        <v>16909.09</v>
      </c>
      <c r="L1888" s="21" t="n"/>
      <c r="M1888" s="22" t="n"/>
      <c r="N1888" s="22" t="n">
        <v>3817.45</v>
      </c>
      <c r="O1888" s="22" t="n">
        <v>64549606</v>
      </c>
      <c r="P1888" s="22" t="n">
        <v>3817.45</v>
      </c>
      <c r="Q1888" s="22" t="n">
        <v>64549606</v>
      </c>
      <c r="R1888" s="42">
        <f>+L1888+N1888-P1888</f>
        <v/>
      </c>
      <c r="S1888" s="42">
        <f>+M1888+O1888-Q1888</f>
        <v/>
      </c>
    </row>
    <row r="1889" ht="30" customHeight="1">
      <c r="A1889" s="16" t="n">
        <v>45813</v>
      </c>
      <c r="B1889" s="17" t="inlineStr">
        <is>
          <t>MH2506-17</t>
        </is>
      </c>
      <c r="C1889" s="16" t="n">
        <v>45813</v>
      </c>
      <c r="D1889" s="17" t="inlineStr">
        <is>
          <t>00000512</t>
        </is>
      </c>
      <c r="E1889" s="16" t="n">
        <v>45813</v>
      </c>
      <c r="F1889" s="16" t="inlineStr">
        <is>
          <t>XK2506-11</t>
        </is>
      </c>
      <c r="G1889" s="16" t="n">
        <v>45813</v>
      </c>
      <c r="H1889" s="17" t="inlineStr">
        <is>
          <t>CÔNG TY TNHH XUẤT NHẬP KHẨU THƯƠNG MẠI KIÊN HOÀNG</t>
        </is>
      </c>
      <c r="I1889" s="17" t="inlineStr">
        <is>
          <t>Thép tấm (70x332x927mm)</t>
        </is>
      </c>
      <c r="J1889" s="17" t="inlineStr">
        <is>
          <t>kg</t>
        </is>
      </c>
      <c r="K1889" s="21" t="n">
        <v>16909.09</v>
      </c>
      <c r="L1889" s="21" t="n"/>
      <c r="M1889" s="22" t="n"/>
      <c r="N1889" s="22" t="n">
        <v>338.23</v>
      </c>
      <c r="O1889" s="22" t="n">
        <v>5719162</v>
      </c>
      <c r="P1889" s="22" t="n">
        <v>338.23</v>
      </c>
      <c r="Q1889" s="22" t="n">
        <v>5719162</v>
      </c>
      <c r="R1889" s="42">
        <f>+L1889+N1889-P1889</f>
        <v/>
      </c>
      <c r="S1889" s="42">
        <f>+M1889+O1889-Q1889</f>
        <v/>
      </c>
    </row>
    <row r="1890" ht="30" customHeight="1">
      <c r="A1890" s="16" t="n">
        <v>45813</v>
      </c>
      <c r="B1890" s="17" t="inlineStr">
        <is>
          <t>MH2506-17</t>
        </is>
      </c>
      <c r="C1890" s="16" t="n">
        <v>45813</v>
      </c>
      <c r="D1890" s="17" t="inlineStr">
        <is>
          <t>00000512</t>
        </is>
      </c>
      <c r="E1890" s="16" t="n">
        <v>45813</v>
      </c>
      <c r="F1890" s="16" t="inlineStr">
        <is>
          <t>XK2506-11</t>
        </is>
      </c>
      <c r="G1890" s="16" t="n">
        <v>45813</v>
      </c>
      <c r="H1890" s="17" t="inlineStr">
        <is>
          <t>CÔNG TY TNHH XUẤT NHẬP KHẨU THƯƠNG MẠI KIÊN HOÀNG</t>
        </is>
      </c>
      <c r="I1890" s="17" t="inlineStr">
        <is>
          <t>Thép tấm (72x335x5032mm)</t>
        </is>
      </c>
      <c r="J1890" s="17" t="inlineStr">
        <is>
          <t>kg</t>
        </is>
      </c>
      <c r="K1890" s="21" t="n">
        <v>16909.09</v>
      </c>
      <c r="L1890" s="21" t="n"/>
      <c r="M1890" s="22" t="n"/>
      <c r="N1890" s="22" t="n">
        <v>3811.08</v>
      </c>
      <c r="O1890" s="22" t="n">
        <v>64441895</v>
      </c>
      <c r="P1890" s="22" t="n">
        <v>3811.08</v>
      </c>
      <c r="Q1890" s="22" t="n">
        <v>64441895</v>
      </c>
      <c r="R1890" s="42">
        <f>+L1890+N1890-P1890</f>
        <v/>
      </c>
      <c r="S1890" s="42">
        <f>+M1890+O1890-Q1890</f>
        <v/>
      </c>
    </row>
    <row r="1891" ht="30" customHeight="1">
      <c r="A1891" s="16" t="n">
        <v>45813</v>
      </c>
      <c r="B1891" s="17" t="inlineStr">
        <is>
          <t>MH2506-17</t>
        </is>
      </c>
      <c r="C1891" s="16" t="n">
        <v>45813</v>
      </c>
      <c r="D1891" s="17" t="inlineStr">
        <is>
          <t>00000512</t>
        </is>
      </c>
      <c r="E1891" s="16" t="n">
        <v>45813</v>
      </c>
      <c r="F1891" s="16" t="inlineStr">
        <is>
          <t>XK2506-11</t>
        </is>
      </c>
      <c r="G1891" s="16" t="n">
        <v>45813</v>
      </c>
      <c r="H1891" s="17" t="inlineStr">
        <is>
          <t>CÔNG TY TNHH XUẤT NHẬP KHẨU THƯƠNG MẠI KIÊN HOÀNG</t>
        </is>
      </c>
      <c r="I1891" s="17" t="inlineStr">
        <is>
          <t>Thép tấm (72x335x4711mm)</t>
        </is>
      </c>
      <c r="J1891" s="17" t="inlineStr">
        <is>
          <t>kg</t>
        </is>
      </c>
      <c r="K1891" s="21" t="n">
        <v>16909.09</v>
      </c>
      <c r="L1891" s="21" t="n"/>
      <c r="M1891" s="22" t="n"/>
      <c r="N1891" s="22" t="n">
        <v>1783.98</v>
      </c>
      <c r="O1891" s="22" t="n">
        <v>30165478</v>
      </c>
      <c r="P1891" s="22" t="n">
        <v>1783.98</v>
      </c>
      <c r="Q1891" s="22" t="n">
        <v>30165478</v>
      </c>
      <c r="R1891" s="42">
        <f>+L1891+N1891-P1891</f>
        <v/>
      </c>
      <c r="S1891" s="42">
        <f>+M1891+O1891-Q1891</f>
        <v/>
      </c>
    </row>
    <row r="1892" ht="30" customHeight="1">
      <c r="A1892" s="16" t="n">
        <v>45813</v>
      </c>
      <c r="B1892" s="17" t="inlineStr">
        <is>
          <t>MH2506-17</t>
        </is>
      </c>
      <c r="C1892" s="16" t="n">
        <v>45813</v>
      </c>
      <c r="D1892" s="17" t="inlineStr">
        <is>
          <t>00000512</t>
        </is>
      </c>
      <c r="E1892" s="16" t="n">
        <v>45813</v>
      </c>
      <c r="F1892" s="16" t="inlineStr">
        <is>
          <t>XK2506-11</t>
        </is>
      </c>
      <c r="G1892" s="16" t="n">
        <v>45813</v>
      </c>
      <c r="H1892" s="17" t="inlineStr">
        <is>
          <t>CÔNG TY TNHH XUẤT NHẬP KHẨU THƯƠNG MẠI KIÊN HOÀNG</t>
        </is>
      </c>
      <c r="I1892" s="17" t="inlineStr">
        <is>
          <t>Thép tấm (72x335x3482mm)</t>
        </is>
      </c>
      <c r="J1892" s="17" t="inlineStr">
        <is>
          <t>kg</t>
        </is>
      </c>
      <c r="K1892" s="21" t="n">
        <v>16909.09</v>
      </c>
      <c r="L1892" s="21" t="n"/>
      <c r="M1892" s="22" t="n"/>
      <c r="N1892" s="22" t="n">
        <v>2637.16</v>
      </c>
      <c r="O1892" s="22" t="n">
        <v>44591976</v>
      </c>
      <c r="P1892" s="22" t="n">
        <v>2637.16</v>
      </c>
      <c r="Q1892" s="22" t="n">
        <v>44591976</v>
      </c>
      <c r="R1892" s="42">
        <f>+L1892+N1892-P1892</f>
        <v/>
      </c>
      <c r="S1892" s="42">
        <f>+M1892+O1892-Q1892</f>
        <v/>
      </c>
    </row>
    <row r="1893" ht="30" customHeight="1">
      <c r="A1893" s="16" t="n">
        <v>45813</v>
      </c>
      <c r="B1893" s="17" t="inlineStr">
        <is>
          <t>MH2506-17</t>
        </is>
      </c>
      <c r="C1893" s="16" t="n">
        <v>45813</v>
      </c>
      <c r="D1893" s="17" t="inlineStr">
        <is>
          <t>00000512</t>
        </is>
      </c>
      <c r="E1893" s="16" t="n">
        <v>45813</v>
      </c>
      <c r="F1893" s="16" t="inlineStr">
        <is>
          <t>XK2506-11</t>
        </is>
      </c>
      <c r="G1893" s="16" t="n">
        <v>45813</v>
      </c>
      <c r="H1893" s="17" t="inlineStr">
        <is>
          <t>CÔNG TY TNHH XUẤT NHẬP KHẨU THƯƠNG MẠI KIÊN HOÀNG</t>
        </is>
      </c>
      <c r="I1893" s="17" t="inlineStr">
        <is>
          <t>Thép tấm (72x335x2772mm)</t>
        </is>
      </c>
      <c r="J1893" s="17" t="inlineStr">
        <is>
          <t>kg</t>
        </is>
      </c>
      <c r="K1893" s="21" t="n">
        <v>16909.09</v>
      </c>
      <c r="L1893" s="21" t="n"/>
      <c r="M1893" s="22" t="n"/>
      <c r="N1893" s="22" t="n">
        <v>524.86</v>
      </c>
      <c r="O1893" s="22" t="n">
        <v>8874905</v>
      </c>
      <c r="P1893" s="22" t="n">
        <v>524.86</v>
      </c>
      <c r="Q1893" s="22" t="n">
        <v>8874905</v>
      </c>
      <c r="R1893" s="42">
        <f>+L1893+N1893-P1893</f>
        <v/>
      </c>
      <c r="S1893" s="42">
        <f>+M1893+O1893-Q1893</f>
        <v/>
      </c>
    </row>
    <row r="1894" ht="30" customHeight="1">
      <c r="A1894" s="16" t="n">
        <v>45813</v>
      </c>
      <c r="B1894" s="17" t="inlineStr">
        <is>
          <t>MH2506-17</t>
        </is>
      </c>
      <c r="C1894" s="16" t="n">
        <v>45813</v>
      </c>
      <c r="D1894" s="17" t="inlineStr">
        <is>
          <t>00000512</t>
        </is>
      </c>
      <c r="E1894" s="16" t="n">
        <v>45813</v>
      </c>
      <c r="F1894" s="16" t="inlineStr">
        <is>
          <t>XK2506-11</t>
        </is>
      </c>
      <c r="G1894" s="16" t="n">
        <v>45813</v>
      </c>
      <c r="H1894" s="17" t="inlineStr">
        <is>
          <t>CÔNG TY TNHH XUẤT NHẬP KHẨU THƯƠNG MẠI KIÊN HOÀNG</t>
        </is>
      </c>
      <c r="I1894" s="17" t="inlineStr">
        <is>
          <t>Thép tấm (72x335x2742mm)</t>
        </is>
      </c>
      <c r="J1894" s="17" t="inlineStr">
        <is>
          <t>kg</t>
        </is>
      </c>
      <c r="K1894" s="21" t="n">
        <v>16909.09</v>
      </c>
      <c r="L1894" s="21" t="n"/>
      <c r="M1894" s="22" t="n"/>
      <c r="N1894" s="22" t="n">
        <v>519.1799999999999</v>
      </c>
      <c r="O1894" s="22" t="n">
        <v>8778861</v>
      </c>
      <c r="P1894" s="22" t="n">
        <v>519.1799999999999</v>
      </c>
      <c r="Q1894" s="22" t="n">
        <v>8778861</v>
      </c>
      <c r="R1894" s="42">
        <f>+L1894+N1894-P1894</f>
        <v/>
      </c>
      <c r="S1894" s="42">
        <f>+M1894+O1894-Q1894</f>
        <v/>
      </c>
    </row>
    <row r="1895" ht="30" customHeight="1">
      <c r="A1895" s="16" t="n">
        <v>45813</v>
      </c>
      <c r="B1895" s="17" t="inlineStr">
        <is>
          <t>MH2506-17</t>
        </is>
      </c>
      <c r="C1895" s="16" t="n">
        <v>45813</v>
      </c>
      <c r="D1895" s="17" t="inlineStr">
        <is>
          <t>00000512</t>
        </is>
      </c>
      <c r="E1895" s="16" t="n">
        <v>45813</v>
      </c>
      <c r="F1895" s="16" t="inlineStr">
        <is>
          <t>XK2506-11</t>
        </is>
      </c>
      <c r="G1895" s="16" t="n">
        <v>45813</v>
      </c>
      <c r="H1895" s="17" t="inlineStr">
        <is>
          <t>CÔNG TY TNHH XUẤT NHẬP KHẨU THƯƠNG MẠI KIÊN HOÀNG</t>
        </is>
      </c>
      <c r="I1895" s="17" t="inlineStr">
        <is>
          <t>Thép tấm (72x330x6891mm)</t>
        </is>
      </c>
      <c r="J1895" s="17" t="inlineStr">
        <is>
          <t>kg</t>
        </is>
      </c>
      <c r="K1895" s="21" t="n">
        <v>16909.09</v>
      </c>
      <c r="L1895" s="21" t="n"/>
      <c r="M1895" s="22" t="n"/>
      <c r="N1895" s="22" t="n">
        <v>2570.56</v>
      </c>
      <c r="O1895" s="22" t="n">
        <v>43465830</v>
      </c>
      <c r="P1895" s="22" t="n">
        <v>2570.56</v>
      </c>
      <c r="Q1895" s="22" t="n">
        <v>43465830</v>
      </c>
      <c r="R1895" s="42">
        <f>+L1895+N1895-P1895</f>
        <v/>
      </c>
      <c r="S1895" s="42">
        <f>+M1895+O1895-Q1895</f>
        <v/>
      </c>
    </row>
    <row r="1896" ht="30" customHeight="1">
      <c r="A1896" s="16" t="n">
        <v>45813</v>
      </c>
      <c r="B1896" s="17" t="inlineStr">
        <is>
          <t>MH2506-18</t>
        </is>
      </c>
      <c r="C1896" s="16" t="n">
        <v>45813</v>
      </c>
      <c r="D1896" s="17" t="inlineStr">
        <is>
          <t>00000511</t>
        </is>
      </c>
      <c r="E1896" s="16" t="n">
        <v>45813</v>
      </c>
      <c r="F1896" s="16" t="inlineStr">
        <is>
          <t>XK2506-11</t>
        </is>
      </c>
      <c r="G1896" s="16" t="n">
        <v>45813</v>
      </c>
      <c r="H1896" s="17" t="inlineStr">
        <is>
          <t>CÔNG TY TNHH XUẤT NHẬP KHẨU THƯƠNG MẠI KIÊN HOÀNG</t>
        </is>
      </c>
      <c r="I1896" s="17" t="inlineStr">
        <is>
          <t>Thép tấm (55x185x335mm)</t>
        </is>
      </c>
      <c r="J1896" s="17" t="inlineStr">
        <is>
          <t>kg</t>
        </is>
      </c>
      <c r="K1896" s="21" t="n">
        <v>16909.09</v>
      </c>
      <c r="L1896" s="21" t="n"/>
      <c r="M1896" s="22" t="n"/>
      <c r="N1896" s="22" t="n">
        <v>107.03</v>
      </c>
      <c r="O1896" s="22" t="n">
        <v>1809780</v>
      </c>
      <c r="P1896" s="22" t="n">
        <v>107.03</v>
      </c>
      <c r="Q1896" s="22" t="n">
        <v>1809780</v>
      </c>
      <c r="R1896" s="42">
        <f>+L1896+N1896-P1896</f>
        <v/>
      </c>
      <c r="S1896" s="42">
        <f>+M1896+O1896-Q1896</f>
        <v/>
      </c>
    </row>
    <row r="1897" ht="30" customHeight="1">
      <c r="A1897" s="16" t="n">
        <v>45813</v>
      </c>
      <c r="B1897" s="17" t="inlineStr">
        <is>
          <t>MH2506-18</t>
        </is>
      </c>
      <c r="C1897" s="16" t="n">
        <v>45813</v>
      </c>
      <c r="D1897" s="17" t="inlineStr">
        <is>
          <t>00000511</t>
        </is>
      </c>
      <c r="E1897" s="16" t="n">
        <v>45813</v>
      </c>
      <c r="F1897" s="16" t="inlineStr">
        <is>
          <t>XK2506-11</t>
        </is>
      </c>
      <c r="G1897" s="16" t="n">
        <v>45813</v>
      </c>
      <c r="H1897" s="17" t="inlineStr">
        <is>
          <t>CÔNG TY TNHH XUẤT NHẬP KHẨU THƯƠNG MẠI KIÊN HOÀNG</t>
        </is>
      </c>
      <c r="I1897" s="17" t="inlineStr">
        <is>
          <t>Thép tấm (57x255x650mm)</t>
        </is>
      </c>
      <c r="J1897" s="17" t="inlineStr">
        <is>
          <t>kg</t>
        </is>
      </c>
      <c r="K1897" s="21" t="n">
        <v>16909.09</v>
      </c>
      <c r="L1897" s="21" t="n"/>
      <c r="M1897" s="22" t="n"/>
      <c r="N1897" s="22" t="n">
        <v>593.3200000000001</v>
      </c>
      <c r="O1897" s="22" t="n">
        <v>10032501</v>
      </c>
      <c r="P1897" s="22" t="n">
        <v>593.3200000000001</v>
      </c>
      <c r="Q1897" s="22" t="n">
        <v>10032501</v>
      </c>
      <c r="R1897" s="42">
        <f>+L1897+N1897-P1897</f>
        <v/>
      </c>
      <c r="S1897" s="42">
        <f>+M1897+O1897-Q1897</f>
        <v/>
      </c>
    </row>
    <row r="1898" ht="30" customHeight="1">
      <c r="A1898" s="16" t="n">
        <v>45813</v>
      </c>
      <c r="B1898" s="17" t="inlineStr">
        <is>
          <t>MH2506-18</t>
        </is>
      </c>
      <c r="C1898" s="16" t="n">
        <v>45813</v>
      </c>
      <c r="D1898" s="17" t="inlineStr">
        <is>
          <t>00000511</t>
        </is>
      </c>
      <c r="E1898" s="16" t="n">
        <v>45813</v>
      </c>
      <c r="F1898" s="16" t="inlineStr">
        <is>
          <t>XK2506-11</t>
        </is>
      </c>
      <c r="G1898" s="16" t="n">
        <v>45813</v>
      </c>
      <c r="H1898" s="17" t="inlineStr">
        <is>
          <t>CÔNG TY TNHH XUẤT NHẬP KHẨU THƯƠNG MẠI KIÊN HOÀNG</t>
        </is>
      </c>
      <c r="I1898" s="17" t="inlineStr">
        <is>
          <t>Thép tấm (57x340x948mm)</t>
        </is>
      </c>
      <c r="J1898" s="17" t="inlineStr">
        <is>
          <t>kg</t>
        </is>
      </c>
      <c r="K1898" s="21" t="n">
        <v>16909.09</v>
      </c>
      <c r="L1898" s="21" t="n"/>
      <c r="M1898" s="22" t="n"/>
      <c r="N1898" s="22" t="n">
        <v>288.44</v>
      </c>
      <c r="O1898" s="22" t="n">
        <v>4877258</v>
      </c>
      <c r="P1898" s="22" t="n">
        <v>288.44</v>
      </c>
      <c r="Q1898" s="22" t="n">
        <v>4877258</v>
      </c>
      <c r="R1898" s="42">
        <f>+L1898+N1898-P1898</f>
        <v/>
      </c>
      <c r="S1898" s="42">
        <f>+M1898+O1898-Q1898</f>
        <v/>
      </c>
    </row>
    <row r="1899" ht="30" customHeight="1">
      <c r="A1899" s="16" t="n">
        <v>45813</v>
      </c>
      <c r="B1899" s="17" t="inlineStr">
        <is>
          <t>MH2506-18</t>
        </is>
      </c>
      <c r="C1899" s="16" t="n">
        <v>45813</v>
      </c>
      <c r="D1899" s="17" t="inlineStr">
        <is>
          <t>00000511</t>
        </is>
      </c>
      <c r="E1899" s="16" t="n">
        <v>45813</v>
      </c>
      <c r="F1899" s="16" t="inlineStr">
        <is>
          <t>XK2506-11</t>
        </is>
      </c>
      <c r="G1899" s="16" t="n">
        <v>45813</v>
      </c>
      <c r="H1899" s="17" t="inlineStr">
        <is>
          <t>CÔNG TY TNHH XUẤT NHẬP KHẨU THƯƠNG MẠI KIÊN HOÀNG</t>
        </is>
      </c>
      <c r="I1899" s="17" t="inlineStr">
        <is>
          <t>Thép tấm (70x530x530mm)</t>
        </is>
      </c>
      <c r="J1899" s="17" t="inlineStr">
        <is>
          <t>kg</t>
        </is>
      </c>
      <c r="K1899" s="21" t="n">
        <v>16909.09</v>
      </c>
      <c r="L1899" s="21" t="n"/>
      <c r="M1899" s="22" t="n"/>
      <c r="N1899" s="22" t="n">
        <v>154.35</v>
      </c>
      <c r="O1899" s="22" t="n">
        <v>2609918</v>
      </c>
      <c r="P1899" s="22" t="n">
        <v>154.35</v>
      </c>
      <c r="Q1899" s="22" t="n">
        <v>2609918</v>
      </c>
      <c r="R1899" s="42">
        <f>+L1899+N1899-P1899</f>
        <v/>
      </c>
      <c r="S1899" s="42">
        <f>+M1899+O1899-Q1899</f>
        <v/>
      </c>
    </row>
    <row r="1900" ht="30" customHeight="1">
      <c r="A1900" s="16" t="n">
        <v>45813</v>
      </c>
      <c r="B1900" s="17" t="inlineStr">
        <is>
          <t>MH2506-18</t>
        </is>
      </c>
      <c r="C1900" s="16" t="n">
        <v>45813</v>
      </c>
      <c r="D1900" s="17" t="inlineStr">
        <is>
          <t>00000511</t>
        </is>
      </c>
      <c r="E1900" s="16" t="n">
        <v>45813</v>
      </c>
      <c r="F1900" s="16" t="inlineStr">
        <is>
          <t>XK2506-11</t>
        </is>
      </c>
      <c r="G1900" s="16" t="n">
        <v>45813</v>
      </c>
      <c r="H1900" s="17" t="inlineStr">
        <is>
          <t>CÔNG TY TNHH XUẤT NHẬP KHẨU THƯƠNG MẠI KIÊN HOÀNG</t>
        </is>
      </c>
      <c r="I1900" s="17" t="inlineStr">
        <is>
          <t>Thép tấm (70x185x335mm)</t>
        </is>
      </c>
      <c r="J1900" s="17" t="inlineStr">
        <is>
          <t>kg</t>
        </is>
      </c>
      <c r="K1900" s="21" t="n">
        <v>16909.09</v>
      </c>
      <c r="L1900" s="21" t="n"/>
      <c r="M1900" s="22" t="n"/>
      <c r="N1900" s="22" t="n">
        <v>68.11</v>
      </c>
      <c r="O1900" s="22" t="n">
        <v>1151678</v>
      </c>
      <c r="P1900" s="22" t="n">
        <v>68.11</v>
      </c>
      <c r="Q1900" s="22" t="n">
        <v>1151678</v>
      </c>
      <c r="R1900" s="42">
        <f>+L1900+N1900-P1900</f>
        <v/>
      </c>
      <c r="S1900" s="42">
        <f>+M1900+O1900-Q1900</f>
        <v/>
      </c>
    </row>
    <row r="1901" ht="30" customHeight="1">
      <c r="A1901" s="16" t="n">
        <v>45813</v>
      </c>
      <c r="B1901" s="17" t="inlineStr">
        <is>
          <t>MH2506-18</t>
        </is>
      </c>
      <c r="C1901" s="16" t="n">
        <v>45813</v>
      </c>
      <c r="D1901" s="17" t="inlineStr">
        <is>
          <t>00000511</t>
        </is>
      </c>
      <c r="E1901" s="16" t="n">
        <v>45813</v>
      </c>
      <c r="F1901" s="16" t="inlineStr">
        <is>
          <t>XK2506-11</t>
        </is>
      </c>
      <c r="G1901" s="16" t="n">
        <v>45813</v>
      </c>
      <c r="H1901" s="17" t="inlineStr">
        <is>
          <t>CÔNG TY TNHH XUẤT NHẬP KHẨU THƯƠNG MẠI KIÊN HOÀNG</t>
        </is>
      </c>
      <c r="I1901" s="17" t="inlineStr">
        <is>
          <t>Thép tấm (70x338x919mm)</t>
        </is>
      </c>
      <c r="J1901" s="17" t="inlineStr">
        <is>
          <t>kg</t>
        </is>
      </c>
      <c r="K1901" s="21" t="n">
        <v>16909.09</v>
      </c>
      <c r="L1901" s="21" t="n"/>
      <c r="M1901" s="22" t="n"/>
      <c r="N1901" s="22" t="n">
        <v>1194.81</v>
      </c>
      <c r="O1901" s="22" t="n">
        <v>20203150</v>
      </c>
      <c r="P1901" s="22" t="n">
        <v>1194.81</v>
      </c>
      <c r="Q1901" s="22" t="n">
        <v>20203150</v>
      </c>
      <c r="R1901" s="42">
        <f>+L1901+N1901-P1901</f>
        <v/>
      </c>
      <c r="S1901" s="42">
        <f>+M1901+O1901-Q1901</f>
        <v/>
      </c>
    </row>
    <row r="1902" ht="30" customHeight="1">
      <c r="A1902" s="16" t="n">
        <v>45813</v>
      </c>
      <c r="B1902" s="17" t="inlineStr">
        <is>
          <t>MH2506-18</t>
        </is>
      </c>
      <c r="C1902" s="16" t="n">
        <v>45813</v>
      </c>
      <c r="D1902" s="17" t="inlineStr">
        <is>
          <t>00000511</t>
        </is>
      </c>
      <c r="E1902" s="16" t="n">
        <v>45813</v>
      </c>
      <c r="F1902" s="16" t="inlineStr">
        <is>
          <t>XK2506-11</t>
        </is>
      </c>
      <c r="G1902" s="16" t="n">
        <v>45813</v>
      </c>
      <c r="H1902" s="17" t="inlineStr">
        <is>
          <t>CÔNG TY TNHH XUẤT NHẬP KHẨU THƯƠNG MẠI KIÊN HOÀNG</t>
        </is>
      </c>
      <c r="I1902" s="17" t="inlineStr">
        <is>
          <t>Thép tấm (70x143x185mm)</t>
        </is>
      </c>
      <c r="J1902" s="17" t="inlineStr">
        <is>
          <t>kg</t>
        </is>
      </c>
      <c r="K1902" s="21" t="n">
        <v>16909.09</v>
      </c>
      <c r="L1902" s="21" t="n"/>
      <c r="M1902" s="22" t="n"/>
      <c r="N1902" s="22" t="n">
        <v>29.07</v>
      </c>
      <c r="O1902" s="22" t="n">
        <v>491547</v>
      </c>
      <c r="P1902" s="22" t="n">
        <v>29.07</v>
      </c>
      <c r="Q1902" s="22" t="n">
        <v>491547</v>
      </c>
      <c r="R1902" s="42">
        <f>+L1902+N1902-P1902</f>
        <v/>
      </c>
      <c r="S1902" s="42">
        <f>+M1902+O1902-Q1902</f>
        <v/>
      </c>
    </row>
    <row r="1903" ht="30" customHeight="1">
      <c r="A1903" s="16" t="n">
        <v>45813</v>
      </c>
      <c r="B1903" s="17" t="inlineStr">
        <is>
          <t>MH2506-18</t>
        </is>
      </c>
      <c r="C1903" s="16" t="n">
        <v>45813</v>
      </c>
      <c r="D1903" s="17" t="inlineStr">
        <is>
          <t>00000511</t>
        </is>
      </c>
      <c r="E1903" s="16" t="n">
        <v>45813</v>
      </c>
      <c r="F1903" s="16" t="inlineStr">
        <is>
          <t>XK2506-11</t>
        </is>
      </c>
      <c r="G1903" s="16" t="n">
        <v>45813</v>
      </c>
      <c r="H1903" s="17" t="inlineStr">
        <is>
          <t>CÔNG TY TNHH XUẤT NHẬP KHẨU THƯƠNG MẠI KIÊN HOÀNG</t>
        </is>
      </c>
      <c r="I1903" s="17" t="inlineStr">
        <is>
          <t>Thép tấm (70x195x330mm)</t>
        </is>
      </c>
      <c r="J1903" s="17" t="inlineStr">
        <is>
          <t>kg</t>
        </is>
      </c>
      <c r="K1903" s="21" t="n">
        <v>16909.09</v>
      </c>
      <c r="L1903" s="21" t="n"/>
      <c r="M1903" s="22" t="n"/>
      <c r="N1903" s="22" t="n">
        <v>70.72</v>
      </c>
      <c r="O1903" s="22" t="n">
        <v>1195811</v>
      </c>
      <c r="P1903" s="22" t="n">
        <v>70.72</v>
      </c>
      <c r="Q1903" s="22" t="n">
        <v>1195811</v>
      </c>
      <c r="R1903" s="42">
        <f>+L1903+N1903-P1903</f>
        <v/>
      </c>
      <c r="S1903" s="42">
        <f>+M1903+O1903-Q1903</f>
        <v/>
      </c>
    </row>
    <row r="1904" ht="30" customHeight="1">
      <c r="A1904" s="16" t="n">
        <v>45813</v>
      </c>
      <c r="B1904" s="17" t="inlineStr">
        <is>
          <t>MH2506-18</t>
        </is>
      </c>
      <c r="C1904" s="16" t="n">
        <v>45813</v>
      </c>
      <c r="D1904" s="17" t="inlineStr">
        <is>
          <t>00000511</t>
        </is>
      </c>
      <c r="E1904" s="16" t="n">
        <v>45813</v>
      </c>
      <c r="F1904" s="16" t="inlineStr">
        <is>
          <t>XK2506-11</t>
        </is>
      </c>
      <c r="G1904" s="16" t="n">
        <v>45813</v>
      </c>
      <c r="H1904" s="17" t="inlineStr">
        <is>
          <t>CÔNG TY TNHH XUẤT NHẬP KHẨU THƯƠNG MẠI KIÊN HOÀNG</t>
        </is>
      </c>
      <c r="I1904" s="17" t="inlineStr">
        <is>
          <t>Thép tấm (70x176x185mm)</t>
        </is>
      </c>
      <c r="J1904" s="17" t="inlineStr">
        <is>
          <t>kg</t>
        </is>
      </c>
      <c r="K1904" s="21" t="n">
        <v>16909.09</v>
      </c>
      <c r="L1904" s="21" t="n"/>
      <c r="M1904" s="22" t="n"/>
      <c r="N1904" s="22" t="n">
        <v>35.78</v>
      </c>
      <c r="O1904" s="22" t="n">
        <v>605007</v>
      </c>
      <c r="P1904" s="22" t="n">
        <v>35.78</v>
      </c>
      <c r="Q1904" s="22" t="n">
        <v>605007</v>
      </c>
      <c r="R1904" s="42">
        <f>+L1904+N1904-P1904</f>
        <v/>
      </c>
      <c r="S1904" s="42">
        <f>+M1904+O1904-Q1904</f>
        <v/>
      </c>
    </row>
    <row r="1905" ht="30" customHeight="1">
      <c r="A1905" s="16" t="n">
        <v>45813</v>
      </c>
      <c r="B1905" s="17" t="inlineStr">
        <is>
          <t>MH2506-18</t>
        </is>
      </c>
      <c r="C1905" s="16" t="n">
        <v>45813</v>
      </c>
      <c r="D1905" s="17" t="inlineStr">
        <is>
          <t>00000511</t>
        </is>
      </c>
      <c r="E1905" s="16" t="n">
        <v>45813</v>
      </c>
      <c r="F1905" s="16" t="inlineStr">
        <is>
          <t>XK2506-11</t>
        </is>
      </c>
      <c r="G1905" s="16" t="n">
        <v>45813</v>
      </c>
      <c r="H1905" s="17" t="inlineStr">
        <is>
          <t>CÔNG TY TNHH XUẤT NHẬP KHẨU THƯƠNG MẠI KIÊN HOÀNG</t>
        </is>
      </c>
      <c r="I1905" s="17" t="inlineStr">
        <is>
          <t>Thép tấm (70x355x2742mm)</t>
        </is>
      </c>
      <c r="J1905" s="17" t="inlineStr">
        <is>
          <t>kg</t>
        </is>
      </c>
      <c r="K1905" s="21" t="n">
        <v>16909.09</v>
      </c>
      <c r="L1905" s="21" t="n"/>
      <c r="M1905" s="22" t="n"/>
      <c r="N1905" s="22" t="n">
        <v>1069.78</v>
      </c>
      <c r="O1905" s="22" t="n">
        <v>18089006</v>
      </c>
      <c r="P1905" s="22" t="n">
        <v>1069.78</v>
      </c>
      <c r="Q1905" s="22" t="n">
        <v>18089006</v>
      </c>
      <c r="R1905" s="42">
        <f>+L1905+N1905-P1905</f>
        <v/>
      </c>
      <c r="S1905" s="42">
        <f>+M1905+O1905-Q1905</f>
        <v/>
      </c>
    </row>
    <row r="1906" ht="30" customHeight="1">
      <c r="A1906" s="16" t="n">
        <v>45813</v>
      </c>
      <c r="B1906" s="17" t="inlineStr">
        <is>
          <t>MH2506-18</t>
        </is>
      </c>
      <c r="C1906" s="16" t="n">
        <v>45813</v>
      </c>
      <c r="D1906" s="17" t="inlineStr">
        <is>
          <t>00000511</t>
        </is>
      </c>
      <c r="E1906" s="16" t="n">
        <v>45813</v>
      </c>
      <c r="F1906" s="16" t="inlineStr">
        <is>
          <t>XK2506-11</t>
        </is>
      </c>
      <c r="G1906" s="16" t="n">
        <v>45813</v>
      </c>
      <c r="H1906" s="17" t="inlineStr">
        <is>
          <t>CÔNG TY TNHH XUẤT NHẬP KHẨU THƯƠNG MẠI KIÊN HOÀNG</t>
        </is>
      </c>
      <c r="I1906" s="17" t="inlineStr">
        <is>
          <t>Thép tấm (91x450x2772mm)</t>
        </is>
      </c>
      <c r="J1906" s="17" t="inlineStr">
        <is>
          <t>kg</t>
        </is>
      </c>
      <c r="K1906" s="21" t="n">
        <v>16909.09</v>
      </c>
      <c r="L1906" s="21" t="n"/>
      <c r="M1906" s="22" t="n"/>
      <c r="N1906" s="22" t="n">
        <v>1390.71</v>
      </c>
      <c r="O1906" s="22" t="n">
        <v>23515641</v>
      </c>
      <c r="P1906" s="22" t="n">
        <v>1390.71</v>
      </c>
      <c r="Q1906" s="22" t="n">
        <v>23515641</v>
      </c>
      <c r="R1906" s="42">
        <f>+L1906+N1906-P1906</f>
        <v/>
      </c>
      <c r="S1906" s="42">
        <f>+M1906+O1906-Q1906</f>
        <v/>
      </c>
    </row>
    <row r="1907" ht="30" customHeight="1">
      <c r="A1907" s="16" t="n">
        <v>45813</v>
      </c>
      <c r="B1907" s="17" t="inlineStr">
        <is>
          <t>MH2506-19</t>
        </is>
      </c>
      <c r="C1907" s="16" t="n">
        <v>45813</v>
      </c>
      <c r="D1907" s="17" t="inlineStr">
        <is>
          <t>00000510</t>
        </is>
      </c>
      <c r="E1907" s="16" t="n">
        <v>45813</v>
      </c>
      <c r="F1907" s="16" t="inlineStr">
        <is>
          <t>XK2506-11</t>
        </is>
      </c>
      <c r="G1907" s="16" t="n">
        <v>45813</v>
      </c>
      <c r="H1907" s="17" t="inlineStr">
        <is>
          <t>CÔNG TY TNHH XUẤT NHẬP KHẨU THƯƠNG MẠI KIÊN HOÀNG</t>
        </is>
      </c>
      <c r="I1907" s="17" t="inlineStr">
        <is>
          <t>Thép tấm (55x365x3677mm)</t>
        </is>
      </c>
      <c r="J1907" s="17" t="inlineStr">
        <is>
          <t>kg</t>
        </is>
      </c>
      <c r="K1907" s="21" t="n">
        <v>16909.09</v>
      </c>
      <c r="L1907" s="21" t="n"/>
      <c r="M1907" s="22" t="n"/>
      <c r="N1907" s="22" t="n">
        <v>4635.63</v>
      </c>
      <c r="O1907" s="22" t="n">
        <v>78384285</v>
      </c>
      <c r="P1907" s="22" t="n">
        <v>4635.63</v>
      </c>
      <c r="Q1907" s="22" t="n">
        <v>78384285</v>
      </c>
      <c r="R1907" s="42">
        <f>+L1907+N1907-P1907</f>
        <v/>
      </c>
      <c r="S1907" s="42">
        <f>+M1907+O1907-Q1907</f>
        <v/>
      </c>
    </row>
    <row r="1908" ht="30" customHeight="1">
      <c r="A1908" s="16" t="n">
        <v>45813</v>
      </c>
      <c r="B1908" s="17" t="inlineStr">
        <is>
          <t>MH2506-19</t>
        </is>
      </c>
      <c r="C1908" s="16" t="n">
        <v>45813</v>
      </c>
      <c r="D1908" s="17" t="inlineStr">
        <is>
          <t>00000510</t>
        </is>
      </c>
      <c r="E1908" s="16" t="n">
        <v>45813</v>
      </c>
      <c r="F1908" s="16" t="inlineStr">
        <is>
          <t>XK2506-11</t>
        </is>
      </c>
      <c r="G1908" s="16" t="n">
        <v>45813</v>
      </c>
      <c r="H1908" s="17" t="inlineStr">
        <is>
          <t>CÔNG TY TNHH XUẤT NHẬP KHẨU THƯƠNG MẠI KIÊN HOÀNG</t>
        </is>
      </c>
      <c r="I1908" s="17" t="inlineStr">
        <is>
          <t>Thép tấm (90x450x5320mm)</t>
        </is>
      </c>
      <c r="J1908" s="17" t="inlineStr">
        <is>
          <t>kg</t>
        </is>
      </c>
      <c r="K1908" s="21" t="n">
        <v>16909.09</v>
      </c>
      <c r="L1908" s="21" t="n"/>
      <c r="M1908" s="22" t="n"/>
      <c r="N1908" s="22" t="n">
        <v>3382.72</v>
      </c>
      <c r="O1908" s="22" t="n">
        <v>57198717</v>
      </c>
      <c r="P1908" s="22" t="n">
        <v>3382.72</v>
      </c>
      <c r="Q1908" s="22" t="n">
        <v>57198717</v>
      </c>
      <c r="R1908" s="42">
        <f>+L1908+N1908-P1908</f>
        <v/>
      </c>
      <c r="S1908" s="42">
        <f>+M1908+O1908-Q1908</f>
        <v/>
      </c>
    </row>
    <row r="1909" ht="30" customHeight="1">
      <c r="A1909" s="16" t="n">
        <v>45813</v>
      </c>
      <c r="B1909" s="17" t="inlineStr">
        <is>
          <t>MH2506-19</t>
        </is>
      </c>
      <c r="C1909" s="16" t="n">
        <v>45813</v>
      </c>
      <c r="D1909" s="17" t="inlineStr">
        <is>
          <t>00000510</t>
        </is>
      </c>
      <c r="E1909" s="16" t="n">
        <v>45813</v>
      </c>
      <c r="F1909" s="16" t="inlineStr">
        <is>
          <t>XK2506-11</t>
        </is>
      </c>
      <c r="G1909" s="16" t="n">
        <v>45813</v>
      </c>
      <c r="H1909" s="17" t="inlineStr">
        <is>
          <t>CÔNG TY TNHH XUẤT NHẬP KHẨU THƯƠNG MẠI KIÊN HOÀNG</t>
        </is>
      </c>
      <c r="I1909" s="17" t="inlineStr">
        <is>
          <t>Thép tấm (91x450x5336mm)</t>
        </is>
      </c>
      <c r="J1909" s="17" t="inlineStr">
        <is>
          <t>kg</t>
        </is>
      </c>
      <c r="K1909" s="21" t="n">
        <v>16909.09</v>
      </c>
      <c r="L1909" s="21" t="n"/>
      <c r="M1909" s="22" t="n"/>
      <c r="N1909" s="22" t="n">
        <v>1715.3</v>
      </c>
      <c r="O1909" s="22" t="n">
        <v>29004162</v>
      </c>
      <c r="P1909" s="22" t="n">
        <v>1715.3</v>
      </c>
      <c r="Q1909" s="22" t="n">
        <v>29004162</v>
      </c>
      <c r="R1909" s="42">
        <f>+L1909+N1909-P1909</f>
        <v/>
      </c>
      <c r="S1909" s="42">
        <f>+M1909+O1909-Q1909</f>
        <v/>
      </c>
    </row>
    <row r="1910" ht="30" customHeight="1">
      <c r="A1910" s="16" t="n">
        <v>45813</v>
      </c>
      <c r="B1910" s="17" t="inlineStr">
        <is>
          <t>MH2506-19</t>
        </is>
      </c>
      <c r="C1910" s="16" t="n">
        <v>45813</v>
      </c>
      <c r="D1910" s="17" t="inlineStr">
        <is>
          <t>00000510</t>
        </is>
      </c>
      <c r="E1910" s="16" t="n">
        <v>45813</v>
      </c>
      <c r="F1910" s="16" t="inlineStr">
        <is>
          <t>XK2506-11</t>
        </is>
      </c>
      <c r="G1910" s="16" t="n">
        <v>45813</v>
      </c>
      <c r="H1910" s="17" t="inlineStr">
        <is>
          <t>CÔNG TY TNHH XUẤT NHẬP KHẨU THƯƠNG MẠI KIÊN HOÀNG</t>
        </is>
      </c>
      <c r="I1910" s="17" t="inlineStr">
        <is>
          <t>Thép tấm (91x450x5032mm)</t>
        </is>
      </c>
      <c r="J1910" s="17" t="inlineStr">
        <is>
          <t>kg</t>
        </is>
      </c>
      <c r="K1910" s="21" t="n">
        <v>16909.09</v>
      </c>
      <c r="L1910" s="21" t="n"/>
      <c r="M1910" s="22" t="n"/>
      <c r="N1910" s="22" t="n">
        <v>8087.87</v>
      </c>
      <c r="O1910" s="22" t="n">
        <v>136758522</v>
      </c>
      <c r="P1910" s="22" t="n">
        <v>8087.87</v>
      </c>
      <c r="Q1910" s="22" t="n">
        <v>136758522</v>
      </c>
      <c r="R1910" s="42">
        <f>+L1910+N1910-P1910</f>
        <v/>
      </c>
      <c r="S1910" s="42">
        <f>+M1910+O1910-Q1910</f>
        <v/>
      </c>
    </row>
    <row r="1911" ht="30" customHeight="1">
      <c r="A1911" s="16" t="n">
        <v>45813</v>
      </c>
      <c r="B1911" s="17" t="inlineStr">
        <is>
          <t>MH2506-19</t>
        </is>
      </c>
      <c r="C1911" s="16" t="n">
        <v>45813</v>
      </c>
      <c r="D1911" s="17" t="inlineStr">
        <is>
          <t>00000510</t>
        </is>
      </c>
      <c r="E1911" s="16" t="n">
        <v>45813</v>
      </c>
      <c r="F1911" s="16" t="inlineStr">
        <is>
          <t>XK2506-11</t>
        </is>
      </c>
      <c r="G1911" s="16" t="n">
        <v>45813</v>
      </c>
      <c r="H1911" s="17" t="inlineStr">
        <is>
          <t>CÔNG TY TNHH XUẤT NHẬP KHẨU THƯƠNG MẠI KIÊN HOÀNG</t>
        </is>
      </c>
      <c r="I1911" s="17" t="inlineStr">
        <is>
          <t>Thép tấm (101x460x7052mm)</t>
        </is>
      </c>
      <c r="J1911" s="17" t="inlineStr">
        <is>
          <t>kg</t>
        </is>
      </c>
      <c r="K1911" s="21" t="n">
        <v>16909.09</v>
      </c>
      <c r="L1911" s="21" t="n"/>
      <c r="M1911" s="22" t="n"/>
      <c r="N1911" s="22" t="n">
        <v>10287.77</v>
      </c>
      <c r="O1911" s="22" t="n">
        <v>173956829</v>
      </c>
      <c r="P1911" s="22" t="n">
        <v>10287.77</v>
      </c>
      <c r="Q1911" s="22" t="n">
        <v>173956829</v>
      </c>
      <c r="R1911" s="42">
        <f>+L1911+N1911-P1911</f>
        <v/>
      </c>
      <c r="S1911" s="42">
        <f>+M1911+O1911-Q1911</f>
        <v/>
      </c>
    </row>
    <row r="1912" ht="15" customHeight="1">
      <c r="A1912" s="16" t="n">
        <v>45814</v>
      </c>
      <c r="B1912" s="17" t="inlineStr">
        <is>
          <t>MH2506-20</t>
        </is>
      </c>
      <c r="C1912" s="16" t="n">
        <v>45814</v>
      </c>
      <c r="D1912" s="17" t="inlineStr">
        <is>
          <t>00001909</t>
        </is>
      </c>
      <c r="E1912" s="16" t="n">
        <v>45814</v>
      </c>
      <c r="F1912" s="16" t="inlineStr">
        <is>
          <t>XK2506-12</t>
        </is>
      </c>
      <c r="G1912" s="16" t="n">
        <v>45814</v>
      </c>
      <c r="H1912" s="17" t="inlineStr">
        <is>
          <t>CÔNG TY TNHH TÂN MỸ HẠNH</t>
        </is>
      </c>
      <c r="I1912" s="17" t="inlineStr">
        <is>
          <t>Xà gồ kẽm Z</t>
        </is>
      </c>
      <c r="J1912" s="17" t="inlineStr">
        <is>
          <t>kg</t>
        </is>
      </c>
      <c r="K1912" s="21" t="n">
        <v>16680</v>
      </c>
      <c r="L1912" s="21" t="n"/>
      <c r="M1912" s="22" t="n"/>
      <c r="N1912" s="22" t="n">
        <v>32000</v>
      </c>
      <c r="O1912" s="22" t="n">
        <v>533760000</v>
      </c>
      <c r="P1912" s="22" t="n">
        <v>32000</v>
      </c>
      <c r="Q1912" s="22" t="n">
        <v>533760000</v>
      </c>
      <c r="R1912" s="42">
        <f>+L1912+N1912-P1912</f>
        <v/>
      </c>
      <c r="S1912" s="42">
        <f>+M1912+O1912-Q1912</f>
        <v/>
      </c>
    </row>
    <row r="1913" ht="15" customHeight="1">
      <c r="A1913" s="16" t="n">
        <v>45814</v>
      </c>
      <c r="B1913" s="17" t="inlineStr">
        <is>
          <t>MH2506-20</t>
        </is>
      </c>
      <c r="C1913" s="16" t="n">
        <v>45814</v>
      </c>
      <c r="D1913" s="17" t="inlineStr">
        <is>
          <t>00001909</t>
        </is>
      </c>
      <c r="E1913" s="16" t="n">
        <v>45814</v>
      </c>
      <c r="F1913" s="16" t="inlineStr">
        <is>
          <t>XK2506-12</t>
        </is>
      </c>
      <c r="G1913" s="16" t="n">
        <v>45814</v>
      </c>
      <c r="H1913" s="17" t="inlineStr">
        <is>
          <t>CÔNG TY TNHH TÂN MỸ HẠNH</t>
        </is>
      </c>
      <c r="I1913" s="17" t="inlineStr">
        <is>
          <t>Thép hộp mạ kẽm</t>
        </is>
      </c>
      <c r="J1913" s="17" t="inlineStr">
        <is>
          <t>kg</t>
        </is>
      </c>
      <c r="K1913" s="21" t="n">
        <v>16500</v>
      </c>
      <c r="L1913" s="21" t="n"/>
      <c r="M1913" s="22" t="n"/>
      <c r="N1913" s="22" t="n">
        <v>23672.93</v>
      </c>
      <c r="O1913" s="22" t="n">
        <v>390603345</v>
      </c>
      <c r="P1913" s="22" t="n">
        <v>23672.93</v>
      </c>
      <c r="Q1913" s="22" t="n">
        <v>390603345</v>
      </c>
      <c r="R1913" s="42">
        <f>+L1913+N1913-P1913</f>
        <v/>
      </c>
      <c r="S1913" s="42">
        <f>+M1913+O1913-Q1913</f>
        <v/>
      </c>
    </row>
    <row r="1914" ht="30" customHeight="1">
      <c r="A1914" s="16" t="n">
        <v>45814</v>
      </c>
      <c r="B1914" s="17" t="inlineStr">
        <is>
          <t>MH2506-21</t>
        </is>
      </c>
      <c r="C1914" s="16" t="n">
        <v>45814</v>
      </c>
      <c r="D1914" s="17" t="inlineStr">
        <is>
          <t>00002125</t>
        </is>
      </c>
      <c r="E1914" s="16" t="n">
        <v>45814</v>
      </c>
      <c r="F1914" s="16" t="inlineStr">
        <is>
          <t>XK2506-13</t>
        </is>
      </c>
      <c r="G1914" s="16" t="n">
        <v>45814</v>
      </c>
      <c r="H1914" s="17" t="inlineStr">
        <is>
          <t>CÔNG TY CỔ PHẦN CÔNG NGHIỆP VÀ THƯƠNG MẠI CƯỜNG THỊNH</t>
        </is>
      </c>
      <c r="I1914" s="17" t="inlineStr">
        <is>
          <t>Ty giằng 2 đầu ren 4.6 Ф11.3-11.5mm ZP M12</t>
        </is>
      </c>
      <c r="J1914" s="17" t="inlineStr">
        <is>
          <t>Mét</t>
        </is>
      </c>
      <c r="K1914" s="21" t="n">
        <v>20500</v>
      </c>
      <c r="L1914" s="21" t="n"/>
      <c r="M1914" s="22" t="n"/>
      <c r="N1914" s="22" t="n">
        <v>26</v>
      </c>
      <c r="O1914" s="22" t="n">
        <v>533000</v>
      </c>
      <c r="P1914" s="22" t="n">
        <v>26</v>
      </c>
      <c r="Q1914" s="22" t="n">
        <v>533000</v>
      </c>
      <c r="R1914" s="42">
        <f>+L1914+N1914-P1914</f>
        <v/>
      </c>
      <c r="S1914" s="42">
        <f>+M1914+O1914-Q1914</f>
        <v/>
      </c>
    </row>
    <row r="1915" ht="30" customHeight="1">
      <c r="A1915" s="16" t="n">
        <v>45814</v>
      </c>
      <c r="B1915" s="17" t="inlineStr">
        <is>
          <t>MH2506-21</t>
        </is>
      </c>
      <c r="C1915" s="16" t="n">
        <v>45814</v>
      </c>
      <c r="D1915" s="17" t="inlineStr">
        <is>
          <t>00002125</t>
        </is>
      </c>
      <c r="E1915" s="16" t="n">
        <v>45814</v>
      </c>
      <c r="F1915" s="16" t="inlineStr">
        <is>
          <t>XK2506-13</t>
        </is>
      </c>
      <c r="G1915" s="16" t="n">
        <v>45814</v>
      </c>
      <c r="H1915" s="17" t="inlineStr">
        <is>
          <t>CÔNG TY CỔ PHẦN CÔNG NGHIỆP VÀ THƯƠNG MẠI CƯỜNG THỊNH</t>
        </is>
      </c>
      <c r="I1915" s="17" t="inlineStr">
        <is>
          <t>Đai ốc thường 4 ZP M12 (9mm)</t>
        </is>
      </c>
      <c r="J1915" s="17" t="inlineStr">
        <is>
          <t>Cái</t>
        </is>
      </c>
      <c r="K1915" s="21" t="n">
        <v>360</v>
      </c>
      <c r="L1915" s="21" t="n"/>
      <c r="M1915" s="22" t="n"/>
      <c r="N1915" s="22" t="n">
        <v>40</v>
      </c>
      <c r="O1915" s="22" t="n">
        <v>14400</v>
      </c>
      <c r="P1915" s="22" t="n">
        <v>40</v>
      </c>
      <c r="Q1915" s="22" t="n">
        <v>14400</v>
      </c>
      <c r="R1915" s="42">
        <f>+L1915+N1915-P1915</f>
        <v/>
      </c>
      <c r="S1915" s="42">
        <f>+M1915+O1915-Q1915</f>
        <v/>
      </c>
    </row>
    <row r="1916" ht="30" customHeight="1">
      <c r="A1916" s="16" t="n">
        <v>45814</v>
      </c>
      <c r="B1916" s="17" t="inlineStr">
        <is>
          <t>MH2506-21</t>
        </is>
      </c>
      <c r="C1916" s="16" t="n">
        <v>45814</v>
      </c>
      <c r="D1916" s="17" t="inlineStr">
        <is>
          <t>00002125</t>
        </is>
      </c>
      <c r="E1916" s="16" t="n">
        <v>45814</v>
      </c>
      <c r="F1916" s="16" t="inlineStr">
        <is>
          <t>XK2506-13</t>
        </is>
      </c>
      <c r="G1916" s="16" t="n">
        <v>45814</v>
      </c>
      <c r="H1916" s="17" t="inlineStr">
        <is>
          <t>CÔNG TY CỔ PHẦN CÔNG NGHIỆP VÀ THƯƠNG MẠI CƯỜNG THỊNH</t>
        </is>
      </c>
      <c r="I1916" s="17" t="inlineStr">
        <is>
          <t>Long đền thường ZP M12B26D1.5</t>
        </is>
      </c>
      <c r="J1916" s="17" t="inlineStr">
        <is>
          <t>Cái</t>
        </is>
      </c>
      <c r="K1916" s="21" t="n">
        <v>190</v>
      </c>
      <c r="L1916" s="21" t="n"/>
      <c r="M1916" s="22" t="n"/>
      <c r="N1916" s="22" t="n">
        <v>40</v>
      </c>
      <c r="O1916" s="22" t="n">
        <v>7600</v>
      </c>
      <c r="P1916" s="22" t="n">
        <v>40</v>
      </c>
      <c r="Q1916" s="22" t="n">
        <v>7600</v>
      </c>
      <c r="R1916" s="42">
        <f>+L1916+N1916-P1916</f>
        <v/>
      </c>
      <c r="S1916" s="42">
        <f>+M1916+O1916-Q1916</f>
        <v/>
      </c>
    </row>
    <row r="1917" ht="30" customHeight="1">
      <c r="A1917" s="16" t="n">
        <v>45814</v>
      </c>
      <c r="B1917" s="17" t="inlineStr">
        <is>
          <t>MH2506-21</t>
        </is>
      </c>
      <c r="C1917" s="16" t="n">
        <v>45814</v>
      </c>
      <c r="D1917" s="17" t="inlineStr">
        <is>
          <t>00002125</t>
        </is>
      </c>
      <c r="E1917" s="16" t="n">
        <v>45814</v>
      </c>
      <c r="F1917" s="16" t="inlineStr">
        <is>
          <t>XK2506-13</t>
        </is>
      </c>
      <c r="G1917" s="16" t="n">
        <v>45814</v>
      </c>
      <c r="H1917" s="17" t="inlineStr">
        <is>
          <t>CÔNG TY CỔ PHẦN CÔNG NGHIỆP VÀ THƯƠNG MẠI CƯỜNG THỊNH</t>
        </is>
      </c>
      <c r="I1917" s="17" t="inlineStr">
        <is>
          <t>Dịch vụ vận chuyển</t>
        </is>
      </c>
      <c r="J1917" s="17" t="inlineStr">
        <is>
          <t>Cái</t>
        </is>
      </c>
      <c r="K1917" s="21" t="n">
        <v>500000</v>
      </c>
      <c r="L1917" s="21" t="n"/>
      <c r="M1917" s="22" t="n"/>
      <c r="N1917" s="22" t="n">
        <v>1</v>
      </c>
      <c r="O1917" s="22" t="n">
        <v>500000</v>
      </c>
      <c r="P1917" s="22" t="n">
        <v>1</v>
      </c>
      <c r="Q1917" s="22" t="n">
        <v>500000</v>
      </c>
      <c r="R1917" s="42">
        <f>+L1917+N1917-P1917</f>
        <v/>
      </c>
      <c r="S1917" s="42">
        <f>+M1917+O1917-Q1917</f>
        <v/>
      </c>
    </row>
    <row r="1918" ht="30" customHeight="1">
      <c r="A1918" s="16" t="n">
        <v>45814</v>
      </c>
      <c r="B1918" s="17" t="inlineStr">
        <is>
          <t>MH2506-22</t>
        </is>
      </c>
      <c r="C1918" s="16" t="n">
        <v>45814</v>
      </c>
      <c r="D1918" s="17" t="inlineStr">
        <is>
          <t>00002105</t>
        </is>
      </c>
      <c r="E1918" s="16" t="n">
        <v>45814</v>
      </c>
      <c r="F1918" s="16" t="inlineStr">
        <is>
          <t>XK2506-13</t>
        </is>
      </c>
      <c r="G1918" s="16" t="n">
        <v>45814</v>
      </c>
      <c r="H1918" s="17" t="inlineStr">
        <is>
          <t>CÔNG TY CỔ PHẦN CÔNG NGHIỆP VÀ THƯƠNG MẠI CƯỜNG THỊNH</t>
        </is>
      </c>
      <c r="I1918" s="17" t="inlineStr">
        <is>
          <t>Bulong Din 933 8.8 ZP M20x60</t>
        </is>
      </c>
      <c r="J1918" s="17" t="inlineStr">
        <is>
          <t>Cái</t>
        </is>
      </c>
      <c r="K1918" s="21" t="n">
        <v>6440</v>
      </c>
      <c r="L1918" s="21" t="n"/>
      <c r="M1918" s="22" t="n"/>
      <c r="N1918" s="22" t="n">
        <v>179</v>
      </c>
      <c r="O1918" s="22" t="n">
        <v>1152760</v>
      </c>
      <c r="P1918" s="22" t="n">
        <v>179</v>
      </c>
      <c r="Q1918" s="22" t="n">
        <v>1152760</v>
      </c>
      <c r="R1918" s="42">
        <f>+L1918+N1918-P1918</f>
        <v/>
      </c>
      <c r="S1918" s="42">
        <f>+M1918+O1918-Q1918</f>
        <v/>
      </c>
    </row>
    <row r="1919" ht="30" customHeight="1">
      <c r="A1919" s="16" t="n">
        <v>45814</v>
      </c>
      <c r="B1919" s="17" t="inlineStr">
        <is>
          <t>MH2506-22</t>
        </is>
      </c>
      <c r="C1919" s="16" t="n">
        <v>45814</v>
      </c>
      <c r="D1919" s="17" t="inlineStr">
        <is>
          <t>00002105</t>
        </is>
      </c>
      <c r="E1919" s="16" t="n">
        <v>45814</v>
      </c>
      <c r="F1919" s="16" t="inlineStr">
        <is>
          <t>XK2506-13</t>
        </is>
      </c>
      <c r="G1919" s="16" t="n">
        <v>45814</v>
      </c>
      <c r="H1919" s="17" t="inlineStr">
        <is>
          <t>CÔNG TY CỔ PHẦN CÔNG NGHIỆP VÀ THƯƠNG MẠI CƯỜNG THỊNH</t>
        </is>
      </c>
      <c r="I1919" s="17" t="inlineStr">
        <is>
          <t>Đai ốc Din 934 8 ZP M20</t>
        </is>
      </c>
      <c r="J1919" s="17" t="inlineStr">
        <is>
          <t>Cái</t>
        </is>
      </c>
      <c r="K1919" s="21" t="n">
        <v>2030</v>
      </c>
      <c r="L1919" s="21" t="n"/>
      <c r="M1919" s="22" t="n"/>
      <c r="N1919" s="22" t="n">
        <v>179</v>
      </c>
      <c r="O1919" s="22" t="n">
        <v>363370</v>
      </c>
      <c r="P1919" s="22" t="n">
        <v>179</v>
      </c>
      <c r="Q1919" s="22" t="n">
        <v>363370</v>
      </c>
      <c r="R1919" s="42">
        <f>+L1919+N1919-P1919</f>
        <v/>
      </c>
      <c r="S1919" s="42">
        <f>+M1919+O1919-Q1919</f>
        <v/>
      </c>
    </row>
    <row r="1920" ht="30" customHeight="1">
      <c r="A1920" s="16" t="n">
        <v>45814</v>
      </c>
      <c r="B1920" s="17" t="inlineStr">
        <is>
          <t>MH2506-22</t>
        </is>
      </c>
      <c r="C1920" s="16" t="n">
        <v>45814</v>
      </c>
      <c r="D1920" s="17" t="inlineStr">
        <is>
          <t>00002105</t>
        </is>
      </c>
      <c r="E1920" s="16" t="n">
        <v>45814</v>
      </c>
      <c r="F1920" s="16" t="inlineStr">
        <is>
          <t>XK2506-13</t>
        </is>
      </c>
      <c r="G1920" s="16" t="n">
        <v>45814</v>
      </c>
      <c r="H1920" s="17" t="inlineStr">
        <is>
          <t>CÔNG TY CỔ PHẦN CÔNG NGHIỆP VÀ THƯƠNG MẠI CƯỜNG THỊNH</t>
        </is>
      </c>
      <c r="I1920" s="17" t="inlineStr">
        <is>
          <t>Long đền thường ZP M20B35D2</t>
        </is>
      </c>
      <c r="J1920" s="17" t="inlineStr">
        <is>
          <t>Cái</t>
        </is>
      </c>
      <c r="K1920" s="21" t="n">
        <v>380</v>
      </c>
      <c r="L1920" s="21" t="n"/>
      <c r="M1920" s="22" t="n"/>
      <c r="N1920" s="22" t="n">
        <v>179</v>
      </c>
      <c r="O1920" s="22" t="n">
        <v>68020</v>
      </c>
      <c r="P1920" s="22" t="n">
        <v>179</v>
      </c>
      <c r="Q1920" s="22" t="n">
        <v>68020</v>
      </c>
      <c r="R1920" s="42">
        <f>+L1920+N1920-P1920</f>
        <v/>
      </c>
      <c r="S1920" s="42">
        <f>+M1920+O1920-Q1920</f>
        <v/>
      </c>
    </row>
    <row r="1921" ht="30" customHeight="1">
      <c r="A1921" s="16" t="n">
        <v>45814</v>
      </c>
      <c r="B1921" s="17" t="inlineStr">
        <is>
          <t>MH2506-22</t>
        </is>
      </c>
      <c r="C1921" s="16" t="n">
        <v>45814</v>
      </c>
      <c r="D1921" s="17" t="inlineStr">
        <is>
          <t>00002105</t>
        </is>
      </c>
      <c r="E1921" s="16" t="n">
        <v>45814</v>
      </c>
      <c r="F1921" s="16" t="inlineStr">
        <is>
          <t>XK2506-13</t>
        </is>
      </c>
      <c r="G1921" s="16" t="n">
        <v>45814</v>
      </c>
      <c r="H1921" s="17" t="inlineStr">
        <is>
          <t>CÔNG TY CỔ PHẦN CÔNG NGHIỆP VÀ THƯƠNG MẠI CƯỜNG THỊNH</t>
        </is>
      </c>
      <c r="I1921" s="17" t="inlineStr">
        <is>
          <t>Bulong Din 933 8.8 ZP M20x80</t>
        </is>
      </c>
      <c r="J1921" s="17" t="inlineStr">
        <is>
          <t>Cái</t>
        </is>
      </c>
      <c r="K1921" s="21" t="n">
        <v>7730</v>
      </c>
      <c r="L1921" s="21" t="n"/>
      <c r="M1921" s="22" t="n"/>
      <c r="N1921" s="22" t="n">
        <v>37</v>
      </c>
      <c r="O1921" s="22" t="n">
        <v>286010</v>
      </c>
      <c r="P1921" s="22" t="n">
        <v>37</v>
      </c>
      <c r="Q1921" s="22" t="n">
        <v>286010</v>
      </c>
      <c r="R1921" s="42">
        <f>+L1921+N1921-P1921</f>
        <v/>
      </c>
      <c r="S1921" s="42">
        <f>+M1921+O1921-Q1921</f>
        <v/>
      </c>
    </row>
    <row r="1922" ht="30" customHeight="1">
      <c r="A1922" s="16" t="n">
        <v>45814</v>
      </c>
      <c r="B1922" s="17" t="inlineStr">
        <is>
          <t>MH2506-22</t>
        </is>
      </c>
      <c r="C1922" s="16" t="n">
        <v>45814</v>
      </c>
      <c r="D1922" s="17" t="inlineStr">
        <is>
          <t>00002105</t>
        </is>
      </c>
      <c r="E1922" s="16" t="n">
        <v>45814</v>
      </c>
      <c r="F1922" s="16" t="inlineStr">
        <is>
          <t>XK2506-13</t>
        </is>
      </c>
      <c r="G1922" s="16" t="n">
        <v>45814</v>
      </c>
      <c r="H1922" s="17" t="inlineStr">
        <is>
          <t>CÔNG TY CỔ PHẦN CÔNG NGHIỆP VÀ THƯƠNG MẠI CƯỜNG THỊNH</t>
        </is>
      </c>
      <c r="I1922" s="17" t="inlineStr">
        <is>
          <t>Đai ốc Din 934 8 ZP M20</t>
        </is>
      </c>
      <c r="J1922" s="17" t="inlineStr">
        <is>
          <t>Cái</t>
        </is>
      </c>
      <c r="K1922" s="21" t="n">
        <v>2030</v>
      </c>
      <c r="L1922" s="21" t="n"/>
      <c r="M1922" s="22" t="n"/>
      <c r="N1922" s="22" t="n">
        <v>37</v>
      </c>
      <c r="O1922" s="22" t="n">
        <v>75110</v>
      </c>
      <c r="P1922" s="22" t="n">
        <v>37</v>
      </c>
      <c r="Q1922" s="22" t="n">
        <v>75110</v>
      </c>
      <c r="R1922" s="42">
        <f>+L1922+N1922-P1922</f>
        <v/>
      </c>
      <c r="S1922" s="42">
        <f>+M1922+O1922-Q1922</f>
        <v/>
      </c>
    </row>
    <row r="1923" ht="30" customHeight="1">
      <c r="A1923" s="16" t="n">
        <v>45814</v>
      </c>
      <c r="B1923" s="17" t="inlineStr">
        <is>
          <t>MH2506-22</t>
        </is>
      </c>
      <c r="C1923" s="16" t="n">
        <v>45814</v>
      </c>
      <c r="D1923" s="17" t="inlineStr">
        <is>
          <t>00002105</t>
        </is>
      </c>
      <c r="E1923" s="16" t="n">
        <v>45814</v>
      </c>
      <c r="F1923" s="16" t="inlineStr">
        <is>
          <t>XK2506-13</t>
        </is>
      </c>
      <c r="G1923" s="16" t="n">
        <v>45814</v>
      </c>
      <c r="H1923" s="17" t="inlineStr">
        <is>
          <t>CÔNG TY CỔ PHẦN CÔNG NGHIỆP VÀ THƯƠNG MẠI CƯỜNG THỊNH</t>
        </is>
      </c>
      <c r="I1923" s="17" t="inlineStr">
        <is>
          <t>Long đền thường ZP M20B35D2</t>
        </is>
      </c>
      <c r="J1923" s="17" t="inlineStr">
        <is>
          <t>Cái</t>
        </is>
      </c>
      <c r="K1923" s="21" t="n">
        <v>350</v>
      </c>
      <c r="L1923" s="21" t="n"/>
      <c r="M1923" s="22" t="n"/>
      <c r="N1923" s="22" t="n">
        <v>37</v>
      </c>
      <c r="O1923" s="22" t="n">
        <v>12950</v>
      </c>
      <c r="P1923" s="22" t="n">
        <v>37</v>
      </c>
      <c r="Q1923" s="22" t="n">
        <v>12950</v>
      </c>
      <c r="R1923" s="42">
        <f>+L1923+N1923-P1923</f>
        <v/>
      </c>
      <c r="S1923" s="42">
        <f>+M1923+O1923-Q1923</f>
        <v/>
      </c>
    </row>
    <row r="1924" ht="30" customHeight="1">
      <c r="A1924" s="16" t="n">
        <v>45814</v>
      </c>
      <c r="B1924" s="17" t="inlineStr">
        <is>
          <t>MH2506-22</t>
        </is>
      </c>
      <c r="C1924" s="16" t="n">
        <v>45814</v>
      </c>
      <c r="D1924" s="17" t="inlineStr">
        <is>
          <t>00002105</t>
        </is>
      </c>
      <c r="E1924" s="16" t="n">
        <v>45814</v>
      </c>
      <c r="F1924" s="16" t="inlineStr">
        <is>
          <t>XK2506-13</t>
        </is>
      </c>
      <c r="G1924" s="16" t="n">
        <v>45814</v>
      </c>
      <c r="H1924" s="17" t="inlineStr">
        <is>
          <t>CÔNG TY CỔ PHẦN CÔNG NGHIỆP VÀ THƯƠNG MẠI CƯỜNG THỊNH</t>
        </is>
      </c>
      <c r="I1924" s="17" t="inlineStr">
        <is>
          <t>Dịch vụ vận chuyển</t>
        </is>
      </c>
      <c r="J1924" s="17" t="inlineStr">
        <is>
          <t>Cái</t>
        </is>
      </c>
      <c r="K1924" s="21" t="n">
        <v>700000</v>
      </c>
      <c r="L1924" s="21" t="n"/>
      <c r="M1924" s="22" t="n"/>
      <c r="N1924" s="22" t="n">
        <v>1</v>
      </c>
      <c r="O1924" s="22" t="n">
        <v>700000</v>
      </c>
      <c r="P1924" s="22" t="n">
        <v>1</v>
      </c>
      <c r="Q1924" s="22" t="n">
        <v>700000</v>
      </c>
      <c r="R1924" s="42">
        <f>+L1924+N1924-P1924</f>
        <v/>
      </c>
      <c r="S1924" s="42">
        <f>+M1924+O1924-Q1924</f>
        <v/>
      </c>
    </row>
    <row r="1925" ht="30" customHeight="1">
      <c r="A1925" s="16" t="n">
        <v>45814</v>
      </c>
      <c r="B1925" s="17" t="inlineStr">
        <is>
          <t>MH2506-23</t>
        </is>
      </c>
      <c r="C1925" s="16" t="n">
        <v>45814</v>
      </c>
      <c r="D1925" s="17" t="inlineStr">
        <is>
          <t>00002104</t>
        </is>
      </c>
      <c r="E1925" s="16" t="n">
        <v>45814</v>
      </c>
      <c r="F1925" s="16" t="inlineStr">
        <is>
          <t>XK2506-13</t>
        </is>
      </c>
      <c r="G1925" s="16" t="n">
        <v>45814</v>
      </c>
      <c r="H1925" s="17" t="inlineStr">
        <is>
          <t>CÔNG TY CỔ PHẦN CÔNG NGHIỆP VÀ THƯƠNG MẠI CƯỜNG THỊNH</t>
        </is>
      </c>
      <c r="I1925" s="17" t="inlineStr">
        <is>
          <t>Ty giằng 2 đầu ren 4.6 Ф11.3-11.5mm ZP M12</t>
        </is>
      </c>
      <c r="J1925" s="17" t="inlineStr">
        <is>
          <t>Mét</t>
        </is>
      </c>
      <c r="K1925" s="21" t="n">
        <v>23000</v>
      </c>
      <c r="L1925" s="21" t="n"/>
      <c r="M1925" s="22" t="n"/>
      <c r="N1925" s="22" t="n">
        <v>101.79</v>
      </c>
      <c r="O1925" s="22" t="n">
        <v>2341170</v>
      </c>
      <c r="P1925" s="22" t="n">
        <v>101.79</v>
      </c>
      <c r="Q1925" s="22" t="n">
        <v>2341170</v>
      </c>
      <c r="R1925" s="42">
        <f>+L1925+N1925-P1925</f>
        <v/>
      </c>
      <c r="S1925" s="42">
        <f>+M1925+O1925-Q1925</f>
        <v/>
      </c>
    </row>
    <row r="1926" ht="30" customHeight="1">
      <c r="A1926" s="16" t="n">
        <v>45814</v>
      </c>
      <c r="B1926" s="17" t="inlineStr">
        <is>
          <t>MH2506-23</t>
        </is>
      </c>
      <c r="C1926" s="16" t="n">
        <v>45814</v>
      </c>
      <c r="D1926" s="17" t="inlineStr">
        <is>
          <t>00002104</t>
        </is>
      </c>
      <c r="E1926" s="16" t="n">
        <v>45814</v>
      </c>
      <c r="F1926" s="16" t="inlineStr">
        <is>
          <t>XK2506-13</t>
        </is>
      </c>
      <c r="G1926" s="16" t="n">
        <v>45814</v>
      </c>
      <c r="H1926" s="17" t="inlineStr">
        <is>
          <t>CÔNG TY CỔ PHẦN CÔNG NGHIỆP VÀ THƯƠNG MẠI CƯỜNG THỊNH</t>
        </is>
      </c>
      <c r="I1926" s="17" t="inlineStr">
        <is>
          <t>Ty giằng 2 đầu ren 4.6 Ф11.3-11.5mm ZP M12</t>
        </is>
      </c>
      <c r="J1926" s="17" t="inlineStr">
        <is>
          <t>Mét</t>
        </is>
      </c>
      <c r="K1926" s="21" t="n">
        <v>20500</v>
      </c>
      <c r="L1926" s="21" t="n"/>
      <c r="M1926" s="22" t="n"/>
      <c r="N1926" s="22" t="n">
        <v>685.37</v>
      </c>
      <c r="O1926" s="22" t="n">
        <v>14050085</v>
      </c>
      <c r="P1926" s="22" t="n">
        <v>685.37</v>
      </c>
      <c r="Q1926" s="22" t="n">
        <v>14050085</v>
      </c>
      <c r="R1926" s="42">
        <f>+L1926+N1926-P1926</f>
        <v/>
      </c>
      <c r="S1926" s="42">
        <f>+M1926+O1926-Q1926</f>
        <v/>
      </c>
    </row>
    <row r="1927" ht="30" customHeight="1">
      <c r="A1927" s="16" t="n">
        <v>45814</v>
      </c>
      <c r="B1927" s="17" t="inlineStr">
        <is>
          <t>MH2506-23</t>
        </is>
      </c>
      <c r="C1927" s="16" t="n">
        <v>45814</v>
      </c>
      <c r="D1927" s="17" t="inlineStr">
        <is>
          <t>00002104</t>
        </is>
      </c>
      <c r="E1927" s="16" t="n">
        <v>45814</v>
      </c>
      <c r="F1927" s="16" t="inlineStr">
        <is>
          <t>XK2506-13</t>
        </is>
      </c>
      <c r="G1927" s="16" t="n">
        <v>45814</v>
      </c>
      <c r="H1927" s="17" t="inlineStr">
        <is>
          <t>CÔNG TY CỔ PHẦN CÔNG NGHIỆP VÀ THƯƠNG MẠI CƯỜNG THỊNH</t>
        </is>
      </c>
      <c r="I1927" s="17" t="inlineStr">
        <is>
          <t>Đai ốc thường 4 ZP M12 (9mm)</t>
        </is>
      </c>
      <c r="J1927" s="17" t="inlineStr">
        <is>
          <t>Cái</t>
        </is>
      </c>
      <c r="K1927" s="21" t="n">
        <v>360</v>
      </c>
      <c r="L1927" s="21" t="n"/>
      <c r="M1927" s="22" t="n"/>
      <c r="N1927" s="22" t="n">
        <v>2968</v>
      </c>
      <c r="O1927" s="22" t="n">
        <v>1068480</v>
      </c>
      <c r="P1927" s="22" t="n">
        <v>2968</v>
      </c>
      <c r="Q1927" s="22" t="n">
        <v>1068480</v>
      </c>
      <c r="R1927" s="42">
        <f>+L1927+N1927-P1927</f>
        <v/>
      </c>
      <c r="S1927" s="42">
        <f>+M1927+O1927-Q1927</f>
        <v/>
      </c>
    </row>
    <row r="1928" ht="30" customHeight="1">
      <c r="A1928" s="16" t="n">
        <v>45814</v>
      </c>
      <c r="B1928" s="17" t="inlineStr">
        <is>
          <t>MH2506-23</t>
        </is>
      </c>
      <c r="C1928" s="16" t="n">
        <v>45814</v>
      </c>
      <c r="D1928" s="17" t="inlineStr">
        <is>
          <t>00002104</t>
        </is>
      </c>
      <c r="E1928" s="16" t="n">
        <v>45814</v>
      </c>
      <c r="F1928" s="16" t="inlineStr">
        <is>
          <t>XK2506-13</t>
        </is>
      </c>
      <c r="G1928" s="16" t="n">
        <v>45814</v>
      </c>
      <c r="H1928" s="17" t="inlineStr">
        <is>
          <t>CÔNG TY CỔ PHẦN CÔNG NGHIỆP VÀ THƯƠNG MẠI CƯỜNG THỊNH</t>
        </is>
      </c>
      <c r="I1928" s="17" t="inlineStr">
        <is>
          <t>Long đền thường ZP M12B26D1.5</t>
        </is>
      </c>
      <c r="J1928" s="17" t="inlineStr">
        <is>
          <t>Cái</t>
        </is>
      </c>
      <c r="K1928" s="21" t="n">
        <v>190</v>
      </c>
      <c r="L1928" s="21" t="n"/>
      <c r="M1928" s="22" t="n"/>
      <c r="N1928" s="22" t="n">
        <v>2968</v>
      </c>
      <c r="O1928" s="22" t="n">
        <v>563920</v>
      </c>
      <c r="P1928" s="22" t="n">
        <v>2968</v>
      </c>
      <c r="Q1928" s="22" t="n">
        <v>563920</v>
      </c>
      <c r="R1928" s="42">
        <f>+L1928+N1928-P1928</f>
        <v/>
      </c>
      <c r="S1928" s="42">
        <f>+M1928+O1928-Q1928</f>
        <v/>
      </c>
    </row>
    <row r="1929" ht="30" customHeight="1">
      <c r="A1929" s="16" t="n">
        <v>45814</v>
      </c>
      <c r="B1929" s="17" t="inlineStr">
        <is>
          <t>MH2506-24</t>
        </is>
      </c>
      <c r="C1929" s="16" t="n">
        <v>45814</v>
      </c>
      <c r="D1929" s="17" t="inlineStr">
        <is>
          <t>1130</t>
        </is>
      </c>
      <c r="E1929" s="16" t="n">
        <v>45814</v>
      </c>
      <c r="F1929" s="16" t="inlineStr">
        <is>
          <t>XK2506-14</t>
        </is>
      </c>
      <c r="G1929" s="16" t="n">
        <v>45814</v>
      </c>
      <c r="H1929" s="17" t="inlineStr">
        <is>
          <t>CÔNG TY TNHH KỸ THUẬT VÀ THƯƠNG MẠI B.F.C</t>
        </is>
      </c>
      <c r="I1929" s="17" t="inlineStr">
        <is>
          <t>Tắc kê M10x50</t>
        </is>
      </c>
      <c r="J1929" s="17" t="inlineStr">
        <is>
          <t>Cái</t>
        </is>
      </c>
      <c r="K1929" s="21" t="n">
        <v>498</v>
      </c>
      <c r="L1929" s="21" t="n"/>
      <c r="M1929" s="22" t="n"/>
      <c r="N1929" s="22" t="n">
        <v>480</v>
      </c>
      <c r="O1929" s="22" t="n">
        <v>239040</v>
      </c>
      <c r="P1929" s="22" t="n">
        <v>480</v>
      </c>
      <c r="Q1929" s="22" t="n">
        <v>239040</v>
      </c>
      <c r="R1929" s="42">
        <f>+L1929+N1929-P1929</f>
        <v/>
      </c>
      <c r="S1929" s="42">
        <f>+M1929+O1929-Q1929</f>
        <v/>
      </c>
    </row>
    <row r="1930" ht="15" customHeight="1">
      <c r="A1930" s="16" t="n">
        <v>45815</v>
      </c>
      <c r="B1930" s="17" t="inlineStr">
        <is>
          <t>MH2506-27</t>
        </is>
      </c>
      <c r="C1930" s="16" t="n">
        <v>45815</v>
      </c>
      <c r="D1930" s="17" t="inlineStr">
        <is>
          <t>00001925</t>
        </is>
      </c>
      <c r="E1930" s="16" t="n">
        <v>45815</v>
      </c>
      <c r="F1930" s="16" t="inlineStr">
        <is>
          <t>XK2506-15</t>
        </is>
      </c>
      <c r="G1930" s="16" t="n">
        <v>45815</v>
      </c>
      <c r="H1930" s="17" t="inlineStr">
        <is>
          <t>CÔNG TY TNHH TÂN MỸ HẠNH</t>
        </is>
      </c>
      <c r="I1930" s="17" t="inlineStr">
        <is>
          <t>Thép dày mạ kẽm</t>
        </is>
      </c>
      <c r="J1930" s="17" t="inlineStr">
        <is>
          <t>kg</t>
        </is>
      </c>
      <c r="K1930" s="21" t="n">
        <v>16000</v>
      </c>
      <c r="L1930" s="21" t="n"/>
      <c r="M1930" s="22" t="n"/>
      <c r="N1930" s="22" t="n">
        <v>19036</v>
      </c>
      <c r="O1930" s="22" t="n">
        <v>304576000</v>
      </c>
      <c r="P1930" s="22" t="n">
        <v>19036</v>
      </c>
      <c r="Q1930" s="22" t="n">
        <v>304576000</v>
      </c>
      <c r="R1930" s="42">
        <f>+L1930+N1930-P1930</f>
        <v/>
      </c>
      <c r="S1930" s="42">
        <f>+M1930+O1930-Q1930</f>
        <v/>
      </c>
    </row>
    <row r="1931" ht="15" customHeight="1">
      <c r="A1931" s="16" t="n">
        <v>45815</v>
      </c>
      <c r="B1931" s="17" t="inlineStr">
        <is>
          <t>MH2506-27</t>
        </is>
      </c>
      <c r="C1931" s="16" t="n">
        <v>45815</v>
      </c>
      <c r="D1931" s="17" t="inlineStr">
        <is>
          <t>00001925</t>
        </is>
      </c>
      <c r="E1931" s="16" t="n">
        <v>45815</v>
      </c>
      <c r="F1931" s="16" t="inlineStr">
        <is>
          <t>XK2506-15</t>
        </is>
      </c>
      <c r="G1931" s="16" t="n">
        <v>45815</v>
      </c>
      <c r="H1931" s="17" t="inlineStr">
        <is>
          <t>CÔNG TY TNHH TÂN MỸ HẠNH</t>
        </is>
      </c>
      <c r="I1931" s="17" t="inlineStr">
        <is>
          <t>Thép mạ nhôm kẽm</t>
        </is>
      </c>
      <c r="J1931" s="17" t="inlineStr">
        <is>
          <t>kg</t>
        </is>
      </c>
      <c r="K1931" s="21" t="n">
        <v>18920</v>
      </c>
      <c r="L1931" s="21" t="n"/>
      <c r="M1931" s="22" t="n"/>
      <c r="N1931" s="22" t="n">
        <v>95300</v>
      </c>
      <c r="O1931" s="22" t="n">
        <v>1803076000</v>
      </c>
      <c r="P1931" s="22" t="n">
        <v>95300</v>
      </c>
      <c r="Q1931" s="22" t="n">
        <v>1803076000</v>
      </c>
      <c r="R1931" s="42">
        <f>+L1931+N1931-P1931</f>
        <v/>
      </c>
      <c r="S1931" s="42">
        <f>+M1931+O1931-Q1931</f>
        <v/>
      </c>
    </row>
    <row r="1932" ht="30" customHeight="1">
      <c r="A1932" s="16" t="n">
        <v>45815</v>
      </c>
      <c r="B1932" s="17" t="inlineStr">
        <is>
          <t>MH2506-28</t>
        </is>
      </c>
      <c r="C1932" s="16" t="n">
        <v>45815</v>
      </c>
      <c r="D1932" s="17" t="inlineStr">
        <is>
          <t>00002141</t>
        </is>
      </c>
      <c r="E1932" s="16" t="n">
        <v>45815</v>
      </c>
      <c r="F1932" s="16" t="inlineStr">
        <is>
          <t>XK2506-16</t>
        </is>
      </c>
      <c r="G1932" s="16" t="n">
        <v>45815</v>
      </c>
      <c r="H1932" s="17" t="inlineStr">
        <is>
          <t>CÔNG TY CỔ PHẦN CÔNG NGHIỆP VÀ THƯƠNG MẠI CƯỜNG THỊNH</t>
        </is>
      </c>
      <c r="I1932" s="17" t="inlineStr">
        <is>
          <t>Dịch vụ vận chuyển</t>
        </is>
      </c>
      <c r="J1932" s="17" t="inlineStr">
        <is>
          <t>Lần</t>
        </is>
      </c>
      <c r="K1932" s="21" t="n">
        <v>700000</v>
      </c>
      <c r="L1932" s="21" t="n"/>
      <c r="M1932" s="22" t="n"/>
      <c r="N1932" s="22" t="n">
        <v>1</v>
      </c>
      <c r="O1932" s="22" t="n">
        <v>700000</v>
      </c>
      <c r="P1932" s="22" t="n">
        <v>1</v>
      </c>
      <c r="Q1932" s="22" t="n">
        <v>700000</v>
      </c>
      <c r="R1932" s="42">
        <f>+L1932+N1932-P1932</f>
        <v/>
      </c>
      <c r="S1932" s="42">
        <f>+M1932+O1932-Q1932</f>
        <v/>
      </c>
    </row>
    <row r="1933" ht="30" customHeight="1">
      <c r="A1933" s="16" t="n">
        <v>45815</v>
      </c>
      <c r="B1933" s="17" t="inlineStr">
        <is>
          <t>MH2506-28</t>
        </is>
      </c>
      <c r="C1933" s="16" t="n">
        <v>45815</v>
      </c>
      <c r="D1933" s="17" t="inlineStr">
        <is>
          <t>00002141</t>
        </is>
      </c>
      <c r="E1933" s="16" t="n">
        <v>45815</v>
      </c>
      <c r="F1933" s="16" t="inlineStr">
        <is>
          <t>XK2506-16</t>
        </is>
      </c>
      <c r="G1933" s="16" t="n">
        <v>45815</v>
      </c>
      <c r="H1933" s="17" t="inlineStr">
        <is>
          <t>CÔNG TY CỔ PHẦN CÔNG NGHIỆP VÀ THƯƠNG MẠI CƯỜNG THỊNH</t>
        </is>
      </c>
      <c r="I1933" s="17" t="inlineStr">
        <is>
          <t>Bulong Din 933 8.8 ZP M20x50</t>
        </is>
      </c>
      <c r="J1933" s="17" t="inlineStr">
        <is>
          <t>Cái</t>
        </is>
      </c>
      <c r="K1933" s="21" t="n">
        <v>5760</v>
      </c>
      <c r="L1933" s="21" t="n"/>
      <c r="M1933" s="22" t="n"/>
      <c r="N1933" s="22" t="n">
        <v>311</v>
      </c>
      <c r="O1933" s="22" t="n">
        <v>1791360</v>
      </c>
      <c r="P1933" s="22" t="n">
        <v>311</v>
      </c>
      <c r="Q1933" s="22" t="n">
        <v>1791360</v>
      </c>
      <c r="R1933" s="42">
        <f>+L1933+N1933-P1933</f>
        <v/>
      </c>
      <c r="S1933" s="42">
        <f>+M1933+O1933-Q1933</f>
        <v/>
      </c>
    </row>
    <row r="1934" ht="30" customHeight="1">
      <c r="A1934" s="16" t="n">
        <v>45815</v>
      </c>
      <c r="B1934" s="17" t="inlineStr">
        <is>
          <t>MH2506-28</t>
        </is>
      </c>
      <c r="C1934" s="16" t="n">
        <v>45815</v>
      </c>
      <c r="D1934" s="17" t="inlineStr">
        <is>
          <t>00002141</t>
        </is>
      </c>
      <c r="E1934" s="16" t="n">
        <v>45815</v>
      </c>
      <c r="F1934" s="16" t="inlineStr">
        <is>
          <t>XK2506-16</t>
        </is>
      </c>
      <c r="G1934" s="16" t="n">
        <v>45815</v>
      </c>
      <c r="H1934" s="17" t="inlineStr">
        <is>
          <t>CÔNG TY CỔ PHẦN CÔNG NGHIỆP VÀ THƯƠNG MẠI CƯỜNG THỊNH</t>
        </is>
      </c>
      <c r="I1934" s="17" t="inlineStr">
        <is>
          <t>Đai ốc Din 934 8 ZP M20</t>
        </is>
      </c>
      <c r="J1934" s="17" t="inlineStr">
        <is>
          <t>Cái</t>
        </is>
      </c>
      <c r="K1934" s="21" t="n">
        <v>2030</v>
      </c>
      <c r="L1934" s="21" t="n"/>
      <c r="M1934" s="22" t="n"/>
      <c r="N1934" s="22" t="n">
        <v>311</v>
      </c>
      <c r="O1934" s="22" t="n">
        <v>631330</v>
      </c>
      <c r="P1934" s="22" t="n">
        <v>311</v>
      </c>
      <c r="Q1934" s="22" t="n">
        <v>631330</v>
      </c>
      <c r="R1934" s="42">
        <f>+L1934+N1934-P1934</f>
        <v/>
      </c>
      <c r="S1934" s="42">
        <f>+M1934+O1934-Q1934</f>
        <v/>
      </c>
    </row>
    <row r="1935" ht="30" customHeight="1">
      <c r="A1935" s="16" t="n">
        <v>45815</v>
      </c>
      <c r="B1935" s="17" t="inlineStr">
        <is>
          <t>MH2506-28</t>
        </is>
      </c>
      <c r="C1935" s="16" t="n">
        <v>45815</v>
      </c>
      <c r="D1935" s="17" t="inlineStr">
        <is>
          <t>00002141</t>
        </is>
      </c>
      <c r="E1935" s="16" t="n">
        <v>45815</v>
      </c>
      <c r="F1935" s="16" t="inlineStr">
        <is>
          <t>XK2506-16</t>
        </is>
      </c>
      <c r="G1935" s="16" t="n">
        <v>45815</v>
      </c>
      <c r="H1935" s="17" t="inlineStr">
        <is>
          <t>CÔNG TY CỔ PHẦN CÔNG NGHIỆP VÀ THƯƠNG MẠI CƯỜNG THỊNH</t>
        </is>
      </c>
      <c r="I1935" s="17" t="inlineStr">
        <is>
          <t>Long đền thường ZP M20B35D2</t>
        </is>
      </c>
      <c r="J1935" s="17" t="inlineStr">
        <is>
          <t>Cái</t>
        </is>
      </c>
      <c r="K1935" s="21" t="n">
        <v>350</v>
      </c>
      <c r="L1935" s="21" t="n"/>
      <c r="M1935" s="22" t="n"/>
      <c r="N1935" s="22" t="n">
        <v>311</v>
      </c>
      <c r="O1935" s="22" t="n">
        <v>108850</v>
      </c>
      <c r="P1935" s="22" t="n">
        <v>311</v>
      </c>
      <c r="Q1935" s="22" t="n">
        <v>108850</v>
      </c>
      <c r="R1935" s="42">
        <f>+L1935+N1935-P1935</f>
        <v/>
      </c>
      <c r="S1935" s="42">
        <f>+M1935+O1935-Q1935</f>
        <v/>
      </c>
    </row>
    <row r="1936" ht="30" customHeight="1">
      <c r="A1936" s="16" t="n">
        <v>45815</v>
      </c>
      <c r="B1936" s="17" t="inlineStr">
        <is>
          <t>MH2506-28</t>
        </is>
      </c>
      <c r="C1936" s="16" t="n">
        <v>45815</v>
      </c>
      <c r="D1936" s="17" t="inlineStr">
        <is>
          <t>00002141</t>
        </is>
      </c>
      <c r="E1936" s="16" t="n">
        <v>45815</v>
      </c>
      <c r="F1936" s="16" t="inlineStr">
        <is>
          <t>XK2506-16</t>
        </is>
      </c>
      <c r="G1936" s="16" t="n">
        <v>45815</v>
      </c>
      <c r="H1936" s="17" t="inlineStr">
        <is>
          <t>CÔNG TY CỔ PHẦN CÔNG NGHIỆP VÀ THƯƠNG MẠI CƯỜNG THỊNH</t>
        </is>
      </c>
      <c r="I1936" s="17" t="inlineStr">
        <is>
          <t>Bulong Din 933 8.8 ZP M20x100</t>
        </is>
      </c>
      <c r="J1936" s="17" t="inlineStr">
        <is>
          <t>Cái</t>
        </is>
      </c>
      <c r="K1936" s="21" t="n">
        <v>8940</v>
      </c>
      <c r="L1936" s="21" t="n"/>
      <c r="M1936" s="22" t="n"/>
      <c r="N1936" s="22" t="n">
        <v>1059</v>
      </c>
      <c r="O1936" s="22" t="n">
        <v>9467460</v>
      </c>
      <c r="P1936" s="22" t="n">
        <v>1059</v>
      </c>
      <c r="Q1936" s="22" t="n">
        <v>9467460</v>
      </c>
      <c r="R1936" s="42">
        <f>+L1936+N1936-P1936</f>
        <v/>
      </c>
      <c r="S1936" s="42">
        <f>+M1936+O1936-Q1936</f>
        <v/>
      </c>
    </row>
    <row r="1937" ht="30" customHeight="1">
      <c r="A1937" s="16" t="n">
        <v>45815</v>
      </c>
      <c r="B1937" s="17" t="inlineStr">
        <is>
          <t>MH2506-28</t>
        </is>
      </c>
      <c r="C1937" s="16" t="n">
        <v>45815</v>
      </c>
      <c r="D1937" s="17" t="inlineStr">
        <is>
          <t>00002141</t>
        </is>
      </c>
      <c r="E1937" s="16" t="n">
        <v>45815</v>
      </c>
      <c r="F1937" s="16" t="inlineStr">
        <is>
          <t>XK2506-16</t>
        </is>
      </c>
      <c r="G1937" s="16" t="n">
        <v>45815</v>
      </c>
      <c r="H1937" s="17" t="inlineStr">
        <is>
          <t>CÔNG TY CỔ PHẦN CÔNG NGHIỆP VÀ THƯƠNG MẠI CƯỜNG THỊNH</t>
        </is>
      </c>
      <c r="I1937" s="17" t="inlineStr">
        <is>
          <t>Đai ốc Din 934 8 ZP M20</t>
        </is>
      </c>
      <c r="J1937" s="17" t="inlineStr">
        <is>
          <t>Cái</t>
        </is>
      </c>
      <c r="K1937" s="21" t="n">
        <v>2030</v>
      </c>
      <c r="L1937" s="21" t="n"/>
      <c r="M1937" s="22" t="n"/>
      <c r="N1937" s="22" t="n">
        <v>1059</v>
      </c>
      <c r="O1937" s="22" t="n">
        <v>2149770</v>
      </c>
      <c r="P1937" s="22" t="n">
        <v>1059</v>
      </c>
      <c r="Q1937" s="22" t="n">
        <v>2149770</v>
      </c>
      <c r="R1937" s="42">
        <f>+L1937+N1937-P1937</f>
        <v/>
      </c>
      <c r="S1937" s="42">
        <f>+M1937+O1937-Q1937</f>
        <v/>
      </c>
    </row>
    <row r="1938" ht="30" customHeight="1">
      <c r="A1938" s="16" t="n">
        <v>45815</v>
      </c>
      <c r="B1938" s="17" t="inlineStr">
        <is>
          <t>MH2506-28</t>
        </is>
      </c>
      <c r="C1938" s="16" t="n">
        <v>45815</v>
      </c>
      <c r="D1938" s="17" t="inlineStr">
        <is>
          <t>00002141</t>
        </is>
      </c>
      <c r="E1938" s="16" t="n">
        <v>45815</v>
      </c>
      <c r="F1938" s="16" t="inlineStr">
        <is>
          <t>XK2506-16</t>
        </is>
      </c>
      <c r="G1938" s="16" t="n">
        <v>45815</v>
      </c>
      <c r="H1938" s="17" t="inlineStr">
        <is>
          <t>CÔNG TY CỔ PHẦN CÔNG NGHIỆP VÀ THƯƠNG MẠI CƯỜNG THỊNH</t>
        </is>
      </c>
      <c r="I1938" s="17" t="inlineStr">
        <is>
          <t>Long đền thường ZP M20B35D2</t>
        </is>
      </c>
      <c r="J1938" s="17" t="inlineStr">
        <is>
          <t>Cái</t>
        </is>
      </c>
      <c r="K1938" s="21" t="n">
        <v>350</v>
      </c>
      <c r="L1938" s="21" t="n"/>
      <c r="M1938" s="22" t="n"/>
      <c r="N1938" s="22" t="n">
        <v>1059</v>
      </c>
      <c r="O1938" s="22" t="n">
        <v>370650</v>
      </c>
      <c r="P1938" s="22" t="n">
        <v>1059</v>
      </c>
      <c r="Q1938" s="22" t="n">
        <v>370650</v>
      </c>
      <c r="R1938" s="42">
        <f>+L1938+N1938-P1938</f>
        <v/>
      </c>
      <c r="S1938" s="42">
        <f>+M1938+O1938-Q1938</f>
        <v/>
      </c>
    </row>
    <row r="1939" ht="30" customHeight="1">
      <c r="A1939" s="16" t="n">
        <v>45815</v>
      </c>
      <c r="B1939" s="17" t="inlineStr">
        <is>
          <t>MH2506-29</t>
        </is>
      </c>
      <c r="C1939" s="16" t="n">
        <v>45815</v>
      </c>
      <c r="D1939" s="17" t="inlineStr">
        <is>
          <t>00000189</t>
        </is>
      </c>
      <c r="E1939" s="16" t="n">
        <v>45815</v>
      </c>
      <c r="F1939" s="16" t="inlineStr">
        <is>
          <t>XK2506-16</t>
        </is>
      </c>
      <c r="G1939" s="16" t="n">
        <v>45815</v>
      </c>
      <c r="H1939" s="17" t="inlineStr">
        <is>
          <t>CÔNG TY CỔ PHẦN THƯƠNG MẠI DỊCH VỤ KỸ THUẬT THANH PHÁT</t>
        </is>
      </c>
      <c r="I1939" s="17" t="inlineStr">
        <is>
          <t>Ống inox sus 304: 42.7 x 1.5 x 6000</t>
        </is>
      </c>
      <c r="J1939" s="17" t="inlineStr">
        <is>
          <t>kg</t>
        </is>
      </c>
      <c r="K1939" s="21" t="n">
        <v>65906.53999999999</v>
      </c>
      <c r="L1939" s="21" t="n"/>
      <c r="M1939" s="22" t="n"/>
      <c r="N1939" s="22" t="n">
        <v>267.5</v>
      </c>
      <c r="O1939" s="22" t="n">
        <v>17630000</v>
      </c>
      <c r="P1939" s="22" t="n">
        <v>267.5</v>
      </c>
      <c r="Q1939" s="22" t="n">
        <v>17630000</v>
      </c>
      <c r="R1939" s="42">
        <f>+L1939+N1939-P1939</f>
        <v/>
      </c>
      <c r="S1939" s="42">
        <f>+M1939+O1939-Q1939</f>
        <v/>
      </c>
    </row>
    <row r="1940" ht="30" customHeight="1">
      <c r="A1940" s="16" t="n">
        <v>45815</v>
      </c>
      <c r="B1940" s="17" t="inlineStr">
        <is>
          <t>MH2506-29</t>
        </is>
      </c>
      <c r="C1940" s="16" t="n">
        <v>45815</v>
      </c>
      <c r="D1940" s="17" t="inlineStr">
        <is>
          <t>00000189</t>
        </is>
      </c>
      <c r="E1940" s="16" t="n">
        <v>45815</v>
      </c>
      <c r="F1940" s="16" t="inlineStr">
        <is>
          <t>XK2506-16</t>
        </is>
      </c>
      <c r="G1940" s="16" t="n">
        <v>45815</v>
      </c>
      <c r="H1940" s="17" t="inlineStr">
        <is>
          <t>CÔNG TY CỔ PHẦN THƯƠNG MẠI DỊCH VỤ KỸ THUẬT THANH PHÁT</t>
        </is>
      </c>
      <c r="I1940" s="17" t="inlineStr">
        <is>
          <t>Inox tấm 304/No1 4mm x 400 x 500</t>
        </is>
      </c>
      <c r="J1940" s="17" t="inlineStr">
        <is>
          <t>kg</t>
        </is>
      </c>
      <c r="K1940" s="21" t="n">
        <v>63068.13</v>
      </c>
      <c r="L1940" s="21" t="n"/>
      <c r="M1940" s="22" t="n"/>
      <c r="N1940" s="22" t="n">
        <v>6.4</v>
      </c>
      <c r="O1940" s="22" t="n">
        <v>403636</v>
      </c>
      <c r="P1940" s="22" t="n">
        <v>6.4</v>
      </c>
      <c r="Q1940" s="22" t="n">
        <v>403636</v>
      </c>
      <c r="R1940" s="42">
        <f>+L1940+N1940-P1940</f>
        <v/>
      </c>
      <c r="S1940" s="42">
        <f>+M1940+O1940-Q1940</f>
        <v/>
      </c>
    </row>
    <row r="1941" ht="30" customHeight="1">
      <c r="A1941" s="16" t="n">
        <v>45815</v>
      </c>
      <c r="B1941" s="17" t="inlineStr">
        <is>
          <t>MH2506-29</t>
        </is>
      </c>
      <c r="C1941" s="16" t="n">
        <v>45815</v>
      </c>
      <c r="D1941" s="17" t="inlineStr">
        <is>
          <t>00000189</t>
        </is>
      </c>
      <c r="E1941" s="16" t="n">
        <v>45815</v>
      </c>
      <c r="F1941" s="16" t="inlineStr">
        <is>
          <t>XK2506-16</t>
        </is>
      </c>
      <c r="G1941" s="16" t="n">
        <v>45815</v>
      </c>
      <c r="H1941" s="17" t="inlineStr">
        <is>
          <t>CÔNG TY CỔ PHẦN THƯƠNG MẠI DỊCH VỤ KỸ THUẬT THANH PHÁT</t>
        </is>
      </c>
      <c r="I1941" s="17" t="inlineStr">
        <is>
          <t>Co inox 304 42</t>
        </is>
      </c>
      <c r="J1941" s="17" t="inlineStr">
        <is>
          <t>kg</t>
        </is>
      </c>
      <c r="K1941" s="21" t="n">
        <v>40727.3</v>
      </c>
      <c r="L1941" s="21" t="n"/>
      <c r="M1941" s="22" t="n"/>
      <c r="N1941" s="22" t="n">
        <v>20</v>
      </c>
      <c r="O1941" s="22" t="n">
        <v>814546</v>
      </c>
      <c r="P1941" s="22" t="n">
        <v>20</v>
      </c>
      <c r="Q1941" s="22" t="n">
        <v>814546</v>
      </c>
      <c r="R1941" s="42">
        <f>+L1941+N1941-P1941</f>
        <v/>
      </c>
      <c r="S1941" s="42">
        <f>+M1941+O1941-Q1941</f>
        <v/>
      </c>
    </row>
    <row r="1942" ht="30" customHeight="1">
      <c r="A1942" s="16" t="n">
        <v>45817</v>
      </c>
      <c r="B1942" s="17" t="inlineStr">
        <is>
          <t>MH2506-31</t>
        </is>
      </c>
      <c r="C1942" s="16" t="n">
        <v>45817</v>
      </c>
      <c r="D1942" s="17" t="inlineStr">
        <is>
          <t>00001039</t>
        </is>
      </c>
      <c r="E1942" s="16" t="n">
        <v>45817</v>
      </c>
      <c r="F1942" s="16" t="inlineStr">
        <is>
          <t>XK2506-16</t>
        </is>
      </c>
      <c r="G1942" s="16" t="n">
        <v>45817</v>
      </c>
      <c r="H1942" s="17" t="inlineStr">
        <is>
          <t>CÔNG TY TNHH DỊCH VỤ - THƯƠNG MẠI THÉP THIÊN LONG</t>
        </is>
      </c>
      <c r="I1942" s="17" t="inlineStr">
        <is>
          <t>Thép tấm 10ly</t>
        </is>
      </c>
      <c r="J1942" s="17" t="inlineStr">
        <is>
          <t>kg</t>
        </is>
      </c>
      <c r="K1942" s="21" t="n">
        <v>13427.27</v>
      </c>
      <c r="L1942" s="21" t="n"/>
      <c r="M1942" s="22" t="n"/>
      <c r="N1942" s="22" t="n">
        <v>26376</v>
      </c>
      <c r="O1942" s="22" t="n">
        <v>354157674</v>
      </c>
      <c r="P1942" s="22" t="n">
        <v>26376</v>
      </c>
      <c r="Q1942" s="22" t="n">
        <v>354157674</v>
      </c>
      <c r="R1942" s="42">
        <f>+L1942+N1942-P1942</f>
        <v/>
      </c>
      <c r="S1942" s="42">
        <f>+M1942+O1942-Q1942</f>
        <v/>
      </c>
    </row>
    <row r="1943" ht="30" customHeight="1">
      <c r="A1943" s="16" t="n">
        <v>45817</v>
      </c>
      <c r="B1943" s="17" t="inlineStr">
        <is>
          <t>MH2506-31</t>
        </is>
      </c>
      <c r="C1943" s="16" t="n">
        <v>45817</v>
      </c>
      <c r="D1943" s="17" t="inlineStr">
        <is>
          <t>00001039</t>
        </is>
      </c>
      <c r="E1943" s="16" t="n">
        <v>45817</v>
      </c>
      <c r="F1943" s="16" t="inlineStr">
        <is>
          <t>XK2506-16</t>
        </is>
      </c>
      <c r="G1943" s="16" t="n">
        <v>45817</v>
      </c>
      <c r="H1943" s="17" t="inlineStr">
        <is>
          <t>CÔNG TY TNHH DỊCH VỤ - THƯƠNG MẠI THÉP THIÊN LONG</t>
        </is>
      </c>
      <c r="I1943" s="17" t="inlineStr">
        <is>
          <t>Thép tấm 16ly</t>
        </is>
      </c>
      <c r="J1943" s="17" t="inlineStr">
        <is>
          <t>kg</t>
        </is>
      </c>
      <c r="K1943" s="21" t="n">
        <v>14336.36</v>
      </c>
      <c r="L1943" s="21" t="n"/>
      <c r="M1943" s="22" t="n"/>
      <c r="N1943" s="22" t="n">
        <v>3014.4</v>
      </c>
      <c r="O1943" s="22" t="n">
        <v>43215524</v>
      </c>
      <c r="P1943" s="22" t="n">
        <v>3014.4</v>
      </c>
      <c r="Q1943" s="22" t="n">
        <v>43215524</v>
      </c>
      <c r="R1943" s="42">
        <f>+L1943+N1943-P1943</f>
        <v/>
      </c>
      <c r="S1943" s="42">
        <f>+M1943+O1943-Q1943</f>
        <v/>
      </c>
    </row>
    <row r="1944" ht="30" customHeight="1">
      <c r="A1944" s="16" t="n">
        <v>45817</v>
      </c>
      <c r="B1944" s="17" t="inlineStr">
        <is>
          <t>MH2506-31</t>
        </is>
      </c>
      <c r="C1944" s="16" t="n">
        <v>45817</v>
      </c>
      <c r="D1944" s="17" t="inlineStr">
        <is>
          <t>00001039</t>
        </is>
      </c>
      <c r="E1944" s="16" t="n">
        <v>45817</v>
      </c>
      <c r="F1944" s="16" t="inlineStr">
        <is>
          <t>XK2506-16</t>
        </is>
      </c>
      <c r="G1944" s="16" t="n">
        <v>45817</v>
      </c>
      <c r="H1944" s="17" t="inlineStr">
        <is>
          <t>CÔNG TY TNHH DỊCH VỤ - THƯƠNG MẠI THÉP THIÊN LONG</t>
        </is>
      </c>
      <c r="I1944" s="17" t="inlineStr">
        <is>
          <t>Thép tấm 20ly</t>
        </is>
      </c>
      <c r="J1944" s="17" t="inlineStr">
        <is>
          <t>kg</t>
        </is>
      </c>
      <c r="K1944" s="21" t="n">
        <v>14336.36</v>
      </c>
      <c r="L1944" s="21" t="n"/>
      <c r="M1944" s="22" t="n"/>
      <c r="N1944" s="22" t="n">
        <v>37680</v>
      </c>
      <c r="O1944" s="22" t="n">
        <v>540194045</v>
      </c>
      <c r="P1944" s="22" t="n">
        <v>37680</v>
      </c>
      <c r="Q1944" s="22" t="n">
        <v>540194045</v>
      </c>
      <c r="R1944" s="42">
        <f>+L1944+N1944-P1944</f>
        <v/>
      </c>
      <c r="S1944" s="42">
        <f>+M1944+O1944-Q1944</f>
        <v/>
      </c>
    </row>
    <row r="1945" ht="15" customHeight="1">
      <c r="A1945" s="16" t="n">
        <v>45818</v>
      </c>
      <c r="B1945" s="17" t="inlineStr">
        <is>
          <t>MH2506-32</t>
        </is>
      </c>
      <c r="C1945" s="16" t="n">
        <v>45818</v>
      </c>
      <c r="D1945" s="17" t="inlineStr">
        <is>
          <t>00001953</t>
        </is>
      </c>
      <c r="E1945" s="16" t="n">
        <v>45818</v>
      </c>
      <c r="F1945" s="16" t="inlineStr">
        <is>
          <t>XK2506-17</t>
        </is>
      </c>
      <c r="G1945" s="16" t="n">
        <v>45818</v>
      </c>
      <c r="H1945" s="17" t="inlineStr">
        <is>
          <t>CÔNG TY TNHH TÂN MỸ HẠNH</t>
        </is>
      </c>
      <c r="I1945" s="17" t="inlineStr">
        <is>
          <t>Xà gồ kẽm C</t>
        </is>
      </c>
      <c r="J1945" s="17" t="inlineStr">
        <is>
          <t>kg</t>
        </is>
      </c>
      <c r="K1945" s="21" t="n">
        <v>16000</v>
      </c>
      <c r="L1945" s="21" t="n"/>
      <c r="M1945" s="22" t="n"/>
      <c r="N1945" s="22" t="n">
        <v>91000</v>
      </c>
      <c r="O1945" s="22" t="n">
        <v>1456000000</v>
      </c>
      <c r="P1945" s="22" t="n">
        <v>91000</v>
      </c>
      <c r="Q1945" s="22" t="n">
        <v>1456000000</v>
      </c>
      <c r="R1945" s="42">
        <f>+L1945+N1945-P1945</f>
        <v/>
      </c>
      <c r="S1945" s="42">
        <f>+M1945+O1945-Q1945</f>
        <v/>
      </c>
    </row>
    <row r="1946" ht="15" customHeight="1">
      <c r="A1946" s="16" t="n">
        <v>45818</v>
      </c>
      <c r="B1946" s="17" t="inlineStr">
        <is>
          <t>MH2506-33</t>
        </is>
      </c>
      <c r="C1946" s="16" t="n">
        <v>45818</v>
      </c>
      <c r="D1946" s="17" t="inlineStr">
        <is>
          <t>00001578</t>
        </is>
      </c>
      <c r="E1946" s="16" t="n">
        <v>45818</v>
      </c>
      <c r="F1946" s="16" t="inlineStr">
        <is>
          <t>XK2506-18</t>
        </is>
      </c>
      <c r="G1946" s="16" t="n">
        <v>45818</v>
      </c>
      <c r="H1946" s="17" t="inlineStr">
        <is>
          <t>CÔNG TY TNHH HILTI VIỆT NAM</t>
        </is>
      </c>
      <c r="I1946" s="17" t="inlineStr">
        <is>
          <t>Hóa chất HIT-RE 500 V4/500</t>
        </is>
      </c>
      <c r="J1946" s="17" t="inlineStr">
        <is>
          <t>Gói</t>
        </is>
      </c>
      <c r="K1946" s="21" t="n">
        <v>873120</v>
      </c>
      <c r="L1946" s="21" t="n"/>
      <c r="M1946" s="22" t="n"/>
      <c r="N1946" s="22" t="n">
        <v>110</v>
      </c>
      <c r="O1946" s="22" t="n">
        <v>96043200</v>
      </c>
      <c r="P1946" s="22" t="n">
        <v>110</v>
      </c>
      <c r="Q1946" s="22" t="n">
        <v>96043200</v>
      </c>
      <c r="R1946" s="42">
        <f>+L1946+N1946-P1946</f>
        <v/>
      </c>
      <c r="S1946" s="42">
        <f>+M1946+O1946-Q1946</f>
        <v/>
      </c>
    </row>
    <row r="1947" ht="15" customHeight="1">
      <c r="A1947" s="16" t="n">
        <v>45818</v>
      </c>
      <c r="B1947" s="17" t="inlineStr">
        <is>
          <t>MH2506-33</t>
        </is>
      </c>
      <c r="C1947" s="16" t="n">
        <v>45818</v>
      </c>
      <c r="D1947" s="17" t="inlineStr">
        <is>
          <t>00001578</t>
        </is>
      </c>
      <c r="E1947" s="16" t="n">
        <v>45818</v>
      </c>
      <c r="F1947" s="16" t="inlineStr">
        <is>
          <t>XK2506-18</t>
        </is>
      </c>
      <c r="G1947" s="16" t="n">
        <v>45818</v>
      </c>
      <c r="H1947" s="17" t="inlineStr">
        <is>
          <t>CÔNG TY TNHH HILTI VIỆT NAM</t>
        </is>
      </c>
      <c r="I1947" s="17" t="inlineStr">
        <is>
          <t>Súng bơm HDM 500</t>
        </is>
      </c>
      <c r="J1947" s="17" t="inlineStr">
        <is>
          <t>Gói</t>
        </is>
      </c>
      <c r="K1947" s="21" t="n">
        <v>1942080</v>
      </c>
      <c r="L1947" s="21" t="n"/>
      <c r="M1947" s="22" t="n"/>
      <c r="N1947" s="22" t="n">
        <v>2</v>
      </c>
      <c r="O1947" s="22" t="n">
        <v>3884160</v>
      </c>
      <c r="P1947" s="22" t="n">
        <v>2</v>
      </c>
      <c r="Q1947" s="22" t="n">
        <v>3884160</v>
      </c>
      <c r="R1947" s="42">
        <f>+L1947+N1947-P1947</f>
        <v/>
      </c>
      <c r="S1947" s="42">
        <f>+M1947+O1947-Q1947</f>
        <v/>
      </c>
    </row>
    <row r="1948" ht="15" customHeight="1">
      <c r="A1948" s="16" t="n">
        <v>45818</v>
      </c>
      <c r="B1948" s="17" t="inlineStr">
        <is>
          <t>MH2506-33</t>
        </is>
      </c>
      <c r="C1948" s="16" t="n">
        <v>45818</v>
      </c>
      <c r="D1948" s="17" t="inlineStr">
        <is>
          <t>00001578</t>
        </is>
      </c>
      <c r="E1948" s="16" t="n">
        <v>45818</v>
      </c>
      <c r="F1948" s="16" t="inlineStr">
        <is>
          <t>XK2506-18</t>
        </is>
      </c>
      <c r="G1948" s="16" t="n">
        <v>45818</v>
      </c>
      <c r="H1948" s="17" t="inlineStr">
        <is>
          <t>CÔNG TY TNHH HILTI VIỆT NAM</t>
        </is>
      </c>
      <c r="I1948" s="17" t="inlineStr">
        <is>
          <t>Ống đựng keo HIT-CB 500</t>
        </is>
      </c>
      <c r="J1948" s="17" t="inlineStr">
        <is>
          <t>Gói</t>
        </is>
      </c>
      <c r="K1948" s="21" t="n">
        <v>459510</v>
      </c>
      <c r="L1948" s="21" t="n"/>
      <c r="M1948" s="22" t="n"/>
      <c r="N1948" s="22" t="n">
        <v>2</v>
      </c>
      <c r="O1948" s="22" t="n">
        <v>919020</v>
      </c>
      <c r="P1948" s="22" t="n">
        <v>2</v>
      </c>
      <c r="Q1948" s="22" t="n">
        <v>919020</v>
      </c>
      <c r="R1948" s="42">
        <f>+L1948+N1948-P1948</f>
        <v/>
      </c>
      <c r="S1948" s="42">
        <f>+M1948+O1948-Q1948</f>
        <v/>
      </c>
    </row>
    <row r="1949" ht="15" customHeight="1">
      <c r="A1949" s="16" t="n">
        <v>45819</v>
      </c>
      <c r="B1949" s="17" t="inlineStr">
        <is>
          <t>MH2506-34</t>
        </is>
      </c>
      <c r="C1949" s="16" t="n">
        <v>45819</v>
      </c>
      <c r="D1949" s="17" t="inlineStr">
        <is>
          <t>00005249</t>
        </is>
      </c>
      <c r="E1949" s="16" t="n">
        <v>45819</v>
      </c>
      <c r="F1949" s="16" t="inlineStr">
        <is>
          <t>XK2506-19</t>
        </is>
      </c>
      <c r="G1949" s="16" t="n">
        <v>45819</v>
      </c>
      <c r="H1949" s="17" t="inlineStr">
        <is>
          <t>CÔNG TY TNHH SƠN JOTUN VIỆT NAM</t>
        </is>
      </c>
      <c r="I1949" s="17" t="inlineStr">
        <is>
          <t>SƠN JOTAMASTIC 70 RED 18L</t>
        </is>
      </c>
      <c r="J1949" s="17" t="inlineStr">
        <is>
          <t>Lít</t>
        </is>
      </c>
      <c r="K1949" s="21" t="n">
        <v>90000</v>
      </c>
      <c r="L1949" s="21" t="n"/>
      <c r="M1949" s="22" t="n"/>
      <c r="N1949" s="22" t="n">
        <v>72</v>
      </c>
      <c r="O1949" s="22" t="n">
        <v>6480000</v>
      </c>
      <c r="P1949" s="22" t="n">
        <v>72</v>
      </c>
      <c r="Q1949" s="22" t="n">
        <v>6480000</v>
      </c>
      <c r="R1949" s="42">
        <f>+L1949+N1949-P1949</f>
        <v/>
      </c>
      <c r="S1949" s="42">
        <f>+M1949+O1949-Q1949</f>
        <v/>
      </c>
    </row>
    <row r="1950" ht="30" customHeight="1">
      <c r="A1950" s="16" t="n">
        <v>45820</v>
      </c>
      <c r="B1950" s="17" t="inlineStr">
        <is>
          <t>MH2506-36</t>
        </is>
      </c>
      <c r="C1950" s="16" t="n">
        <v>45820</v>
      </c>
      <c r="D1950" s="17" t="inlineStr">
        <is>
          <t>00000526</t>
        </is>
      </c>
      <c r="E1950" s="16" t="n">
        <v>45820</v>
      </c>
      <c r="F1950" s="16" t="inlineStr">
        <is>
          <t>XK2506-20</t>
        </is>
      </c>
      <c r="G1950" s="16" t="n">
        <v>45820</v>
      </c>
      <c r="H1950" s="17" t="inlineStr">
        <is>
          <t>CÔNG TY TNHH XUẤT NHẬP KHẨU THƯƠNG MẠI KIÊN HOÀNG</t>
        </is>
      </c>
      <c r="I1950" s="17" t="inlineStr">
        <is>
          <t>Thép tấm (57x365x11750mm)</t>
        </is>
      </c>
      <c r="J1950" s="17" t="inlineStr">
        <is>
          <t>kg</t>
        </is>
      </c>
      <c r="K1950" s="21" t="n">
        <v>16909.09</v>
      </c>
      <c r="L1950" s="21" t="n"/>
      <c r="M1950" s="22" t="n"/>
      <c r="N1950" s="22" t="n">
        <v>3838</v>
      </c>
      <c r="O1950" s="22" t="n">
        <v>64897087</v>
      </c>
      <c r="P1950" s="22" t="n">
        <v>3838</v>
      </c>
      <c r="Q1950" s="22" t="n">
        <v>64897087</v>
      </c>
      <c r="R1950" s="42">
        <f>+L1950+N1950-P1950</f>
        <v/>
      </c>
      <c r="S1950" s="42">
        <f>+M1950+O1950-Q1950</f>
        <v/>
      </c>
    </row>
    <row r="1951" ht="30" customHeight="1">
      <c r="A1951" s="16" t="n">
        <v>45820</v>
      </c>
      <c r="B1951" s="17" t="inlineStr">
        <is>
          <t>MH2506-36</t>
        </is>
      </c>
      <c r="C1951" s="16" t="n">
        <v>45820</v>
      </c>
      <c r="D1951" s="17" t="inlineStr">
        <is>
          <t>00000526</t>
        </is>
      </c>
      <c r="E1951" s="16" t="n">
        <v>45820</v>
      </c>
      <c r="F1951" s="16" t="inlineStr">
        <is>
          <t>XK2506-20</t>
        </is>
      </c>
      <c r="G1951" s="16" t="n">
        <v>45820</v>
      </c>
      <c r="H1951" s="17" t="inlineStr">
        <is>
          <t>CÔNG TY TNHH XUẤT NHẬP KHẨU THƯƠNG MẠI KIÊN HOÀNG</t>
        </is>
      </c>
      <c r="I1951" s="17" t="inlineStr">
        <is>
          <t>Thép tấm (57x365x11634mm)</t>
        </is>
      </c>
      <c r="J1951" s="17" t="inlineStr">
        <is>
          <t>kg</t>
        </is>
      </c>
      <c r="K1951" s="21" t="n">
        <v>16909.09</v>
      </c>
      <c r="L1951" s="21" t="n"/>
      <c r="M1951" s="22" t="n"/>
      <c r="N1951" s="22" t="n">
        <v>11400.34</v>
      </c>
      <c r="O1951" s="22" t="n">
        <v>192769375</v>
      </c>
      <c r="P1951" s="22" t="n">
        <v>11400.34</v>
      </c>
      <c r="Q1951" s="22" t="n">
        <v>192769375</v>
      </c>
      <c r="R1951" s="42">
        <f>+L1951+N1951-P1951</f>
        <v/>
      </c>
      <c r="S1951" s="42">
        <f>+M1951+O1951-Q1951</f>
        <v/>
      </c>
    </row>
    <row r="1952" ht="15" customHeight="1">
      <c r="A1952" s="16" t="n">
        <v>45826</v>
      </c>
      <c r="B1952" s="17" t="inlineStr">
        <is>
          <t>MH2506-38</t>
        </is>
      </c>
      <c r="C1952" s="16" t="n">
        <v>45826</v>
      </c>
      <c r="D1952" s="17" t="inlineStr">
        <is>
          <t>00005472</t>
        </is>
      </c>
      <c r="E1952" s="16" t="n">
        <v>45826</v>
      </c>
      <c r="F1952" s="16" t="inlineStr">
        <is>
          <t>XK2506-21</t>
        </is>
      </c>
      <c r="G1952" s="16" t="n">
        <v>45826</v>
      </c>
      <c r="H1952" s="17" t="inlineStr">
        <is>
          <t>CÔNG TY TNHH SƠN JOTUN VIỆT NAM</t>
        </is>
      </c>
      <c r="I1952" s="17" t="inlineStr">
        <is>
          <t>SƠN HARDTOP XPL RAL 9017 19.19L</t>
        </is>
      </c>
      <c r="J1952" s="17" t="inlineStr">
        <is>
          <t>Thùng</t>
        </is>
      </c>
      <c r="K1952" s="21" t="n">
        <v>180000</v>
      </c>
      <c r="L1952" s="21" t="n"/>
      <c r="M1952" s="22" t="n"/>
      <c r="N1952" s="22" t="n">
        <v>38.38</v>
      </c>
      <c r="O1952" s="22" t="n">
        <v>6908400</v>
      </c>
      <c r="P1952" s="22" t="n">
        <v>38.38</v>
      </c>
      <c r="Q1952" s="22" t="n">
        <v>6908400</v>
      </c>
      <c r="R1952" s="42">
        <f>+L1952+N1952-P1952</f>
        <v/>
      </c>
      <c r="S1952" s="42">
        <f>+M1952+O1952-Q1952</f>
        <v/>
      </c>
    </row>
    <row r="1953" ht="30" customHeight="1">
      <c r="A1953" s="16" t="n">
        <v>45827</v>
      </c>
      <c r="B1953" s="17" t="inlineStr">
        <is>
          <t>MH2506-39</t>
        </is>
      </c>
      <c r="C1953" s="16" t="n">
        <v>45827</v>
      </c>
      <c r="D1953" s="17" t="inlineStr">
        <is>
          <t>00002300</t>
        </is>
      </c>
      <c r="E1953" s="16" t="n">
        <v>45827</v>
      </c>
      <c r="F1953" s="16" t="inlineStr">
        <is>
          <t>XK2506-22</t>
        </is>
      </c>
      <c r="G1953" s="16" t="n">
        <v>45827</v>
      </c>
      <c r="H1953" s="17" t="inlineStr">
        <is>
          <t>CÔNG TY CỔ PHẦN CÔNG NGHIỆP VÀ THƯƠNG MẠI CƯỜNG THỊNH</t>
        </is>
      </c>
      <c r="I1953" s="17" t="inlineStr">
        <is>
          <t>Bulong neo I 8.8 ZP M24x530</t>
        </is>
      </c>
      <c r="J1953" s="17" t="inlineStr">
        <is>
          <t>Cái</t>
        </is>
      </c>
      <c r="K1953" s="21" t="n">
        <v>74040</v>
      </c>
      <c r="L1953" s="21" t="n"/>
      <c r="M1953" s="22" t="n"/>
      <c r="N1953" s="22" t="n">
        <v>300</v>
      </c>
      <c r="O1953" s="22" t="n">
        <v>22212000</v>
      </c>
      <c r="P1953" s="22" t="n">
        <v>300</v>
      </c>
      <c r="Q1953" s="22" t="n">
        <v>22212000</v>
      </c>
      <c r="R1953" s="42">
        <f>+L1953+N1953-P1953</f>
        <v/>
      </c>
      <c r="S1953" s="42">
        <f>+M1953+O1953-Q1953</f>
        <v/>
      </c>
    </row>
    <row r="1954" ht="30" customHeight="1">
      <c r="A1954" s="16" t="n">
        <v>45827</v>
      </c>
      <c r="B1954" s="17" t="inlineStr">
        <is>
          <t>MH2506-39</t>
        </is>
      </c>
      <c r="C1954" s="16" t="n">
        <v>45827</v>
      </c>
      <c r="D1954" s="17" t="inlineStr">
        <is>
          <t>00002300</t>
        </is>
      </c>
      <c r="E1954" s="16" t="n">
        <v>45827</v>
      </c>
      <c r="F1954" s="16" t="inlineStr">
        <is>
          <t>XK2506-22</t>
        </is>
      </c>
      <c r="G1954" s="16" t="n">
        <v>45827</v>
      </c>
      <c r="H1954" s="17" t="inlineStr">
        <is>
          <t>CÔNG TY CỔ PHẦN CÔNG NGHIỆP VÀ THƯƠNG MẠI CƯỜNG THỊNH</t>
        </is>
      </c>
      <c r="I1954" s="17" t="inlineStr">
        <is>
          <t>Đai ốc Din 934 8 ZP M24</t>
        </is>
      </c>
      <c r="J1954" s="17" t="inlineStr">
        <is>
          <t>Cái</t>
        </is>
      </c>
      <c r="K1954" s="21" t="n">
        <v>3500</v>
      </c>
      <c r="L1954" s="21" t="n"/>
      <c r="M1954" s="22" t="n"/>
      <c r="N1954" s="22" t="n">
        <v>1200</v>
      </c>
      <c r="O1954" s="22" t="n">
        <v>4200000</v>
      </c>
      <c r="P1954" s="22" t="n">
        <v>1200</v>
      </c>
      <c r="Q1954" s="22" t="n">
        <v>4200000</v>
      </c>
      <c r="R1954" s="42">
        <f>+L1954+N1954-P1954</f>
        <v/>
      </c>
      <c r="S1954" s="42">
        <f>+M1954+O1954-Q1954</f>
        <v/>
      </c>
    </row>
    <row r="1955" ht="30" customHeight="1">
      <c r="A1955" s="16" t="n">
        <v>45827</v>
      </c>
      <c r="B1955" s="17" t="inlineStr">
        <is>
          <t>MH2506-39</t>
        </is>
      </c>
      <c r="C1955" s="16" t="n">
        <v>45827</v>
      </c>
      <c r="D1955" s="17" t="inlineStr">
        <is>
          <t>00002300</t>
        </is>
      </c>
      <c r="E1955" s="16" t="n">
        <v>45827</v>
      </c>
      <c r="F1955" s="16" t="inlineStr">
        <is>
          <t>XK2506-22</t>
        </is>
      </c>
      <c r="G1955" s="16" t="n">
        <v>45827</v>
      </c>
      <c r="H1955" s="17" t="inlineStr">
        <is>
          <t>CÔNG TY CỔ PHẦN CÔNG NGHIỆP VÀ THƯƠNG MẠI CƯỜNG THỊNH</t>
        </is>
      </c>
      <c r="I1955" s="17" t="inlineStr">
        <is>
          <t>Long đền thường ZP M24B45D2</t>
        </is>
      </c>
      <c r="J1955" s="17" t="inlineStr">
        <is>
          <t>Cái</t>
        </is>
      </c>
      <c r="K1955" s="21" t="n">
        <v>770</v>
      </c>
      <c r="L1955" s="21" t="n"/>
      <c r="M1955" s="22" t="n"/>
      <c r="N1955" s="22" t="n">
        <v>300</v>
      </c>
      <c r="O1955" s="22" t="n">
        <v>231000</v>
      </c>
      <c r="P1955" s="22" t="n">
        <v>300</v>
      </c>
      <c r="Q1955" s="22" t="n">
        <v>231000</v>
      </c>
      <c r="R1955" s="42">
        <f>+L1955+N1955-P1955</f>
        <v/>
      </c>
      <c r="S1955" s="42">
        <f>+M1955+O1955-Q1955</f>
        <v/>
      </c>
    </row>
    <row r="1956" ht="30" customHeight="1">
      <c r="A1956" s="16" t="n">
        <v>45827</v>
      </c>
      <c r="B1956" s="17" t="inlineStr">
        <is>
          <t>MH2506-39</t>
        </is>
      </c>
      <c r="C1956" s="16" t="n">
        <v>45827</v>
      </c>
      <c r="D1956" s="17" t="inlineStr">
        <is>
          <t>00002300</t>
        </is>
      </c>
      <c r="E1956" s="16" t="n">
        <v>45827</v>
      </c>
      <c r="F1956" s="16" t="inlineStr">
        <is>
          <t>XK2506-22</t>
        </is>
      </c>
      <c r="G1956" s="16" t="n">
        <v>45827</v>
      </c>
      <c r="H1956" s="17" t="inlineStr">
        <is>
          <t>CÔNG TY CỔ PHẦN CÔNG NGHIỆP VÀ THƯƠNG MẠI CƯỜNG THỊNH</t>
        </is>
      </c>
      <c r="I1956" s="17" t="inlineStr">
        <is>
          <t>Bulong neo I 8.8 ZP M30x645</t>
        </is>
      </c>
      <c r="J1956" s="17" t="inlineStr">
        <is>
          <t>Cái</t>
        </is>
      </c>
      <c r="K1956" s="21" t="n">
        <v>134720</v>
      </c>
      <c r="L1956" s="21" t="n"/>
      <c r="M1956" s="22" t="n"/>
      <c r="N1956" s="22" t="n">
        <v>1744</v>
      </c>
      <c r="O1956" s="22" t="n">
        <v>234951680</v>
      </c>
      <c r="P1956" s="22" t="n">
        <v>1744</v>
      </c>
      <c r="Q1956" s="22" t="n">
        <v>234951680</v>
      </c>
      <c r="R1956" s="42">
        <f>+L1956+N1956-P1956</f>
        <v/>
      </c>
      <c r="S1956" s="42">
        <f>+M1956+O1956-Q1956</f>
        <v/>
      </c>
    </row>
    <row r="1957" ht="30" customHeight="1">
      <c r="A1957" s="16" t="n">
        <v>45827</v>
      </c>
      <c r="B1957" s="17" t="inlineStr">
        <is>
          <t>MH2506-39</t>
        </is>
      </c>
      <c r="C1957" s="16" t="n">
        <v>45827</v>
      </c>
      <c r="D1957" s="17" t="inlineStr">
        <is>
          <t>00002300</t>
        </is>
      </c>
      <c r="E1957" s="16" t="n">
        <v>45827</v>
      </c>
      <c r="F1957" s="16" t="inlineStr">
        <is>
          <t>XK2506-22</t>
        </is>
      </c>
      <c r="G1957" s="16" t="n">
        <v>45827</v>
      </c>
      <c r="H1957" s="17" t="inlineStr">
        <is>
          <t>CÔNG TY CỔ PHẦN CÔNG NGHIỆP VÀ THƯƠNG MẠI CƯỜNG THỊNH</t>
        </is>
      </c>
      <c r="I1957" s="17" t="inlineStr">
        <is>
          <t>Đai ốc Din 934 8 ZP M30</t>
        </is>
      </c>
      <c r="J1957" s="17" t="inlineStr">
        <is>
          <t>Cái</t>
        </is>
      </c>
      <c r="K1957" s="21" t="n">
        <v>7750</v>
      </c>
      <c r="L1957" s="21" t="n"/>
      <c r="M1957" s="22" t="n"/>
      <c r="N1957" s="22" t="n">
        <v>6976</v>
      </c>
      <c r="O1957" s="22" t="n">
        <v>54064000</v>
      </c>
      <c r="P1957" s="22" t="n">
        <v>6976</v>
      </c>
      <c r="Q1957" s="22" t="n">
        <v>54064000</v>
      </c>
      <c r="R1957" s="42">
        <f>+L1957+N1957-P1957</f>
        <v/>
      </c>
      <c r="S1957" s="42">
        <f>+M1957+O1957-Q1957</f>
        <v/>
      </c>
    </row>
    <row r="1958" ht="30" customHeight="1">
      <c r="A1958" s="16" t="n">
        <v>45827</v>
      </c>
      <c r="B1958" s="17" t="inlineStr">
        <is>
          <t>MH2506-39</t>
        </is>
      </c>
      <c r="C1958" s="16" t="n">
        <v>45827</v>
      </c>
      <c r="D1958" s="17" t="inlineStr">
        <is>
          <t>00002300</t>
        </is>
      </c>
      <c r="E1958" s="16" t="n">
        <v>45827</v>
      </c>
      <c r="F1958" s="16" t="inlineStr">
        <is>
          <t>XK2506-22</t>
        </is>
      </c>
      <c r="G1958" s="16" t="n">
        <v>45827</v>
      </c>
      <c r="H1958" s="17" t="inlineStr">
        <is>
          <t>CÔNG TY CỔ PHẦN CÔNG NGHIỆP VÀ THƯƠNG MẠI CƯỜNG THỊNH</t>
        </is>
      </c>
      <c r="I1958" s="17" t="inlineStr">
        <is>
          <t>Long đền thường ZP M30B60D2</t>
        </is>
      </c>
      <c r="J1958" s="17" t="inlineStr">
        <is>
          <t>Cái</t>
        </is>
      </c>
      <c r="K1958" s="21" t="n">
        <v>1180</v>
      </c>
      <c r="L1958" s="21" t="n"/>
      <c r="M1958" s="22" t="n"/>
      <c r="N1958" s="22" t="n">
        <v>1744</v>
      </c>
      <c r="O1958" s="22" t="n">
        <v>2057920</v>
      </c>
      <c r="P1958" s="22" t="n">
        <v>1744</v>
      </c>
      <c r="Q1958" s="22" t="n">
        <v>2057920</v>
      </c>
      <c r="R1958" s="42">
        <f>+L1958+N1958-P1958</f>
        <v/>
      </c>
      <c r="S1958" s="42">
        <f>+M1958+O1958-Q1958</f>
        <v/>
      </c>
    </row>
    <row r="1959" ht="30" customHeight="1">
      <c r="A1959" s="16" t="n">
        <v>45827</v>
      </c>
      <c r="B1959" s="17" t="inlineStr">
        <is>
          <t>MH2506-40</t>
        </is>
      </c>
      <c r="C1959" s="16" t="n">
        <v>45827</v>
      </c>
      <c r="D1959" s="17" t="inlineStr">
        <is>
          <t>00002301</t>
        </is>
      </c>
      <c r="E1959" s="16" t="n">
        <v>45827</v>
      </c>
      <c r="F1959" s="16" t="inlineStr">
        <is>
          <t>XK2506-22</t>
        </is>
      </c>
      <c r="G1959" s="16" t="n">
        <v>45827</v>
      </c>
      <c r="H1959" s="17" t="inlineStr">
        <is>
          <t>CÔNG TY CỔ PHẦN CÔNG NGHIỆP VÀ THƯƠNG MẠI CƯỜNG THỊNH</t>
        </is>
      </c>
      <c r="I1959" s="17" t="inlineStr">
        <is>
          <t>Bulong neo I 8.8 ZP M24x530</t>
        </is>
      </c>
      <c r="J1959" s="17" t="inlineStr">
        <is>
          <t>Cái</t>
        </is>
      </c>
      <c r="K1959" s="21" t="n">
        <v>74040</v>
      </c>
      <c r="L1959" s="21" t="n"/>
      <c r="M1959" s="22" t="n"/>
      <c r="N1959" s="22" t="n">
        <v>275</v>
      </c>
      <c r="O1959" s="22" t="n">
        <v>20361000</v>
      </c>
      <c r="P1959" s="22" t="n">
        <v>275</v>
      </c>
      <c r="Q1959" s="22" t="n">
        <v>20361000</v>
      </c>
      <c r="R1959" s="42">
        <f>+L1959+N1959-P1959</f>
        <v/>
      </c>
      <c r="S1959" s="42">
        <f>+M1959+O1959-Q1959</f>
        <v/>
      </c>
    </row>
    <row r="1960" ht="30" customHeight="1">
      <c r="A1960" s="16" t="n">
        <v>45827</v>
      </c>
      <c r="B1960" s="17" t="inlineStr">
        <is>
          <t>MH2506-40</t>
        </is>
      </c>
      <c r="C1960" s="16" t="n">
        <v>45827</v>
      </c>
      <c r="D1960" s="17" t="inlineStr">
        <is>
          <t>00002301</t>
        </is>
      </c>
      <c r="E1960" s="16" t="n">
        <v>45827</v>
      </c>
      <c r="F1960" s="16" t="inlineStr">
        <is>
          <t>XK2506-22</t>
        </is>
      </c>
      <c r="G1960" s="16" t="n">
        <v>45827</v>
      </c>
      <c r="H1960" s="17" t="inlineStr">
        <is>
          <t>CÔNG TY CỔ PHẦN CÔNG NGHIỆP VÀ THƯƠNG MẠI CƯỜNG THỊNH</t>
        </is>
      </c>
      <c r="I1960" s="17" t="inlineStr">
        <is>
          <t>Đai ốc Din 934 8 ZP M24</t>
        </is>
      </c>
      <c r="J1960" s="17" t="inlineStr">
        <is>
          <t>Cái</t>
        </is>
      </c>
      <c r="K1960" s="21" t="n">
        <v>3500</v>
      </c>
      <c r="L1960" s="21" t="n"/>
      <c r="M1960" s="22" t="n"/>
      <c r="N1960" s="22" t="n">
        <v>1100</v>
      </c>
      <c r="O1960" s="22" t="n">
        <v>3850000</v>
      </c>
      <c r="P1960" s="22" t="n">
        <v>1100</v>
      </c>
      <c r="Q1960" s="22" t="n">
        <v>3850000</v>
      </c>
      <c r="R1960" s="42">
        <f>+L1960+N1960-P1960</f>
        <v/>
      </c>
      <c r="S1960" s="42">
        <f>+M1960+O1960-Q1960</f>
        <v/>
      </c>
    </row>
    <row r="1961" ht="30" customHeight="1">
      <c r="A1961" s="16" t="n">
        <v>45827</v>
      </c>
      <c r="B1961" s="17" t="inlineStr">
        <is>
          <t>MH2506-40</t>
        </is>
      </c>
      <c r="C1961" s="16" t="n">
        <v>45827</v>
      </c>
      <c r="D1961" s="17" t="inlineStr">
        <is>
          <t>00002301</t>
        </is>
      </c>
      <c r="E1961" s="16" t="n">
        <v>45827</v>
      </c>
      <c r="F1961" s="16" t="inlineStr">
        <is>
          <t>XK2506-22</t>
        </is>
      </c>
      <c r="G1961" s="16" t="n">
        <v>45827</v>
      </c>
      <c r="H1961" s="17" t="inlineStr">
        <is>
          <t>CÔNG TY CỔ PHẦN CÔNG NGHIỆP VÀ THƯƠNG MẠI CƯỜNG THỊNH</t>
        </is>
      </c>
      <c r="I1961" s="17" t="inlineStr">
        <is>
          <t>Long đền thường ZP M24B45D2</t>
        </is>
      </c>
      <c r="J1961" s="17" t="inlineStr">
        <is>
          <t>Cái</t>
        </is>
      </c>
      <c r="K1961" s="21" t="n">
        <v>770</v>
      </c>
      <c r="L1961" s="21" t="n"/>
      <c r="M1961" s="22" t="n"/>
      <c r="N1961" s="22" t="n">
        <v>275</v>
      </c>
      <c r="O1961" s="22" t="n">
        <v>211750</v>
      </c>
      <c r="P1961" s="22" t="n">
        <v>275</v>
      </c>
      <c r="Q1961" s="22" t="n">
        <v>211750</v>
      </c>
      <c r="R1961" s="42">
        <f>+L1961+N1961-P1961</f>
        <v/>
      </c>
      <c r="S1961" s="42">
        <f>+M1961+O1961-Q1961</f>
        <v/>
      </c>
    </row>
    <row r="1962" ht="30" customHeight="1">
      <c r="A1962" s="16" t="n">
        <v>45827</v>
      </c>
      <c r="B1962" s="17" t="inlineStr">
        <is>
          <t>MH2506-40</t>
        </is>
      </c>
      <c r="C1962" s="16" t="n">
        <v>45827</v>
      </c>
      <c r="D1962" s="17" t="inlineStr">
        <is>
          <t>00002301</t>
        </is>
      </c>
      <c r="E1962" s="16" t="n">
        <v>45827</v>
      </c>
      <c r="F1962" s="16" t="inlineStr">
        <is>
          <t>XK2506-22</t>
        </is>
      </c>
      <c r="G1962" s="16" t="n">
        <v>45827</v>
      </c>
      <c r="H1962" s="17" t="inlineStr">
        <is>
          <t>CÔNG TY CỔ PHẦN CÔNG NGHIỆP VÀ THƯƠNG MẠI CƯỜNG THỊNH</t>
        </is>
      </c>
      <c r="I1962" s="17" t="inlineStr">
        <is>
          <t>Bulong neo I 8.8 ZP M30x645</t>
        </is>
      </c>
      <c r="J1962" s="17" t="inlineStr">
        <is>
          <t>Cái</t>
        </is>
      </c>
      <c r="K1962" s="21" t="n">
        <v>134720</v>
      </c>
      <c r="L1962" s="21" t="n"/>
      <c r="M1962" s="22" t="n"/>
      <c r="N1962" s="22" t="n">
        <v>147</v>
      </c>
      <c r="O1962" s="22" t="n">
        <v>19803840</v>
      </c>
      <c r="P1962" s="22" t="n">
        <v>147</v>
      </c>
      <c r="Q1962" s="22" t="n">
        <v>19803840</v>
      </c>
      <c r="R1962" s="42">
        <f>+L1962+N1962-P1962</f>
        <v/>
      </c>
      <c r="S1962" s="42">
        <f>+M1962+O1962-Q1962</f>
        <v/>
      </c>
    </row>
    <row r="1963" ht="30" customHeight="1">
      <c r="A1963" s="16" t="n">
        <v>45827</v>
      </c>
      <c r="B1963" s="17" t="inlineStr">
        <is>
          <t>MH2506-40</t>
        </is>
      </c>
      <c r="C1963" s="16" t="n">
        <v>45827</v>
      </c>
      <c r="D1963" s="17" t="inlineStr">
        <is>
          <t>00002301</t>
        </is>
      </c>
      <c r="E1963" s="16" t="n">
        <v>45827</v>
      </c>
      <c r="F1963" s="16" t="inlineStr">
        <is>
          <t>XK2506-22</t>
        </is>
      </c>
      <c r="G1963" s="16" t="n">
        <v>45827</v>
      </c>
      <c r="H1963" s="17" t="inlineStr">
        <is>
          <t>CÔNG TY CỔ PHẦN CÔNG NGHIỆP VÀ THƯƠNG MẠI CƯỜNG THỊNH</t>
        </is>
      </c>
      <c r="I1963" s="17" t="inlineStr">
        <is>
          <t>Đai ốc Din 934 8 ZP M30</t>
        </is>
      </c>
      <c r="J1963" s="17" t="inlineStr">
        <is>
          <t>Cái</t>
        </is>
      </c>
      <c r="K1963" s="21" t="n">
        <v>7750</v>
      </c>
      <c r="L1963" s="21" t="n"/>
      <c r="M1963" s="22" t="n"/>
      <c r="N1963" s="22" t="n">
        <v>588</v>
      </c>
      <c r="O1963" s="22" t="n">
        <v>4557000</v>
      </c>
      <c r="P1963" s="22" t="n">
        <v>588</v>
      </c>
      <c r="Q1963" s="22" t="n">
        <v>4557000</v>
      </c>
      <c r="R1963" s="42">
        <f>+L1963+N1963-P1963</f>
        <v/>
      </c>
      <c r="S1963" s="42">
        <f>+M1963+O1963-Q1963</f>
        <v/>
      </c>
    </row>
    <row r="1964" ht="30" customHeight="1">
      <c r="A1964" s="16" t="n">
        <v>45827</v>
      </c>
      <c r="B1964" s="17" t="inlineStr">
        <is>
          <t>MH2506-40</t>
        </is>
      </c>
      <c r="C1964" s="16" t="n">
        <v>45827</v>
      </c>
      <c r="D1964" s="17" t="inlineStr">
        <is>
          <t>00002301</t>
        </is>
      </c>
      <c r="E1964" s="16" t="n">
        <v>45827</v>
      </c>
      <c r="F1964" s="16" t="inlineStr">
        <is>
          <t>XK2506-22</t>
        </is>
      </c>
      <c r="G1964" s="16" t="n">
        <v>45827</v>
      </c>
      <c r="H1964" s="17" t="inlineStr">
        <is>
          <t>CÔNG TY CỔ PHẦN CÔNG NGHIỆP VÀ THƯƠNG MẠI CƯỜNG THỊNH</t>
        </is>
      </c>
      <c r="I1964" s="17" t="inlineStr">
        <is>
          <t>Long đền thường ZP M30B60D2</t>
        </is>
      </c>
      <c r="J1964" s="17" t="inlineStr">
        <is>
          <t>Cái</t>
        </is>
      </c>
      <c r="K1964" s="21" t="n">
        <v>1180</v>
      </c>
      <c r="L1964" s="21" t="n"/>
      <c r="M1964" s="22" t="n"/>
      <c r="N1964" s="22" t="n">
        <v>147</v>
      </c>
      <c r="O1964" s="22" t="n">
        <v>173460</v>
      </c>
      <c r="P1964" s="22" t="n">
        <v>147</v>
      </c>
      <c r="Q1964" s="22" t="n">
        <v>173460</v>
      </c>
      <c r="R1964" s="42">
        <f>+L1964+N1964-P1964</f>
        <v/>
      </c>
      <c r="S1964" s="42">
        <f>+M1964+O1964-Q1964</f>
        <v/>
      </c>
    </row>
    <row r="1965" ht="30" customHeight="1">
      <c r="A1965" s="16" t="n">
        <v>45827</v>
      </c>
      <c r="B1965" s="17" t="inlineStr">
        <is>
          <t>MH2506-41</t>
        </is>
      </c>
      <c r="C1965" s="16" t="n">
        <v>45827</v>
      </c>
      <c r="D1965" s="17" t="inlineStr">
        <is>
          <t>00000549</t>
        </is>
      </c>
      <c r="E1965" s="16" t="n">
        <v>45827</v>
      </c>
      <c r="F1965" s="16" t="inlineStr">
        <is>
          <t>XK2506-22</t>
        </is>
      </c>
      <c r="G1965" s="16" t="n">
        <v>45827</v>
      </c>
      <c r="H1965" s="17" t="inlineStr">
        <is>
          <t>CÔNG TY TNHH XUẤT NHẬP KHẨU THƯƠNG MẠI KIÊN HOÀNG</t>
        </is>
      </c>
      <c r="I1965" s="17" t="inlineStr">
        <is>
          <t>Thép tấm (57 x 364 x 9200mm)</t>
        </is>
      </c>
      <c r="J1965" s="17" t="inlineStr">
        <is>
          <t>kg</t>
        </is>
      </c>
      <c r="K1965" s="21" t="n">
        <v>16909.09</v>
      </c>
      <c r="L1965" s="21" t="n"/>
      <c r="M1965" s="22" t="n"/>
      <c r="N1965" s="22" t="n">
        <v>5993.68</v>
      </c>
      <c r="O1965" s="22" t="n">
        <v>101347675</v>
      </c>
      <c r="P1965" s="22" t="n">
        <v>5993.68</v>
      </c>
      <c r="Q1965" s="22" t="n">
        <v>101347675</v>
      </c>
      <c r="R1965" s="42">
        <f>+L1965+N1965-P1965</f>
        <v/>
      </c>
      <c r="S1965" s="42">
        <f>+M1965+O1965-Q1965</f>
        <v/>
      </c>
    </row>
    <row r="1966" ht="30" customHeight="1">
      <c r="A1966" s="16" t="n">
        <v>45827</v>
      </c>
      <c r="B1966" s="17" t="inlineStr">
        <is>
          <t>MH2506-41</t>
        </is>
      </c>
      <c r="C1966" s="16" t="n">
        <v>45827</v>
      </c>
      <c r="D1966" s="17" t="inlineStr">
        <is>
          <t>00000549</t>
        </is>
      </c>
      <c r="E1966" s="16" t="n">
        <v>45827</v>
      </c>
      <c r="F1966" s="16" t="inlineStr">
        <is>
          <t>XK2506-22</t>
        </is>
      </c>
      <c r="G1966" s="16" t="n">
        <v>45827</v>
      </c>
      <c r="H1966" s="17" t="inlineStr">
        <is>
          <t>CÔNG TY TNHH XUẤT NHẬP KHẨU THƯƠNG MẠI KIÊN HOÀNG</t>
        </is>
      </c>
      <c r="I1966" s="17" t="inlineStr">
        <is>
          <t>Thép tấm (70 x 330 x 800mm)</t>
        </is>
      </c>
      <c r="J1966" s="17" t="inlineStr">
        <is>
          <t>kg</t>
        </is>
      </c>
      <c r="K1966" s="21" t="n">
        <v>17327.27</v>
      </c>
      <c r="L1966" s="21" t="n"/>
      <c r="M1966" s="22" t="n"/>
      <c r="N1966" s="22" t="n">
        <v>7945.58</v>
      </c>
      <c r="O1966" s="22" t="n">
        <v>137675210</v>
      </c>
      <c r="P1966" s="22" t="n">
        <v>7945.58</v>
      </c>
      <c r="Q1966" s="22" t="n">
        <v>137675210</v>
      </c>
      <c r="R1966" s="42">
        <f>+L1966+N1966-P1966</f>
        <v/>
      </c>
      <c r="S1966" s="42">
        <f>+M1966+O1966-Q1966</f>
        <v/>
      </c>
    </row>
    <row r="1967" ht="30" customHeight="1">
      <c r="A1967" s="16" t="n">
        <v>45827</v>
      </c>
      <c r="B1967" s="17" t="inlineStr">
        <is>
          <t>MH2506-41</t>
        </is>
      </c>
      <c r="C1967" s="16" t="n">
        <v>45827</v>
      </c>
      <c r="D1967" s="17" t="inlineStr">
        <is>
          <t>00000549</t>
        </is>
      </c>
      <c r="E1967" s="16" t="n">
        <v>45827</v>
      </c>
      <c r="F1967" s="16" t="inlineStr">
        <is>
          <t>XK2506-22</t>
        </is>
      </c>
      <c r="G1967" s="16" t="n">
        <v>45827</v>
      </c>
      <c r="H1967" s="17" t="inlineStr">
        <is>
          <t>CÔNG TY TNHH XUẤT NHẬP KHẨU THƯƠNG MẠI KIÊN HOÀNG</t>
        </is>
      </c>
      <c r="I1967" s="17" t="inlineStr">
        <is>
          <t>Thép tấm (70 x 337 x 911mm)</t>
        </is>
      </c>
      <c r="J1967" s="17" t="inlineStr">
        <is>
          <t>kg</t>
        </is>
      </c>
      <c r="K1967" s="21" t="n">
        <v>17327.27</v>
      </c>
      <c r="L1967" s="21" t="n"/>
      <c r="M1967" s="22" t="n"/>
      <c r="N1967" s="22" t="n">
        <v>1368.88</v>
      </c>
      <c r="O1967" s="22" t="n">
        <v>23718953</v>
      </c>
      <c r="P1967" s="22" t="n">
        <v>1368.88</v>
      </c>
      <c r="Q1967" s="22" t="n">
        <v>23718953</v>
      </c>
      <c r="R1967" s="42">
        <f>+L1967+N1967-P1967</f>
        <v/>
      </c>
      <c r="S1967" s="42">
        <f>+M1967+O1967-Q1967</f>
        <v/>
      </c>
    </row>
    <row r="1968" ht="30" customHeight="1">
      <c r="A1968" s="16" t="n">
        <v>45828</v>
      </c>
      <c r="B1968" s="17" t="inlineStr">
        <is>
          <t>MH2506-43</t>
        </is>
      </c>
      <c r="C1968" s="16" t="n">
        <v>45828</v>
      </c>
      <c r="D1968" s="17" t="inlineStr">
        <is>
          <t>00003252</t>
        </is>
      </c>
      <c r="E1968" s="16" t="n">
        <v>45828</v>
      </c>
      <c r="F1968" s="16" t="inlineStr">
        <is>
          <t>XK2506-23</t>
        </is>
      </c>
      <c r="G1968" s="16" t="n">
        <v>45828</v>
      </c>
      <c r="H1968" s="17" t="inlineStr">
        <is>
          <t>CÔNG TY TNHH MTV SẢN XUẤT THƯƠNG MẠI DỊCH VỤ THANH HUYỀN</t>
        </is>
      </c>
      <c r="I1968" s="17" t="inlineStr">
        <is>
          <t>Thép lá mạ</t>
        </is>
      </c>
      <c r="J1968" s="17" t="inlineStr">
        <is>
          <t>kg</t>
        </is>
      </c>
      <c r="K1968" s="21" t="n">
        <v>18190.63</v>
      </c>
      <c r="L1968" s="21" t="n"/>
      <c r="M1968" s="22" t="n"/>
      <c r="N1968" s="22" t="n">
        <v>1445</v>
      </c>
      <c r="O1968" s="22" t="n">
        <v>26285455</v>
      </c>
      <c r="P1968" s="22" t="n">
        <v>1445</v>
      </c>
      <c r="Q1968" s="22" t="n">
        <v>26285455</v>
      </c>
      <c r="R1968" s="42">
        <f>+L1968+N1968-P1968</f>
        <v/>
      </c>
      <c r="S1968" s="42">
        <f>+M1968+O1968-Q1968</f>
        <v/>
      </c>
    </row>
    <row r="1969" ht="30" customHeight="1">
      <c r="A1969" s="16" t="n">
        <v>45828</v>
      </c>
      <c r="B1969" s="17" t="inlineStr">
        <is>
          <t>MH2506-44</t>
        </is>
      </c>
      <c r="C1969" s="16" t="n">
        <v>45828</v>
      </c>
      <c r="D1969" s="17" t="inlineStr">
        <is>
          <t>00001149</t>
        </is>
      </c>
      <c r="E1969" s="16" t="n">
        <v>45828</v>
      </c>
      <c r="F1969" s="16" t="inlineStr">
        <is>
          <t>XK2506-24</t>
        </is>
      </c>
      <c r="G1969" s="16" t="n">
        <v>45828</v>
      </c>
      <c r="H1969" s="17" t="inlineStr">
        <is>
          <t>CÔNG TY TNHH DỊCH VỤ - THƯƠNG MẠI THÉP THIÊN LONG</t>
        </is>
      </c>
      <c r="I1969" s="17" t="inlineStr">
        <is>
          <t>Thép tấm 5ly</t>
        </is>
      </c>
      <c r="J1969" s="17" t="inlineStr">
        <is>
          <t>kg</t>
        </is>
      </c>
      <c r="K1969" s="21" t="n">
        <v>13454.54</v>
      </c>
      <c r="L1969" s="21" t="n"/>
      <c r="M1969" s="22" t="n"/>
      <c r="N1969" s="22" t="n">
        <v>43332</v>
      </c>
      <c r="O1969" s="22" t="n">
        <v>583012127</v>
      </c>
      <c r="P1969" s="22" t="n">
        <v>43332</v>
      </c>
      <c r="Q1969" s="22" t="n">
        <v>583012127</v>
      </c>
      <c r="R1969" s="42">
        <f>+L1969+N1969-P1969</f>
        <v/>
      </c>
      <c r="S1969" s="42">
        <f>+M1969+O1969-Q1969</f>
        <v/>
      </c>
    </row>
    <row r="1970" ht="30" customHeight="1">
      <c r="A1970" s="16" t="n">
        <v>45828</v>
      </c>
      <c r="B1970" s="17" t="inlineStr">
        <is>
          <t>MH2506-44</t>
        </is>
      </c>
      <c r="C1970" s="16" t="n">
        <v>45828</v>
      </c>
      <c r="D1970" s="17" t="inlineStr">
        <is>
          <t>00001149</t>
        </is>
      </c>
      <c r="E1970" s="16" t="n">
        <v>45828</v>
      </c>
      <c r="F1970" s="16" t="inlineStr">
        <is>
          <t>XK2506-24</t>
        </is>
      </c>
      <c r="G1970" s="16" t="n">
        <v>45828</v>
      </c>
      <c r="H1970" s="17" t="inlineStr">
        <is>
          <t>CÔNG TY TNHH DỊCH VỤ - THƯƠNG MẠI THÉP THIÊN LONG</t>
        </is>
      </c>
      <c r="I1970" s="17" t="inlineStr">
        <is>
          <t>Thép tấm 6ly</t>
        </is>
      </c>
      <c r="J1970" s="17" t="inlineStr">
        <is>
          <t>kg</t>
        </is>
      </c>
      <c r="K1970" s="21" t="n">
        <v>13454.54</v>
      </c>
      <c r="L1970" s="21" t="n"/>
      <c r="M1970" s="22" t="n"/>
      <c r="N1970" s="22" t="n">
        <v>42955.2</v>
      </c>
      <c r="O1970" s="22" t="n">
        <v>577942457</v>
      </c>
      <c r="P1970" s="22" t="n">
        <v>42955.2</v>
      </c>
      <c r="Q1970" s="22" t="n">
        <v>577942457</v>
      </c>
      <c r="R1970" s="42">
        <f>+L1970+N1970-P1970</f>
        <v/>
      </c>
      <c r="S1970" s="42">
        <f>+M1970+O1970-Q1970</f>
        <v/>
      </c>
    </row>
    <row r="1971" ht="30" customHeight="1">
      <c r="A1971" s="16" t="n">
        <v>45828</v>
      </c>
      <c r="B1971" s="17" t="inlineStr">
        <is>
          <t>MH2506-44</t>
        </is>
      </c>
      <c r="C1971" s="16" t="n">
        <v>45828</v>
      </c>
      <c r="D1971" s="17" t="inlineStr">
        <is>
          <t>00001149</t>
        </is>
      </c>
      <c r="E1971" s="16" t="n">
        <v>45828</v>
      </c>
      <c r="F1971" s="16" t="inlineStr">
        <is>
          <t>XK2506-24</t>
        </is>
      </c>
      <c r="G1971" s="16" t="n">
        <v>45828</v>
      </c>
      <c r="H1971" s="17" t="inlineStr">
        <is>
          <t>CÔNG TY TNHH DỊCH VỤ - THƯƠNG MẠI THÉP THIÊN LONG</t>
        </is>
      </c>
      <c r="I1971" s="17" t="inlineStr">
        <is>
          <t>Thép tấm 8ly</t>
        </is>
      </c>
      <c r="J1971" s="17" t="inlineStr">
        <is>
          <t>kg</t>
        </is>
      </c>
      <c r="K1971" s="21" t="n">
        <v>13454.54</v>
      </c>
      <c r="L1971" s="21" t="n"/>
      <c r="M1971" s="22" t="n"/>
      <c r="N1971" s="22" t="n">
        <v>60288</v>
      </c>
      <c r="O1971" s="22" t="n">
        <v>811147308</v>
      </c>
      <c r="P1971" s="22" t="n">
        <v>60288</v>
      </c>
      <c r="Q1971" s="22" t="n">
        <v>811147308</v>
      </c>
      <c r="R1971" s="42">
        <f>+L1971+N1971-P1971</f>
        <v/>
      </c>
      <c r="S1971" s="42">
        <f>+M1971+O1971-Q1971</f>
        <v/>
      </c>
    </row>
    <row r="1972" ht="30" customHeight="1">
      <c r="A1972" s="16" t="n">
        <v>45828</v>
      </c>
      <c r="B1972" s="17" t="inlineStr">
        <is>
          <t>MH2506-44</t>
        </is>
      </c>
      <c r="C1972" s="16" t="n">
        <v>45828</v>
      </c>
      <c r="D1972" s="17" t="inlineStr">
        <is>
          <t>00001149</t>
        </is>
      </c>
      <c r="E1972" s="16" t="n">
        <v>45828</v>
      </c>
      <c r="F1972" s="16" t="inlineStr">
        <is>
          <t>XK2506-24</t>
        </is>
      </c>
      <c r="G1972" s="16" t="n">
        <v>45828</v>
      </c>
      <c r="H1972" s="17" t="inlineStr">
        <is>
          <t>CÔNG TY TNHH DỊCH VỤ - THƯƠNG MẠI THÉP THIÊN LONG</t>
        </is>
      </c>
      <c r="I1972" s="17" t="inlineStr">
        <is>
          <t>Thép tấm 10ly</t>
        </is>
      </c>
      <c r="J1972" s="17" t="inlineStr">
        <is>
          <t>kg</t>
        </is>
      </c>
      <c r="K1972" s="21" t="n">
        <v>13454.54</v>
      </c>
      <c r="L1972" s="21" t="n"/>
      <c r="M1972" s="22" t="n"/>
      <c r="N1972" s="22" t="n">
        <v>96084</v>
      </c>
      <c r="O1972" s="22" t="n">
        <v>1292766021</v>
      </c>
      <c r="P1972" s="22" t="n">
        <v>96084</v>
      </c>
      <c r="Q1972" s="22" t="n">
        <v>1292766021</v>
      </c>
      <c r="R1972" s="42">
        <f>+L1972+N1972-P1972</f>
        <v/>
      </c>
      <c r="S1972" s="42">
        <f>+M1972+O1972-Q1972</f>
        <v/>
      </c>
    </row>
    <row r="1973" ht="30" customHeight="1">
      <c r="A1973" s="16" t="n">
        <v>45828</v>
      </c>
      <c r="B1973" s="17" t="inlineStr">
        <is>
          <t>MH2506-44</t>
        </is>
      </c>
      <c r="C1973" s="16" t="n">
        <v>45828</v>
      </c>
      <c r="D1973" s="17" t="inlineStr">
        <is>
          <t>00001149</t>
        </is>
      </c>
      <c r="E1973" s="16" t="n">
        <v>45828</v>
      </c>
      <c r="F1973" s="16" t="inlineStr">
        <is>
          <t>XK2506-24</t>
        </is>
      </c>
      <c r="G1973" s="16" t="n">
        <v>45828</v>
      </c>
      <c r="H1973" s="17" t="inlineStr">
        <is>
          <t>CÔNG TY TNHH DỊCH VỤ - THƯƠNG MẠI THÉP THIÊN LONG</t>
        </is>
      </c>
      <c r="I1973" s="17" t="inlineStr">
        <is>
          <t>Thép tấm 12ly</t>
        </is>
      </c>
      <c r="J1973" s="17" t="inlineStr">
        <is>
          <t>kg</t>
        </is>
      </c>
      <c r="K1973" s="21" t="n">
        <v>13454.54</v>
      </c>
      <c r="L1973" s="21" t="n"/>
      <c r="M1973" s="22" t="n"/>
      <c r="N1973" s="22" t="n">
        <v>140169.6</v>
      </c>
      <c r="O1973" s="22" t="n">
        <v>1885917490</v>
      </c>
      <c r="P1973" s="22" t="n">
        <v>140169.6</v>
      </c>
      <c r="Q1973" s="22" t="n">
        <v>1885917490</v>
      </c>
      <c r="R1973" s="42">
        <f>+L1973+N1973-P1973</f>
        <v/>
      </c>
      <c r="S1973" s="42">
        <f>+M1973+O1973-Q1973</f>
        <v/>
      </c>
    </row>
    <row r="1974" ht="30" customHeight="1">
      <c r="A1974" s="16" t="n">
        <v>45828</v>
      </c>
      <c r="B1974" s="17" t="inlineStr">
        <is>
          <t>MH2506-44</t>
        </is>
      </c>
      <c r="C1974" s="16" t="n">
        <v>45828</v>
      </c>
      <c r="D1974" s="17" t="inlineStr">
        <is>
          <t>00001149</t>
        </is>
      </c>
      <c r="E1974" s="16" t="n">
        <v>45828</v>
      </c>
      <c r="F1974" s="16" t="inlineStr">
        <is>
          <t>XK2506-24</t>
        </is>
      </c>
      <c r="G1974" s="16" t="n">
        <v>45828</v>
      </c>
      <c r="H1974" s="17" t="inlineStr">
        <is>
          <t>CÔNG TY TNHH DỊCH VỤ - THƯƠNG MẠI THÉP THIÊN LONG</t>
        </is>
      </c>
      <c r="I1974" s="17" t="inlineStr">
        <is>
          <t>Thép tấm 14ly</t>
        </is>
      </c>
      <c r="J1974" s="17" t="inlineStr">
        <is>
          <t>kg</t>
        </is>
      </c>
      <c r="K1974" s="21" t="n">
        <v>14363.63</v>
      </c>
      <c r="L1974" s="21" t="n"/>
      <c r="M1974" s="22" t="n"/>
      <c r="N1974" s="22" t="n">
        <v>160893.6</v>
      </c>
      <c r="O1974" s="22" t="n">
        <v>2311016140</v>
      </c>
      <c r="P1974" s="22" t="n">
        <v>160893.6</v>
      </c>
      <c r="Q1974" s="22" t="n">
        <v>2311016140</v>
      </c>
      <c r="R1974" s="42">
        <f>+L1974+N1974-P1974</f>
        <v/>
      </c>
      <c r="S1974" s="42">
        <f>+M1974+O1974-Q1974</f>
        <v/>
      </c>
    </row>
    <row r="1975" ht="30" customHeight="1">
      <c r="A1975" s="16" t="n">
        <v>45828</v>
      </c>
      <c r="B1975" s="17" t="inlineStr">
        <is>
          <t>MH2506-44</t>
        </is>
      </c>
      <c r="C1975" s="16" t="n">
        <v>45828</v>
      </c>
      <c r="D1975" s="17" t="inlineStr">
        <is>
          <t>00001149</t>
        </is>
      </c>
      <c r="E1975" s="16" t="n">
        <v>45828</v>
      </c>
      <c r="F1975" s="16" t="inlineStr">
        <is>
          <t>XK2506-24</t>
        </is>
      </c>
      <c r="G1975" s="16" t="n">
        <v>45828</v>
      </c>
      <c r="H1975" s="17" t="inlineStr">
        <is>
          <t>CÔNG TY TNHH DỊCH VỤ - THƯƠNG MẠI THÉP THIÊN LONG</t>
        </is>
      </c>
      <c r="I1975" s="17" t="inlineStr">
        <is>
          <t>Thép tấm 16ly</t>
        </is>
      </c>
      <c r="J1975" s="17" t="inlineStr">
        <is>
          <t>kg</t>
        </is>
      </c>
      <c r="K1975" s="21" t="n">
        <v>14363.63</v>
      </c>
      <c r="L1975" s="21" t="n"/>
      <c r="M1975" s="22" t="n"/>
      <c r="N1975" s="22" t="n">
        <v>21100.8</v>
      </c>
      <c r="O1975" s="22" t="n">
        <v>303084084</v>
      </c>
      <c r="P1975" s="22" t="n">
        <v>21100.8</v>
      </c>
      <c r="Q1975" s="22" t="n">
        <v>303084084</v>
      </c>
      <c r="R1975" s="42">
        <f>+L1975+N1975-P1975</f>
        <v/>
      </c>
      <c r="S1975" s="42">
        <f>+M1975+O1975-Q1975</f>
        <v/>
      </c>
    </row>
    <row r="1976" ht="30" customHeight="1">
      <c r="A1976" s="16" t="n">
        <v>45828</v>
      </c>
      <c r="B1976" s="17" t="inlineStr">
        <is>
          <t>MH2506-44</t>
        </is>
      </c>
      <c r="C1976" s="16" t="n">
        <v>45828</v>
      </c>
      <c r="D1976" s="17" t="inlineStr">
        <is>
          <t>00001149</t>
        </is>
      </c>
      <c r="E1976" s="16" t="n">
        <v>45828</v>
      </c>
      <c r="F1976" s="16" t="inlineStr">
        <is>
          <t>XK2506-24</t>
        </is>
      </c>
      <c r="G1976" s="16" t="n">
        <v>45828</v>
      </c>
      <c r="H1976" s="17" t="inlineStr">
        <is>
          <t>CÔNG TY TNHH DỊCH VỤ - THƯƠNG MẠI THÉP THIÊN LONG</t>
        </is>
      </c>
      <c r="I1976" s="17" t="inlineStr">
        <is>
          <t>Thép tấm 20ly</t>
        </is>
      </c>
      <c r="J1976" s="17" t="inlineStr">
        <is>
          <t>kg</t>
        </is>
      </c>
      <c r="K1976" s="21" t="n">
        <v>14363.63</v>
      </c>
      <c r="L1976" s="21" t="n"/>
      <c r="M1976" s="22" t="n"/>
      <c r="N1976" s="22" t="n">
        <v>195936</v>
      </c>
      <c r="O1976" s="22" t="n">
        <v>2814357462</v>
      </c>
      <c r="P1976" s="22" t="n">
        <v>195936</v>
      </c>
      <c r="Q1976" s="22" t="n">
        <v>2814357462</v>
      </c>
      <c r="R1976" s="42">
        <f>+L1976+N1976-P1976</f>
        <v/>
      </c>
      <c r="S1976" s="42">
        <f>+M1976+O1976-Q1976</f>
        <v/>
      </c>
      <c r="T1976" s="23" t="inlineStr">
        <is>
          <t>s</t>
        </is>
      </c>
      <c r="U1976" s="23" t="n">
        <v>223671866.8399982</v>
      </c>
      <c r="X1976" s="25" t="n"/>
    </row>
    <row r="1977" ht="30" customHeight="1">
      <c r="A1977" s="16" t="n">
        <v>45828</v>
      </c>
      <c r="B1977" s="17" t="inlineStr">
        <is>
          <t>MH2506-44</t>
        </is>
      </c>
      <c r="C1977" s="16" t="n">
        <v>45828</v>
      </c>
      <c r="D1977" s="17" t="inlineStr">
        <is>
          <t>00001149</t>
        </is>
      </c>
      <c r="E1977" s="16" t="n">
        <v>45828</v>
      </c>
      <c r="F1977" s="16" t="inlineStr">
        <is>
          <t>XK2506-24</t>
        </is>
      </c>
      <c r="G1977" s="16" t="n">
        <v>45828</v>
      </c>
      <c r="H1977" s="17" t="inlineStr">
        <is>
          <t>CÔNG TY TNHH DỊCH VỤ - THƯƠNG MẠI THÉP THIÊN LONG</t>
        </is>
      </c>
      <c r="I1977" s="17" t="inlineStr">
        <is>
          <t>Thép tấm 25ly</t>
        </is>
      </c>
      <c r="J1977" s="17" t="inlineStr">
        <is>
          <t>kg</t>
        </is>
      </c>
      <c r="K1977" s="21" t="n">
        <v>14363.63</v>
      </c>
      <c r="L1977" s="21" t="n"/>
      <c r="M1977" s="22" t="n"/>
      <c r="N1977" s="22" t="n">
        <v>84780</v>
      </c>
      <c r="O1977" s="22" t="n">
        <v>1217748551</v>
      </c>
      <c r="P1977" s="22" t="n">
        <v>84780</v>
      </c>
      <c r="Q1977" s="22" t="n">
        <v>1217748551</v>
      </c>
      <c r="R1977" s="42">
        <f>+L1977+N1977-P1977</f>
        <v/>
      </c>
      <c r="S1977" s="42">
        <f>+M1977+O1977-Q1977</f>
        <v/>
      </c>
      <c r="U1977" s="23">
        <f>+Q1976/P1976</f>
        <v/>
      </c>
    </row>
    <row r="1978" ht="30" customHeight="1">
      <c r="A1978" s="16" t="n">
        <v>45828</v>
      </c>
      <c r="B1978" s="17" t="inlineStr">
        <is>
          <t>MH2506-44</t>
        </is>
      </c>
      <c r="C1978" s="16" t="n">
        <v>45828</v>
      </c>
      <c r="D1978" s="17" t="inlineStr">
        <is>
          <t>00001149</t>
        </is>
      </c>
      <c r="E1978" s="16" t="n">
        <v>45828</v>
      </c>
      <c r="F1978" s="16" t="inlineStr">
        <is>
          <t>XK2506-24</t>
        </is>
      </c>
      <c r="G1978" s="16" t="n">
        <v>45828</v>
      </c>
      <c r="H1978" s="17" t="inlineStr">
        <is>
          <t>CÔNG TY TNHH DỊCH VỤ - THƯƠNG MẠI THÉP THIÊN LONG</t>
        </is>
      </c>
      <c r="I1978" s="17" t="inlineStr">
        <is>
          <t>Thép tấm 30ly</t>
        </is>
      </c>
      <c r="J1978" s="17" t="inlineStr">
        <is>
          <t>kg</t>
        </is>
      </c>
      <c r="K1978" s="21" t="n">
        <v>14363.63</v>
      </c>
      <c r="L1978" s="21" t="n"/>
      <c r="M1978" s="22" t="n"/>
      <c r="N1978" s="22" t="n">
        <v>28260</v>
      </c>
      <c r="O1978" s="22" t="n">
        <v>405916184</v>
      </c>
      <c r="P1978" s="22" t="n">
        <v>28260</v>
      </c>
      <c r="Q1978" s="22" t="n">
        <v>405916184</v>
      </c>
      <c r="R1978" s="42">
        <f>+L1978+N1978-P1978</f>
        <v/>
      </c>
      <c r="S1978" s="42">
        <f>+M1978+O1978-Q1978</f>
        <v/>
      </c>
      <c r="U1978" s="23">
        <f>+U1976/U1977</f>
        <v/>
      </c>
    </row>
    <row r="1979" ht="30" customHeight="1">
      <c r="A1979" s="16" t="n">
        <v>45828</v>
      </c>
      <c r="B1979" s="17" t="inlineStr">
        <is>
          <t>MH2506-44</t>
        </is>
      </c>
      <c r="C1979" s="16" t="n">
        <v>45828</v>
      </c>
      <c r="D1979" s="17" t="inlineStr">
        <is>
          <t>00001149</t>
        </is>
      </c>
      <c r="E1979" s="16" t="n">
        <v>45828</v>
      </c>
      <c r="F1979" s="16" t="inlineStr">
        <is>
          <t>XK2506-24</t>
        </is>
      </c>
      <c r="G1979" s="16" t="n">
        <v>45828</v>
      </c>
      <c r="H1979" s="17" t="inlineStr">
        <is>
          <t>CÔNG TY TNHH DỊCH VỤ - THƯƠNG MẠI THÉP THIÊN LONG</t>
        </is>
      </c>
      <c r="I1979" s="17" t="inlineStr">
        <is>
          <t>Thép tấm 35ly</t>
        </is>
      </c>
      <c r="J1979" s="17" t="inlineStr">
        <is>
          <t>kg</t>
        </is>
      </c>
      <c r="K1979" s="21" t="n">
        <v>14363.63</v>
      </c>
      <c r="L1979" s="21" t="n"/>
      <c r="M1979" s="22" t="n"/>
      <c r="N1979" s="22" t="n">
        <v>6594</v>
      </c>
      <c r="O1979" s="22" t="n">
        <v>94713776</v>
      </c>
      <c r="P1979" s="22" t="n">
        <v>6594</v>
      </c>
      <c r="Q1979" s="22" t="n">
        <v>94713776</v>
      </c>
      <c r="R1979" s="42">
        <f>+L1979+N1979-P1979</f>
        <v/>
      </c>
      <c r="S1979" s="42">
        <f>+M1979+O1979-Q1979</f>
        <v/>
      </c>
      <c r="U1979" s="25">
        <f>+P1976-U1978</f>
        <v/>
      </c>
    </row>
    <row r="1980" ht="30" customHeight="1">
      <c r="A1980" s="16" t="n">
        <v>45829</v>
      </c>
      <c r="B1980" s="17" t="inlineStr">
        <is>
          <t>MH2506-45</t>
        </is>
      </c>
      <c r="C1980" s="16" t="n">
        <v>45829</v>
      </c>
      <c r="D1980" s="17" t="inlineStr">
        <is>
          <t>00002330</t>
        </is>
      </c>
      <c r="E1980" s="16" t="n">
        <v>45829</v>
      </c>
      <c r="F1980" s="16" t="inlineStr">
        <is>
          <t>XK2506-25</t>
        </is>
      </c>
      <c r="G1980" s="16" t="n">
        <v>45829</v>
      </c>
      <c r="H1980" s="17" t="inlineStr">
        <is>
          <t>CÔNG TY CỔ PHẦN CÔNG NGHIỆP VÀ THƯƠNG MẠI CƯỜNG THỊNH</t>
        </is>
      </c>
      <c r="I1980" s="17" t="inlineStr">
        <is>
          <t>Cáp Ф19.5 6x36+IWRC M20</t>
        </is>
      </c>
      <c r="J1980" s="17" t="inlineStr">
        <is>
          <t>Mét</t>
        </is>
      </c>
      <c r="K1980" s="21" t="n">
        <v>99000</v>
      </c>
      <c r="L1980" s="21" t="n"/>
      <c r="M1980" s="22" t="n"/>
      <c r="N1980" s="22" t="n">
        <v>25.6</v>
      </c>
      <c r="O1980" s="22" t="n">
        <v>2534400</v>
      </c>
      <c r="P1980" s="22" t="n">
        <v>25.6</v>
      </c>
      <c r="Q1980" s="22" t="n">
        <v>2534400</v>
      </c>
      <c r="R1980" s="42">
        <f>+L1980+N1980-P1980</f>
        <v/>
      </c>
      <c r="S1980" s="42">
        <f>+M1980+O1980-Q1980</f>
        <v/>
      </c>
      <c r="U1980" s="25">
        <f>+O1976-U1976</f>
        <v/>
      </c>
    </row>
    <row r="1981" ht="30" customHeight="1">
      <c r="A1981" s="16" t="n">
        <v>45829</v>
      </c>
      <c r="B1981" s="17" t="inlineStr">
        <is>
          <t>MH2506-45</t>
        </is>
      </c>
      <c r="C1981" s="16" t="n">
        <v>45829</v>
      </c>
      <c r="D1981" s="17" t="inlineStr">
        <is>
          <t>00002330</t>
        </is>
      </c>
      <c r="E1981" s="16" t="n">
        <v>45829</v>
      </c>
      <c r="F1981" s="16" t="inlineStr">
        <is>
          <t>XK2506-25</t>
        </is>
      </c>
      <c r="G1981" s="16" t="n">
        <v>45829</v>
      </c>
      <c r="H1981" s="17" t="inlineStr">
        <is>
          <t>CÔNG TY CỔ PHẦN CÔNG NGHIỆP VÀ THƯƠNG MẠI CƯỜNG THỊNH</t>
        </is>
      </c>
      <c r="I1981" s="17" t="inlineStr">
        <is>
          <t>Chì (bấm) M20</t>
        </is>
      </c>
      <c r="J1981" s="17" t="inlineStr">
        <is>
          <t>Cái</t>
        </is>
      </c>
      <c r="K1981" s="21" t="n">
        <v>100000</v>
      </c>
      <c r="L1981" s="21" t="n"/>
      <c r="M1981" s="22" t="n"/>
      <c r="N1981" s="22" t="n">
        <v>4</v>
      </c>
      <c r="O1981" s="22" t="n">
        <v>400000</v>
      </c>
      <c r="P1981" s="22" t="n">
        <v>4</v>
      </c>
      <c r="Q1981" s="22" t="n">
        <v>400000</v>
      </c>
      <c r="R1981" s="42">
        <f>+L1981+N1981-P1981</f>
        <v/>
      </c>
      <c r="S1981" s="42">
        <f>+M1981+O1981-Q1981</f>
        <v/>
      </c>
    </row>
    <row r="1982" ht="30" customHeight="1">
      <c r="A1982" s="16" t="n">
        <v>45829</v>
      </c>
      <c r="B1982" s="17" t="inlineStr">
        <is>
          <t>MH2506-45</t>
        </is>
      </c>
      <c r="C1982" s="16" t="n">
        <v>45829</v>
      </c>
      <c r="D1982" s="17" t="inlineStr">
        <is>
          <t>00002330</t>
        </is>
      </c>
      <c r="E1982" s="16" t="n">
        <v>45829</v>
      </c>
      <c r="F1982" s="16" t="inlineStr">
        <is>
          <t>XK2506-25</t>
        </is>
      </c>
      <c r="G1982" s="16" t="n">
        <v>45829</v>
      </c>
      <c r="H1982" s="17" t="inlineStr">
        <is>
          <t>CÔNG TY CỔ PHẦN CÔNG NGHIỆP VÀ THƯƠNG MẠI CƯỜNG THỊNH</t>
        </is>
      </c>
      <c r="I1982" s="17" t="inlineStr">
        <is>
          <t>Dịch vụ vận chuyển</t>
        </is>
      </c>
      <c r="J1982" s="17" t="inlineStr">
        <is>
          <t>Lần</t>
        </is>
      </c>
      <c r="K1982" s="21" t="n">
        <v>500000</v>
      </c>
      <c r="L1982" s="21" t="n"/>
      <c r="M1982" s="22" t="n"/>
      <c r="N1982" s="22" t="n">
        <v>1</v>
      </c>
      <c r="O1982" s="22" t="n">
        <v>500000</v>
      </c>
      <c r="P1982" s="22" t="n">
        <v>1</v>
      </c>
      <c r="Q1982" s="22" t="n">
        <v>500000</v>
      </c>
      <c r="R1982" s="42">
        <f>+L1982+N1982-P1982</f>
        <v/>
      </c>
      <c r="S1982" s="42">
        <f>+M1982+O1982-Q1982</f>
        <v/>
      </c>
    </row>
    <row r="1983" ht="30" customHeight="1">
      <c r="A1983" s="16" t="n">
        <v>45832</v>
      </c>
      <c r="B1983" s="17" t="inlineStr">
        <is>
          <t>MH2506-46</t>
        </is>
      </c>
      <c r="C1983" s="16" t="n">
        <v>45832</v>
      </c>
      <c r="D1983" s="17" t="inlineStr">
        <is>
          <t>00003385</t>
        </is>
      </c>
      <c r="E1983" s="16" t="n">
        <v>45832</v>
      </c>
      <c r="F1983" s="16" t="inlineStr">
        <is>
          <t>XK2506-26</t>
        </is>
      </c>
      <c r="G1983" s="16" t="n">
        <v>45832</v>
      </c>
      <c r="H1983" s="17" t="inlineStr">
        <is>
          <t>Công Ty TNHH Đầu Tư Thương Mại Dịch Vụ Việt Tiến Phát</t>
        </is>
      </c>
      <c r="I1983" s="17" t="inlineStr">
        <is>
          <t>Thép hộp 50x50x1.8x6m</t>
        </is>
      </c>
      <c r="J1983" s="17" t="inlineStr">
        <is>
          <t>kg</t>
        </is>
      </c>
      <c r="K1983" s="21" t="n">
        <v>16827.84</v>
      </c>
      <c r="L1983" s="21" t="n"/>
      <c r="M1983" s="22" t="n"/>
      <c r="N1983" s="22" t="n">
        <v>4866</v>
      </c>
      <c r="O1983" s="22" t="n">
        <v>81884269</v>
      </c>
      <c r="P1983" s="22" t="n">
        <v>4866</v>
      </c>
      <c r="Q1983" s="22" t="n">
        <v>81884269</v>
      </c>
      <c r="R1983" s="42">
        <f>+L1983+N1983-P1983</f>
        <v/>
      </c>
      <c r="S1983" s="42">
        <f>+M1983+O1983-Q1983</f>
        <v/>
      </c>
    </row>
    <row r="1984" ht="30" customHeight="1">
      <c r="A1984" s="16" t="n">
        <v>45832</v>
      </c>
      <c r="B1984" s="17" t="inlineStr">
        <is>
          <t>MH2506-46</t>
        </is>
      </c>
      <c r="C1984" s="16" t="n">
        <v>45832</v>
      </c>
      <c r="D1984" s="17" t="inlineStr">
        <is>
          <t>00003385</t>
        </is>
      </c>
      <c r="E1984" s="16" t="n">
        <v>45832</v>
      </c>
      <c r="F1984" s="16" t="inlineStr">
        <is>
          <t>XK2506-26</t>
        </is>
      </c>
      <c r="G1984" s="16" t="n">
        <v>45832</v>
      </c>
      <c r="H1984" s="17" t="inlineStr">
        <is>
          <t>Công Ty TNHH Đầu Tư Thương Mại Dịch Vụ Việt Tiến Phát</t>
        </is>
      </c>
      <c r="I1984" s="17" t="inlineStr">
        <is>
          <t>Thép hộp 150x150x4.5x6m</t>
        </is>
      </c>
      <c r="J1984" s="17" t="inlineStr">
        <is>
          <t>kg</t>
        </is>
      </c>
      <c r="K1984" s="21" t="n">
        <v>16555.11</v>
      </c>
      <c r="L1984" s="21" t="n"/>
      <c r="M1984" s="22" t="n"/>
      <c r="N1984" s="22" t="n">
        <v>490.5</v>
      </c>
      <c r="O1984" s="22" t="n">
        <v>8120281</v>
      </c>
      <c r="P1984" s="22" t="n">
        <v>490.5</v>
      </c>
      <c r="Q1984" s="22" t="n">
        <v>8120281</v>
      </c>
      <c r="R1984" s="42">
        <f>+L1984+N1984-P1984</f>
        <v/>
      </c>
      <c r="S1984" s="42">
        <f>+M1984+O1984-Q1984</f>
        <v/>
      </c>
    </row>
    <row r="1985" ht="30" customHeight="1">
      <c r="A1985" s="16" t="n">
        <v>45832</v>
      </c>
      <c r="B1985" s="17" t="inlineStr">
        <is>
          <t>MH2506-46</t>
        </is>
      </c>
      <c r="C1985" s="16" t="n">
        <v>45832</v>
      </c>
      <c r="D1985" s="17" t="inlineStr">
        <is>
          <t>00003385</t>
        </is>
      </c>
      <c r="E1985" s="16" t="n">
        <v>45832</v>
      </c>
      <c r="F1985" s="16" t="inlineStr">
        <is>
          <t>XK2506-26</t>
        </is>
      </c>
      <c r="G1985" s="16" t="n">
        <v>45832</v>
      </c>
      <c r="H1985" s="17" t="inlineStr">
        <is>
          <t>Công Ty TNHH Đầu Tư Thương Mại Dịch Vụ Việt Tiến Phát</t>
        </is>
      </c>
      <c r="I1985" s="17" t="inlineStr">
        <is>
          <t>Thép hộp 200x200x4.0x6m</t>
        </is>
      </c>
      <c r="J1985" s="17" t="inlineStr">
        <is>
          <t>kg</t>
        </is>
      </c>
      <c r="K1985" s="21" t="n">
        <v>16827.84</v>
      </c>
      <c r="L1985" s="21" t="n"/>
      <c r="M1985" s="22" t="n"/>
      <c r="N1985" s="22" t="n">
        <v>1765.2</v>
      </c>
      <c r="O1985" s="22" t="n">
        <v>29704503</v>
      </c>
      <c r="P1985" s="22" t="n">
        <v>1765.2</v>
      </c>
      <c r="Q1985" s="22" t="n">
        <v>29704503</v>
      </c>
      <c r="R1985" s="42">
        <f>+L1985+N1985-P1985</f>
        <v/>
      </c>
      <c r="S1985" s="42">
        <f>+M1985+O1985-Q1985</f>
        <v/>
      </c>
    </row>
    <row r="1986" ht="30" customHeight="1">
      <c r="A1986" s="16" t="n">
        <v>45833</v>
      </c>
      <c r="B1986" s="17" t="inlineStr">
        <is>
          <t>MH2506-47</t>
        </is>
      </c>
      <c r="C1986" s="16" t="n">
        <v>45833</v>
      </c>
      <c r="D1986" s="17" t="inlineStr">
        <is>
          <t>00001176</t>
        </is>
      </c>
      <c r="E1986" s="16" t="n">
        <v>45833</v>
      </c>
      <c r="F1986" s="16" t="inlineStr">
        <is>
          <t>XK2506-27</t>
        </is>
      </c>
      <c r="G1986" s="16" t="n">
        <v>45833</v>
      </c>
      <c r="H1986" s="17" t="inlineStr">
        <is>
          <t>CÔNG TY TNHH DỊCH VỤ - THƯƠNG MẠI THÉP THIÊN LONG</t>
        </is>
      </c>
      <c r="I1986" s="17" t="inlineStr">
        <is>
          <t>Thép hộp 50x100</t>
        </is>
      </c>
      <c r="J1986" s="17" t="inlineStr">
        <is>
          <t>kg</t>
        </is>
      </c>
      <c r="K1986" s="21" t="n">
        <v>16090.9</v>
      </c>
      <c r="L1986" s="21" t="n"/>
      <c r="M1986" s="22" t="n"/>
      <c r="N1986" s="22" t="n">
        <v>22176</v>
      </c>
      <c r="O1986" s="22" t="n">
        <v>356832000</v>
      </c>
      <c r="P1986" s="22" t="n">
        <v>22176</v>
      </c>
      <c r="Q1986" s="22" t="n">
        <v>356832000</v>
      </c>
      <c r="R1986" s="42">
        <f>+L1986+N1986-P1986</f>
        <v/>
      </c>
      <c r="S1986" s="42">
        <f>+M1986+O1986-Q1986</f>
        <v/>
      </c>
    </row>
    <row r="1987" ht="15" customHeight="1">
      <c r="A1987" s="16" t="n">
        <v>45834</v>
      </c>
      <c r="B1987" s="17" t="inlineStr">
        <is>
          <t>MH2506-50</t>
        </is>
      </c>
      <c r="C1987" s="16" t="n">
        <v>45834</v>
      </c>
      <c r="D1987" s="17" t="inlineStr">
        <is>
          <t>00005694</t>
        </is>
      </c>
      <c r="E1987" s="16" t="n">
        <v>45834</v>
      </c>
      <c r="F1987" s="16" t="inlineStr">
        <is>
          <t>XK2506-28</t>
        </is>
      </c>
      <c r="G1987" s="16" t="n">
        <v>45834</v>
      </c>
      <c r="H1987" s="17" t="inlineStr">
        <is>
          <t>CÔNG TY TNHH SƠN JOTUN VIỆT NAM</t>
        </is>
      </c>
      <c r="I1987" s="17" t="inlineStr">
        <is>
          <t>SƠN JOTAMASTIC 70 GREY 18L</t>
        </is>
      </c>
      <c r="J1987" s="17" t="inlineStr">
        <is>
          <t>Lít</t>
        </is>
      </c>
      <c r="K1987" s="21" t="n">
        <v>90000</v>
      </c>
      <c r="L1987" s="21" t="n"/>
      <c r="M1987" s="22" t="n"/>
      <c r="N1987" s="22" t="n">
        <v>522</v>
      </c>
      <c r="O1987" s="22" t="n">
        <v>46980000</v>
      </c>
      <c r="P1987" s="22" t="n">
        <v>522</v>
      </c>
      <c r="Q1987" s="22" t="n">
        <v>46980000</v>
      </c>
      <c r="R1987" s="42">
        <f>+L1987+N1987-P1987</f>
        <v/>
      </c>
      <c r="S1987" s="42">
        <f>+M1987+O1987-Q1987</f>
        <v/>
      </c>
    </row>
    <row r="1988" ht="15" customHeight="1">
      <c r="A1988" s="16" t="n">
        <v>45834</v>
      </c>
      <c r="B1988" s="17" t="inlineStr">
        <is>
          <t>MH2506-50</t>
        </is>
      </c>
      <c r="C1988" s="16" t="n">
        <v>45834</v>
      </c>
      <c r="D1988" s="17" t="inlineStr">
        <is>
          <t>00005694</t>
        </is>
      </c>
      <c r="E1988" s="16" t="n">
        <v>45834</v>
      </c>
      <c r="F1988" s="16" t="inlineStr">
        <is>
          <t>XK2506-28</t>
        </is>
      </c>
      <c r="G1988" s="16" t="n">
        <v>45834</v>
      </c>
      <c r="H1988" s="17" t="inlineStr">
        <is>
          <t>CÔNG TY TNHH SƠN JOTUN VIỆT NAM</t>
        </is>
      </c>
      <c r="I1988" s="17" t="inlineStr">
        <is>
          <t>SƠN FUTURA CLASSIC STD 9911 18.29L</t>
        </is>
      </c>
      <c r="J1988" s="17" t="inlineStr">
        <is>
          <t>Lít</t>
        </is>
      </c>
      <c r="K1988" s="21" t="n">
        <v>155000</v>
      </c>
      <c r="L1988" s="21" t="n"/>
      <c r="M1988" s="22" t="n"/>
      <c r="N1988" s="22" t="n">
        <v>512.12</v>
      </c>
      <c r="O1988" s="22" t="n">
        <v>79378600</v>
      </c>
      <c r="P1988" s="22" t="n">
        <v>512.12</v>
      </c>
      <c r="Q1988" s="22" t="n">
        <v>79378600</v>
      </c>
      <c r="R1988" s="42">
        <f>+L1988+N1988-P1988</f>
        <v/>
      </c>
      <c r="S1988" s="42">
        <f>+M1988+O1988-Q1988</f>
        <v/>
      </c>
    </row>
    <row r="1989" ht="15" customHeight="1">
      <c r="A1989" s="16" t="n">
        <v>45834</v>
      </c>
      <c r="B1989" s="17" t="inlineStr">
        <is>
          <t>MH2506-50</t>
        </is>
      </c>
      <c r="C1989" s="16" t="n">
        <v>45834</v>
      </c>
      <c r="D1989" s="17" t="inlineStr">
        <is>
          <t>00005694</t>
        </is>
      </c>
      <c r="E1989" s="16" t="n">
        <v>45834</v>
      </c>
      <c r="F1989" s="16" t="inlineStr">
        <is>
          <t>XK2506-28</t>
        </is>
      </c>
      <c r="G1989" s="16" t="n">
        <v>45834</v>
      </c>
      <c r="H1989" s="17" t="inlineStr">
        <is>
          <t>CÔNG TY TNHH SƠN JOTUN VIỆT NAM</t>
        </is>
      </c>
      <c r="I1989" s="17" t="inlineStr">
        <is>
          <t>DUNG MÔI JOTUN THINNER NO. 17 20L</t>
        </is>
      </c>
      <c r="J1989" s="17" t="inlineStr">
        <is>
          <t>Lít</t>
        </is>
      </c>
      <c r="K1989" s="21" t="n">
        <v>60000</v>
      </c>
      <c r="L1989" s="21" t="n"/>
      <c r="M1989" s="22" t="n"/>
      <c r="N1989" s="22" t="n">
        <v>80</v>
      </c>
      <c r="O1989" s="22" t="n">
        <v>4800000</v>
      </c>
      <c r="P1989" s="22" t="n">
        <v>80</v>
      </c>
      <c r="Q1989" s="22" t="n">
        <v>4800000</v>
      </c>
      <c r="R1989" s="42">
        <f>+L1989+N1989-P1989</f>
        <v/>
      </c>
      <c r="S1989" s="42">
        <f>+M1989+O1989-Q1989</f>
        <v/>
      </c>
    </row>
    <row r="1990" ht="15" customHeight="1">
      <c r="A1990" s="16" t="n">
        <v>45834</v>
      </c>
      <c r="B1990" s="17" t="inlineStr">
        <is>
          <t>MH2506-50</t>
        </is>
      </c>
      <c r="C1990" s="16" t="n">
        <v>45834</v>
      </c>
      <c r="D1990" s="17" t="inlineStr">
        <is>
          <t>00005694</t>
        </is>
      </c>
      <c r="E1990" s="16" t="n">
        <v>45834</v>
      </c>
      <c r="F1990" s="16" t="inlineStr">
        <is>
          <t>XK2506-28</t>
        </is>
      </c>
      <c r="G1990" s="16" t="n">
        <v>45834</v>
      </c>
      <c r="H1990" s="17" t="inlineStr">
        <is>
          <t>CÔNG TY TNHH SƠN JOTUN VIỆT NAM</t>
        </is>
      </c>
      <c r="I1990" s="17" t="inlineStr">
        <is>
          <t>DUNG MÔI JOTUN THINNER NO. 10 20L</t>
        </is>
      </c>
      <c r="J1990" s="17" t="inlineStr">
        <is>
          <t>Lít</t>
        </is>
      </c>
      <c r="K1990" s="21" t="n">
        <v>60000</v>
      </c>
      <c r="L1990" s="21" t="n"/>
      <c r="M1990" s="22" t="n"/>
      <c r="N1990" s="22" t="n">
        <v>80</v>
      </c>
      <c r="O1990" s="22" t="n">
        <v>4800000</v>
      </c>
      <c r="P1990" s="22" t="n">
        <v>80</v>
      </c>
      <c r="Q1990" s="22" t="n">
        <v>4800000</v>
      </c>
      <c r="R1990" s="42">
        <f>+L1990+N1990-P1990</f>
        <v/>
      </c>
      <c r="S1990" s="42">
        <f>+M1990+O1990-Q1990</f>
        <v/>
      </c>
    </row>
    <row r="1991" ht="30" customHeight="1">
      <c r="A1991" s="16" t="n">
        <v>45834</v>
      </c>
      <c r="B1991" s="17" t="inlineStr">
        <is>
          <t>MH2506-51</t>
        </is>
      </c>
      <c r="C1991" s="16" t="n">
        <v>45834</v>
      </c>
      <c r="D1991" s="17" t="inlineStr">
        <is>
          <t>103</t>
        </is>
      </c>
      <c r="E1991" s="16" t="n">
        <v>45834</v>
      </c>
      <c r="F1991" s="16" t="inlineStr">
        <is>
          <t>XK2506-29</t>
        </is>
      </c>
      <c r="G1991" s="16" t="n">
        <v>45834</v>
      </c>
      <c r="H1991" s="17" t="inlineStr">
        <is>
          <t>CÔNG TY TNHH THƯƠNG MẠI DỊCH VỤ SẢN XUẤT HOÀNG CƯ</t>
        </is>
      </c>
      <c r="I1991" s="17" t="inlineStr">
        <is>
          <t>Cung cấp cửa cuốn</t>
        </is>
      </c>
      <c r="J1991" s="17" t="inlineStr">
        <is>
          <t>Bộ</t>
        </is>
      </c>
      <c r="K1991" s="21" t="n">
        <v>12972620</v>
      </c>
      <c r="L1991" s="21" t="n"/>
      <c r="M1991" s="22" t="n"/>
      <c r="N1991" s="22" t="n">
        <v>1</v>
      </c>
      <c r="O1991" s="22" t="n">
        <v>12972620</v>
      </c>
      <c r="P1991" s="22" t="n">
        <v>1</v>
      </c>
      <c r="Q1991" s="22" t="n">
        <v>12972620</v>
      </c>
      <c r="R1991" s="42">
        <f>+L1991+N1991-P1991</f>
        <v/>
      </c>
      <c r="S1991" s="42">
        <f>+M1991+O1991-Q1991</f>
        <v/>
      </c>
    </row>
    <row r="1992" ht="30" customHeight="1">
      <c r="A1992" s="16" t="n">
        <v>45836</v>
      </c>
      <c r="B1992" s="17" t="inlineStr">
        <is>
          <t>MH2506-53</t>
        </is>
      </c>
      <c r="C1992" s="16" t="n">
        <v>45836</v>
      </c>
      <c r="D1992" s="17" t="inlineStr">
        <is>
          <t>00002458</t>
        </is>
      </c>
      <c r="E1992" s="16" t="n">
        <v>45836</v>
      </c>
      <c r="F1992" s="16" t="inlineStr">
        <is>
          <t>XK2506-30</t>
        </is>
      </c>
      <c r="G1992" s="16" t="n">
        <v>45836</v>
      </c>
      <c r="H1992" s="17" t="inlineStr">
        <is>
          <t>CÔNG TY CỔ PHẦN CÔNG NGHIỆP VÀ THƯƠNG MẠI CƯỜNG THỊNH</t>
        </is>
      </c>
      <c r="I1992" s="17" t="inlineStr">
        <is>
          <t>Bulong Din 933 8.8 ZP M20x50</t>
        </is>
      </c>
      <c r="J1992" s="17" t="inlineStr">
        <is>
          <t>Cái</t>
        </is>
      </c>
      <c r="K1992" s="21" t="n">
        <v>5760</v>
      </c>
      <c r="L1992" s="21" t="n"/>
      <c r="M1992" s="22" t="n"/>
      <c r="N1992" s="22" t="n">
        <v>20</v>
      </c>
      <c r="O1992" s="22" t="n">
        <v>115200</v>
      </c>
      <c r="P1992" s="22" t="n">
        <v>20</v>
      </c>
      <c r="Q1992" s="22" t="n">
        <v>115200</v>
      </c>
      <c r="R1992" s="42">
        <f>+L1992+N1992-P1992</f>
        <v/>
      </c>
      <c r="S1992" s="42">
        <f>+M1992+O1992-Q1992</f>
        <v/>
      </c>
    </row>
    <row r="1993" ht="30" customHeight="1">
      <c r="A1993" s="16" t="n">
        <v>45836</v>
      </c>
      <c r="B1993" s="17" t="inlineStr">
        <is>
          <t>MH2506-53</t>
        </is>
      </c>
      <c r="C1993" s="16" t="n">
        <v>45836</v>
      </c>
      <c r="D1993" s="17" t="inlineStr">
        <is>
          <t>00002458</t>
        </is>
      </c>
      <c r="E1993" s="16" t="n">
        <v>45836</v>
      </c>
      <c r="F1993" s="16" t="inlineStr">
        <is>
          <t>XK2506-30</t>
        </is>
      </c>
      <c r="G1993" s="16" t="n">
        <v>45836</v>
      </c>
      <c r="H1993" s="17" t="inlineStr">
        <is>
          <t>CÔNG TY CỔ PHẦN CÔNG NGHIỆP VÀ THƯƠNG MẠI CƯỜNG THỊNH</t>
        </is>
      </c>
      <c r="I1993" s="17" t="inlineStr">
        <is>
          <t>Đai ốc Din 934 8 ZP M20</t>
        </is>
      </c>
      <c r="J1993" s="17" t="inlineStr">
        <is>
          <t>Cái</t>
        </is>
      </c>
      <c r="K1993" s="21" t="n">
        <v>2030</v>
      </c>
      <c r="L1993" s="21" t="n"/>
      <c r="M1993" s="22" t="n"/>
      <c r="N1993" s="22" t="n">
        <v>20</v>
      </c>
      <c r="O1993" s="22" t="n">
        <v>40600</v>
      </c>
      <c r="P1993" s="22" t="n">
        <v>20</v>
      </c>
      <c r="Q1993" s="22" t="n">
        <v>40600</v>
      </c>
      <c r="R1993" s="42">
        <f>+L1993+N1993-P1993</f>
        <v/>
      </c>
      <c r="S1993" s="42">
        <f>+M1993+O1993-Q1993</f>
        <v/>
      </c>
    </row>
    <row r="1994" ht="30" customHeight="1">
      <c r="A1994" s="16" t="n">
        <v>45836</v>
      </c>
      <c r="B1994" s="17" t="inlineStr">
        <is>
          <t>MH2506-53</t>
        </is>
      </c>
      <c r="C1994" s="16" t="n">
        <v>45836</v>
      </c>
      <c r="D1994" s="17" t="inlineStr">
        <is>
          <t>00002458</t>
        </is>
      </c>
      <c r="E1994" s="16" t="n">
        <v>45836</v>
      </c>
      <c r="F1994" s="16" t="inlineStr">
        <is>
          <t>XK2506-30</t>
        </is>
      </c>
      <c r="G1994" s="16" t="n">
        <v>45836</v>
      </c>
      <c r="H1994" s="17" t="inlineStr">
        <is>
          <t>CÔNG TY CỔ PHẦN CÔNG NGHIỆP VÀ THƯƠNG MẠI CƯỜNG THỊNH</t>
        </is>
      </c>
      <c r="I1994" s="17" t="inlineStr">
        <is>
          <t>Long đền thường ZP M20B35D2</t>
        </is>
      </c>
      <c r="J1994" s="17" t="inlineStr">
        <is>
          <t>Cái</t>
        </is>
      </c>
      <c r="K1994" s="21" t="n">
        <v>350</v>
      </c>
      <c r="L1994" s="21" t="n"/>
      <c r="M1994" s="22" t="n"/>
      <c r="N1994" s="22" t="n">
        <v>20</v>
      </c>
      <c r="O1994" s="22" t="n">
        <v>7000</v>
      </c>
      <c r="P1994" s="22" t="n">
        <v>20</v>
      </c>
      <c r="Q1994" s="22" t="n">
        <v>7000</v>
      </c>
      <c r="R1994" s="42">
        <f>+L1994+N1994-P1994</f>
        <v/>
      </c>
      <c r="S1994" s="42">
        <f>+M1994+O1994-Q1994</f>
        <v/>
      </c>
    </row>
    <row r="1995" ht="30" customHeight="1">
      <c r="A1995" s="16" t="n">
        <v>45836</v>
      </c>
      <c r="B1995" s="17" t="inlineStr">
        <is>
          <t>MH2506-53</t>
        </is>
      </c>
      <c r="C1995" s="16" t="n">
        <v>45836</v>
      </c>
      <c r="D1995" s="17" t="inlineStr">
        <is>
          <t>00002458</t>
        </is>
      </c>
      <c r="E1995" s="16" t="n">
        <v>45836</v>
      </c>
      <c r="F1995" s="16" t="inlineStr">
        <is>
          <t>XK2506-30</t>
        </is>
      </c>
      <c r="G1995" s="16" t="n">
        <v>45836</v>
      </c>
      <c r="H1995" s="17" t="inlineStr">
        <is>
          <t>CÔNG TY CỔ PHẦN CÔNG NGHIỆP VÀ THƯƠNG MẠI CƯỜNG THỊNH</t>
        </is>
      </c>
      <c r="I1995" s="17" t="inlineStr">
        <is>
          <t>Bulong Din 933 8.8 ZP M20x70</t>
        </is>
      </c>
      <c r="J1995" s="17" t="inlineStr">
        <is>
          <t>Cái</t>
        </is>
      </c>
      <c r="K1995" s="21" t="n">
        <v>7070</v>
      </c>
      <c r="L1995" s="21" t="n"/>
      <c r="M1995" s="22" t="n"/>
      <c r="N1995" s="22" t="n">
        <v>16</v>
      </c>
      <c r="O1995" s="22" t="n">
        <v>113120</v>
      </c>
      <c r="P1995" s="22" t="n">
        <v>16</v>
      </c>
      <c r="Q1995" s="22" t="n">
        <v>113120</v>
      </c>
      <c r="R1995" s="42">
        <f>+L1995+N1995-P1995</f>
        <v/>
      </c>
      <c r="S1995" s="42">
        <f>+M1995+O1995-Q1995</f>
        <v/>
      </c>
    </row>
    <row r="1996" ht="30" customHeight="1">
      <c r="A1996" s="16" t="n">
        <v>45836</v>
      </c>
      <c r="B1996" s="17" t="inlineStr">
        <is>
          <t>MH2506-53</t>
        </is>
      </c>
      <c r="C1996" s="16" t="n">
        <v>45836</v>
      </c>
      <c r="D1996" s="17" t="inlineStr">
        <is>
          <t>00002458</t>
        </is>
      </c>
      <c r="E1996" s="16" t="n">
        <v>45836</v>
      </c>
      <c r="F1996" s="16" t="inlineStr">
        <is>
          <t>XK2506-30</t>
        </is>
      </c>
      <c r="G1996" s="16" t="n">
        <v>45836</v>
      </c>
      <c r="H1996" s="17" t="inlineStr">
        <is>
          <t>CÔNG TY CỔ PHẦN CÔNG NGHIỆP VÀ THƯƠNG MẠI CƯỜNG THỊNH</t>
        </is>
      </c>
      <c r="I1996" s="17" t="inlineStr">
        <is>
          <t>Đai ốc Din 934 8 ZP M20</t>
        </is>
      </c>
      <c r="J1996" s="17" t="inlineStr">
        <is>
          <t>Cái</t>
        </is>
      </c>
      <c r="K1996" s="21" t="n">
        <v>2030</v>
      </c>
      <c r="L1996" s="21" t="n"/>
      <c r="M1996" s="22" t="n"/>
      <c r="N1996" s="22" t="n">
        <v>16</v>
      </c>
      <c r="O1996" s="22" t="n">
        <v>32480</v>
      </c>
      <c r="P1996" s="22" t="n">
        <v>16</v>
      </c>
      <c r="Q1996" s="22" t="n">
        <v>32480</v>
      </c>
      <c r="R1996" s="42">
        <f>+L1996+N1996-P1996</f>
        <v/>
      </c>
      <c r="S1996" s="42">
        <f>+M1996+O1996-Q1996</f>
        <v/>
      </c>
    </row>
    <row r="1997" ht="30" customHeight="1">
      <c r="A1997" s="16" t="n">
        <v>45836</v>
      </c>
      <c r="B1997" s="17" t="inlineStr">
        <is>
          <t>MH2506-53</t>
        </is>
      </c>
      <c r="C1997" s="16" t="n">
        <v>45836</v>
      </c>
      <c r="D1997" s="17" t="inlineStr">
        <is>
          <t>00002458</t>
        </is>
      </c>
      <c r="E1997" s="16" t="n">
        <v>45836</v>
      </c>
      <c r="F1997" s="16" t="inlineStr">
        <is>
          <t>XK2506-30</t>
        </is>
      </c>
      <c r="G1997" s="16" t="n">
        <v>45836</v>
      </c>
      <c r="H1997" s="17" t="inlineStr">
        <is>
          <t>CÔNG TY CỔ PHẦN CÔNG NGHIỆP VÀ THƯƠNG MẠI CƯỜNG THỊNH</t>
        </is>
      </c>
      <c r="I1997" s="17" t="inlineStr">
        <is>
          <t>Long đền thường ZP M20B35D2</t>
        </is>
      </c>
      <c r="J1997" s="17" t="inlineStr">
        <is>
          <t>Cái</t>
        </is>
      </c>
      <c r="K1997" s="21" t="n">
        <v>350</v>
      </c>
      <c r="L1997" s="21" t="n"/>
      <c r="M1997" s="22" t="n"/>
      <c r="N1997" s="22" t="n">
        <v>16</v>
      </c>
      <c r="O1997" s="22" t="n">
        <v>5600</v>
      </c>
      <c r="P1997" s="22" t="n">
        <v>16</v>
      </c>
      <c r="Q1997" s="22" t="n">
        <v>5600</v>
      </c>
      <c r="R1997" s="42">
        <f>+L1997+N1997-P1997</f>
        <v/>
      </c>
      <c r="S1997" s="42">
        <f>+M1997+O1997-Q1997</f>
        <v/>
      </c>
    </row>
    <row r="1998" ht="30" customHeight="1">
      <c r="A1998" s="16" t="n">
        <v>45838</v>
      </c>
      <c r="B1998" s="17" t="inlineStr">
        <is>
          <t>MH2506-54</t>
        </is>
      </c>
      <c r="C1998" s="16" t="n">
        <v>45838</v>
      </c>
      <c r="D1998" s="17" t="inlineStr">
        <is>
          <t>00002466</t>
        </is>
      </c>
      <c r="E1998" s="16" t="n">
        <v>45838</v>
      </c>
      <c r="F1998" s="16" t="inlineStr">
        <is>
          <t>XK2506-30</t>
        </is>
      </c>
      <c r="G1998" s="16" t="n">
        <v>45838</v>
      </c>
      <c r="H1998" s="17" t="inlineStr">
        <is>
          <t>CÔNG TY CỔ PHẦN CÔNG NGHIỆP VÀ THƯƠNG MẠI CƯỜNG THỊNH</t>
        </is>
      </c>
      <c r="I1998" s="17" t="inlineStr">
        <is>
          <t>Ty giằng 2 đầu ren 4.6 ZP M16</t>
        </is>
      </c>
      <c r="J1998" s="17" t="inlineStr">
        <is>
          <t>Mét</t>
        </is>
      </c>
      <c r="K1998" s="21" t="n">
        <v>48000</v>
      </c>
      <c r="L1998" s="21" t="n"/>
      <c r="M1998" s="22" t="n"/>
      <c r="N1998" s="22" t="n">
        <v>495.91</v>
      </c>
      <c r="O1998" s="22" t="n">
        <v>23803680</v>
      </c>
      <c r="P1998" s="22" t="n">
        <v>495.91</v>
      </c>
      <c r="Q1998" s="22" t="n">
        <v>23803680</v>
      </c>
      <c r="R1998" s="42">
        <f>+L1998+N1998-P1998</f>
        <v/>
      </c>
      <c r="S1998" s="42">
        <f>+M1998+O1998-Q1998</f>
        <v/>
      </c>
    </row>
    <row r="1999" ht="30" customHeight="1">
      <c r="A1999" s="16" t="n">
        <v>45838</v>
      </c>
      <c r="B1999" s="17" t="inlineStr">
        <is>
          <t>MH2506-54</t>
        </is>
      </c>
      <c r="C1999" s="16" t="n">
        <v>45838</v>
      </c>
      <c r="D1999" s="17" t="inlineStr">
        <is>
          <t>00002466</t>
        </is>
      </c>
      <c r="E1999" s="16" t="n">
        <v>45838</v>
      </c>
      <c r="F1999" s="16" t="inlineStr">
        <is>
          <t>XK2506-30</t>
        </is>
      </c>
      <c r="G1999" s="16" t="n">
        <v>45838</v>
      </c>
      <c r="H1999" s="17" t="inlineStr">
        <is>
          <t>CÔNG TY CỔ PHẦN CÔNG NGHIỆP VÀ THƯƠNG MẠI CƯỜNG THỊNH</t>
        </is>
      </c>
      <c r="I1999" s="17" t="inlineStr">
        <is>
          <t>Đai ốc Din 934 5 ZP M16</t>
        </is>
      </c>
      <c r="J1999" s="17" t="inlineStr">
        <is>
          <t>Cái</t>
        </is>
      </c>
      <c r="K1999" s="21" t="n">
        <v>990</v>
      </c>
      <c r="L1999" s="21" t="n"/>
      <c r="M1999" s="22" t="n"/>
      <c r="N1999" s="22" t="n">
        <v>144</v>
      </c>
      <c r="O1999" s="22" t="n">
        <v>142560</v>
      </c>
      <c r="P1999" s="22" t="n">
        <v>144</v>
      </c>
      <c r="Q1999" s="22" t="n">
        <v>142560</v>
      </c>
      <c r="R1999" s="42">
        <f>+L1999+N1999-P1999</f>
        <v/>
      </c>
      <c r="S1999" s="42">
        <f>+M1999+O1999-Q1999</f>
        <v/>
      </c>
    </row>
    <row r="2000" ht="30" customHeight="1">
      <c r="A2000" s="16" t="n">
        <v>45838</v>
      </c>
      <c r="B2000" s="17" t="inlineStr">
        <is>
          <t>MH2506-54</t>
        </is>
      </c>
      <c r="C2000" s="16" t="n">
        <v>45838</v>
      </c>
      <c r="D2000" s="17" t="inlineStr">
        <is>
          <t>00002466</t>
        </is>
      </c>
      <c r="E2000" s="16" t="n">
        <v>45838</v>
      </c>
      <c r="F2000" s="16" t="inlineStr">
        <is>
          <t>XK2506-30</t>
        </is>
      </c>
      <c r="G2000" s="16" t="n">
        <v>45838</v>
      </c>
      <c r="H2000" s="17" t="inlineStr">
        <is>
          <t>CÔNG TY CỔ PHẦN CÔNG NGHIỆP VÀ THƯƠNG MẠI CƯỜNG THỊNH</t>
        </is>
      </c>
      <c r="I2000" s="17" t="inlineStr">
        <is>
          <t>Long đền thường ZP M16B42D2</t>
        </is>
      </c>
      <c r="J2000" s="17" t="inlineStr">
        <is>
          <t>Cái</t>
        </is>
      </c>
      <c r="K2000" s="21" t="n">
        <v>700</v>
      </c>
      <c r="L2000" s="21" t="n"/>
      <c r="M2000" s="22" t="n"/>
      <c r="N2000" s="22" t="n">
        <v>144</v>
      </c>
      <c r="O2000" s="22" t="n">
        <v>100800</v>
      </c>
      <c r="P2000" s="22" t="n">
        <v>144</v>
      </c>
      <c r="Q2000" s="22" t="n">
        <v>100800</v>
      </c>
      <c r="R2000" s="42">
        <f>+L2000+N2000-P2000</f>
        <v/>
      </c>
      <c r="S2000" s="42">
        <f>+M2000+O2000-Q2000</f>
        <v/>
      </c>
    </row>
    <row r="2001" ht="30" customHeight="1">
      <c r="A2001" s="16" t="n">
        <v>45838</v>
      </c>
      <c r="B2001" s="17" t="inlineStr">
        <is>
          <t>MH2506-54</t>
        </is>
      </c>
      <c r="C2001" s="16" t="n">
        <v>45838</v>
      </c>
      <c r="D2001" s="17" t="inlineStr">
        <is>
          <t>00002466</t>
        </is>
      </c>
      <c r="E2001" s="16" t="n">
        <v>45838</v>
      </c>
      <c r="F2001" s="16" t="inlineStr">
        <is>
          <t>XK2506-30</t>
        </is>
      </c>
      <c r="G2001" s="16" t="n">
        <v>45838</v>
      </c>
      <c r="H2001" s="17" t="inlineStr">
        <is>
          <t>CÔNG TY CỔ PHẦN CÔNG NGHIỆP VÀ THƯƠNG MẠI CƯỜNG THỊNH</t>
        </is>
      </c>
      <c r="I2001" s="17" t="inlineStr">
        <is>
          <t>Long đền móng ngựa ZP M16</t>
        </is>
      </c>
      <c r="J2001" s="17" t="inlineStr">
        <is>
          <t>Cái</t>
        </is>
      </c>
      <c r="K2001" s="21" t="n">
        <v>14830</v>
      </c>
      <c r="L2001" s="21" t="n"/>
      <c r="M2001" s="22" t="n"/>
      <c r="N2001" s="22" t="n">
        <v>144</v>
      </c>
      <c r="O2001" s="22" t="n">
        <v>2135520</v>
      </c>
      <c r="P2001" s="22" t="n">
        <v>144</v>
      </c>
      <c r="Q2001" s="22" t="n">
        <v>2135520</v>
      </c>
      <c r="R2001" s="42">
        <f>+L2001+N2001-P2001</f>
        <v/>
      </c>
      <c r="S2001" s="42">
        <f>+M2001+O2001-Q2001</f>
        <v/>
      </c>
    </row>
    <row r="2002" ht="30" customHeight="1">
      <c r="A2002" s="16" t="n">
        <v>45838</v>
      </c>
      <c r="B2002" s="17" t="inlineStr">
        <is>
          <t>MH2506-54</t>
        </is>
      </c>
      <c r="C2002" s="16" t="n">
        <v>45838</v>
      </c>
      <c r="D2002" s="17" t="inlineStr">
        <is>
          <t>00002466</t>
        </is>
      </c>
      <c r="E2002" s="16" t="n">
        <v>45838</v>
      </c>
      <c r="F2002" s="16" t="inlineStr">
        <is>
          <t>XK2506-30</t>
        </is>
      </c>
      <c r="G2002" s="16" t="n">
        <v>45838</v>
      </c>
      <c r="H2002" s="17" t="inlineStr">
        <is>
          <t>CÔNG TY CỔ PHẦN CÔNG NGHIỆP VÀ THƯƠNG MẠI CƯỜNG THỊNH</t>
        </is>
      </c>
      <c r="I2002" s="17" t="inlineStr">
        <is>
          <t>Nối Ty ZP M16x100 (23mm)</t>
        </is>
      </c>
      <c r="J2002" s="17" t="inlineStr">
        <is>
          <t>Cái</t>
        </is>
      </c>
      <c r="K2002" s="21" t="n">
        <v>22060</v>
      </c>
      <c r="L2002" s="21" t="n"/>
      <c r="M2002" s="22" t="n"/>
      <c r="N2002" s="22" t="n">
        <v>44</v>
      </c>
      <c r="O2002" s="22" t="n">
        <v>970640</v>
      </c>
      <c r="P2002" s="22" t="n">
        <v>44</v>
      </c>
      <c r="Q2002" s="22" t="n">
        <v>970640</v>
      </c>
      <c r="R2002" s="42">
        <f>+L2002+N2002-P2002</f>
        <v/>
      </c>
      <c r="S2002" s="42">
        <f>+M2002+O2002-Q2002</f>
        <v/>
      </c>
    </row>
    <row r="2003" ht="30" customHeight="1">
      <c r="A2003" s="16" t="n">
        <v>45838</v>
      </c>
      <c r="B2003" s="17" t="inlineStr">
        <is>
          <t>MH2506-54</t>
        </is>
      </c>
      <c r="C2003" s="16" t="n">
        <v>45838</v>
      </c>
      <c r="D2003" s="17" t="inlineStr">
        <is>
          <t>00002466</t>
        </is>
      </c>
      <c r="E2003" s="16" t="n">
        <v>45838</v>
      </c>
      <c r="F2003" s="16" t="inlineStr">
        <is>
          <t>XK2506-30</t>
        </is>
      </c>
      <c r="G2003" s="16" t="n">
        <v>45838</v>
      </c>
      <c r="H2003" s="17" t="inlineStr">
        <is>
          <t>CÔNG TY CỔ PHẦN CÔNG NGHIỆP VÀ THƯƠNG MẠI CƯỜNG THỊNH</t>
        </is>
      </c>
      <c r="I2003" s="17" t="inlineStr">
        <is>
          <t>Ty giằng 2 đầu ren 4.6 Ф11.3-11.5mm ZP M12</t>
        </is>
      </c>
      <c r="J2003" s="17" t="inlineStr">
        <is>
          <t>Mét</t>
        </is>
      </c>
      <c r="K2003" s="21" t="n">
        <v>20500</v>
      </c>
      <c r="L2003" s="21" t="n"/>
      <c r="M2003" s="22" t="n"/>
      <c r="N2003" s="22" t="n">
        <v>1199.21</v>
      </c>
      <c r="O2003" s="22" t="n">
        <v>24583805</v>
      </c>
      <c r="P2003" s="22" t="n">
        <v>1199.21</v>
      </c>
      <c r="Q2003" s="22" t="n">
        <v>24583805</v>
      </c>
      <c r="R2003" s="42">
        <f>+L2003+N2003-P2003</f>
        <v/>
      </c>
      <c r="S2003" s="42">
        <f>+M2003+O2003-Q2003</f>
        <v/>
      </c>
    </row>
    <row r="2004" ht="30" customHeight="1">
      <c r="A2004" s="16" t="n">
        <v>45838</v>
      </c>
      <c r="B2004" s="17" t="inlineStr">
        <is>
          <t>MH2506-54</t>
        </is>
      </c>
      <c r="C2004" s="16" t="n">
        <v>45838</v>
      </c>
      <c r="D2004" s="17" t="inlineStr">
        <is>
          <t>00002466</t>
        </is>
      </c>
      <c r="E2004" s="16" t="n">
        <v>45838</v>
      </c>
      <c r="F2004" s="16" t="inlineStr">
        <is>
          <t>XK2506-30</t>
        </is>
      </c>
      <c r="G2004" s="16" t="n">
        <v>45838</v>
      </c>
      <c r="H2004" s="17" t="inlineStr">
        <is>
          <t>CÔNG TY CỔ PHẦN CÔNG NGHIỆP VÀ THƯƠNG MẠI CƯỜNG THỊNH</t>
        </is>
      </c>
      <c r="I2004" s="17" t="inlineStr">
        <is>
          <t>Đai ốc thường 4 ZP M12 (9mm)</t>
        </is>
      </c>
      <c r="J2004" s="17" t="inlineStr">
        <is>
          <t>Cái</t>
        </is>
      </c>
      <c r="K2004" s="21" t="n">
        <v>360</v>
      </c>
      <c r="L2004" s="21" t="n"/>
      <c r="M2004" s="22" t="n"/>
      <c r="N2004" s="22" t="n">
        <v>4656</v>
      </c>
      <c r="O2004" s="22" t="n">
        <v>1676160</v>
      </c>
      <c r="P2004" s="22" t="n">
        <v>4656</v>
      </c>
      <c r="Q2004" s="22" t="n">
        <v>1676160</v>
      </c>
      <c r="R2004" s="42">
        <f>+L2004+N2004-P2004</f>
        <v/>
      </c>
      <c r="S2004" s="42">
        <f>+M2004+O2004-Q2004</f>
        <v/>
      </c>
    </row>
    <row r="2005" ht="30" customHeight="1">
      <c r="A2005" s="16" t="n">
        <v>45838</v>
      </c>
      <c r="B2005" s="17" t="inlineStr">
        <is>
          <t>MH2506-54</t>
        </is>
      </c>
      <c r="C2005" s="16" t="n">
        <v>45838</v>
      </c>
      <c r="D2005" s="17" t="inlineStr">
        <is>
          <t>00002466</t>
        </is>
      </c>
      <c r="E2005" s="16" t="n">
        <v>45838</v>
      </c>
      <c r="F2005" s="16" t="inlineStr">
        <is>
          <t>XK2506-30</t>
        </is>
      </c>
      <c r="G2005" s="16" t="n">
        <v>45838</v>
      </c>
      <c r="H2005" s="17" t="inlineStr">
        <is>
          <t>CÔNG TY CỔ PHẦN CÔNG NGHIỆP VÀ THƯƠNG MẠI CƯỜNG THỊNH</t>
        </is>
      </c>
      <c r="I2005" s="17" t="inlineStr">
        <is>
          <t>Long đền thường ZP M12B26D1.5</t>
        </is>
      </c>
      <c r="J2005" s="17" t="inlineStr">
        <is>
          <t>Cái</t>
        </is>
      </c>
      <c r="K2005" s="21" t="n">
        <v>190</v>
      </c>
      <c r="L2005" s="21" t="n"/>
      <c r="M2005" s="22" t="n"/>
      <c r="N2005" s="22" t="n">
        <v>4656</v>
      </c>
      <c r="O2005" s="22" t="n">
        <v>884640</v>
      </c>
      <c r="P2005" s="22" t="n">
        <v>4656</v>
      </c>
      <c r="Q2005" s="22" t="n">
        <v>884640</v>
      </c>
      <c r="R2005" s="42">
        <f>+L2005+N2005-P2005</f>
        <v/>
      </c>
      <c r="S2005" s="42">
        <f>+M2005+O2005-Q2005</f>
        <v/>
      </c>
    </row>
    <row r="2006" ht="30" customHeight="1">
      <c r="A2006" s="16" t="n">
        <v>45838</v>
      </c>
      <c r="B2006" s="17" t="inlineStr">
        <is>
          <t>MH2506-55</t>
        </is>
      </c>
      <c r="C2006" s="16" t="n">
        <v>45838</v>
      </c>
      <c r="D2006" s="17" t="inlineStr">
        <is>
          <t>00003507</t>
        </is>
      </c>
      <c r="E2006" s="16" t="n">
        <v>45838</v>
      </c>
      <c r="F2006" s="16" t="inlineStr">
        <is>
          <t>XK2506-31</t>
        </is>
      </c>
      <c r="G2006" s="16" t="n">
        <v>45838</v>
      </c>
      <c r="H2006" s="17" t="inlineStr">
        <is>
          <t>CÔNG TY TNHH MTV SẢN XUẤT THƯƠNG MẠI DỊCH VỤ THANH HUYỀN</t>
        </is>
      </c>
      <c r="I2006" s="17" t="inlineStr">
        <is>
          <t>Thép lá mạ</t>
        </is>
      </c>
      <c r="J2006" s="17" t="inlineStr">
        <is>
          <t>kg</t>
        </is>
      </c>
      <c r="K2006" s="21" t="n">
        <v>18018.11</v>
      </c>
      <c r="L2006" s="21" t="n"/>
      <c r="M2006" s="22" t="n"/>
      <c r="N2006" s="22" t="n">
        <v>1500</v>
      </c>
      <c r="O2006" s="22" t="n">
        <v>27027164</v>
      </c>
      <c r="P2006" s="22" t="n">
        <v>1500</v>
      </c>
      <c r="Q2006" s="22" t="n">
        <v>27027164</v>
      </c>
      <c r="R2006" s="42">
        <f>+L2006+N2006-P2006</f>
        <v/>
      </c>
      <c r="S2006" s="42">
        <f>+M2006+O2006-Q2006</f>
        <v/>
      </c>
    </row>
    <row r="2007" ht="15" customHeight="1">
      <c r="A2007" s="16" t="n">
        <v>45840</v>
      </c>
      <c r="B2007" s="17" t="inlineStr">
        <is>
          <t>MH2505-33A</t>
        </is>
      </c>
      <c r="C2007" s="16" t="n">
        <v>45840</v>
      </c>
      <c r="D2007" s="16" t="n">
        <v>45840</v>
      </c>
      <c r="E2007" s="17" t="inlineStr">
        <is>
          <t>34699568</t>
        </is>
      </c>
      <c r="F2007" s="16" t="inlineStr">
        <is>
          <t>XK2507-01</t>
        </is>
      </c>
      <c r="G2007" s="16" t="n">
        <v>45840</v>
      </c>
      <c r="H2007" s="17" t="inlineStr">
        <is>
          <t>Jiujiang Group Co., Limited</t>
        </is>
      </c>
      <c r="I2007" s="17" t="inlineStr">
        <is>
          <t>Steel Plate 90*2000*9400 (mm)</t>
        </is>
      </c>
      <c r="J2007" s="17" t="inlineStr">
        <is>
          <t>Kg</t>
        </is>
      </c>
      <c r="K2007" s="19" t="n">
        <v>15938.69</v>
      </c>
      <c r="L2007" s="33" t="n"/>
      <c r="M2007" s="33" t="n"/>
      <c r="N2007" s="22" t="n">
        <v>236400</v>
      </c>
      <c r="O2007" s="22" t="n">
        <v>3953511048</v>
      </c>
      <c r="P2007" s="22" t="n">
        <v>236400</v>
      </c>
      <c r="Q2007" s="22" t="n">
        <v>3953511048</v>
      </c>
      <c r="R2007" s="42">
        <f>+L2007+N2007-P2007</f>
        <v/>
      </c>
      <c r="S2007" s="42">
        <f>+M2007+O2007-Q2007</f>
        <v/>
      </c>
    </row>
    <row r="2008" ht="30.75" customHeight="1">
      <c r="A2008" s="16" t="n">
        <v>45840</v>
      </c>
      <c r="B2008" s="17" t="inlineStr">
        <is>
          <t>MH2507-02</t>
        </is>
      </c>
      <c r="C2008" s="16" t="n">
        <v>45840</v>
      </c>
      <c r="D2008" s="16" t="n">
        <v>45840</v>
      </c>
      <c r="E2008" s="17" t="inlineStr">
        <is>
          <t>00002487</t>
        </is>
      </c>
      <c r="F2008" s="16" t="inlineStr">
        <is>
          <t>XK2507-02</t>
        </is>
      </c>
      <c r="G2008" s="16" t="n">
        <v>45840</v>
      </c>
      <c r="H2008" s="17" t="inlineStr">
        <is>
          <t>CÔNG TY CỔ PHẦN CÔNG NGHIỆP VÀ THƯƠNG MẠI CƯỜNG THỊNH</t>
        </is>
      </c>
      <c r="I2008" s="17" t="inlineStr">
        <is>
          <t>Bulong B A325M Type 1 ZP M16x50(50)</t>
        </is>
      </c>
      <c r="J2008" s="17" t="inlineStr">
        <is>
          <t>Cái</t>
        </is>
      </c>
      <c r="K2008" s="19" t="n">
        <v>5250</v>
      </c>
      <c r="L2008" s="20" t="n"/>
      <c r="M2008" s="27" t="n"/>
      <c r="N2008" s="22" t="n">
        <v>49</v>
      </c>
      <c r="O2008" s="22" t="n">
        <v>257250</v>
      </c>
      <c r="P2008" s="22" t="n">
        <v>49</v>
      </c>
      <c r="Q2008" s="22" t="n">
        <v>257250</v>
      </c>
      <c r="R2008" s="42">
        <f>+L2008+N2008-P2008</f>
        <v/>
      </c>
      <c r="S2008" s="42">
        <f>+M2008+O2008-Q2008</f>
        <v/>
      </c>
    </row>
    <row r="2009" ht="30" customHeight="1">
      <c r="A2009" s="16" t="n">
        <v>45840</v>
      </c>
      <c r="B2009" s="17" t="inlineStr">
        <is>
          <t>MH2507-02</t>
        </is>
      </c>
      <c r="C2009" s="16" t="n">
        <v>45840</v>
      </c>
      <c r="D2009" s="16" t="n">
        <v>45840</v>
      </c>
      <c r="E2009" s="17" t="inlineStr">
        <is>
          <t>00002487</t>
        </is>
      </c>
      <c r="F2009" s="16" t="inlineStr">
        <is>
          <t>XK2507-03</t>
        </is>
      </c>
      <c r="G2009" s="16" t="n">
        <v>45840</v>
      </c>
      <c r="H2009" s="17" t="inlineStr">
        <is>
          <t>CÔNG TY CỔ PHẦN CÔNG NGHIỆP VÀ THƯƠNG MẠI CƯỜNG THỊNH</t>
        </is>
      </c>
      <c r="I2009" s="17" t="inlineStr">
        <is>
          <t>H/H N A563M 10 ZP M16</t>
        </is>
      </c>
      <c r="J2009" s="17" t="inlineStr">
        <is>
          <t>Cái</t>
        </is>
      </c>
      <c r="K2009" s="19" t="n">
        <v>2420</v>
      </c>
      <c r="L2009" s="20" t="n"/>
      <c r="M2009" s="20" t="n"/>
      <c r="N2009" s="22" t="n">
        <v>49</v>
      </c>
      <c r="O2009" s="22" t="n">
        <v>118580</v>
      </c>
      <c r="P2009" s="22" t="n">
        <v>49</v>
      </c>
      <c r="Q2009" s="22" t="n">
        <v>118580</v>
      </c>
      <c r="R2009" s="42">
        <f>+L2009+N2009-P2009</f>
        <v/>
      </c>
      <c r="S2009" s="42">
        <f>+M2009+O2009-Q2009</f>
        <v/>
      </c>
    </row>
    <row r="2010" ht="30" customHeight="1">
      <c r="A2010" s="16" t="n">
        <v>45840</v>
      </c>
      <c r="B2010" s="17" t="inlineStr">
        <is>
          <t>MH2507-02</t>
        </is>
      </c>
      <c r="C2010" s="16" t="n">
        <v>45840</v>
      </c>
      <c r="D2010" s="16" t="n">
        <v>45840</v>
      </c>
      <c r="E2010" s="17" t="inlineStr">
        <is>
          <t>00002487</t>
        </is>
      </c>
      <c r="F2010" s="16" t="inlineStr">
        <is>
          <t>XK2507-03</t>
        </is>
      </c>
      <c r="G2010" s="16" t="n">
        <v>45840</v>
      </c>
      <c r="H2010" s="17" t="inlineStr">
        <is>
          <t>CÔNG TY CỔ PHẦN CÔNG NGHIỆP VÀ THƯƠNG MẠI CƯỜNG THỊNH</t>
        </is>
      </c>
      <c r="I2010" s="17" t="inlineStr">
        <is>
          <t>Long đền F436M Type 1 ZP M16</t>
        </is>
      </c>
      <c r="J2010" s="17" t="inlineStr">
        <is>
          <t>Cái</t>
        </is>
      </c>
      <c r="K2010" s="19" t="n">
        <v>830</v>
      </c>
      <c r="L2010" s="20" t="n"/>
      <c r="M2010" s="20" t="n"/>
      <c r="N2010" s="22" t="n">
        <v>49</v>
      </c>
      <c r="O2010" s="22" t="n">
        <v>40670</v>
      </c>
      <c r="P2010" s="22" t="n">
        <v>49</v>
      </c>
      <c r="Q2010" s="22" t="n">
        <v>40670</v>
      </c>
      <c r="R2010" s="42">
        <f>+L2010+N2010-P2010</f>
        <v/>
      </c>
      <c r="S2010" s="42">
        <f>+M2010+O2010-Q2010</f>
        <v/>
      </c>
    </row>
    <row r="2011" ht="30" customHeight="1">
      <c r="A2011" s="16" t="n">
        <v>45840</v>
      </c>
      <c r="B2011" s="17" t="inlineStr">
        <is>
          <t>MH2507-02</t>
        </is>
      </c>
      <c r="C2011" s="16" t="n">
        <v>45840</v>
      </c>
      <c r="D2011" s="16" t="n">
        <v>45840</v>
      </c>
      <c r="E2011" s="17" t="inlineStr">
        <is>
          <t>00002487</t>
        </is>
      </c>
      <c r="F2011" s="16" t="inlineStr">
        <is>
          <t>XK2507-03</t>
        </is>
      </c>
      <c r="G2011" s="16" t="n">
        <v>45840</v>
      </c>
      <c r="H2011" s="17" t="inlineStr">
        <is>
          <t>CÔNG TY CỔ PHẦN CÔNG NGHIỆP VÀ THƯƠNG MẠI CƯỜNG THỊNH</t>
        </is>
      </c>
      <c r="I2011" s="17" t="inlineStr">
        <is>
          <t>Bulong A325M Type 1 ZP M16x60(60)</t>
        </is>
      </c>
      <c r="J2011" s="17" t="inlineStr">
        <is>
          <t>Cái</t>
        </is>
      </c>
      <c r="K2011" s="19" t="n">
        <v>5780</v>
      </c>
      <c r="L2011" s="20" t="n"/>
      <c r="M2011" s="20" t="n"/>
      <c r="N2011" s="22" t="n">
        <v>74</v>
      </c>
      <c r="O2011" s="22" t="n">
        <v>427720</v>
      </c>
      <c r="P2011" s="22" t="n">
        <v>74</v>
      </c>
      <c r="Q2011" s="22" t="n">
        <v>427720</v>
      </c>
      <c r="R2011" s="42">
        <f>+L2011+N2011-P2011</f>
        <v/>
      </c>
      <c r="S2011" s="42">
        <f>+M2011+O2011-Q2011</f>
        <v/>
      </c>
    </row>
    <row r="2012" ht="30" customHeight="1">
      <c r="A2012" s="16" t="n">
        <v>45840</v>
      </c>
      <c r="B2012" s="17" t="inlineStr">
        <is>
          <t>MH2507-02</t>
        </is>
      </c>
      <c r="C2012" s="16" t="n">
        <v>45840</v>
      </c>
      <c r="D2012" s="16" t="n">
        <v>45840</v>
      </c>
      <c r="E2012" s="17" t="inlineStr">
        <is>
          <t>00002487</t>
        </is>
      </c>
      <c r="F2012" s="16" t="inlineStr">
        <is>
          <t>XK2507-03</t>
        </is>
      </c>
      <c r="G2012" s="16" t="n">
        <v>45840</v>
      </c>
      <c r="H2012" s="17" t="inlineStr">
        <is>
          <t>CÔNG TY CỔ PHẦN CÔNG NGHIỆP VÀ THƯƠNG MẠI CƯỜNG THỊNH</t>
        </is>
      </c>
      <c r="I2012" s="17" t="inlineStr">
        <is>
          <t>H/H N A563M 10 ZP M16</t>
        </is>
      </c>
      <c r="J2012" s="17" t="inlineStr">
        <is>
          <t>Cái</t>
        </is>
      </c>
      <c r="K2012" s="19" t="n">
        <v>2420</v>
      </c>
      <c r="L2012" s="20" t="n"/>
      <c r="M2012" s="20" t="n"/>
      <c r="N2012" s="22" t="n">
        <v>74</v>
      </c>
      <c r="O2012" s="22" t="n">
        <v>179080</v>
      </c>
      <c r="P2012" s="22" t="n">
        <v>74</v>
      </c>
      <c r="Q2012" s="22" t="n">
        <v>179080</v>
      </c>
      <c r="R2012" s="42">
        <f>+L2012+N2012-P2012</f>
        <v/>
      </c>
      <c r="S2012" s="42">
        <f>+M2012+O2012-Q2012</f>
        <v/>
      </c>
    </row>
    <row r="2013" ht="30" customHeight="1">
      <c r="A2013" s="16" t="n">
        <v>45840</v>
      </c>
      <c r="B2013" s="17" t="inlineStr">
        <is>
          <t>MH2507-02</t>
        </is>
      </c>
      <c r="C2013" s="16" t="n">
        <v>45840</v>
      </c>
      <c r="D2013" s="16" t="n">
        <v>45840</v>
      </c>
      <c r="E2013" s="17" t="inlineStr">
        <is>
          <t>00002487</t>
        </is>
      </c>
      <c r="F2013" s="16" t="inlineStr">
        <is>
          <t>XK2507-03</t>
        </is>
      </c>
      <c r="G2013" s="16" t="n">
        <v>45840</v>
      </c>
      <c r="H2013" s="17" t="inlineStr">
        <is>
          <t>CÔNG TY CỔ PHẦN CÔNG NGHIỆP VÀ THƯƠNG MẠI CƯỜNG THỊNH</t>
        </is>
      </c>
      <c r="I2013" s="17" t="inlineStr">
        <is>
          <t>Long đền F436M Type 1 ZP M16</t>
        </is>
      </c>
      <c r="J2013" s="17" t="inlineStr">
        <is>
          <t>Cái</t>
        </is>
      </c>
      <c r="K2013" s="19" t="n">
        <v>830</v>
      </c>
      <c r="L2013" s="20" t="n"/>
      <c r="M2013" s="20" t="n"/>
      <c r="N2013" s="22" t="n">
        <v>74</v>
      </c>
      <c r="O2013" s="22" t="n">
        <v>61420</v>
      </c>
      <c r="P2013" s="22" t="n">
        <v>74</v>
      </c>
      <c r="Q2013" s="22" t="n">
        <v>61420</v>
      </c>
      <c r="R2013" s="42">
        <f>+L2013+N2013-P2013</f>
        <v/>
      </c>
      <c r="S2013" s="42">
        <f>+M2013+O2013-Q2013</f>
        <v/>
      </c>
    </row>
    <row r="2014" ht="30" customHeight="1">
      <c r="A2014" s="16" t="n">
        <v>45840</v>
      </c>
      <c r="B2014" s="17" t="inlineStr">
        <is>
          <t>MH2507-02</t>
        </is>
      </c>
      <c r="C2014" s="16" t="n">
        <v>45840</v>
      </c>
      <c r="D2014" s="16" t="n">
        <v>45840</v>
      </c>
      <c r="E2014" s="17" t="inlineStr">
        <is>
          <t>00002487</t>
        </is>
      </c>
      <c r="F2014" s="16" t="inlineStr">
        <is>
          <t>XK2507-03</t>
        </is>
      </c>
      <c r="G2014" s="16" t="n">
        <v>45840</v>
      </c>
      <c r="H2014" s="17" t="inlineStr">
        <is>
          <t>CÔNG TY CỔ PHẦN CÔNG NGHIỆP VÀ THƯƠNG MẠI CƯỜNG THỊNH</t>
        </is>
      </c>
      <c r="I2014" s="17" t="inlineStr">
        <is>
          <t>Bulong B A325M Type 1 ZP M16x180(180)</t>
        </is>
      </c>
      <c r="J2014" s="17" t="inlineStr">
        <is>
          <t>Cái</t>
        </is>
      </c>
      <c r="K2014" s="19" t="n">
        <v>13580</v>
      </c>
      <c r="L2014" s="20" t="n"/>
      <c r="M2014" s="20" t="n"/>
      <c r="N2014" s="22" t="n">
        <v>264</v>
      </c>
      <c r="O2014" s="22" t="n">
        <v>3585120</v>
      </c>
      <c r="P2014" s="22" t="n">
        <v>264</v>
      </c>
      <c r="Q2014" s="22" t="n">
        <v>3585120</v>
      </c>
      <c r="R2014" s="42">
        <f>+L2014+N2014-P2014</f>
        <v/>
      </c>
      <c r="S2014" s="42">
        <f>+M2014+O2014-Q2014</f>
        <v/>
      </c>
    </row>
    <row r="2015" ht="30" customHeight="1">
      <c r="A2015" s="16" t="n">
        <v>45840</v>
      </c>
      <c r="B2015" s="17" t="inlineStr">
        <is>
          <t>MH2507-02</t>
        </is>
      </c>
      <c r="C2015" s="16" t="n">
        <v>45840</v>
      </c>
      <c r="D2015" s="16" t="n">
        <v>45840</v>
      </c>
      <c r="E2015" s="17" t="inlineStr">
        <is>
          <t>00002487</t>
        </is>
      </c>
      <c r="F2015" s="16" t="inlineStr">
        <is>
          <t>XK2507-03</t>
        </is>
      </c>
      <c r="G2015" s="16" t="n">
        <v>45840</v>
      </c>
      <c r="H2015" s="17" t="inlineStr">
        <is>
          <t>CÔNG TY CỔ PHẦN CÔNG NGHIỆP VÀ THƯƠNG MẠI CƯỜNG THỊNH</t>
        </is>
      </c>
      <c r="I2015" s="17" t="inlineStr">
        <is>
          <t>H/H N A563M 10 ZP M16</t>
        </is>
      </c>
      <c r="J2015" s="17" t="inlineStr">
        <is>
          <t>Cái</t>
        </is>
      </c>
      <c r="K2015" s="19" t="n">
        <v>2420</v>
      </c>
      <c r="L2015" s="20" t="n"/>
      <c r="M2015" s="20" t="n"/>
      <c r="N2015" s="22" t="n">
        <v>264</v>
      </c>
      <c r="O2015" s="22" t="n">
        <v>638880</v>
      </c>
      <c r="P2015" s="22" t="n">
        <v>264</v>
      </c>
      <c r="Q2015" s="22" t="n">
        <v>638880</v>
      </c>
      <c r="R2015" s="42">
        <f>+L2015+N2015-P2015</f>
        <v/>
      </c>
      <c r="S2015" s="42">
        <f>+M2015+O2015-Q2015</f>
        <v/>
      </c>
    </row>
    <row r="2016" ht="30" customHeight="1">
      <c r="A2016" s="16" t="n">
        <v>45840</v>
      </c>
      <c r="B2016" s="17" t="inlineStr">
        <is>
          <t>MH2507-02</t>
        </is>
      </c>
      <c r="C2016" s="16" t="n">
        <v>45840</v>
      </c>
      <c r="D2016" s="16" t="n">
        <v>45840</v>
      </c>
      <c r="E2016" s="17" t="inlineStr">
        <is>
          <t>00002487</t>
        </is>
      </c>
      <c r="F2016" s="16" t="inlineStr">
        <is>
          <t>XK2507-03</t>
        </is>
      </c>
      <c r="G2016" s="16" t="n">
        <v>45840</v>
      </c>
      <c r="H2016" s="17" t="inlineStr">
        <is>
          <t>CÔNG TY CỔ PHẦN CÔNG NGHIỆP VÀ THƯƠNG MẠI CƯỜNG THỊNH</t>
        </is>
      </c>
      <c r="I2016" s="17" t="inlineStr">
        <is>
          <t>Long đền F436M Type 1 ZP M16</t>
        </is>
      </c>
      <c r="J2016" s="17" t="inlineStr">
        <is>
          <t>Cái</t>
        </is>
      </c>
      <c r="K2016" s="19" t="n">
        <v>830</v>
      </c>
      <c r="L2016" s="20" t="n"/>
      <c r="M2016" s="20" t="n"/>
      <c r="N2016" s="22" t="n">
        <v>264</v>
      </c>
      <c r="O2016" s="22" t="n">
        <v>219120</v>
      </c>
      <c r="P2016" s="22" t="n">
        <v>264</v>
      </c>
      <c r="Q2016" s="22" t="n">
        <v>219120</v>
      </c>
      <c r="R2016" s="42">
        <f>+L2016+N2016-P2016</f>
        <v/>
      </c>
      <c r="S2016" s="42">
        <f>+M2016+O2016-Q2016</f>
        <v/>
      </c>
    </row>
    <row r="2017" ht="30" customHeight="1">
      <c r="A2017" s="16" t="n">
        <v>45840</v>
      </c>
      <c r="B2017" s="17" t="inlineStr">
        <is>
          <t>MH2507-02</t>
        </is>
      </c>
      <c r="C2017" s="16" t="n">
        <v>45840</v>
      </c>
      <c r="D2017" s="16" t="n">
        <v>45840</v>
      </c>
      <c r="E2017" s="17" t="inlineStr">
        <is>
          <t>00002487</t>
        </is>
      </c>
      <c r="F2017" s="16" t="inlineStr">
        <is>
          <t>XK2507-03</t>
        </is>
      </c>
      <c r="G2017" s="16" t="n">
        <v>45840</v>
      </c>
      <c r="H2017" s="17" t="inlineStr">
        <is>
          <t>CÔNG TY CỔ PHẦN CÔNG NGHIỆP VÀ THƯƠNG MẠI CƯỜNG THỊNH</t>
        </is>
      </c>
      <c r="I2017" s="17" t="inlineStr">
        <is>
          <t>Bulong B A325M Type 1 ZP M24x80(80)</t>
        </is>
      </c>
      <c r="J2017" s="17" t="inlineStr">
        <is>
          <t>Cái</t>
        </is>
      </c>
      <c r="K2017" s="19" t="n">
        <v>18000</v>
      </c>
      <c r="L2017" s="20" t="n"/>
      <c r="M2017" s="20" t="n"/>
      <c r="N2017" s="22" t="n">
        <v>132</v>
      </c>
      <c r="O2017" s="22" t="n">
        <v>2376000</v>
      </c>
      <c r="P2017" s="22" t="n">
        <v>132</v>
      </c>
      <c r="Q2017" s="22" t="n">
        <v>2376000</v>
      </c>
      <c r="R2017" s="42">
        <f>+L2017+N2017-P2017</f>
        <v/>
      </c>
      <c r="S2017" s="42">
        <f>+M2017+O2017-Q2017</f>
        <v/>
      </c>
    </row>
    <row r="2018" ht="30" customHeight="1">
      <c r="A2018" s="16" t="n">
        <v>45840</v>
      </c>
      <c r="B2018" s="17" t="inlineStr">
        <is>
          <t>MH2507-02</t>
        </is>
      </c>
      <c r="C2018" s="16" t="n">
        <v>45840</v>
      </c>
      <c r="D2018" s="16" t="n">
        <v>45840</v>
      </c>
      <c r="E2018" s="17" t="inlineStr">
        <is>
          <t>00002487</t>
        </is>
      </c>
      <c r="F2018" s="16" t="inlineStr">
        <is>
          <t>XK2507-03</t>
        </is>
      </c>
      <c r="G2018" s="16" t="n">
        <v>45840</v>
      </c>
      <c r="H2018" s="17" t="inlineStr">
        <is>
          <t>CÔNG TY CỔ PHẦN CÔNG NGHIỆP VÀ THƯƠNG MẠI CƯỜNG THỊNH</t>
        </is>
      </c>
      <c r="I2018" s="17" t="inlineStr">
        <is>
          <t>H/H N A563M 10 ZP M24</t>
        </is>
      </c>
      <c r="J2018" s="17" t="inlineStr">
        <is>
          <t>Cái</t>
        </is>
      </c>
      <c r="K2018" s="19" t="n">
        <v>8540</v>
      </c>
      <c r="L2018" s="20" t="n"/>
      <c r="M2018" s="20" t="n"/>
      <c r="N2018" s="22" t="n">
        <v>132</v>
      </c>
      <c r="O2018" s="22" t="n">
        <v>1127280</v>
      </c>
      <c r="P2018" s="22" t="n">
        <v>132</v>
      </c>
      <c r="Q2018" s="22" t="n">
        <v>1127280</v>
      </c>
      <c r="R2018" s="42">
        <f>+L2018+N2018-P2018</f>
        <v/>
      </c>
      <c r="S2018" s="42">
        <f>+M2018+O2018-Q2018</f>
        <v/>
      </c>
    </row>
    <row r="2019" ht="30" customHeight="1">
      <c r="A2019" s="16" t="n">
        <v>45840</v>
      </c>
      <c r="B2019" s="17" t="inlineStr">
        <is>
          <t>MH2507-02</t>
        </is>
      </c>
      <c r="C2019" s="16" t="n">
        <v>45840</v>
      </c>
      <c r="D2019" s="16" t="n">
        <v>45840</v>
      </c>
      <c r="E2019" s="17" t="inlineStr">
        <is>
          <t>00002487</t>
        </is>
      </c>
      <c r="F2019" s="16" t="inlineStr">
        <is>
          <t>XK2507-03</t>
        </is>
      </c>
      <c r="G2019" s="16" t="n">
        <v>45840</v>
      </c>
      <c r="H2019" s="17" t="inlineStr">
        <is>
          <t>CÔNG TY CỔ PHẦN CÔNG NGHIỆP VÀ THƯƠNG MẠI CƯỜNG THỊNH</t>
        </is>
      </c>
      <c r="I2019" s="17" t="inlineStr">
        <is>
          <t>Long đền F436M Type 1 ZP M24</t>
        </is>
      </c>
      <c r="J2019" s="17" t="inlineStr">
        <is>
          <t>Cái</t>
        </is>
      </c>
      <c r="K2019" s="19" t="n">
        <v>1910</v>
      </c>
      <c r="L2019" s="20" t="n"/>
      <c r="M2019" s="20" t="n"/>
      <c r="N2019" s="22" t="n">
        <v>132</v>
      </c>
      <c r="O2019" s="22" t="n">
        <v>252120</v>
      </c>
      <c r="P2019" s="22" t="n">
        <v>132</v>
      </c>
      <c r="Q2019" s="22" t="n">
        <v>252120</v>
      </c>
      <c r="R2019" s="42">
        <f>+L2019+N2019-P2019</f>
        <v/>
      </c>
      <c r="S2019" s="42">
        <f>+M2019+O2019-Q2019</f>
        <v/>
      </c>
    </row>
    <row r="2020" ht="30" customHeight="1">
      <c r="A2020" s="16" t="n">
        <v>45840</v>
      </c>
      <c r="B2020" s="17" t="inlineStr">
        <is>
          <t>MH2507-02</t>
        </is>
      </c>
      <c r="C2020" s="16" t="n">
        <v>45840</v>
      </c>
      <c r="D2020" s="16" t="n">
        <v>45840</v>
      </c>
      <c r="E2020" s="17" t="inlineStr">
        <is>
          <t>00002487</t>
        </is>
      </c>
      <c r="F2020" s="16" t="inlineStr">
        <is>
          <t>XK2507-03</t>
        </is>
      </c>
      <c r="G2020" s="16" t="n">
        <v>45840</v>
      </c>
      <c r="H2020" s="17" t="inlineStr">
        <is>
          <t>CÔNG TY CỔ PHẦN CÔNG NGHIỆP VÀ THƯƠNG MẠI CƯỜNG THỊNH</t>
        </is>
      </c>
      <c r="I2020" s="17" t="inlineStr">
        <is>
          <t>Bulong B A325M Type 1 ZP M24x80(80)</t>
        </is>
      </c>
      <c r="J2020" s="17" t="inlineStr">
        <is>
          <t>Cái</t>
        </is>
      </c>
      <c r="K2020" s="19" t="n">
        <v>18000</v>
      </c>
      <c r="L2020" s="20" t="n"/>
      <c r="M2020" s="20" t="n"/>
      <c r="N2020" s="22" t="n">
        <v>225</v>
      </c>
      <c r="O2020" s="22" t="n">
        <v>4050000</v>
      </c>
      <c r="P2020" s="22" t="n">
        <v>225</v>
      </c>
      <c r="Q2020" s="22" t="n">
        <v>4050000</v>
      </c>
      <c r="R2020" s="42">
        <f>+L2020+N2020-P2020</f>
        <v/>
      </c>
      <c r="S2020" s="42">
        <f>+M2020+O2020-Q2020</f>
        <v/>
      </c>
    </row>
    <row r="2021" ht="30" customHeight="1">
      <c r="A2021" s="16" t="n">
        <v>45840</v>
      </c>
      <c r="B2021" s="17" t="inlineStr">
        <is>
          <t>MH2507-02</t>
        </is>
      </c>
      <c r="C2021" s="16" t="n">
        <v>45840</v>
      </c>
      <c r="D2021" s="16" t="n">
        <v>45840</v>
      </c>
      <c r="E2021" s="17" t="inlineStr">
        <is>
          <t>00002487</t>
        </is>
      </c>
      <c r="F2021" s="16" t="inlineStr">
        <is>
          <t>XK2507-03</t>
        </is>
      </c>
      <c r="G2021" s="16" t="n">
        <v>45840</v>
      </c>
      <c r="H2021" s="17" t="inlineStr">
        <is>
          <t>CÔNG TY CỔ PHẦN CÔNG NGHIỆP VÀ THƯƠNG MẠI CƯỜNG THỊNH</t>
        </is>
      </c>
      <c r="I2021" s="17" t="inlineStr">
        <is>
          <t>H/H N A563M 10 ZP M24</t>
        </is>
      </c>
      <c r="J2021" s="17" t="inlineStr">
        <is>
          <t>Cái</t>
        </is>
      </c>
      <c r="K2021" s="19" t="n">
        <v>8540</v>
      </c>
      <c r="L2021" s="20" t="n"/>
      <c r="M2021" s="20" t="n"/>
      <c r="N2021" s="22" t="n">
        <v>225</v>
      </c>
      <c r="O2021" s="22" t="n">
        <v>1921500</v>
      </c>
      <c r="P2021" s="22" t="n">
        <v>225</v>
      </c>
      <c r="Q2021" s="22" t="n">
        <v>1921500</v>
      </c>
      <c r="R2021" s="42">
        <f>+L2021+N2021-P2021</f>
        <v/>
      </c>
      <c r="S2021" s="42">
        <f>+M2021+O2021-Q2021</f>
        <v/>
      </c>
    </row>
    <row r="2022" ht="30" customHeight="1">
      <c r="A2022" s="16" t="n">
        <v>45840</v>
      </c>
      <c r="B2022" s="17" t="inlineStr">
        <is>
          <t>MH2507-02</t>
        </is>
      </c>
      <c r="C2022" s="16" t="n">
        <v>45840</v>
      </c>
      <c r="D2022" s="16" t="n">
        <v>45840</v>
      </c>
      <c r="E2022" s="17" t="inlineStr">
        <is>
          <t>00002487</t>
        </is>
      </c>
      <c r="F2022" s="16" t="inlineStr">
        <is>
          <t>XK2507-03</t>
        </is>
      </c>
      <c r="G2022" s="16" t="n">
        <v>45840</v>
      </c>
      <c r="H2022" s="17" t="inlineStr">
        <is>
          <t>CÔNG TY CỔ PHẦN CÔNG NGHIỆP VÀ THƯƠNG MẠI CƯỜNG THỊNH</t>
        </is>
      </c>
      <c r="I2022" s="17" t="inlineStr">
        <is>
          <t>Long đền F436M Type 1 ZP M24</t>
        </is>
      </c>
      <c r="J2022" s="17" t="inlineStr">
        <is>
          <t>Cái</t>
        </is>
      </c>
      <c r="K2022" s="19" t="n">
        <v>1910</v>
      </c>
      <c r="L2022" s="20" t="n"/>
      <c r="M2022" s="20" t="n"/>
      <c r="N2022" s="22" t="n">
        <v>225</v>
      </c>
      <c r="O2022" s="22" t="n">
        <v>429750</v>
      </c>
      <c r="P2022" s="22" t="n">
        <v>225</v>
      </c>
      <c r="Q2022" s="22" t="n">
        <v>429750</v>
      </c>
      <c r="R2022" s="42">
        <f>+L2022+N2022-P2022</f>
        <v/>
      </c>
      <c r="S2022" s="42">
        <f>+M2022+O2022-Q2022</f>
        <v/>
      </c>
    </row>
    <row r="2023" ht="30" customHeight="1">
      <c r="A2023" s="16" t="n">
        <v>45840</v>
      </c>
      <c r="B2023" s="17" t="inlineStr">
        <is>
          <t>MH2507-02</t>
        </is>
      </c>
      <c r="C2023" s="16" t="n">
        <v>45840</v>
      </c>
      <c r="D2023" s="16" t="n">
        <v>45840</v>
      </c>
      <c r="E2023" s="17" t="inlineStr">
        <is>
          <t>00002487</t>
        </is>
      </c>
      <c r="F2023" s="16" t="inlineStr">
        <is>
          <t>XK2507-03</t>
        </is>
      </c>
      <c r="G2023" s="16" t="n">
        <v>45840</v>
      </c>
      <c r="H2023" s="17" t="inlineStr">
        <is>
          <t>CÔNG TY CỔ PHẦN CÔNG NGHIỆP VÀ THƯƠNG MẠI CƯỜNG THỊNH</t>
        </is>
      </c>
      <c r="I2023" s="17" t="inlineStr">
        <is>
          <t>Bulong B A325M Type 1 ZP M24x90(90)</t>
        </is>
      </c>
      <c r="J2023" s="17" t="inlineStr">
        <is>
          <t>Cái</t>
        </is>
      </c>
      <c r="K2023" s="19" t="n">
        <v>19480</v>
      </c>
      <c r="L2023" s="20" t="n"/>
      <c r="M2023" s="20" t="n"/>
      <c r="N2023" s="22" t="n">
        <v>15</v>
      </c>
      <c r="O2023" s="22" t="n">
        <v>292200</v>
      </c>
      <c r="P2023" s="22" t="n">
        <v>15</v>
      </c>
      <c r="Q2023" s="22" t="n">
        <v>292200</v>
      </c>
      <c r="R2023" s="42">
        <f>+L2023+N2023-P2023</f>
        <v/>
      </c>
      <c r="S2023" s="42">
        <f>+M2023+O2023-Q2023</f>
        <v/>
      </c>
    </row>
    <row r="2024" ht="30" customHeight="1">
      <c r="A2024" s="16" t="n">
        <v>45840</v>
      </c>
      <c r="B2024" s="17" t="inlineStr">
        <is>
          <t>MH2507-02</t>
        </is>
      </c>
      <c r="C2024" s="16" t="n">
        <v>45840</v>
      </c>
      <c r="D2024" s="16" t="n">
        <v>45840</v>
      </c>
      <c r="E2024" s="17" t="inlineStr">
        <is>
          <t>00002487</t>
        </is>
      </c>
      <c r="F2024" s="16" t="inlineStr">
        <is>
          <t>XK2507-03</t>
        </is>
      </c>
      <c r="G2024" s="16" t="n">
        <v>45840</v>
      </c>
      <c r="H2024" s="17" t="inlineStr">
        <is>
          <t>CÔNG TY CỔ PHẦN CÔNG NGHIỆP VÀ THƯƠNG MẠI CƯỜNG THỊNH</t>
        </is>
      </c>
      <c r="I2024" s="17" t="inlineStr">
        <is>
          <t>Bulong B A325M Type 1 ZP M24x120(120)</t>
        </is>
      </c>
      <c r="J2024" s="17" t="inlineStr">
        <is>
          <t>Cái</t>
        </is>
      </c>
      <c r="K2024" s="19" t="n">
        <v>23710</v>
      </c>
      <c r="L2024" s="20" t="n"/>
      <c r="M2024" s="20" t="n"/>
      <c r="N2024" s="22" t="n">
        <v>19</v>
      </c>
      <c r="O2024" s="22" t="n">
        <v>450490</v>
      </c>
      <c r="P2024" s="22" t="n">
        <v>19</v>
      </c>
      <c r="Q2024" s="22" t="n">
        <v>450490</v>
      </c>
      <c r="R2024" s="42">
        <f>+L2024+N2024-P2024</f>
        <v/>
      </c>
      <c r="S2024" s="42">
        <f>+M2024+O2024-Q2024</f>
        <v/>
      </c>
    </row>
    <row r="2025" ht="30" customHeight="1">
      <c r="A2025" s="16" t="n">
        <v>45840</v>
      </c>
      <c r="B2025" s="17" t="inlineStr">
        <is>
          <t>MH2507-02</t>
        </is>
      </c>
      <c r="C2025" s="16" t="n">
        <v>45840</v>
      </c>
      <c r="D2025" s="16" t="n">
        <v>45840</v>
      </c>
      <c r="E2025" s="17" t="inlineStr">
        <is>
          <t>00002487</t>
        </is>
      </c>
      <c r="F2025" s="16" t="inlineStr">
        <is>
          <t>XK2507-03</t>
        </is>
      </c>
      <c r="G2025" s="16" t="n">
        <v>45840</v>
      </c>
      <c r="H2025" s="17" t="inlineStr">
        <is>
          <t>CÔNG TY CỔ PHẦN CÔNG NGHIỆP VÀ THƯƠNG MẠI CƯỜNG THỊNH</t>
        </is>
      </c>
      <c r="I2025" s="17" t="inlineStr">
        <is>
          <t>H/H N A563M 10 ZP M24</t>
        </is>
      </c>
      <c r="J2025" s="17" t="inlineStr">
        <is>
          <t>Cái</t>
        </is>
      </c>
      <c r="K2025" s="19" t="n">
        <v>8540</v>
      </c>
      <c r="L2025" s="20" t="n"/>
      <c r="M2025" s="20" t="n"/>
      <c r="N2025" s="22" t="n">
        <v>19</v>
      </c>
      <c r="O2025" s="22" t="n">
        <v>162260</v>
      </c>
      <c r="P2025" s="22" t="n">
        <v>19</v>
      </c>
      <c r="Q2025" s="22" t="n">
        <v>162260</v>
      </c>
      <c r="R2025" s="42">
        <f>+L2025+N2025-P2025</f>
        <v/>
      </c>
      <c r="S2025" s="42">
        <f>+M2025+O2025-Q2025</f>
        <v/>
      </c>
    </row>
    <row r="2026" ht="30" customHeight="1">
      <c r="A2026" s="16" t="n">
        <v>45840</v>
      </c>
      <c r="B2026" s="17" t="inlineStr">
        <is>
          <t>MH2507-02</t>
        </is>
      </c>
      <c r="C2026" s="16" t="n">
        <v>45840</v>
      </c>
      <c r="D2026" s="16" t="n">
        <v>45840</v>
      </c>
      <c r="E2026" s="17" t="inlineStr">
        <is>
          <t>00002487</t>
        </is>
      </c>
      <c r="F2026" s="16" t="inlineStr">
        <is>
          <t>XK2507-03</t>
        </is>
      </c>
      <c r="G2026" s="16" t="n">
        <v>45840</v>
      </c>
      <c r="H2026" s="17" t="inlineStr">
        <is>
          <t>CÔNG TY CỔ PHẦN CÔNG NGHIỆP VÀ THƯƠNG MẠI CƯỜNG THỊNH</t>
        </is>
      </c>
      <c r="I2026" s="17" t="inlineStr">
        <is>
          <t>Long đền F436M Type 1 ZP M24</t>
        </is>
      </c>
      <c r="J2026" s="17" t="inlineStr">
        <is>
          <t>Cái</t>
        </is>
      </c>
      <c r="K2026" s="19" t="n">
        <v>1910</v>
      </c>
      <c r="L2026" s="20" t="n"/>
      <c r="M2026" s="20" t="n"/>
      <c r="N2026" s="22" t="n">
        <v>19</v>
      </c>
      <c r="O2026" s="22" t="n">
        <v>36290</v>
      </c>
      <c r="P2026" s="22" t="n">
        <v>19</v>
      </c>
      <c r="Q2026" s="22" t="n">
        <v>36290</v>
      </c>
      <c r="R2026" s="42">
        <f>+L2026+N2026-P2026</f>
        <v/>
      </c>
      <c r="S2026" s="42">
        <f>+M2026+O2026-Q2026</f>
        <v/>
      </c>
    </row>
    <row r="2027" ht="30" customHeight="1">
      <c r="A2027" s="16" t="n">
        <v>45840</v>
      </c>
      <c r="B2027" s="17" t="inlineStr">
        <is>
          <t>MH2507-02</t>
        </is>
      </c>
      <c r="C2027" s="16" t="n">
        <v>45840</v>
      </c>
      <c r="D2027" s="16" t="n">
        <v>45840</v>
      </c>
      <c r="E2027" s="17" t="inlineStr">
        <is>
          <t>00002487</t>
        </is>
      </c>
      <c r="F2027" s="16" t="inlineStr">
        <is>
          <t>XK2507-03</t>
        </is>
      </c>
      <c r="G2027" s="16" t="n">
        <v>45840</v>
      </c>
      <c r="H2027" s="17" t="inlineStr">
        <is>
          <t>CÔNG TY CỔ PHẦN CÔNG NGHIỆP VÀ THƯƠNG MẠI CƯỜNG THỊNH</t>
        </is>
      </c>
      <c r="I2027" s="17" t="inlineStr">
        <is>
          <t>Bulong B A325M Type 1 ZP M30x90(90)</t>
        </is>
      </c>
      <c r="J2027" s="17" t="inlineStr">
        <is>
          <t>Cái</t>
        </is>
      </c>
      <c r="K2027" s="19" t="n">
        <v>30440</v>
      </c>
      <c r="L2027" s="21" t="n"/>
      <c r="M2027" s="22" t="n"/>
      <c r="N2027" s="22" t="n">
        <v>1070</v>
      </c>
      <c r="O2027" s="22" t="n">
        <v>32570800</v>
      </c>
      <c r="P2027" s="22" t="n">
        <v>1070</v>
      </c>
      <c r="Q2027" s="22" t="n">
        <v>32570800</v>
      </c>
      <c r="R2027" s="42">
        <f>+L2027+N2027-P2027</f>
        <v/>
      </c>
      <c r="S2027" s="42">
        <f>+M2027+O2027-Q2027</f>
        <v/>
      </c>
    </row>
    <row r="2028" ht="30" customHeight="1">
      <c r="A2028" s="16" t="n">
        <v>45840</v>
      </c>
      <c r="B2028" s="17" t="inlineStr">
        <is>
          <t>MH2507-02</t>
        </is>
      </c>
      <c r="C2028" s="16" t="n">
        <v>45840</v>
      </c>
      <c r="D2028" s="16" t="n">
        <v>45840</v>
      </c>
      <c r="E2028" s="17" t="inlineStr">
        <is>
          <t>00002487</t>
        </is>
      </c>
      <c r="F2028" s="16" t="inlineStr">
        <is>
          <t>XK2507-03</t>
        </is>
      </c>
      <c r="G2028" s="16" t="n">
        <v>45840</v>
      </c>
      <c r="H2028" s="17" t="inlineStr">
        <is>
          <t>CÔNG TY CỔ PHẦN CÔNG NGHIỆP VÀ THƯƠNG MẠI CƯỜNG THỊNH</t>
        </is>
      </c>
      <c r="I2028" s="17" t="inlineStr">
        <is>
          <t>H/H N A563M 10 ZP M30</t>
        </is>
      </c>
      <c r="J2028" s="17" t="inlineStr">
        <is>
          <t>Cái</t>
        </is>
      </c>
      <c r="K2028" s="19" t="n">
        <v>16790</v>
      </c>
      <c r="L2028" s="21" t="n"/>
      <c r="M2028" s="22" t="n"/>
      <c r="N2028" s="22" t="n">
        <v>1070</v>
      </c>
      <c r="O2028" s="22" t="n">
        <v>17965300</v>
      </c>
      <c r="P2028" s="22" t="n">
        <v>1070</v>
      </c>
      <c r="Q2028" s="22" t="n">
        <v>17965300</v>
      </c>
      <c r="R2028" s="42">
        <f>+L2028+N2028-P2028</f>
        <v/>
      </c>
      <c r="S2028" s="42">
        <f>+M2028+O2028-Q2028</f>
        <v/>
      </c>
    </row>
    <row r="2029" ht="30" customHeight="1">
      <c r="A2029" s="16" t="n">
        <v>45840</v>
      </c>
      <c r="B2029" s="17" t="inlineStr">
        <is>
          <t>MH2507-02</t>
        </is>
      </c>
      <c r="C2029" s="16" t="n">
        <v>45840</v>
      </c>
      <c r="D2029" s="16" t="n">
        <v>45840</v>
      </c>
      <c r="E2029" s="17" t="inlineStr">
        <is>
          <t>00002487</t>
        </is>
      </c>
      <c r="F2029" s="16" t="inlineStr">
        <is>
          <t>XK2507-03</t>
        </is>
      </c>
      <c r="G2029" s="16" t="n">
        <v>45840</v>
      </c>
      <c r="H2029" s="17" t="inlineStr">
        <is>
          <t>CÔNG TY CỔ PHẦN CÔNG NGHIỆP VÀ THƯƠNG MẠI CƯỜNG THỊNH</t>
        </is>
      </c>
      <c r="I2029" s="17" t="inlineStr">
        <is>
          <t>Long đền F436M Type 1 ZP M30</t>
        </is>
      </c>
      <c r="J2029" s="17" t="inlineStr">
        <is>
          <t>Cái</t>
        </is>
      </c>
      <c r="K2029" s="19" t="n">
        <v>2630</v>
      </c>
      <c r="L2029" s="21" t="n"/>
      <c r="M2029" s="22" t="n"/>
      <c r="N2029" s="22" t="n">
        <v>1070</v>
      </c>
      <c r="O2029" s="22" t="n">
        <v>2814100</v>
      </c>
      <c r="P2029" s="22" t="n">
        <v>1070</v>
      </c>
      <c r="Q2029" s="22" t="n">
        <v>2814100</v>
      </c>
      <c r="R2029" s="42">
        <f>+L2029+N2029-P2029</f>
        <v/>
      </c>
      <c r="S2029" s="42">
        <f>+M2029+O2029-Q2029</f>
        <v/>
      </c>
    </row>
    <row r="2030" ht="30" customHeight="1">
      <c r="A2030" s="16" t="n">
        <v>45840</v>
      </c>
      <c r="B2030" s="17" t="inlineStr">
        <is>
          <t>MH2507-02</t>
        </is>
      </c>
      <c r="C2030" s="16" t="n">
        <v>45840</v>
      </c>
      <c r="D2030" s="16" t="n">
        <v>45840</v>
      </c>
      <c r="E2030" s="17" t="inlineStr">
        <is>
          <t>00002487</t>
        </is>
      </c>
      <c r="F2030" s="16" t="inlineStr">
        <is>
          <t>XK2507-03</t>
        </is>
      </c>
      <c r="G2030" s="16" t="n">
        <v>45840</v>
      </c>
      <c r="H2030" s="17" t="inlineStr">
        <is>
          <t>CÔNG TY CỔ PHẦN CÔNG NGHIỆP VÀ THƯƠNG MẠI CƯỜNG THỊNH</t>
        </is>
      </c>
      <c r="I2030" s="17" t="inlineStr">
        <is>
          <t>Bulong B A325M Type 1 ZP M30x100(100)</t>
        </is>
      </c>
      <c r="J2030" s="17" t="inlineStr">
        <is>
          <t>Cái</t>
        </is>
      </c>
      <c r="K2030" s="19" t="n">
        <v>32910</v>
      </c>
      <c r="L2030" s="21" t="n"/>
      <c r="M2030" s="22" t="n"/>
      <c r="N2030" s="22" t="n">
        <v>964</v>
      </c>
      <c r="O2030" s="22" t="n">
        <v>31725240</v>
      </c>
      <c r="P2030" s="22" t="n">
        <v>964</v>
      </c>
      <c r="Q2030" s="22" t="n">
        <v>31725240</v>
      </c>
      <c r="R2030" s="42">
        <f>+L2030+N2030-P2030</f>
        <v/>
      </c>
      <c r="S2030" s="42">
        <f>+M2030+O2030-Q2030</f>
        <v/>
      </c>
    </row>
    <row r="2031" ht="30" customHeight="1">
      <c r="A2031" s="16" t="n">
        <v>45840</v>
      </c>
      <c r="B2031" s="17" t="inlineStr">
        <is>
          <t>MH2507-02</t>
        </is>
      </c>
      <c r="C2031" s="16" t="n">
        <v>45840</v>
      </c>
      <c r="D2031" s="16" t="n">
        <v>45840</v>
      </c>
      <c r="E2031" s="17" t="inlineStr">
        <is>
          <t>00002487</t>
        </is>
      </c>
      <c r="F2031" s="16" t="inlineStr">
        <is>
          <t>XK2507-03</t>
        </is>
      </c>
      <c r="G2031" s="16" t="n">
        <v>45840</v>
      </c>
      <c r="H2031" s="17" t="inlineStr">
        <is>
          <t>CÔNG TY CỔ PHẦN CÔNG NGHIỆP VÀ THƯƠNG MẠI CƯỜNG THỊNH</t>
        </is>
      </c>
      <c r="I2031" s="17" t="inlineStr">
        <is>
          <t>H/H N A563M 10 ZP M30</t>
        </is>
      </c>
      <c r="J2031" s="17" t="inlineStr">
        <is>
          <t>Cái</t>
        </is>
      </c>
      <c r="K2031" s="19" t="n">
        <v>16790</v>
      </c>
      <c r="L2031" s="21" t="n"/>
      <c r="M2031" s="22" t="n"/>
      <c r="N2031" s="22" t="n">
        <v>964</v>
      </c>
      <c r="O2031" s="22" t="n">
        <v>16185560</v>
      </c>
      <c r="P2031" s="22" t="n">
        <v>964</v>
      </c>
      <c r="Q2031" s="22" t="n">
        <v>16185560</v>
      </c>
      <c r="R2031" s="42">
        <f>+L2031+N2031-P2031</f>
        <v/>
      </c>
      <c r="S2031" s="42">
        <f>+M2031+O2031-Q2031</f>
        <v/>
      </c>
    </row>
    <row r="2032" ht="30" customHeight="1">
      <c r="A2032" s="16" t="n">
        <v>45840</v>
      </c>
      <c r="B2032" s="17" t="inlineStr">
        <is>
          <t>MH2507-02</t>
        </is>
      </c>
      <c r="C2032" s="16" t="n">
        <v>45840</v>
      </c>
      <c r="D2032" s="16" t="n">
        <v>45840</v>
      </c>
      <c r="E2032" s="17" t="inlineStr">
        <is>
          <t>00002487</t>
        </is>
      </c>
      <c r="F2032" s="16" t="inlineStr">
        <is>
          <t>XK2507-03</t>
        </is>
      </c>
      <c r="G2032" s="16" t="n">
        <v>45840</v>
      </c>
      <c r="H2032" s="17" t="inlineStr">
        <is>
          <t>CÔNG TY CỔ PHẦN CÔNG NGHIỆP VÀ THƯƠNG MẠI CƯỜNG THỊNH</t>
        </is>
      </c>
      <c r="I2032" s="17" t="inlineStr">
        <is>
          <t>Long đền F436M Type 1 ZP M30</t>
        </is>
      </c>
      <c r="J2032" s="17" t="inlineStr">
        <is>
          <t>Cái</t>
        </is>
      </c>
      <c r="K2032" s="19" t="n">
        <v>2630</v>
      </c>
      <c r="L2032" s="21" t="n"/>
      <c r="M2032" s="22" t="n"/>
      <c r="N2032" s="22" t="n">
        <v>964</v>
      </c>
      <c r="O2032" s="22" t="n">
        <v>2535320</v>
      </c>
      <c r="P2032" s="22" t="n">
        <v>964</v>
      </c>
      <c r="Q2032" s="22" t="n">
        <v>2535320</v>
      </c>
      <c r="R2032" s="42">
        <f>+L2032+N2032-P2032</f>
        <v/>
      </c>
      <c r="S2032" s="42">
        <f>+M2032+O2032-Q2032</f>
        <v/>
      </c>
    </row>
    <row r="2033" ht="30" customHeight="1">
      <c r="A2033" s="16" t="n">
        <v>45840</v>
      </c>
      <c r="B2033" s="17" t="inlineStr">
        <is>
          <t>MH2507-02</t>
        </is>
      </c>
      <c r="C2033" s="16" t="n">
        <v>45840</v>
      </c>
      <c r="D2033" s="16" t="n">
        <v>45840</v>
      </c>
      <c r="E2033" s="17" t="inlineStr">
        <is>
          <t>00002487</t>
        </is>
      </c>
      <c r="F2033" s="16" t="inlineStr">
        <is>
          <t>XK2507-03</t>
        </is>
      </c>
      <c r="G2033" s="16" t="n">
        <v>45840</v>
      </c>
      <c r="H2033" s="17" t="inlineStr">
        <is>
          <t>CÔNG TY CỔ PHẦN CÔNG NGHIỆP VÀ THƯƠNG MẠI CƯỜNG THỊNH</t>
        </is>
      </c>
      <c r="I2033" s="17" t="inlineStr">
        <is>
          <t>Bulong A325M Type 1 ZP M30x110(110)</t>
        </is>
      </c>
      <c r="J2033" s="17" t="inlineStr">
        <is>
          <t>Cái</t>
        </is>
      </c>
      <c r="K2033" s="19" t="n">
        <v>34410</v>
      </c>
      <c r="L2033" s="21" t="n"/>
      <c r="M2033" s="22" t="n"/>
      <c r="N2033" s="22" t="n">
        <v>723</v>
      </c>
      <c r="O2033" s="22" t="n">
        <v>24878430</v>
      </c>
      <c r="P2033" s="22" t="n">
        <v>723</v>
      </c>
      <c r="Q2033" s="22" t="n">
        <v>24878430</v>
      </c>
      <c r="R2033" s="42">
        <f>+L2033+N2033-P2033</f>
        <v/>
      </c>
      <c r="S2033" s="42">
        <f>+M2033+O2033-Q2033</f>
        <v/>
      </c>
    </row>
    <row r="2034" ht="30" customHeight="1">
      <c r="A2034" s="16" t="n">
        <v>45840</v>
      </c>
      <c r="B2034" s="17" t="inlineStr">
        <is>
          <t>MH2507-02</t>
        </is>
      </c>
      <c r="C2034" s="16" t="n">
        <v>45840</v>
      </c>
      <c r="D2034" s="16" t="n">
        <v>45840</v>
      </c>
      <c r="E2034" s="17" t="inlineStr">
        <is>
          <t>00002487</t>
        </is>
      </c>
      <c r="F2034" s="16" t="inlineStr">
        <is>
          <t>XK2507-03</t>
        </is>
      </c>
      <c r="G2034" s="16" t="n">
        <v>45840</v>
      </c>
      <c r="H2034" s="17" t="inlineStr">
        <is>
          <t>CÔNG TY CỔ PHẦN CÔNG NGHIỆP VÀ THƯƠNG MẠI CƯỜNG THỊNH</t>
        </is>
      </c>
      <c r="I2034" s="17" t="inlineStr">
        <is>
          <t>H/H N A563M 10 ZP M30</t>
        </is>
      </c>
      <c r="J2034" s="17" t="inlineStr">
        <is>
          <t>Cái</t>
        </is>
      </c>
      <c r="K2034" s="19" t="n">
        <v>16790</v>
      </c>
      <c r="L2034" s="21" t="n"/>
      <c r="M2034" s="22" t="n"/>
      <c r="N2034" s="22" t="n">
        <v>723</v>
      </c>
      <c r="O2034" s="22" t="n">
        <v>12139170</v>
      </c>
      <c r="P2034" s="22" t="n">
        <v>723</v>
      </c>
      <c r="Q2034" s="22" t="n">
        <v>12139170</v>
      </c>
      <c r="R2034" s="42">
        <f>+L2034+N2034-P2034</f>
        <v/>
      </c>
      <c r="S2034" s="42">
        <f>+M2034+O2034-Q2034</f>
        <v/>
      </c>
    </row>
    <row r="2035" ht="30" customHeight="1">
      <c r="A2035" s="16" t="n">
        <v>45840</v>
      </c>
      <c r="B2035" s="17" t="inlineStr">
        <is>
          <t>MH2507-02</t>
        </is>
      </c>
      <c r="C2035" s="16" t="n">
        <v>45840</v>
      </c>
      <c r="D2035" s="16" t="n">
        <v>45840</v>
      </c>
      <c r="E2035" s="17" t="inlineStr">
        <is>
          <t>00002487</t>
        </is>
      </c>
      <c r="F2035" s="16" t="inlineStr">
        <is>
          <t>XK2507-03</t>
        </is>
      </c>
      <c r="G2035" s="16" t="n">
        <v>45840</v>
      </c>
      <c r="H2035" s="17" t="inlineStr">
        <is>
          <t>CÔNG TY CỔ PHẦN CÔNG NGHIỆP VÀ THƯƠNG MẠI CƯỜNG THỊNH</t>
        </is>
      </c>
      <c r="I2035" s="17" t="inlineStr">
        <is>
          <t>Long đền F436M Type 1 ZP M30</t>
        </is>
      </c>
      <c r="J2035" s="17" t="inlineStr">
        <is>
          <t>Cái</t>
        </is>
      </c>
      <c r="K2035" s="19" t="n">
        <v>2630</v>
      </c>
      <c r="L2035" s="21" t="n"/>
      <c r="M2035" s="22" t="n"/>
      <c r="N2035" s="22" t="n">
        <v>723</v>
      </c>
      <c r="O2035" s="22" t="n">
        <v>1901490</v>
      </c>
      <c r="P2035" s="22" t="n">
        <v>723</v>
      </c>
      <c r="Q2035" s="22" t="n">
        <v>1901490</v>
      </c>
      <c r="R2035" s="42">
        <f>+L2035+N2035-P2035</f>
        <v/>
      </c>
      <c r="S2035" s="42">
        <f>+M2035+O2035-Q2035</f>
        <v/>
      </c>
    </row>
    <row r="2036" ht="30" customHeight="1">
      <c r="A2036" s="16" t="n">
        <v>45840</v>
      </c>
      <c r="B2036" s="17" t="inlineStr">
        <is>
          <t>MH2507-02</t>
        </is>
      </c>
      <c r="C2036" s="16" t="n">
        <v>45840</v>
      </c>
      <c r="D2036" s="16" t="n">
        <v>45840</v>
      </c>
      <c r="E2036" s="17" t="inlineStr">
        <is>
          <t>00002487</t>
        </is>
      </c>
      <c r="F2036" s="16" t="inlineStr">
        <is>
          <t>XK2507-03</t>
        </is>
      </c>
      <c r="G2036" s="16" t="n">
        <v>45840</v>
      </c>
      <c r="H2036" s="17" t="inlineStr">
        <is>
          <t>CÔNG TY CỔ PHẦN CÔNG NGHIỆP VÀ THƯƠNG MẠI CƯỜNG THỊNH</t>
        </is>
      </c>
      <c r="I2036" s="17" t="inlineStr">
        <is>
          <t>H/H N A563M 10 ZP M30</t>
        </is>
      </c>
      <c r="J2036" s="17" t="inlineStr">
        <is>
          <t>Cái</t>
        </is>
      </c>
      <c r="K2036" s="19" t="n">
        <v>16790</v>
      </c>
      <c r="L2036" s="21" t="n"/>
      <c r="M2036" s="22" t="n"/>
      <c r="N2036" s="22" t="n">
        <v>299</v>
      </c>
      <c r="O2036" s="22" t="n">
        <v>5020210</v>
      </c>
      <c r="P2036" s="22" t="n">
        <v>299</v>
      </c>
      <c r="Q2036" s="22" t="n">
        <v>5020210</v>
      </c>
      <c r="R2036" s="42">
        <f>+L2036+N2036-P2036</f>
        <v/>
      </c>
      <c r="S2036" s="42">
        <f>+M2036+O2036-Q2036</f>
        <v/>
      </c>
    </row>
    <row r="2037" ht="30" customHeight="1">
      <c r="A2037" s="16" t="n">
        <v>45840</v>
      </c>
      <c r="B2037" s="17" t="inlineStr">
        <is>
          <t>MH2507-02</t>
        </is>
      </c>
      <c r="C2037" s="16" t="n">
        <v>45840</v>
      </c>
      <c r="D2037" s="16" t="n">
        <v>45840</v>
      </c>
      <c r="E2037" s="17" t="inlineStr">
        <is>
          <t>00002487</t>
        </is>
      </c>
      <c r="F2037" s="16" t="inlineStr">
        <is>
          <t>XK2507-03</t>
        </is>
      </c>
      <c r="G2037" s="16" t="n">
        <v>45840</v>
      </c>
      <c r="H2037" s="17" t="inlineStr">
        <is>
          <t>CÔNG TY CỔ PHẦN CÔNG NGHIỆP VÀ THƯƠNG MẠI CƯỜNG THỊNH</t>
        </is>
      </c>
      <c r="I2037" s="17" t="inlineStr">
        <is>
          <t>Long đền F436M Type 1 ZP M30</t>
        </is>
      </c>
      <c r="J2037" s="17" t="inlineStr">
        <is>
          <t>Cái</t>
        </is>
      </c>
      <c r="K2037" s="19" t="n">
        <v>2630</v>
      </c>
      <c r="L2037" s="21" t="n"/>
      <c r="M2037" s="22" t="n"/>
      <c r="N2037" s="22" t="n">
        <v>299</v>
      </c>
      <c r="O2037" s="22" t="n">
        <v>786370</v>
      </c>
      <c r="P2037" s="22" t="n">
        <v>299</v>
      </c>
      <c r="Q2037" s="22" t="n">
        <v>786370</v>
      </c>
      <c r="R2037" s="42">
        <f>+L2037+N2037-P2037</f>
        <v/>
      </c>
      <c r="S2037" s="42">
        <f>+M2037+O2037-Q2037</f>
        <v/>
      </c>
    </row>
    <row r="2038" ht="30" customHeight="1">
      <c r="A2038" s="16" t="n">
        <v>45840</v>
      </c>
      <c r="B2038" s="17" t="inlineStr">
        <is>
          <t>MH2507-02</t>
        </is>
      </c>
      <c r="C2038" s="16" t="n">
        <v>45840</v>
      </c>
      <c r="D2038" s="16" t="n">
        <v>45840</v>
      </c>
      <c r="E2038" s="17" t="inlineStr">
        <is>
          <t>00002487</t>
        </is>
      </c>
      <c r="F2038" s="16" t="inlineStr">
        <is>
          <t>XK2507-03</t>
        </is>
      </c>
      <c r="G2038" s="16" t="n">
        <v>45840</v>
      </c>
      <c r="H2038" s="17" t="inlineStr">
        <is>
          <t>CÔNG TY CỔ PHẦN CÔNG NGHIỆP VÀ THƯƠNG MẠI CƯỜNG THỊNH</t>
        </is>
      </c>
      <c r="I2038" s="17" t="inlineStr">
        <is>
          <t>Bulong A325M Type 1 ZP M30x120(120)</t>
        </is>
      </c>
      <c r="J2038" s="17" t="inlineStr">
        <is>
          <t>Cái</t>
        </is>
      </c>
      <c r="K2038" s="19" t="n">
        <v>36120</v>
      </c>
      <c r="L2038" s="21" t="n"/>
      <c r="M2038" s="22" t="n"/>
      <c r="N2038" s="22" t="n">
        <v>299</v>
      </c>
      <c r="O2038" s="22" t="n">
        <v>10799880</v>
      </c>
      <c r="P2038" s="22" t="n">
        <v>299</v>
      </c>
      <c r="Q2038" s="22" t="n">
        <v>10799880</v>
      </c>
      <c r="R2038" s="42">
        <f>+L2038+N2038-P2038</f>
        <v/>
      </c>
      <c r="S2038" s="42">
        <f>+M2038+O2038-Q2038</f>
        <v/>
      </c>
    </row>
    <row r="2039" ht="30" customHeight="1">
      <c r="A2039" s="16" t="n">
        <v>45840</v>
      </c>
      <c r="B2039" s="17" t="inlineStr">
        <is>
          <t>MH2507-02</t>
        </is>
      </c>
      <c r="C2039" s="16" t="n">
        <v>45840</v>
      </c>
      <c r="D2039" s="16" t="n">
        <v>45840</v>
      </c>
      <c r="E2039" s="17" t="inlineStr">
        <is>
          <t>00002487</t>
        </is>
      </c>
      <c r="F2039" s="16" t="inlineStr">
        <is>
          <t>XK2507-03</t>
        </is>
      </c>
      <c r="G2039" s="16" t="n">
        <v>45840</v>
      </c>
      <c r="H2039" s="17" t="inlineStr">
        <is>
          <t>CÔNG TY CỔ PHẦN CÔNG NGHIỆP VÀ THƯƠNG MẠI CƯỜNG THỊNH</t>
        </is>
      </c>
      <c r="I2039" s="17" t="inlineStr">
        <is>
          <t>H/H N A563M 10 ZP M30</t>
        </is>
      </c>
      <c r="J2039" s="17" t="inlineStr">
        <is>
          <t>Cái</t>
        </is>
      </c>
      <c r="K2039" s="19" t="n">
        <v>16790</v>
      </c>
      <c r="L2039" s="21" t="n"/>
      <c r="M2039" s="22" t="n"/>
      <c r="N2039" s="22" t="n">
        <v>173</v>
      </c>
      <c r="O2039" s="22" t="n">
        <v>2904670</v>
      </c>
      <c r="P2039" s="22" t="n">
        <v>173</v>
      </c>
      <c r="Q2039" s="22" t="n">
        <v>2904670</v>
      </c>
      <c r="R2039" s="42">
        <f>+L2039+N2039-P2039</f>
        <v/>
      </c>
      <c r="S2039" s="42">
        <f>+M2039+O2039-Q2039</f>
        <v/>
      </c>
    </row>
    <row r="2040" ht="30" customHeight="1">
      <c r="A2040" s="16" t="n">
        <v>45840</v>
      </c>
      <c r="B2040" s="17" t="inlineStr">
        <is>
          <t>MH2507-02</t>
        </is>
      </c>
      <c r="C2040" s="16" t="n">
        <v>45840</v>
      </c>
      <c r="D2040" s="16" t="n">
        <v>45840</v>
      </c>
      <c r="E2040" s="17" t="inlineStr">
        <is>
          <t>00002487</t>
        </is>
      </c>
      <c r="F2040" s="16" t="inlineStr">
        <is>
          <t>XK2507-03</t>
        </is>
      </c>
      <c r="G2040" s="16" t="n">
        <v>45840</v>
      </c>
      <c r="H2040" s="17" t="inlineStr">
        <is>
          <t>CÔNG TY CỔ PHẦN CÔNG NGHIỆP VÀ THƯƠNG MẠI CƯỜNG THỊNH</t>
        </is>
      </c>
      <c r="I2040" s="17" t="inlineStr">
        <is>
          <t>Long đền F436M Type 1 ZP M30</t>
        </is>
      </c>
      <c r="J2040" s="17" t="inlineStr">
        <is>
          <t>Cái</t>
        </is>
      </c>
      <c r="K2040" s="19" t="n">
        <v>2630</v>
      </c>
      <c r="L2040" s="21" t="n"/>
      <c r="M2040" s="22" t="n"/>
      <c r="N2040" s="22" t="n">
        <v>173</v>
      </c>
      <c r="O2040" s="22" t="n">
        <v>454990</v>
      </c>
      <c r="P2040" s="22" t="n">
        <v>173</v>
      </c>
      <c r="Q2040" s="22" t="n">
        <v>454990</v>
      </c>
      <c r="R2040" s="42">
        <f>+L2040+N2040-P2040</f>
        <v/>
      </c>
      <c r="S2040" s="42">
        <f>+M2040+O2040-Q2040</f>
        <v/>
      </c>
    </row>
    <row r="2041" ht="30" customHeight="1">
      <c r="A2041" s="16" t="n">
        <v>45840</v>
      </c>
      <c r="B2041" s="17" t="inlineStr">
        <is>
          <t>MH2507-02</t>
        </is>
      </c>
      <c r="C2041" s="16" t="n">
        <v>45840</v>
      </c>
      <c r="D2041" s="16" t="n">
        <v>45840</v>
      </c>
      <c r="E2041" s="17" t="inlineStr">
        <is>
          <t>00002487</t>
        </is>
      </c>
      <c r="F2041" s="16" t="inlineStr">
        <is>
          <t>XK2507-03</t>
        </is>
      </c>
      <c r="G2041" s="16" t="n">
        <v>45840</v>
      </c>
      <c r="H2041" s="17" t="inlineStr">
        <is>
          <t>CÔNG TY CỔ PHẦN CÔNG NGHIỆP VÀ THƯƠNG MẠI CƯỜNG THỊNH</t>
        </is>
      </c>
      <c r="I2041" s="17" t="inlineStr">
        <is>
          <t>Bulong B A325M Type 1 ZP M30x130(130)</t>
        </is>
      </c>
      <c r="J2041" s="17" t="inlineStr">
        <is>
          <t>Cái</t>
        </is>
      </c>
      <c r="K2041" s="19" t="n">
        <v>38690</v>
      </c>
      <c r="L2041" s="21" t="n"/>
      <c r="M2041" s="22" t="n"/>
      <c r="N2041" s="22" t="n">
        <v>173</v>
      </c>
      <c r="O2041" s="22" t="n">
        <v>6693370</v>
      </c>
      <c r="P2041" s="22" t="n">
        <v>173</v>
      </c>
      <c r="Q2041" s="22" t="n">
        <v>6693370</v>
      </c>
      <c r="R2041" s="42">
        <f>+L2041+N2041-P2041</f>
        <v/>
      </c>
      <c r="S2041" s="42">
        <f>+M2041+O2041-Q2041</f>
        <v/>
      </c>
    </row>
    <row r="2042" ht="30" customHeight="1">
      <c r="A2042" s="16" t="n">
        <v>45840</v>
      </c>
      <c r="B2042" s="17" t="inlineStr">
        <is>
          <t>MH2507-02</t>
        </is>
      </c>
      <c r="C2042" s="16" t="n">
        <v>45840</v>
      </c>
      <c r="D2042" s="16" t="n">
        <v>45840</v>
      </c>
      <c r="E2042" s="17" t="inlineStr">
        <is>
          <t>00002487</t>
        </is>
      </c>
      <c r="F2042" s="16" t="inlineStr">
        <is>
          <t>XK2507-03</t>
        </is>
      </c>
      <c r="G2042" s="16" t="n">
        <v>45840</v>
      </c>
      <c r="H2042" s="17" t="inlineStr">
        <is>
          <t>CÔNG TY CỔ PHẦN CÔNG NGHIỆP VÀ THƯƠNG MẠI CƯỜNG THỊNH</t>
        </is>
      </c>
      <c r="I2042" s="17" t="inlineStr">
        <is>
          <t>Bulong B A325M Type 1 ZP M30x140(140)</t>
        </is>
      </c>
      <c r="J2042" s="17" t="inlineStr">
        <is>
          <t>Cái</t>
        </is>
      </c>
      <c r="K2042" s="19" t="n">
        <v>40820</v>
      </c>
      <c r="L2042" s="21" t="n"/>
      <c r="M2042" s="22" t="n"/>
      <c r="N2042" s="22" t="n">
        <v>816</v>
      </c>
      <c r="O2042" s="22" t="n">
        <v>33309120</v>
      </c>
      <c r="P2042" s="22" t="n">
        <v>816</v>
      </c>
      <c r="Q2042" s="22" t="n">
        <v>33309120</v>
      </c>
      <c r="R2042" s="42">
        <f>+L2042+N2042-P2042</f>
        <v/>
      </c>
      <c r="S2042" s="42">
        <f>+M2042+O2042-Q2042</f>
        <v/>
      </c>
    </row>
    <row r="2043" ht="30" customHeight="1">
      <c r="A2043" s="16" t="n">
        <v>45840</v>
      </c>
      <c r="B2043" s="17" t="inlineStr">
        <is>
          <t>MH2507-02</t>
        </is>
      </c>
      <c r="C2043" s="16" t="n">
        <v>45840</v>
      </c>
      <c r="D2043" s="16" t="n">
        <v>45840</v>
      </c>
      <c r="E2043" s="17" t="inlineStr">
        <is>
          <t>00002487</t>
        </is>
      </c>
      <c r="F2043" s="16" t="inlineStr">
        <is>
          <t>XK2507-03</t>
        </is>
      </c>
      <c r="G2043" s="16" t="n">
        <v>45840</v>
      </c>
      <c r="H2043" s="17" t="inlineStr">
        <is>
          <t>CÔNG TY CỔ PHẦN CÔNG NGHIỆP VÀ THƯƠNG MẠI CƯỜNG THỊNH</t>
        </is>
      </c>
      <c r="I2043" s="17" t="inlineStr">
        <is>
          <t>H/H N A563M 10 ZP M30</t>
        </is>
      </c>
      <c r="J2043" s="17" t="inlineStr">
        <is>
          <t>Cái</t>
        </is>
      </c>
      <c r="K2043" s="19" t="n">
        <v>16790</v>
      </c>
      <c r="L2043" s="21" t="n"/>
      <c r="M2043" s="22" t="n"/>
      <c r="N2043" s="22" t="n">
        <v>816</v>
      </c>
      <c r="O2043" s="22" t="n">
        <v>13700640</v>
      </c>
      <c r="P2043" s="22" t="n">
        <v>816</v>
      </c>
      <c r="Q2043" s="22" t="n">
        <v>13700640</v>
      </c>
      <c r="R2043" s="42">
        <f>+L2043+N2043-P2043</f>
        <v/>
      </c>
      <c r="S2043" s="42">
        <f>+M2043+O2043-Q2043</f>
        <v/>
      </c>
    </row>
    <row r="2044" ht="30" customHeight="1">
      <c r="A2044" s="16" t="n">
        <v>45840</v>
      </c>
      <c r="B2044" s="17" t="inlineStr">
        <is>
          <t>MH2507-02</t>
        </is>
      </c>
      <c r="C2044" s="16" t="n">
        <v>45840</v>
      </c>
      <c r="D2044" s="16" t="n">
        <v>45840</v>
      </c>
      <c r="E2044" s="17" t="inlineStr">
        <is>
          <t>00002487</t>
        </is>
      </c>
      <c r="F2044" s="16" t="inlineStr">
        <is>
          <t>XK2507-03</t>
        </is>
      </c>
      <c r="G2044" s="16" t="n">
        <v>45840</v>
      </c>
      <c r="H2044" s="17" t="inlineStr">
        <is>
          <t>CÔNG TY CỔ PHẦN CÔNG NGHIỆP VÀ THƯƠNG MẠI CƯỜNG THỊNH</t>
        </is>
      </c>
      <c r="I2044" s="17" t="inlineStr">
        <is>
          <t>Long đền F436M Type 1 ZP M30</t>
        </is>
      </c>
      <c r="J2044" s="17" t="inlineStr">
        <is>
          <t>Cái</t>
        </is>
      </c>
      <c r="K2044" s="19" t="n">
        <v>2630</v>
      </c>
      <c r="L2044" s="21" t="n"/>
      <c r="M2044" s="22" t="n"/>
      <c r="N2044" s="22" t="n">
        <v>816</v>
      </c>
      <c r="O2044" s="22" t="n">
        <v>2146080</v>
      </c>
      <c r="P2044" s="22" t="n">
        <v>816</v>
      </c>
      <c r="Q2044" s="22" t="n">
        <v>2146080</v>
      </c>
      <c r="R2044" s="42">
        <f>+L2044+N2044-P2044</f>
        <v/>
      </c>
      <c r="S2044" s="42">
        <f>+M2044+O2044-Q2044</f>
        <v/>
      </c>
    </row>
    <row r="2045" ht="30" customHeight="1">
      <c r="A2045" s="16" t="n">
        <v>45840</v>
      </c>
      <c r="B2045" s="17" t="inlineStr">
        <is>
          <t>MH2507-02</t>
        </is>
      </c>
      <c r="C2045" s="16" t="n">
        <v>45840</v>
      </c>
      <c r="D2045" s="16" t="n">
        <v>45840</v>
      </c>
      <c r="E2045" s="17" t="inlineStr">
        <is>
          <t>00002487</t>
        </is>
      </c>
      <c r="F2045" s="16" t="inlineStr">
        <is>
          <t>XK2507-03</t>
        </is>
      </c>
      <c r="G2045" s="16" t="n">
        <v>45840</v>
      </c>
      <c r="H2045" s="17" t="inlineStr">
        <is>
          <t>CÔNG TY CỔ PHẦN CÔNG NGHIỆP VÀ THƯƠNG MẠI CƯỜNG THỊNH</t>
        </is>
      </c>
      <c r="I2045" s="17" t="inlineStr">
        <is>
          <t>H/H N A563M 10 ZP M30</t>
        </is>
      </c>
      <c r="J2045" s="17" t="inlineStr">
        <is>
          <t>Cái</t>
        </is>
      </c>
      <c r="K2045" s="19" t="n">
        <v>16790</v>
      </c>
      <c r="L2045" s="21" t="n"/>
      <c r="M2045" s="22" t="n"/>
      <c r="N2045" s="22" t="n">
        <v>1726</v>
      </c>
      <c r="O2045" s="22" t="n">
        <v>28979540</v>
      </c>
      <c r="P2045" s="22" t="n">
        <v>1726</v>
      </c>
      <c r="Q2045" s="22" t="n">
        <v>28979540</v>
      </c>
      <c r="R2045" s="42">
        <f>+L2045+N2045-P2045</f>
        <v/>
      </c>
      <c r="S2045" s="42">
        <f>+M2045+O2045-Q2045</f>
        <v/>
      </c>
    </row>
    <row r="2046" ht="30" customHeight="1">
      <c r="A2046" s="16" t="n">
        <v>45840</v>
      </c>
      <c r="B2046" s="17" t="inlineStr">
        <is>
          <t>MH2507-02</t>
        </is>
      </c>
      <c r="C2046" s="16" t="n">
        <v>45840</v>
      </c>
      <c r="D2046" s="16" t="n">
        <v>45840</v>
      </c>
      <c r="E2046" s="17" t="inlineStr">
        <is>
          <t>00002487</t>
        </is>
      </c>
      <c r="F2046" s="16" t="inlineStr">
        <is>
          <t>XK2507-03</t>
        </is>
      </c>
      <c r="G2046" s="16" t="n">
        <v>45840</v>
      </c>
      <c r="H2046" s="17" t="inlineStr">
        <is>
          <t>CÔNG TY CỔ PHẦN CÔNG NGHIỆP VÀ THƯƠNG MẠI CƯỜNG THỊNH</t>
        </is>
      </c>
      <c r="I2046" s="17" t="inlineStr">
        <is>
          <t>Long đền F436M Type 1 ZP M30</t>
        </is>
      </c>
      <c r="J2046" s="17" t="inlineStr">
        <is>
          <t>Cái</t>
        </is>
      </c>
      <c r="K2046" s="19" t="n">
        <v>2630</v>
      </c>
      <c r="L2046" s="21" t="n"/>
      <c r="M2046" s="22" t="n"/>
      <c r="N2046" s="22" t="n">
        <v>1726</v>
      </c>
      <c r="O2046" s="22" t="n">
        <v>4539380</v>
      </c>
      <c r="P2046" s="22" t="n">
        <v>1726</v>
      </c>
      <c r="Q2046" s="22" t="n">
        <v>4539380</v>
      </c>
      <c r="R2046" s="42">
        <f>+L2046+N2046-P2046</f>
        <v/>
      </c>
      <c r="S2046" s="42">
        <f>+M2046+O2046-Q2046</f>
        <v/>
      </c>
    </row>
    <row r="2047" ht="30" customHeight="1">
      <c r="A2047" s="16" t="n">
        <v>45840</v>
      </c>
      <c r="B2047" s="17" t="inlineStr">
        <is>
          <t>MH2507-02</t>
        </is>
      </c>
      <c r="C2047" s="16" t="n">
        <v>45840</v>
      </c>
      <c r="D2047" s="16" t="n">
        <v>45840</v>
      </c>
      <c r="E2047" s="17" t="inlineStr">
        <is>
          <t>00002487</t>
        </is>
      </c>
      <c r="F2047" s="16" t="inlineStr">
        <is>
          <t>XK2507-03</t>
        </is>
      </c>
      <c r="G2047" s="16" t="n">
        <v>45840</v>
      </c>
      <c r="H2047" s="17" t="inlineStr">
        <is>
          <t>CÔNG TY CỔ PHẦN CÔNG NGHIỆP VÀ THƯƠNG MẠI CƯỜNG THỊNH</t>
        </is>
      </c>
      <c r="I2047" s="17" t="inlineStr">
        <is>
          <t>Bulong B A325M Type 1 ZP M30x150(150)</t>
        </is>
      </c>
      <c r="J2047" s="17" t="inlineStr">
        <is>
          <t>Cái</t>
        </is>
      </c>
      <c r="K2047" s="19" t="n">
        <v>42860</v>
      </c>
      <c r="L2047" s="21" t="n"/>
      <c r="M2047" s="22" t="n"/>
      <c r="N2047" s="22" t="n">
        <v>1726</v>
      </c>
      <c r="O2047" s="22" t="n">
        <v>73976360</v>
      </c>
      <c r="P2047" s="22" t="n">
        <v>1726</v>
      </c>
      <c r="Q2047" s="22" t="n">
        <v>73976360</v>
      </c>
      <c r="R2047" s="42">
        <f>+L2047+N2047-P2047</f>
        <v/>
      </c>
      <c r="S2047" s="42">
        <f>+M2047+O2047-Q2047</f>
        <v/>
      </c>
    </row>
    <row r="2048" ht="30" customHeight="1">
      <c r="A2048" s="16" t="n">
        <v>45840</v>
      </c>
      <c r="B2048" s="17" t="inlineStr">
        <is>
          <t>MH2507-02</t>
        </is>
      </c>
      <c r="C2048" s="16" t="n">
        <v>45840</v>
      </c>
      <c r="D2048" s="16" t="n">
        <v>45840</v>
      </c>
      <c r="E2048" s="17" t="inlineStr">
        <is>
          <t>00002487</t>
        </is>
      </c>
      <c r="F2048" s="16" t="inlineStr">
        <is>
          <t>XK2507-03</t>
        </is>
      </c>
      <c r="G2048" s="16" t="n">
        <v>45840</v>
      </c>
      <c r="H2048" s="17" t="inlineStr">
        <is>
          <t>CÔNG TY CỔ PHẦN CÔNG NGHIỆP VÀ THƯƠNG MẠI CƯỜNG THỊNH</t>
        </is>
      </c>
      <c r="I2048" s="17" t="inlineStr">
        <is>
          <t>Bulong B A325M Type 1 ZP M30x160(160)</t>
        </is>
      </c>
      <c r="J2048" s="17" t="inlineStr">
        <is>
          <t>Cái</t>
        </is>
      </c>
      <c r="K2048" s="19" t="n">
        <v>45700</v>
      </c>
      <c r="L2048" s="21" t="n"/>
      <c r="M2048" s="22" t="n"/>
      <c r="N2048" s="22" t="n">
        <v>297</v>
      </c>
      <c r="O2048" s="22" t="n">
        <v>13572900</v>
      </c>
      <c r="P2048" s="22" t="n">
        <v>297</v>
      </c>
      <c r="Q2048" s="22" t="n">
        <v>13572900</v>
      </c>
      <c r="R2048" s="42">
        <f>+L2048+N2048-P2048</f>
        <v/>
      </c>
      <c r="S2048" s="42">
        <f>+M2048+O2048-Q2048</f>
        <v/>
      </c>
    </row>
    <row r="2049" ht="30" customHeight="1">
      <c r="A2049" s="16" t="n">
        <v>45840</v>
      </c>
      <c r="B2049" s="17" t="inlineStr">
        <is>
          <t>MH2507-02</t>
        </is>
      </c>
      <c r="C2049" s="16" t="n">
        <v>45840</v>
      </c>
      <c r="D2049" s="16" t="n">
        <v>45840</v>
      </c>
      <c r="E2049" s="17" t="inlineStr">
        <is>
          <t>00002487</t>
        </is>
      </c>
      <c r="F2049" s="16" t="inlineStr">
        <is>
          <t>XK2507-03</t>
        </is>
      </c>
      <c r="G2049" s="16" t="n">
        <v>45840</v>
      </c>
      <c r="H2049" s="17" t="inlineStr">
        <is>
          <t>CÔNG TY CỔ PHẦN CÔNG NGHIỆP VÀ THƯƠNG MẠI CƯỜNG THỊNH</t>
        </is>
      </c>
      <c r="I2049" s="17" t="inlineStr">
        <is>
          <t>H/H N A563M 10 ZP M30</t>
        </is>
      </c>
      <c r="J2049" s="17" t="inlineStr">
        <is>
          <t>Cái</t>
        </is>
      </c>
      <c r="K2049" s="19" t="n">
        <v>16790</v>
      </c>
      <c r="L2049" s="21" t="n"/>
      <c r="M2049" s="22" t="n"/>
      <c r="N2049" s="22" t="n">
        <v>297</v>
      </c>
      <c r="O2049" s="22" t="n">
        <v>4986630</v>
      </c>
      <c r="P2049" s="22" t="n">
        <v>297</v>
      </c>
      <c r="Q2049" s="22" t="n">
        <v>4986630</v>
      </c>
      <c r="R2049" s="42">
        <f>+L2049+N2049-P2049</f>
        <v/>
      </c>
      <c r="S2049" s="42">
        <f>+M2049+O2049-Q2049</f>
        <v/>
      </c>
    </row>
    <row r="2050" ht="30" customHeight="1">
      <c r="A2050" s="16" t="n">
        <v>45840</v>
      </c>
      <c r="B2050" s="17" t="inlineStr">
        <is>
          <t>MH2507-02</t>
        </is>
      </c>
      <c r="C2050" s="16" t="n">
        <v>45840</v>
      </c>
      <c r="D2050" s="16" t="n">
        <v>45840</v>
      </c>
      <c r="E2050" s="17" t="inlineStr">
        <is>
          <t>00002487</t>
        </is>
      </c>
      <c r="F2050" s="16" t="inlineStr">
        <is>
          <t>XK2507-03</t>
        </is>
      </c>
      <c r="G2050" s="16" t="n">
        <v>45840</v>
      </c>
      <c r="H2050" s="17" t="inlineStr">
        <is>
          <t>CÔNG TY CỔ PHẦN CÔNG NGHIỆP VÀ THƯƠNG MẠI CƯỜNG THỊNH</t>
        </is>
      </c>
      <c r="I2050" s="17" t="inlineStr">
        <is>
          <t>Long đền F436M Type 1 ZP M30</t>
        </is>
      </c>
      <c r="J2050" s="17" t="inlineStr">
        <is>
          <t>Cái</t>
        </is>
      </c>
      <c r="K2050" s="19" t="n">
        <v>2630</v>
      </c>
      <c r="L2050" s="21" t="n"/>
      <c r="M2050" s="22" t="n"/>
      <c r="N2050" s="22" t="n">
        <v>297</v>
      </c>
      <c r="O2050" s="22" t="n">
        <v>781110</v>
      </c>
      <c r="P2050" s="22" t="n">
        <v>297</v>
      </c>
      <c r="Q2050" s="22" t="n">
        <v>781110</v>
      </c>
      <c r="R2050" s="42">
        <f>+L2050+N2050-P2050</f>
        <v/>
      </c>
      <c r="S2050" s="42">
        <f>+M2050+O2050-Q2050</f>
        <v/>
      </c>
    </row>
    <row r="2051" ht="30" customHeight="1">
      <c r="A2051" s="16" t="n">
        <v>45840</v>
      </c>
      <c r="B2051" s="17" t="inlineStr">
        <is>
          <t>MH2507-02</t>
        </is>
      </c>
      <c r="C2051" s="16" t="n">
        <v>45840</v>
      </c>
      <c r="D2051" s="16" t="n">
        <v>45840</v>
      </c>
      <c r="E2051" s="17" t="inlineStr">
        <is>
          <t>00002487</t>
        </is>
      </c>
      <c r="F2051" s="16" t="inlineStr">
        <is>
          <t>XK2507-03</t>
        </is>
      </c>
      <c r="G2051" s="16" t="n">
        <v>45840</v>
      </c>
      <c r="H2051" s="17" t="inlineStr">
        <is>
          <t>CÔNG TY CỔ PHẦN CÔNG NGHIỆP VÀ THƯƠNG MẠI CƯỜNG THỊNH</t>
        </is>
      </c>
      <c r="I2051" s="17" t="inlineStr">
        <is>
          <t>Bulong B A325M Type 1 ZP M30x170(170)</t>
        </is>
      </c>
      <c r="J2051" s="17" t="inlineStr">
        <is>
          <t>Cái</t>
        </is>
      </c>
      <c r="K2051" s="19" t="n">
        <v>47980</v>
      </c>
      <c r="L2051" s="21" t="n"/>
      <c r="M2051" s="22" t="n"/>
      <c r="N2051" s="22" t="n">
        <v>91</v>
      </c>
      <c r="O2051" s="22" t="n">
        <v>4366180</v>
      </c>
      <c r="P2051" s="22" t="n">
        <v>91</v>
      </c>
      <c r="Q2051" s="22" t="n">
        <v>4366180</v>
      </c>
      <c r="R2051" s="42">
        <f>+L2051+N2051-P2051</f>
        <v/>
      </c>
      <c r="S2051" s="42">
        <f>+M2051+O2051-Q2051</f>
        <v/>
      </c>
    </row>
    <row r="2052" ht="30" customHeight="1">
      <c r="A2052" s="16" t="n">
        <v>45840</v>
      </c>
      <c r="B2052" s="17" t="inlineStr">
        <is>
          <t>MH2507-02</t>
        </is>
      </c>
      <c r="C2052" s="16" t="n">
        <v>45840</v>
      </c>
      <c r="D2052" s="16" t="n">
        <v>45840</v>
      </c>
      <c r="E2052" s="17" t="inlineStr">
        <is>
          <t>00002487</t>
        </is>
      </c>
      <c r="F2052" s="16" t="inlineStr">
        <is>
          <t>XK2507-03</t>
        </is>
      </c>
      <c r="G2052" s="16" t="n">
        <v>45840</v>
      </c>
      <c r="H2052" s="17" t="inlineStr">
        <is>
          <t>CÔNG TY CỔ PHẦN CÔNG NGHIỆP VÀ THƯƠNG MẠI CƯỜNG THỊNH</t>
        </is>
      </c>
      <c r="I2052" s="17" t="inlineStr">
        <is>
          <t>H/H N A563M 10 ZP M30</t>
        </is>
      </c>
      <c r="J2052" s="17" t="inlineStr">
        <is>
          <t>Cái</t>
        </is>
      </c>
      <c r="K2052" s="19" t="n">
        <v>16790</v>
      </c>
      <c r="L2052" s="21" t="n"/>
      <c r="M2052" s="22" t="n"/>
      <c r="N2052" s="22" t="n">
        <v>91</v>
      </c>
      <c r="O2052" s="22" t="n">
        <v>1527890</v>
      </c>
      <c r="P2052" s="22" t="n">
        <v>91</v>
      </c>
      <c r="Q2052" s="22" t="n">
        <v>1527890</v>
      </c>
      <c r="R2052" s="42">
        <f>+L2052+N2052-P2052</f>
        <v/>
      </c>
      <c r="S2052" s="42">
        <f>+M2052+O2052-Q2052</f>
        <v/>
      </c>
    </row>
    <row r="2053" ht="30" customHeight="1">
      <c r="A2053" s="16" t="n">
        <v>45840</v>
      </c>
      <c r="B2053" s="17" t="inlineStr">
        <is>
          <t>MH2507-02</t>
        </is>
      </c>
      <c r="C2053" s="16" t="n">
        <v>45840</v>
      </c>
      <c r="D2053" s="16" t="n">
        <v>45840</v>
      </c>
      <c r="E2053" s="17" t="inlineStr">
        <is>
          <t>00002487</t>
        </is>
      </c>
      <c r="F2053" s="16" t="inlineStr">
        <is>
          <t>XK2507-03</t>
        </is>
      </c>
      <c r="G2053" s="16" t="n">
        <v>45840</v>
      </c>
      <c r="H2053" s="17" t="inlineStr">
        <is>
          <t>CÔNG TY CỔ PHẦN CÔNG NGHIỆP VÀ THƯƠNG MẠI CƯỜNG THỊNH</t>
        </is>
      </c>
      <c r="I2053" s="17" t="inlineStr">
        <is>
          <t>Long đền F436M Type 1 ZP M30</t>
        </is>
      </c>
      <c r="J2053" s="17" t="inlineStr">
        <is>
          <t>Cái</t>
        </is>
      </c>
      <c r="K2053" s="19" t="n">
        <v>2630</v>
      </c>
      <c r="L2053" s="21" t="n"/>
      <c r="M2053" s="22" t="n"/>
      <c r="N2053" s="22" t="n">
        <v>91</v>
      </c>
      <c r="O2053" s="22" t="n">
        <v>239330</v>
      </c>
      <c r="P2053" s="22" t="n">
        <v>91</v>
      </c>
      <c r="Q2053" s="22" t="n">
        <v>239330</v>
      </c>
      <c r="R2053" s="42">
        <f>+L2053+N2053-P2053</f>
        <v/>
      </c>
      <c r="S2053" s="42">
        <f>+M2053+O2053-Q2053</f>
        <v/>
      </c>
    </row>
    <row r="2054" ht="30" customHeight="1">
      <c r="A2054" s="16" t="n">
        <v>45840</v>
      </c>
      <c r="B2054" s="17" t="inlineStr">
        <is>
          <t>MH2507-02</t>
        </is>
      </c>
      <c r="C2054" s="16" t="n">
        <v>45840</v>
      </c>
      <c r="D2054" s="16" t="n">
        <v>45840</v>
      </c>
      <c r="E2054" s="17" t="inlineStr">
        <is>
          <t>00002487</t>
        </is>
      </c>
      <c r="F2054" s="16" t="inlineStr">
        <is>
          <t>XK2507-03</t>
        </is>
      </c>
      <c r="G2054" s="16" t="n">
        <v>45840</v>
      </c>
      <c r="H2054" s="17" t="inlineStr">
        <is>
          <t>CÔNG TY CỔ PHẦN CÔNG NGHIỆP VÀ THƯƠNG MẠI CƯỜNG THỊNH</t>
        </is>
      </c>
      <c r="I2054" s="17" t="inlineStr">
        <is>
          <t>Bulong B A325M Type 1 ZP M30x180(180)</t>
        </is>
      </c>
      <c r="J2054" s="17" t="inlineStr">
        <is>
          <t>Cái</t>
        </is>
      </c>
      <c r="K2054" s="19" t="n">
        <v>49860</v>
      </c>
      <c r="L2054" s="21" t="n"/>
      <c r="M2054" s="22" t="n"/>
      <c r="N2054" s="22" t="n">
        <v>334</v>
      </c>
      <c r="O2054" s="22" t="n">
        <v>16653240</v>
      </c>
      <c r="P2054" s="22" t="n">
        <v>334</v>
      </c>
      <c r="Q2054" s="22" t="n">
        <v>16653240</v>
      </c>
      <c r="R2054" s="42">
        <f>+L2054+N2054-P2054</f>
        <v/>
      </c>
      <c r="S2054" s="42">
        <f>+M2054+O2054-Q2054</f>
        <v/>
      </c>
    </row>
    <row r="2055" ht="30" customHeight="1">
      <c r="A2055" s="16" t="n">
        <v>45840</v>
      </c>
      <c r="B2055" s="17" t="inlineStr">
        <is>
          <t>MH2507-02</t>
        </is>
      </c>
      <c r="C2055" s="16" t="n">
        <v>45840</v>
      </c>
      <c r="D2055" s="16" t="n">
        <v>45840</v>
      </c>
      <c r="E2055" s="17" t="inlineStr">
        <is>
          <t>00002487</t>
        </is>
      </c>
      <c r="F2055" s="16" t="inlineStr">
        <is>
          <t>XK2507-03</t>
        </is>
      </c>
      <c r="G2055" s="16" t="n">
        <v>45840</v>
      </c>
      <c r="H2055" s="17" t="inlineStr">
        <is>
          <t>CÔNG TY CỔ PHẦN CÔNG NGHIỆP VÀ THƯƠNG MẠI CƯỜNG THỊNH</t>
        </is>
      </c>
      <c r="I2055" s="17" t="inlineStr">
        <is>
          <t>H/H N A563M 10 ZP M30</t>
        </is>
      </c>
      <c r="J2055" s="17" t="inlineStr">
        <is>
          <t>Cái</t>
        </is>
      </c>
      <c r="K2055" s="19" t="n">
        <v>16790</v>
      </c>
      <c r="L2055" s="21" t="n"/>
      <c r="M2055" s="22" t="n"/>
      <c r="N2055" s="22" t="n">
        <v>334</v>
      </c>
      <c r="O2055" s="22" t="n">
        <v>5607860</v>
      </c>
      <c r="P2055" s="22" t="n">
        <v>334</v>
      </c>
      <c r="Q2055" s="22" t="n">
        <v>5607860</v>
      </c>
      <c r="R2055" s="42">
        <f>+L2055+N2055-P2055</f>
        <v/>
      </c>
      <c r="S2055" s="42">
        <f>+M2055+O2055-Q2055</f>
        <v/>
      </c>
    </row>
    <row r="2056" ht="30" customHeight="1">
      <c r="A2056" s="16" t="n">
        <v>45840</v>
      </c>
      <c r="B2056" s="17" t="inlineStr">
        <is>
          <t>MH2507-02</t>
        </is>
      </c>
      <c r="C2056" s="16" t="n">
        <v>45840</v>
      </c>
      <c r="D2056" s="16" t="n">
        <v>45840</v>
      </c>
      <c r="E2056" s="17" t="inlineStr">
        <is>
          <t>00002487</t>
        </is>
      </c>
      <c r="F2056" s="16" t="inlineStr">
        <is>
          <t>XK2507-03</t>
        </is>
      </c>
      <c r="G2056" s="16" t="n">
        <v>45840</v>
      </c>
      <c r="H2056" s="17" t="inlineStr">
        <is>
          <t>CÔNG TY CỔ PHẦN CÔNG NGHIỆP VÀ THƯƠNG MẠI CƯỜNG THỊNH</t>
        </is>
      </c>
      <c r="I2056" s="17" t="inlineStr">
        <is>
          <t>Long đền F436M Type 1 ZP M30</t>
        </is>
      </c>
      <c r="J2056" s="17" t="inlineStr">
        <is>
          <t>Cái</t>
        </is>
      </c>
      <c r="K2056" s="19" t="n">
        <v>2630</v>
      </c>
      <c r="L2056" s="21" t="n"/>
      <c r="M2056" s="22" t="n"/>
      <c r="N2056" s="22" t="n">
        <v>334</v>
      </c>
      <c r="O2056" s="22" t="n">
        <v>878420</v>
      </c>
      <c r="P2056" s="22" t="n">
        <v>334</v>
      </c>
      <c r="Q2056" s="22" t="n">
        <v>878420</v>
      </c>
      <c r="R2056" s="42">
        <f>+L2056+N2056-P2056</f>
        <v/>
      </c>
      <c r="S2056" s="42">
        <f>+M2056+O2056-Q2056</f>
        <v/>
      </c>
    </row>
    <row r="2057" ht="30" customHeight="1">
      <c r="A2057" s="16" t="n">
        <v>45840</v>
      </c>
      <c r="B2057" s="17" t="inlineStr">
        <is>
          <t>MH2507-02</t>
        </is>
      </c>
      <c r="C2057" s="16" t="n">
        <v>45840</v>
      </c>
      <c r="D2057" s="16" t="n">
        <v>45840</v>
      </c>
      <c r="E2057" s="17" t="inlineStr">
        <is>
          <t>00002487</t>
        </is>
      </c>
      <c r="F2057" s="16" t="inlineStr">
        <is>
          <t>XK2507-03</t>
        </is>
      </c>
      <c r="G2057" s="16" t="n">
        <v>45840</v>
      </c>
      <c r="H2057" s="17" t="inlineStr">
        <is>
          <t>CÔNG TY CỔ PHẦN CÔNG NGHIỆP VÀ THƯƠNG MẠI CƯỜNG THỊNH</t>
        </is>
      </c>
      <c r="I2057" s="17" t="inlineStr">
        <is>
          <t>Bulong Din 933 8.8 ZP M12x40</t>
        </is>
      </c>
      <c r="J2057" s="17" t="inlineStr">
        <is>
          <t>Cái</t>
        </is>
      </c>
      <c r="K2057" s="19" t="n">
        <v>1570</v>
      </c>
      <c r="L2057" s="21" t="n"/>
      <c r="M2057" s="22" t="n"/>
      <c r="N2057" s="22" t="n">
        <v>1986</v>
      </c>
      <c r="O2057" s="22" t="n">
        <v>3118020</v>
      </c>
      <c r="P2057" s="22" t="n">
        <v>1986</v>
      </c>
      <c r="Q2057" s="22" t="n">
        <v>3118020</v>
      </c>
      <c r="R2057" s="42">
        <f>+L2057+N2057-P2057</f>
        <v/>
      </c>
      <c r="S2057" s="42">
        <f>+M2057+O2057-Q2057</f>
        <v/>
      </c>
    </row>
    <row r="2058" ht="30" customHeight="1">
      <c r="A2058" s="16" t="n">
        <v>45840</v>
      </c>
      <c r="B2058" s="17" t="inlineStr">
        <is>
          <t>MH2507-02</t>
        </is>
      </c>
      <c r="C2058" s="16" t="n">
        <v>45840</v>
      </c>
      <c r="D2058" s="16" t="n">
        <v>45840</v>
      </c>
      <c r="E2058" s="17" t="inlineStr">
        <is>
          <t>00002487</t>
        </is>
      </c>
      <c r="F2058" s="16" t="inlineStr">
        <is>
          <t>XK2507-03</t>
        </is>
      </c>
      <c r="G2058" s="16" t="n">
        <v>45840</v>
      </c>
      <c r="H2058" s="17" t="inlineStr">
        <is>
          <t>CÔNG TY CỔ PHẦN CÔNG NGHIỆP VÀ THƯƠNG MẠI CƯỜNG THỊNH</t>
        </is>
      </c>
      <c r="I2058" s="17" t="inlineStr">
        <is>
          <t>Đai ốc Din 934 8 ZP M12</t>
        </is>
      </c>
      <c r="J2058" s="17" t="inlineStr">
        <is>
          <t>Cái</t>
        </is>
      </c>
      <c r="K2058" s="19" t="n">
        <v>570</v>
      </c>
      <c r="L2058" s="21" t="n"/>
      <c r="M2058" s="22" t="n"/>
      <c r="N2058" s="22" t="n">
        <v>1986</v>
      </c>
      <c r="O2058" s="22" t="n">
        <v>1132020</v>
      </c>
      <c r="P2058" s="22" t="n">
        <v>1986</v>
      </c>
      <c r="Q2058" s="22" t="n">
        <v>1132020</v>
      </c>
      <c r="R2058" s="42">
        <f>+L2058+N2058-P2058</f>
        <v/>
      </c>
      <c r="S2058" s="42">
        <f>+M2058+O2058-Q2058</f>
        <v/>
      </c>
    </row>
    <row r="2059" ht="30" customHeight="1">
      <c r="A2059" s="16" t="n">
        <v>45840</v>
      </c>
      <c r="B2059" s="17" t="inlineStr">
        <is>
          <t>MH2507-02</t>
        </is>
      </c>
      <c r="C2059" s="16" t="n">
        <v>45840</v>
      </c>
      <c r="D2059" s="16" t="n">
        <v>45840</v>
      </c>
      <c r="E2059" s="17" t="inlineStr">
        <is>
          <t>00002487</t>
        </is>
      </c>
      <c r="F2059" s="16" t="inlineStr">
        <is>
          <t>XK2507-03</t>
        </is>
      </c>
      <c r="G2059" s="16" t="n">
        <v>45840</v>
      </c>
      <c r="H2059" s="17" t="inlineStr">
        <is>
          <t>CÔNG TY CỔ PHẦN CÔNG NGHIỆP VÀ THƯƠNG MẠI CƯỜNG THỊNH</t>
        </is>
      </c>
      <c r="I2059" s="17" t="inlineStr">
        <is>
          <t>Long đền thường ZP M12B23D1</t>
        </is>
      </c>
      <c r="J2059" s="17" t="inlineStr">
        <is>
          <t>Cái</t>
        </is>
      </c>
      <c r="K2059" s="19" t="n">
        <v>90</v>
      </c>
      <c r="L2059" s="21" t="n"/>
      <c r="M2059" s="22" t="n"/>
      <c r="N2059" s="22" t="n">
        <v>3972</v>
      </c>
      <c r="O2059" s="22" t="n">
        <v>357480</v>
      </c>
      <c r="P2059" s="22" t="n">
        <v>3972</v>
      </c>
      <c r="Q2059" s="22" t="n">
        <v>357480</v>
      </c>
      <c r="R2059" s="42">
        <f>+L2059+N2059-P2059</f>
        <v/>
      </c>
      <c r="S2059" s="42">
        <f>+M2059+O2059-Q2059</f>
        <v/>
      </c>
    </row>
    <row r="2060" ht="30" customHeight="1">
      <c r="A2060" s="16" t="n">
        <v>45840</v>
      </c>
      <c r="B2060" s="17" t="inlineStr">
        <is>
          <t>MH2507-02</t>
        </is>
      </c>
      <c r="C2060" s="16" t="n">
        <v>45840</v>
      </c>
      <c r="D2060" s="16" t="n">
        <v>45840</v>
      </c>
      <c r="E2060" s="17" t="inlineStr">
        <is>
          <t>00002487</t>
        </is>
      </c>
      <c r="F2060" s="16" t="inlineStr">
        <is>
          <t>XK2507-03</t>
        </is>
      </c>
      <c r="G2060" s="16" t="n">
        <v>45840</v>
      </c>
      <c r="H2060" s="17" t="inlineStr">
        <is>
          <t>CÔNG TY CỔ PHẦN CÔNG NGHIỆP VÀ THƯƠNG MẠI CƯỜNG THỊNH</t>
        </is>
      </c>
      <c r="I2060" s="17" t="inlineStr">
        <is>
          <t>H/H N A563M 10 ZP M24</t>
        </is>
      </c>
      <c r="J2060" s="17" t="inlineStr">
        <is>
          <t>Cái</t>
        </is>
      </c>
      <c r="K2060" s="19" t="n">
        <v>8540</v>
      </c>
      <c r="L2060" s="21" t="n"/>
      <c r="M2060" s="22" t="n"/>
      <c r="N2060" s="22" t="n">
        <v>15</v>
      </c>
      <c r="O2060" s="22" t="n">
        <v>128100</v>
      </c>
      <c r="P2060" s="22" t="n">
        <v>15</v>
      </c>
      <c r="Q2060" s="22" t="n">
        <v>128100</v>
      </c>
      <c r="R2060" s="42">
        <f>+L2060+N2060-P2060</f>
        <v/>
      </c>
      <c r="S2060" s="42">
        <f>+M2060+O2060-Q2060</f>
        <v/>
      </c>
    </row>
    <row r="2061" ht="30" customHeight="1">
      <c r="A2061" s="16" t="n">
        <v>45840</v>
      </c>
      <c r="B2061" s="17" t="inlineStr">
        <is>
          <t>MH2507-02</t>
        </is>
      </c>
      <c r="C2061" s="16" t="n">
        <v>45840</v>
      </c>
      <c r="D2061" s="16" t="n">
        <v>45840</v>
      </c>
      <c r="E2061" s="17" t="inlineStr">
        <is>
          <t>00002487</t>
        </is>
      </c>
      <c r="F2061" s="16" t="inlineStr">
        <is>
          <t>XK2507-03</t>
        </is>
      </c>
      <c r="G2061" s="16" t="n">
        <v>45840</v>
      </c>
      <c r="H2061" s="17" t="inlineStr">
        <is>
          <t>CÔNG TY CỔ PHẦN CÔNG NGHIỆP VÀ THƯƠNG MẠI CƯỜNG THỊNH</t>
        </is>
      </c>
      <c r="I2061" s="17" t="inlineStr">
        <is>
          <t>Long đền F436M Type 1 ZP M24</t>
        </is>
      </c>
      <c r="J2061" s="17" t="inlineStr">
        <is>
          <t>Cái</t>
        </is>
      </c>
      <c r="K2061" s="19" t="n">
        <v>1910</v>
      </c>
      <c r="L2061" s="21" t="n"/>
      <c r="M2061" s="22" t="n"/>
      <c r="N2061" s="22" t="n">
        <v>15</v>
      </c>
      <c r="O2061" s="22" t="n">
        <v>28650</v>
      </c>
      <c r="P2061" s="22" t="n">
        <v>15</v>
      </c>
      <c r="Q2061" s="22" t="n">
        <v>28650</v>
      </c>
      <c r="R2061" s="42">
        <f>+L2061+N2061-P2061</f>
        <v/>
      </c>
      <c r="S2061" s="42">
        <f>+M2061+O2061-Q2061</f>
        <v/>
      </c>
    </row>
    <row r="2062" ht="30" customHeight="1">
      <c r="A2062" s="16" t="n">
        <v>45840</v>
      </c>
      <c r="B2062" s="17" t="inlineStr">
        <is>
          <t>MH2507-02</t>
        </is>
      </c>
      <c r="C2062" s="16" t="n">
        <v>45840</v>
      </c>
      <c r="D2062" s="16" t="n">
        <v>45840</v>
      </c>
      <c r="E2062" s="17" t="inlineStr">
        <is>
          <t>00002487</t>
        </is>
      </c>
      <c r="F2062" s="16" t="inlineStr">
        <is>
          <t>XK2507-03</t>
        </is>
      </c>
      <c r="G2062" s="16" t="n">
        <v>45840</v>
      </c>
      <c r="H2062" s="17" t="inlineStr">
        <is>
          <t>CÔNG TY CỔ PHẦN CÔNG NGHIỆP VÀ THƯƠNG MẠI CƯỜNG THỊNH</t>
        </is>
      </c>
      <c r="I2062" s="17" t="inlineStr">
        <is>
          <t>Bulong B A325M Type 1 ZP M24x120(120)</t>
        </is>
      </c>
      <c r="J2062" s="17" t="inlineStr">
        <is>
          <t>Cái</t>
        </is>
      </c>
      <c r="K2062" s="19" t="n">
        <v>23710</v>
      </c>
      <c r="L2062" s="21" t="n"/>
      <c r="M2062" s="22" t="n"/>
      <c r="N2062" s="22" t="n">
        <v>214</v>
      </c>
      <c r="O2062" s="22" t="n">
        <v>5073940</v>
      </c>
      <c r="P2062" s="22" t="n">
        <v>214</v>
      </c>
      <c r="Q2062" s="22" t="n">
        <v>5073940</v>
      </c>
      <c r="R2062" s="42">
        <f>+L2062+N2062-P2062</f>
        <v/>
      </c>
      <c r="S2062" s="42">
        <f>+M2062+O2062-Q2062</f>
        <v/>
      </c>
    </row>
    <row r="2063" ht="30" customHeight="1">
      <c r="A2063" s="16" t="n">
        <v>45840</v>
      </c>
      <c r="B2063" s="17" t="inlineStr">
        <is>
          <t>MH2507-02</t>
        </is>
      </c>
      <c r="C2063" s="16" t="n">
        <v>45840</v>
      </c>
      <c r="D2063" s="16" t="n">
        <v>45840</v>
      </c>
      <c r="E2063" s="17" t="inlineStr">
        <is>
          <t>00002487</t>
        </is>
      </c>
      <c r="F2063" s="16" t="inlineStr">
        <is>
          <t>XK2507-03</t>
        </is>
      </c>
      <c r="G2063" s="16" t="n">
        <v>45840</v>
      </c>
      <c r="H2063" s="17" t="inlineStr">
        <is>
          <t>CÔNG TY CỔ PHẦN CÔNG NGHIỆP VÀ THƯƠNG MẠI CƯỜNG THỊNH</t>
        </is>
      </c>
      <c r="I2063" s="17" t="inlineStr">
        <is>
          <t>H/H N A563M 10 ZP M24</t>
        </is>
      </c>
      <c r="J2063" s="17" t="inlineStr">
        <is>
          <t>Cái</t>
        </is>
      </c>
      <c r="K2063" s="19" t="n">
        <v>8540</v>
      </c>
      <c r="L2063" s="21" t="n"/>
      <c r="M2063" s="22" t="n"/>
      <c r="N2063" s="22" t="n">
        <v>214</v>
      </c>
      <c r="O2063" s="22" t="n">
        <v>1827560</v>
      </c>
      <c r="P2063" s="22" t="n">
        <v>214</v>
      </c>
      <c r="Q2063" s="22" t="n">
        <v>1827560</v>
      </c>
      <c r="R2063" s="42">
        <f>+L2063+N2063-P2063</f>
        <v/>
      </c>
      <c r="S2063" s="42">
        <f>+M2063+O2063-Q2063</f>
        <v/>
      </c>
    </row>
    <row r="2064" ht="30" customHeight="1">
      <c r="A2064" s="16" t="n">
        <v>45840</v>
      </c>
      <c r="B2064" s="17" t="inlineStr">
        <is>
          <t>MH2507-02</t>
        </is>
      </c>
      <c r="C2064" s="16" t="n">
        <v>45840</v>
      </c>
      <c r="D2064" s="16" t="n">
        <v>45840</v>
      </c>
      <c r="E2064" s="17" t="inlineStr">
        <is>
          <t>00002487</t>
        </is>
      </c>
      <c r="F2064" s="16" t="inlineStr">
        <is>
          <t>XK2507-03</t>
        </is>
      </c>
      <c r="G2064" s="16" t="n">
        <v>45840</v>
      </c>
      <c r="H2064" s="17" t="inlineStr">
        <is>
          <t>CÔNG TY CỔ PHẦN CÔNG NGHIỆP VÀ THƯƠNG MẠI CƯỜNG THỊNH</t>
        </is>
      </c>
      <c r="I2064" s="17" t="inlineStr">
        <is>
          <t>Long đền F436M Type 1 ZP M24</t>
        </is>
      </c>
      <c r="J2064" s="17" t="inlineStr">
        <is>
          <t>Cái</t>
        </is>
      </c>
      <c r="K2064" s="19" t="n">
        <v>1910</v>
      </c>
      <c r="L2064" s="21" t="n"/>
      <c r="M2064" s="22" t="n"/>
      <c r="N2064" s="22" t="n">
        <v>214</v>
      </c>
      <c r="O2064" s="22" t="n">
        <v>408740</v>
      </c>
      <c r="P2064" s="22" t="n">
        <v>214</v>
      </c>
      <c r="Q2064" s="22" t="n">
        <v>408740</v>
      </c>
      <c r="R2064" s="42">
        <f>+L2064+N2064-P2064</f>
        <v/>
      </c>
      <c r="S2064" s="42">
        <f>+M2064+O2064-Q2064</f>
        <v/>
      </c>
    </row>
    <row r="2065" ht="30" customHeight="1">
      <c r="A2065" s="16" t="n">
        <v>45840</v>
      </c>
      <c r="B2065" s="17" t="inlineStr">
        <is>
          <t>MH2507-03</t>
        </is>
      </c>
      <c r="C2065" s="16" t="n">
        <v>45840</v>
      </c>
      <c r="D2065" s="16" t="n">
        <v>45840</v>
      </c>
      <c r="E2065" s="17" t="inlineStr">
        <is>
          <t>00002515</t>
        </is>
      </c>
      <c r="F2065" s="16" t="inlineStr">
        <is>
          <t>XK2507-03</t>
        </is>
      </c>
      <c r="G2065" s="16" t="n">
        <v>45840</v>
      </c>
      <c r="H2065" s="17" t="inlineStr">
        <is>
          <t>CÔNG TY CỔ PHẦN CÔNG NGHIỆP VÀ THƯƠNG MẠI CƯỜNG THỊNH</t>
        </is>
      </c>
      <c r="I2065" s="17" t="inlineStr">
        <is>
          <t>Cáp Ф19.5 6x36+IWRC M20</t>
        </is>
      </c>
      <c r="J2065" s="17" t="inlineStr">
        <is>
          <t>Mét</t>
        </is>
      </c>
      <c r="K2065" s="19" t="n">
        <v>99000</v>
      </c>
      <c r="L2065" s="21" t="n"/>
      <c r="M2065" s="22" t="n"/>
      <c r="N2065" s="22" t="n">
        <v>15.2</v>
      </c>
      <c r="O2065" s="22" t="n">
        <v>1504800</v>
      </c>
      <c r="P2065" s="22" t="n">
        <v>15.2</v>
      </c>
      <c r="Q2065" s="22" t="n">
        <v>1504800</v>
      </c>
      <c r="R2065" s="42">
        <f>+L2065+N2065-P2065</f>
        <v/>
      </c>
      <c r="S2065" s="42">
        <f>+M2065+O2065-Q2065</f>
        <v/>
      </c>
    </row>
    <row r="2066" ht="30" customHeight="1">
      <c r="A2066" s="16" t="n">
        <v>45840</v>
      </c>
      <c r="B2066" s="17" t="inlineStr">
        <is>
          <t>MH2507-03</t>
        </is>
      </c>
      <c r="C2066" s="16" t="n">
        <v>45840</v>
      </c>
      <c r="D2066" s="16" t="n">
        <v>45840</v>
      </c>
      <c r="E2066" s="17" t="inlineStr">
        <is>
          <t>00002515</t>
        </is>
      </c>
      <c r="F2066" s="16" t="inlineStr">
        <is>
          <t>XK2507-03</t>
        </is>
      </c>
      <c r="G2066" s="16" t="n">
        <v>45840</v>
      </c>
      <c r="H2066" s="17" t="inlineStr">
        <is>
          <t>CÔNG TY CỔ PHẦN CÔNG NGHIỆP VÀ THƯƠNG MẠI CƯỜNG THỊNH</t>
        </is>
      </c>
      <c r="I2066" s="17" t="inlineStr">
        <is>
          <t>Chì (bấm) M20</t>
        </is>
      </c>
      <c r="J2066" s="17" t="inlineStr">
        <is>
          <t>Cái</t>
        </is>
      </c>
      <c r="K2066" s="19" t="n">
        <v>100000</v>
      </c>
      <c r="L2066" s="21" t="n"/>
      <c r="M2066" s="22" t="n"/>
      <c r="N2066" s="22" t="n">
        <v>8</v>
      </c>
      <c r="O2066" s="22" t="n">
        <v>800000</v>
      </c>
      <c r="P2066" s="22" t="n">
        <v>8</v>
      </c>
      <c r="Q2066" s="22" t="n">
        <v>800000</v>
      </c>
      <c r="R2066" s="42">
        <f>+L2066+N2066-P2066</f>
        <v/>
      </c>
      <c r="S2066" s="42">
        <f>+M2066+O2066-Q2066</f>
        <v/>
      </c>
    </row>
    <row r="2067" ht="30" customHeight="1">
      <c r="A2067" s="16" t="n">
        <v>45841</v>
      </c>
      <c r="B2067" s="17" t="inlineStr">
        <is>
          <t>MH2507-04</t>
        </is>
      </c>
      <c r="C2067" s="16" t="n">
        <v>45841</v>
      </c>
      <c r="D2067" s="16" t="n">
        <v>45841</v>
      </c>
      <c r="E2067" s="17" t="inlineStr">
        <is>
          <t>00002520</t>
        </is>
      </c>
      <c r="F2067" s="16" t="inlineStr">
        <is>
          <t>XK2507-03</t>
        </is>
      </c>
      <c r="G2067" s="16" t="n">
        <v>45841</v>
      </c>
      <c r="H2067" s="17" t="inlineStr">
        <is>
          <t>CÔNG TY CỔ PHẦN CÔNG NGHIỆP VÀ THƯƠNG MẠI CƯỜNG THỊNH</t>
        </is>
      </c>
      <c r="I2067" s="17" t="inlineStr">
        <is>
          <t>Bulong thường 4.6 ZP M12x30</t>
        </is>
      </c>
      <c r="J2067" s="17" t="inlineStr">
        <is>
          <t>Cái</t>
        </is>
      </c>
      <c r="K2067" s="19" t="n">
        <v>950</v>
      </c>
      <c r="L2067" s="21" t="n"/>
      <c r="M2067" s="22" t="n"/>
      <c r="N2067" s="22" t="n">
        <v>3088</v>
      </c>
      <c r="O2067" s="22" t="n">
        <v>2933600</v>
      </c>
      <c r="P2067" s="22" t="n">
        <v>3088</v>
      </c>
      <c r="Q2067" s="22" t="n">
        <v>2933600</v>
      </c>
      <c r="R2067" s="42">
        <f>+L2067+N2067-P2067</f>
        <v/>
      </c>
      <c r="S2067" s="42">
        <f>+M2067+O2067-Q2067</f>
        <v/>
      </c>
    </row>
    <row r="2068" ht="30" customHeight="1">
      <c r="A2068" s="16" t="n">
        <v>45841</v>
      </c>
      <c r="B2068" s="17" t="inlineStr">
        <is>
          <t>MH2507-04</t>
        </is>
      </c>
      <c r="C2068" s="16" t="n">
        <v>45841</v>
      </c>
      <c r="D2068" s="16" t="n">
        <v>45841</v>
      </c>
      <c r="E2068" s="17" t="inlineStr">
        <is>
          <t>00002520</t>
        </is>
      </c>
      <c r="F2068" s="16" t="inlineStr">
        <is>
          <t>XK2507-03</t>
        </is>
      </c>
      <c r="G2068" s="16" t="n">
        <v>45841</v>
      </c>
      <c r="H2068" s="17" t="inlineStr">
        <is>
          <t>CÔNG TY CỔ PHẦN CÔNG NGHIỆP VÀ THƯƠNG MẠI CƯỜNG THỊNH</t>
        </is>
      </c>
      <c r="I2068" s="17" t="inlineStr">
        <is>
          <t>Đai ốc thường 4 ZP M12 (9mm)</t>
        </is>
      </c>
      <c r="J2068" s="17" t="inlineStr">
        <is>
          <t>Cái</t>
        </is>
      </c>
      <c r="K2068" s="19" t="n">
        <v>360</v>
      </c>
      <c r="L2068" s="21" t="n"/>
      <c r="M2068" s="22" t="n"/>
      <c r="N2068" s="22" t="n">
        <v>3088</v>
      </c>
      <c r="O2068" s="22" t="n">
        <v>1111680</v>
      </c>
      <c r="P2068" s="22" t="n">
        <v>3088</v>
      </c>
      <c r="Q2068" s="22" t="n">
        <v>1111680</v>
      </c>
      <c r="R2068" s="42">
        <f>+L2068+N2068-P2068</f>
        <v/>
      </c>
      <c r="S2068" s="42">
        <f>+M2068+O2068-Q2068</f>
        <v/>
      </c>
    </row>
    <row r="2069" ht="30" customHeight="1">
      <c r="A2069" s="16" t="n">
        <v>45841</v>
      </c>
      <c r="B2069" s="17" t="inlineStr">
        <is>
          <t>MH2507-04</t>
        </is>
      </c>
      <c r="C2069" s="16" t="n">
        <v>45841</v>
      </c>
      <c r="D2069" s="16" t="n">
        <v>45841</v>
      </c>
      <c r="E2069" s="17" t="inlineStr">
        <is>
          <t>00002520</t>
        </is>
      </c>
      <c r="F2069" s="16" t="inlineStr">
        <is>
          <t>XK2507-03</t>
        </is>
      </c>
      <c r="G2069" s="16" t="n">
        <v>45841</v>
      </c>
      <c r="H2069" s="17" t="inlineStr">
        <is>
          <t>CÔNG TY CỔ PHẦN CÔNG NGHIỆP VÀ THƯƠNG MẠI CƯỜNG THỊNH</t>
        </is>
      </c>
      <c r="I2069" s="17" t="inlineStr">
        <is>
          <t>Long đền thường ZP M12B23D1</t>
        </is>
      </c>
      <c r="J2069" s="17" t="inlineStr">
        <is>
          <t>Cái</t>
        </is>
      </c>
      <c r="K2069" s="19" t="n">
        <v>100</v>
      </c>
      <c r="L2069" s="21" t="n"/>
      <c r="M2069" s="22" t="n"/>
      <c r="N2069" s="22" t="n">
        <v>6176</v>
      </c>
      <c r="O2069" s="22" t="n">
        <v>617600</v>
      </c>
      <c r="P2069" s="22" t="n">
        <v>6176</v>
      </c>
      <c r="Q2069" s="22" t="n">
        <v>617600</v>
      </c>
      <c r="R2069" s="42">
        <f>+L2069+N2069-P2069</f>
        <v/>
      </c>
      <c r="S2069" s="42">
        <f>+M2069+O2069-Q2069</f>
        <v/>
      </c>
    </row>
    <row r="2070" ht="30" customHeight="1">
      <c r="A2070" s="16" t="n">
        <v>45841</v>
      </c>
      <c r="B2070" s="17" t="inlineStr">
        <is>
          <t>MH2507-04</t>
        </is>
      </c>
      <c r="C2070" s="16" t="n">
        <v>45841</v>
      </c>
      <c r="D2070" s="16" t="n">
        <v>45841</v>
      </c>
      <c r="E2070" s="17" t="inlineStr">
        <is>
          <t>00002520</t>
        </is>
      </c>
      <c r="F2070" s="16" t="inlineStr">
        <is>
          <t>XK2507-03</t>
        </is>
      </c>
      <c r="G2070" s="16" t="n">
        <v>45841</v>
      </c>
      <c r="H2070" s="17" t="inlineStr">
        <is>
          <t>CÔNG TY CỔ PHẦN CÔNG NGHIỆP VÀ THƯƠNG MẠI CƯỜNG THỊNH</t>
        </is>
      </c>
      <c r="I2070" s="17" t="inlineStr">
        <is>
          <t>Bulong Din 933 8.8 ZP M24x70</t>
        </is>
      </c>
      <c r="J2070" s="17" t="inlineStr">
        <is>
          <t>Cái</t>
        </is>
      </c>
      <c r="K2070" s="19" t="n">
        <v>11010</v>
      </c>
      <c r="L2070" s="21" t="n"/>
      <c r="M2070" s="22" t="n"/>
      <c r="N2070" s="22" t="n">
        <v>1667</v>
      </c>
      <c r="O2070" s="22" t="n">
        <v>18353670</v>
      </c>
      <c r="P2070" s="22" t="n">
        <v>1667</v>
      </c>
      <c r="Q2070" s="22" t="n">
        <v>18353670</v>
      </c>
      <c r="R2070" s="42">
        <f>+L2070+N2070-P2070</f>
        <v/>
      </c>
      <c r="S2070" s="42">
        <f>+M2070+O2070-Q2070</f>
        <v/>
      </c>
    </row>
    <row r="2071" ht="30" customHeight="1">
      <c r="A2071" s="16" t="n">
        <v>45841</v>
      </c>
      <c r="B2071" s="17" t="inlineStr">
        <is>
          <t>MH2507-04</t>
        </is>
      </c>
      <c r="C2071" s="16" t="n">
        <v>45841</v>
      </c>
      <c r="D2071" s="16" t="n">
        <v>45841</v>
      </c>
      <c r="E2071" s="17" t="inlineStr">
        <is>
          <t>00002520</t>
        </is>
      </c>
      <c r="F2071" s="16" t="inlineStr">
        <is>
          <t>XK2507-03</t>
        </is>
      </c>
      <c r="G2071" s="16" t="n">
        <v>45841</v>
      </c>
      <c r="H2071" s="17" t="inlineStr">
        <is>
          <t>CÔNG TY CỔ PHẦN CÔNG NGHIỆP VÀ THƯƠNG MẠI CƯỜNG THỊNH</t>
        </is>
      </c>
      <c r="I2071" s="17" t="inlineStr">
        <is>
          <t>Đai ốc Din 934 8 ZP M24</t>
        </is>
      </c>
      <c r="J2071" s="17" t="inlineStr">
        <is>
          <t>Cái</t>
        </is>
      </c>
      <c r="K2071" s="19" t="n">
        <v>3500</v>
      </c>
      <c r="L2071" s="21" t="n"/>
      <c r="M2071" s="22" t="n"/>
      <c r="N2071" s="22" t="n">
        <v>1667</v>
      </c>
      <c r="O2071" s="22" t="n">
        <v>5834500</v>
      </c>
      <c r="P2071" s="22" t="n">
        <v>1667</v>
      </c>
      <c r="Q2071" s="22" t="n">
        <v>5834500</v>
      </c>
      <c r="R2071" s="42">
        <f>+L2071+N2071-P2071</f>
        <v/>
      </c>
      <c r="S2071" s="42">
        <f>+M2071+O2071-Q2071</f>
        <v/>
      </c>
    </row>
    <row r="2072" ht="30" customHeight="1">
      <c r="A2072" s="16" t="n">
        <v>45841</v>
      </c>
      <c r="B2072" s="17" t="inlineStr">
        <is>
          <t>MH2507-04</t>
        </is>
      </c>
      <c r="C2072" s="16" t="n">
        <v>45841</v>
      </c>
      <c r="D2072" s="16" t="n">
        <v>45841</v>
      </c>
      <c r="E2072" s="17" t="inlineStr">
        <is>
          <t>00002520</t>
        </is>
      </c>
      <c r="F2072" s="16" t="inlineStr">
        <is>
          <t>XK2507-03</t>
        </is>
      </c>
      <c r="G2072" s="16" t="n">
        <v>45841</v>
      </c>
      <c r="H2072" s="17" t="inlineStr">
        <is>
          <t>CÔNG TY CỔ PHẦN CÔNG NGHIỆP VÀ THƯƠNG MẠI CƯỜNG THỊNH</t>
        </is>
      </c>
      <c r="I2072" s="17" t="inlineStr">
        <is>
          <t>Long đền thường ZP M24B40-42D2</t>
        </is>
      </c>
      <c r="J2072" s="17" t="inlineStr">
        <is>
          <t>Cái</t>
        </is>
      </c>
      <c r="K2072" s="19" t="n">
        <v>710</v>
      </c>
      <c r="L2072" s="21" t="n"/>
      <c r="M2072" s="22" t="n"/>
      <c r="N2072" s="22" t="n">
        <v>1667</v>
      </c>
      <c r="O2072" s="22" t="n">
        <v>1183570</v>
      </c>
      <c r="P2072" s="22" t="n">
        <v>1667</v>
      </c>
      <c r="Q2072" s="22" t="n">
        <v>1183570</v>
      </c>
      <c r="R2072" s="42">
        <f>+L2072+N2072-P2072</f>
        <v/>
      </c>
      <c r="S2072" s="42">
        <f>+M2072+O2072-Q2072</f>
        <v/>
      </c>
    </row>
    <row r="2073" ht="30" customHeight="1">
      <c r="A2073" s="16" t="n">
        <v>45841</v>
      </c>
      <c r="B2073" s="17" t="inlineStr">
        <is>
          <t>MH2507-04</t>
        </is>
      </c>
      <c r="C2073" s="16" t="n">
        <v>45841</v>
      </c>
      <c r="D2073" s="16" t="n">
        <v>45841</v>
      </c>
      <c r="E2073" s="17" t="inlineStr">
        <is>
          <t>00002520</t>
        </is>
      </c>
      <c r="F2073" s="16" t="inlineStr">
        <is>
          <t>XK2507-03</t>
        </is>
      </c>
      <c r="G2073" s="16" t="n">
        <v>45841</v>
      </c>
      <c r="H2073" s="17" t="inlineStr">
        <is>
          <t>CÔNG TY CỔ PHẦN CÔNG NGHIỆP VÀ THƯƠNG MẠI CƯỜNG THỊNH</t>
        </is>
      </c>
      <c r="I2073" s="17" t="inlineStr">
        <is>
          <t>Bulong Din 933 8.8 ZP M24x90</t>
        </is>
      </c>
      <c r="J2073" s="17" t="inlineStr">
        <is>
          <t>Cái</t>
        </is>
      </c>
      <c r="K2073" s="19" t="n">
        <v>12950</v>
      </c>
      <c r="L2073" s="21" t="n"/>
      <c r="M2073" s="22" t="n"/>
      <c r="N2073" s="22" t="n">
        <v>3411</v>
      </c>
      <c r="O2073" s="22" t="n">
        <v>44172450</v>
      </c>
      <c r="P2073" s="22" t="n">
        <v>3411</v>
      </c>
      <c r="Q2073" s="22" t="n">
        <v>44172450</v>
      </c>
      <c r="R2073" s="42">
        <f>+L2073+N2073-P2073</f>
        <v/>
      </c>
      <c r="S2073" s="42">
        <f>+M2073+O2073-Q2073</f>
        <v/>
      </c>
    </row>
    <row r="2074" ht="30" customHeight="1">
      <c r="A2074" s="16" t="n">
        <v>45841</v>
      </c>
      <c r="B2074" s="17" t="inlineStr">
        <is>
          <t>MH2507-04</t>
        </is>
      </c>
      <c r="C2074" s="16" t="n">
        <v>45841</v>
      </c>
      <c r="D2074" s="16" t="n">
        <v>45841</v>
      </c>
      <c r="E2074" s="17" t="inlineStr">
        <is>
          <t>00002520</t>
        </is>
      </c>
      <c r="F2074" s="16" t="inlineStr">
        <is>
          <t>XK2507-03</t>
        </is>
      </c>
      <c r="G2074" s="16" t="n">
        <v>45841</v>
      </c>
      <c r="H2074" s="17" t="inlineStr">
        <is>
          <t>CÔNG TY CỔ PHẦN CÔNG NGHIỆP VÀ THƯƠNG MẠI CƯỜNG THỊNH</t>
        </is>
      </c>
      <c r="I2074" s="17" t="inlineStr">
        <is>
          <t>Đai ốc Din 934 8 ZP M24</t>
        </is>
      </c>
      <c r="J2074" s="17" t="inlineStr">
        <is>
          <t>Cái</t>
        </is>
      </c>
      <c r="K2074" s="19" t="n">
        <v>3500</v>
      </c>
      <c r="L2074" s="21" t="n"/>
      <c r="M2074" s="22" t="n"/>
      <c r="N2074" s="22" t="n">
        <v>3411</v>
      </c>
      <c r="O2074" s="22" t="n">
        <v>11938500</v>
      </c>
      <c r="P2074" s="22" t="n">
        <v>3411</v>
      </c>
      <c r="Q2074" s="22" t="n">
        <v>11938500</v>
      </c>
      <c r="R2074" s="42">
        <f>+L2074+N2074-P2074</f>
        <v/>
      </c>
      <c r="S2074" s="42">
        <f>+M2074+O2074-Q2074</f>
        <v/>
      </c>
    </row>
    <row r="2075" ht="30" customHeight="1">
      <c r="A2075" s="16" t="n">
        <v>45841</v>
      </c>
      <c r="B2075" s="17" t="inlineStr">
        <is>
          <t>MH2507-04</t>
        </is>
      </c>
      <c r="C2075" s="16" t="n">
        <v>45841</v>
      </c>
      <c r="D2075" s="16" t="n">
        <v>45841</v>
      </c>
      <c r="E2075" s="17" t="inlineStr">
        <is>
          <t>00002520</t>
        </is>
      </c>
      <c r="F2075" s="16" t="inlineStr">
        <is>
          <t>XK2507-03</t>
        </is>
      </c>
      <c r="G2075" s="16" t="n">
        <v>45841</v>
      </c>
      <c r="H2075" s="17" t="inlineStr">
        <is>
          <t>CÔNG TY CỔ PHẦN CÔNG NGHIỆP VÀ THƯƠNG MẠI CƯỜNG THỊNH</t>
        </is>
      </c>
      <c r="I2075" s="17" t="inlineStr">
        <is>
          <t>Long đền thường ZP M24B40-42D2</t>
        </is>
      </c>
      <c r="J2075" s="17" t="inlineStr">
        <is>
          <t>Cái</t>
        </is>
      </c>
      <c r="K2075" s="19" t="n">
        <v>710</v>
      </c>
      <c r="L2075" s="21" t="n"/>
      <c r="M2075" s="22" t="n"/>
      <c r="N2075" s="22" t="n">
        <v>3411</v>
      </c>
      <c r="O2075" s="22" t="n">
        <v>2421810</v>
      </c>
      <c r="P2075" s="22" t="n">
        <v>3411</v>
      </c>
      <c r="Q2075" s="22" t="n">
        <v>2421810</v>
      </c>
      <c r="R2075" s="42">
        <f>+L2075+N2075-P2075</f>
        <v/>
      </c>
      <c r="S2075" s="42">
        <f>+M2075+O2075-Q2075</f>
        <v/>
      </c>
    </row>
    <row r="2076" ht="30" customHeight="1">
      <c r="A2076" s="16" t="n">
        <v>45841</v>
      </c>
      <c r="B2076" s="17" t="inlineStr">
        <is>
          <t>MH2507-04</t>
        </is>
      </c>
      <c r="C2076" s="16" t="n">
        <v>45841</v>
      </c>
      <c r="D2076" s="16" t="n">
        <v>45841</v>
      </c>
      <c r="E2076" s="17" t="inlineStr">
        <is>
          <t>00002520</t>
        </is>
      </c>
      <c r="F2076" s="16" t="inlineStr">
        <is>
          <t>XK2507-03</t>
        </is>
      </c>
      <c r="G2076" s="16" t="n">
        <v>45841</v>
      </c>
      <c r="H2076" s="17" t="inlineStr">
        <is>
          <t>CÔNG TY CỔ PHẦN CÔNG NGHIỆP VÀ THƯƠNG MẠI CƯỜNG THỊNH</t>
        </is>
      </c>
      <c r="I2076" s="17" t="inlineStr">
        <is>
          <t>Bulong Din 933 8.8 ZP M16x50</t>
        </is>
      </c>
      <c r="J2076" s="17" t="inlineStr">
        <is>
          <t>Cái</t>
        </is>
      </c>
      <c r="K2076" s="19" t="n">
        <v>3470</v>
      </c>
      <c r="L2076" s="21" t="n"/>
      <c r="M2076" s="22" t="n"/>
      <c r="N2076" s="22" t="n">
        <v>1704</v>
      </c>
      <c r="O2076" s="22" t="n">
        <v>5912880</v>
      </c>
      <c r="P2076" s="22" t="n">
        <v>1704</v>
      </c>
      <c r="Q2076" s="22" t="n">
        <v>5912880</v>
      </c>
      <c r="R2076" s="42">
        <f>+L2076+N2076-P2076</f>
        <v/>
      </c>
      <c r="S2076" s="42">
        <f>+M2076+O2076-Q2076</f>
        <v/>
      </c>
    </row>
    <row r="2077" ht="30" customHeight="1">
      <c r="A2077" s="16" t="n">
        <v>45841</v>
      </c>
      <c r="B2077" s="17" t="inlineStr">
        <is>
          <t>MH2507-04</t>
        </is>
      </c>
      <c r="C2077" s="16" t="n">
        <v>45841</v>
      </c>
      <c r="D2077" s="16" t="n">
        <v>45841</v>
      </c>
      <c r="E2077" s="17" t="inlineStr">
        <is>
          <t>00002520</t>
        </is>
      </c>
      <c r="F2077" s="16" t="inlineStr">
        <is>
          <t>XK2507-03</t>
        </is>
      </c>
      <c r="G2077" s="16" t="n">
        <v>45841</v>
      </c>
      <c r="H2077" s="17" t="inlineStr">
        <is>
          <t>CÔNG TY CỔ PHẦN CÔNG NGHIỆP VÀ THƯƠNG MẠI CƯỜNG THỊNH</t>
        </is>
      </c>
      <c r="I2077" s="17" t="inlineStr">
        <is>
          <t>Đai ốc Din 934 8 ZP M16</t>
        </is>
      </c>
      <c r="J2077" s="17" t="inlineStr">
        <is>
          <t>Cái</t>
        </is>
      </c>
      <c r="K2077" s="19" t="n">
        <v>1090</v>
      </c>
      <c r="L2077" s="21" t="n"/>
      <c r="M2077" s="22" t="n"/>
      <c r="N2077" s="22" t="n">
        <v>1704</v>
      </c>
      <c r="O2077" s="22" t="n">
        <v>1857360</v>
      </c>
      <c r="P2077" s="22" t="n">
        <v>1704</v>
      </c>
      <c r="Q2077" s="22" t="n">
        <v>1857360</v>
      </c>
      <c r="R2077" s="42">
        <f>+L2077+N2077-P2077</f>
        <v/>
      </c>
      <c r="S2077" s="42">
        <f>+M2077+O2077-Q2077</f>
        <v/>
      </c>
    </row>
    <row r="2078" ht="30" customHeight="1">
      <c r="A2078" s="16" t="n">
        <v>45841</v>
      </c>
      <c r="B2078" s="17" t="inlineStr">
        <is>
          <t>MH2507-04</t>
        </is>
      </c>
      <c r="C2078" s="16" t="n">
        <v>45841</v>
      </c>
      <c r="D2078" s="16" t="n">
        <v>45841</v>
      </c>
      <c r="E2078" s="17" t="inlineStr">
        <is>
          <t>00002520</t>
        </is>
      </c>
      <c r="F2078" s="16" t="inlineStr">
        <is>
          <t>XK2507-03</t>
        </is>
      </c>
      <c r="G2078" s="16" t="n">
        <v>45841</v>
      </c>
      <c r="H2078" s="17" t="inlineStr">
        <is>
          <t>CÔNG TY CỔ PHẦN CÔNG NGHIỆP VÀ THƯƠNG MẠI CƯỜNG THỊNH</t>
        </is>
      </c>
      <c r="I2078" s="17" t="inlineStr">
        <is>
          <t>Long đền thường ZP M16B30D2</t>
        </is>
      </c>
      <c r="J2078" s="17" t="inlineStr">
        <is>
          <t>Cái</t>
        </is>
      </c>
      <c r="K2078" s="19" t="n">
        <v>330</v>
      </c>
      <c r="L2078" s="21" t="n"/>
      <c r="M2078" s="22" t="n"/>
      <c r="N2078" s="22" t="n">
        <v>1704</v>
      </c>
      <c r="O2078" s="22" t="n">
        <v>562320</v>
      </c>
      <c r="P2078" s="22" t="n">
        <v>1704</v>
      </c>
      <c r="Q2078" s="22" t="n">
        <v>562320</v>
      </c>
      <c r="R2078" s="42">
        <f>+L2078+N2078-P2078</f>
        <v/>
      </c>
      <c r="S2078" s="42">
        <f>+M2078+O2078-Q2078</f>
        <v/>
      </c>
    </row>
    <row r="2079" ht="30" customHeight="1">
      <c r="A2079" s="16" t="n">
        <v>45841</v>
      </c>
      <c r="B2079" s="17" t="inlineStr">
        <is>
          <t>MH2507-04</t>
        </is>
      </c>
      <c r="C2079" s="16" t="n">
        <v>45841</v>
      </c>
      <c r="D2079" s="16" t="n">
        <v>45841</v>
      </c>
      <c r="E2079" s="17" t="inlineStr">
        <is>
          <t>00002520</t>
        </is>
      </c>
      <c r="F2079" s="16" t="inlineStr">
        <is>
          <t>XK2507-03</t>
        </is>
      </c>
      <c r="G2079" s="16" t="n">
        <v>45841</v>
      </c>
      <c r="H2079" s="17" t="inlineStr">
        <is>
          <t>CÔNG TY CỔ PHẦN CÔNG NGHIỆP VÀ THƯƠNG MẠI CƯỜNG THỊNH</t>
        </is>
      </c>
      <c r="I2079" s="17" t="inlineStr">
        <is>
          <t>Bulong Din 933 8.8 ZP M20x60</t>
        </is>
      </c>
      <c r="J2079" s="17" t="inlineStr">
        <is>
          <t>Cái</t>
        </is>
      </c>
      <c r="K2079" s="19" t="n">
        <v>6360</v>
      </c>
      <c r="L2079" s="21" t="n"/>
      <c r="M2079" s="22" t="n"/>
      <c r="N2079" s="22" t="n">
        <v>4221</v>
      </c>
      <c r="O2079" s="22" t="n">
        <v>26845560</v>
      </c>
      <c r="P2079" s="22" t="n">
        <v>4221</v>
      </c>
      <c r="Q2079" s="22" t="n">
        <v>26845560</v>
      </c>
      <c r="R2079" s="42">
        <f>+L2079+N2079-P2079</f>
        <v/>
      </c>
      <c r="S2079" s="42">
        <f>+M2079+O2079-Q2079</f>
        <v/>
      </c>
    </row>
    <row r="2080" ht="30" customHeight="1">
      <c r="A2080" s="16" t="n">
        <v>45841</v>
      </c>
      <c r="B2080" s="17" t="inlineStr">
        <is>
          <t>MH2507-04</t>
        </is>
      </c>
      <c r="C2080" s="16" t="n">
        <v>45841</v>
      </c>
      <c r="D2080" s="16" t="n">
        <v>45841</v>
      </c>
      <c r="E2080" s="17" t="inlineStr">
        <is>
          <t>00002520</t>
        </is>
      </c>
      <c r="F2080" s="16" t="inlineStr">
        <is>
          <t>XK2507-03</t>
        </is>
      </c>
      <c r="G2080" s="16" t="n">
        <v>45841</v>
      </c>
      <c r="H2080" s="17" t="inlineStr">
        <is>
          <t>CÔNG TY CỔ PHẦN CÔNG NGHIỆP VÀ THƯƠNG MẠI CƯỜNG THỊNH</t>
        </is>
      </c>
      <c r="I2080" s="17" t="inlineStr">
        <is>
          <t>Đai ốc Din 934 8 ZP M20</t>
        </is>
      </c>
      <c r="J2080" s="17" t="inlineStr">
        <is>
          <t>Cái</t>
        </is>
      </c>
      <c r="K2080" s="19" t="n">
        <v>2030</v>
      </c>
      <c r="L2080" s="21" t="n"/>
      <c r="M2080" s="22" t="n"/>
      <c r="N2080" s="22" t="n">
        <v>4221</v>
      </c>
      <c r="O2080" s="22" t="n">
        <v>8568630</v>
      </c>
      <c r="P2080" s="22" t="n">
        <v>4221</v>
      </c>
      <c r="Q2080" s="22" t="n">
        <v>8568630</v>
      </c>
      <c r="R2080" s="42">
        <f>+L2080+N2080-P2080</f>
        <v/>
      </c>
      <c r="S2080" s="42">
        <f>+M2080+O2080-Q2080</f>
        <v/>
      </c>
    </row>
    <row r="2081" ht="30" customHeight="1">
      <c r="A2081" s="16" t="n">
        <v>45841</v>
      </c>
      <c r="B2081" s="17" t="inlineStr">
        <is>
          <t>MH2507-04</t>
        </is>
      </c>
      <c r="C2081" s="16" t="n">
        <v>45841</v>
      </c>
      <c r="D2081" s="16" t="n">
        <v>45841</v>
      </c>
      <c r="E2081" s="17" t="inlineStr">
        <is>
          <t>00002520</t>
        </is>
      </c>
      <c r="F2081" s="16" t="inlineStr">
        <is>
          <t>XK2507-03</t>
        </is>
      </c>
      <c r="G2081" s="16" t="n">
        <v>45841</v>
      </c>
      <c r="H2081" s="17" t="inlineStr">
        <is>
          <t>CÔNG TY CỔ PHẦN CÔNG NGHIỆP VÀ THƯƠNG MẠI CƯỜNG THỊNH</t>
        </is>
      </c>
      <c r="I2081" s="17" t="inlineStr">
        <is>
          <t>Long đền thường ZP M20B35D2</t>
        </is>
      </c>
      <c r="J2081" s="17" t="inlineStr">
        <is>
          <t>Cái</t>
        </is>
      </c>
      <c r="K2081" s="19" t="n">
        <v>350</v>
      </c>
      <c r="L2081" s="21" t="n"/>
      <c r="M2081" s="22" t="n"/>
      <c r="N2081" s="22" t="n">
        <v>4221</v>
      </c>
      <c r="O2081" s="22" t="n">
        <v>1477350</v>
      </c>
      <c r="P2081" s="22" t="n">
        <v>4221</v>
      </c>
      <c r="Q2081" s="22" t="n">
        <v>1477350</v>
      </c>
      <c r="R2081" s="42">
        <f>+L2081+N2081-P2081</f>
        <v/>
      </c>
      <c r="S2081" s="42">
        <f>+M2081+O2081-Q2081</f>
        <v/>
      </c>
    </row>
    <row r="2082" ht="30" customHeight="1">
      <c r="A2082" s="16" t="n">
        <v>45841</v>
      </c>
      <c r="B2082" s="17" t="inlineStr">
        <is>
          <t>MH2507-04</t>
        </is>
      </c>
      <c r="C2082" s="16" t="n">
        <v>45841</v>
      </c>
      <c r="D2082" s="16" t="n">
        <v>45841</v>
      </c>
      <c r="E2082" s="17" t="inlineStr">
        <is>
          <t>00002520</t>
        </is>
      </c>
      <c r="F2082" s="16" t="inlineStr">
        <is>
          <t>XK2507-03</t>
        </is>
      </c>
      <c r="G2082" s="16" t="n">
        <v>45841</v>
      </c>
      <c r="H2082" s="17" t="inlineStr">
        <is>
          <t>CÔNG TY CỔ PHẦN CÔNG NGHIỆP VÀ THƯƠNG MẠI CƯỜNG THỊNH</t>
        </is>
      </c>
      <c r="I2082" s="17" t="inlineStr">
        <is>
          <t>Bulong Din 933 8.8 ZP M20x80</t>
        </is>
      </c>
      <c r="J2082" s="17" t="inlineStr">
        <is>
          <t>Cái</t>
        </is>
      </c>
      <c r="K2082" s="19" t="n">
        <v>7630</v>
      </c>
      <c r="L2082" s="21" t="n"/>
      <c r="M2082" s="22" t="n"/>
      <c r="N2082" s="22" t="n">
        <v>898</v>
      </c>
      <c r="O2082" s="22" t="n">
        <v>6851740</v>
      </c>
      <c r="P2082" s="22" t="n">
        <v>898</v>
      </c>
      <c r="Q2082" s="22" t="n">
        <v>6851740</v>
      </c>
      <c r="R2082" s="42">
        <f>+L2082+N2082-P2082</f>
        <v/>
      </c>
      <c r="S2082" s="42">
        <f>+M2082+O2082-Q2082</f>
        <v/>
      </c>
    </row>
    <row r="2083" ht="30" customHeight="1">
      <c r="A2083" s="16" t="n">
        <v>45841</v>
      </c>
      <c r="B2083" s="17" t="inlineStr">
        <is>
          <t>MH2507-04</t>
        </is>
      </c>
      <c r="C2083" s="16" t="n">
        <v>45841</v>
      </c>
      <c r="D2083" s="16" t="n">
        <v>45841</v>
      </c>
      <c r="E2083" s="17" t="inlineStr">
        <is>
          <t>00002520</t>
        </is>
      </c>
      <c r="F2083" s="16" t="inlineStr">
        <is>
          <t>XK2507-03</t>
        </is>
      </c>
      <c r="G2083" s="16" t="n">
        <v>45841</v>
      </c>
      <c r="H2083" s="17" t="inlineStr">
        <is>
          <t>CÔNG TY CỔ PHẦN CÔNG NGHIỆP VÀ THƯƠNG MẠI CƯỜNG THỊNH</t>
        </is>
      </c>
      <c r="I2083" s="17" t="inlineStr">
        <is>
          <t>Đai ốc Din 934 8 ZP M20</t>
        </is>
      </c>
      <c r="J2083" s="17" t="inlineStr">
        <is>
          <t>Cái</t>
        </is>
      </c>
      <c r="K2083" s="19" t="n">
        <v>2030</v>
      </c>
      <c r="L2083" s="21" t="n"/>
      <c r="M2083" s="22" t="n"/>
      <c r="N2083" s="22" t="n">
        <v>898</v>
      </c>
      <c r="O2083" s="22" t="n">
        <v>1822940</v>
      </c>
      <c r="P2083" s="22" t="n">
        <v>898</v>
      </c>
      <c r="Q2083" s="22" t="n">
        <v>1822940</v>
      </c>
      <c r="R2083" s="42">
        <f>+L2083+N2083-P2083</f>
        <v/>
      </c>
      <c r="S2083" s="42">
        <f>+M2083+O2083-Q2083</f>
        <v/>
      </c>
    </row>
    <row r="2084" ht="30" customHeight="1">
      <c r="A2084" s="16" t="n">
        <v>45841</v>
      </c>
      <c r="B2084" s="17" t="inlineStr">
        <is>
          <t>MH2507-04</t>
        </is>
      </c>
      <c r="C2084" s="16" t="n">
        <v>45841</v>
      </c>
      <c r="D2084" s="16" t="n">
        <v>45841</v>
      </c>
      <c r="E2084" s="17" t="inlineStr">
        <is>
          <t>00002520</t>
        </is>
      </c>
      <c r="F2084" s="16" t="inlineStr">
        <is>
          <t>XK2507-03</t>
        </is>
      </c>
      <c r="G2084" s="16" t="n">
        <v>45841</v>
      </c>
      <c r="H2084" s="17" t="inlineStr">
        <is>
          <t>CÔNG TY CỔ PHẦN CÔNG NGHIỆP VÀ THƯƠNG MẠI CƯỜNG THỊNH</t>
        </is>
      </c>
      <c r="I2084" s="17" t="inlineStr">
        <is>
          <t>Long đền thường ZP M20B35D2</t>
        </is>
      </c>
      <c r="J2084" s="17" t="inlineStr">
        <is>
          <t>Cái</t>
        </is>
      </c>
      <c r="K2084" s="19" t="n">
        <v>350</v>
      </c>
      <c r="L2084" s="21" t="n"/>
      <c r="M2084" s="22" t="n"/>
      <c r="N2084" s="22" t="n">
        <v>898</v>
      </c>
      <c r="O2084" s="22" t="n">
        <v>314300</v>
      </c>
      <c r="P2084" s="22" t="n">
        <v>898</v>
      </c>
      <c r="Q2084" s="22" t="n">
        <v>314300</v>
      </c>
      <c r="R2084" s="42">
        <f>+L2084+N2084-P2084</f>
        <v/>
      </c>
      <c r="S2084" s="42">
        <f>+M2084+O2084-Q2084</f>
        <v/>
      </c>
    </row>
    <row r="2085" ht="30" customHeight="1">
      <c r="A2085" s="16" t="n">
        <v>45841</v>
      </c>
      <c r="B2085" s="17" t="inlineStr">
        <is>
          <t>MH2507-04</t>
        </is>
      </c>
      <c r="C2085" s="16" t="n">
        <v>45841</v>
      </c>
      <c r="D2085" s="16" t="n">
        <v>45841</v>
      </c>
      <c r="E2085" s="17" t="inlineStr">
        <is>
          <t>00002520</t>
        </is>
      </c>
      <c r="F2085" s="16" t="inlineStr">
        <is>
          <t>XK2507-03</t>
        </is>
      </c>
      <c r="G2085" s="16" t="n">
        <v>45841</v>
      </c>
      <c r="H2085" s="17" t="inlineStr">
        <is>
          <t>CÔNG TY CỔ PHẦN CÔNG NGHIỆP VÀ THƯƠNG MẠI CƯỜNG THỊNH</t>
        </is>
      </c>
      <c r="I2085" s="17" t="inlineStr">
        <is>
          <t>Bulong thường 4.6 ZP M12x50</t>
        </is>
      </c>
      <c r="J2085" s="17" t="inlineStr">
        <is>
          <t>Cái</t>
        </is>
      </c>
      <c r="K2085" s="19" t="n">
        <v>1300</v>
      </c>
      <c r="L2085" s="21" t="n"/>
      <c r="M2085" s="22" t="n"/>
      <c r="N2085" s="22" t="n">
        <v>1215</v>
      </c>
      <c r="O2085" s="22" t="n">
        <v>1579500</v>
      </c>
      <c r="P2085" s="22" t="n">
        <v>1215</v>
      </c>
      <c r="Q2085" s="22" t="n">
        <v>1579500</v>
      </c>
      <c r="R2085" s="42">
        <f>+L2085+N2085-P2085</f>
        <v/>
      </c>
      <c r="S2085" s="42">
        <f>+M2085+O2085-Q2085</f>
        <v/>
      </c>
    </row>
    <row r="2086" ht="30" customHeight="1">
      <c r="A2086" s="16" t="n">
        <v>45841</v>
      </c>
      <c r="B2086" s="17" t="inlineStr">
        <is>
          <t>MH2507-04</t>
        </is>
      </c>
      <c r="C2086" s="16" t="n">
        <v>45841</v>
      </c>
      <c r="D2086" s="16" t="n">
        <v>45841</v>
      </c>
      <c r="E2086" s="17" t="inlineStr">
        <is>
          <t>00002520</t>
        </is>
      </c>
      <c r="F2086" s="16" t="inlineStr">
        <is>
          <t>XK2507-03</t>
        </is>
      </c>
      <c r="G2086" s="16" t="n">
        <v>45841</v>
      </c>
      <c r="H2086" s="17" t="inlineStr">
        <is>
          <t>CÔNG TY CỔ PHẦN CÔNG NGHIỆP VÀ THƯƠNG MẠI CƯỜNG THỊNH</t>
        </is>
      </c>
      <c r="I2086" s="17" t="inlineStr">
        <is>
          <t>Đai ốc thường 4 ZP M12 (9mm)</t>
        </is>
      </c>
      <c r="J2086" s="17" t="inlineStr">
        <is>
          <t>Cái</t>
        </is>
      </c>
      <c r="K2086" s="19" t="n">
        <v>360</v>
      </c>
      <c r="L2086" s="21" t="n"/>
      <c r="M2086" s="22" t="n"/>
      <c r="N2086" s="22" t="n">
        <v>1215</v>
      </c>
      <c r="O2086" s="22" t="n">
        <v>437400</v>
      </c>
      <c r="P2086" s="22" t="n">
        <v>1215</v>
      </c>
      <c r="Q2086" s="22" t="n">
        <v>437400</v>
      </c>
      <c r="R2086" s="42">
        <f>+L2086+N2086-P2086</f>
        <v/>
      </c>
      <c r="S2086" s="42">
        <f>+M2086+O2086-Q2086</f>
        <v/>
      </c>
    </row>
    <row r="2087" ht="30" customHeight="1">
      <c r="A2087" s="16" t="n">
        <v>45841</v>
      </c>
      <c r="B2087" s="17" t="inlineStr">
        <is>
          <t>MH2507-04</t>
        </is>
      </c>
      <c r="C2087" s="16" t="n">
        <v>45841</v>
      </c>
      <c r="D2087" s="16" t="n">
        <v>45841</v>
      </c>
      <c r="E2087" s="17" t="inlineStr">
        <is>
          <t>00002520</t>
        </is>
      </c>
      <c r="F2087" s="16" t="inlineStr">
        <is>
          <t>XK2507-03</t>
        </is>
      </c>
      <c r="G2087" s="16" t="n">
        <v>45841</v>
      </c>
      <c r="H2087" s="17" t="inlineStr">
        <is>
          <t>CÔNG TY CỔ PHẦN CÔNG NGHIỆP VÀ THƯƠNG MẠI CƯỜNG THỊNH</t>
        </is>
      </c>
      <c r="I2087" s="17" t="inlineStr">
        <is>
          <t>Long đền thường ZP M12B23D1</t>
        </is>
      </c>
      <c r="J2087" s="17" t="inlineStr">
        <is>
          <t>Cái</t>
        </is>
      </c>
      <c r="K2087" s="19" t="n">
        <v>100</v>
      </c>
      <c r="L2087" s="21" t="n"/>
      <c r="M2087" s="22" t="n"/>
      <c r="N2087" s="22" t="n">
        <v>2430</v>
      </c>
      <c r="O2087" s="22" t="n">
        <v>243000</v>
      </c>
      <c r="P2087" s="22" t="n">
        <v>2430</v>
      </c>
      <c r="Q2087" s="22" t="n">
        <v>243000</v>
      </c>
      <c r="R2087" s="42">
        <f>+L2087+N2087-P2087</f>
        <v/>
      </c>
      <c r="S2087" s="42">
        <f>+M2087+O2087-Q2087</f>
        <v/>
      </c>
    </row>
    <row r="2088" ht="30" customHeight="1">
      <c r="A2088" s="16" t="n">
        <v>45841</v>
      </c>
      <c r="B2088" s="17" t="inlineStr">
        <is>
          <t>MH2507-04</t>
        </is>
      </c>
      <c r="C2088" s="16" t="n">
        <v>45841</v>
      </c>
      <c r="D2088" s="16" t="n">
        <v>45841</v>
      </c>
      <c r="E2088" s="17" t="inlineStr">
        <is>
          <t>00002520</t>
        </is>
      </c>
      <c r="F2088" s="16" t="inlineStr">
        <is>
          <t>XK2507-03</t>
        </is>
      </c>
      <c r="G2088" s="16" t="n">
        <v>45841</v>
      </c>
      <c r="H2088" s="17" t="inlineStr">
        <is>
          <t>CÔNG TY CỔ PHẦN CÔNG NGHIỆP VÀ THƯƠNG MẠI CƯỜNG THỊNH</t>
        </is>
      </c>
      <c r="I2088" s="17" t="inlineStr">
        <is>
          <t>Bulong Din 933 8.8 ZP M30x100</t>
        </is>
      </c>
      <c r="J2088" s="17" t="inlineStr">
        <is>
          <t>Cái</t>
        </is>
      </c>
      <c r="K2088" s="19" t="n">
        <v>25460</v>
      </c>
      <c r="L2088" s="21" t="n"/>
      <c r="M2088" s="22" t="n"/>
      <c r="N2088" s="22" t="n">
        <v>665</v>
      </c>
      <c r="O2088" s="22" t="n">
        <v>16930900</v>
      </c>
      <c r="P2088" s="22" t="n">
        <v>665</v>
      </c>
      <c r="Q2088" s="22" t="n">
        <v>16930900</v>
      </c>
      <c r="R2088" s="42">
        <f>+L2088+N2088-P2088</f>
        <v/>
      </c>
      <c r="S2088" s="42">
        <f>+M2088+O2088-Q2088</f>
        <v/>
      </c>
    </row>
    <row r="2089" ht="30" customHeight="1">
      <c r="A2089" s="16" t="n">
        <v>45841</v>
      </c>
      <c r="B2089" s="17" t="inlineStr">
        <is>
          <t>MH2507-04</t>
        </is>
      </c>
      <c r="C2089" s="16" t="n">
        <v>45841</v>
      </c>
      <c r="D2089" s="16" t="n">
        <v>45841</v>
      </c>
      <c r="E2089" s="17" t="inlineStr">
        <is>
          <t>00002520</t>
        </is>
      </c>
      <c r="F2089" s="16" t="inlineStr">
        <is>
          <t>XK2507-03</t>
        </is>
      </c>
      <c r="G2089" s="16" t="n">
        <v>45841</v>
      </c>
      <c r="H2089" s="17" t="inlineStr">
        <is>
          <t>CÔNG TY CỔ PHẦN CÔNG NGHIỆP VÀ THƯƠNG MẠI CƯỜNG THỊNH</t>
        </is>
      </c>
      <c r="I2089" s="17" t="inlineStr">
        <is>
          <t>Đai ốc Din 934 8 ZP M30</t>
        </is>
      </c>
      <c r="J2089" s="17" t="inlineStr">
        <is>
          <t>Cái</t>
        </is>
      </c>
      <c r="K2089" s="19" t="n">
        <v>7750</v>
      </c>
      <c r="L2089" s="21" t="n"/>
      <c r="M2089" s="22" t="n"/>
      <c r="N2089" s="22" t="n">
        <v>665</v>
      </c>
      <c r="O2089" s="22" t="n">
        <v>5153750</v>
      </c>
      <c r="P2089" s="22" t="n">
        <v>665</v>
      </c>
      <c r="Q2089" s="22" t="n">
        <v>5153750</v>
      </c>
      <c r="R2089" s="42">
        <f>+L2089+N2089-P2089</f>
        <v/>
      </c>
      <c r="S2089" s="42">
        <f>+M2089+O2089-Q2089</f>
        <v/>
      </c>
    </row>
    <row r="2090" ht="30" customHeight="1">
      <c r="A2090" s="16" t="n">
        <v>45841</v>
      </c>
      <c r="B2090" s="17" t="inlineStr">
        <is>
          <t>MH2507-04</t>
        </is>
      </c>
      <c r="C2090" s="16" t="n">
        <v>45841</v>
      </c>
      <c r="D2090" s="16" t="n">
        <v>45841</v>
      </c>
      <c r="E2090" s="17" t="inlineStr">
        <is>
          <t>00002520</t>
        </is>
      </c>
      <c r="F2090" s="16" t="inlineStr">
        <is>
          <t>XK2507-03</t>
        </is>
      </c>
      <c r="G2090" s="16" t="n">
        <v>45841</v>
      </c>
      <c r="H2090" s="17" t="inlineStr">
        <is>
          <t>CÔNG TY CỔ PHẦN CÔNG NGHIỆP VÀ THƯƠNG MẠI CƯỜNG THỊNH</t>
        </is>
      </c>
      <c r="I2090" s="17" t="inlineStr">
        <is>
          <t>Long đền thường ZP M30B50D2</t>
        </is>
      </c>
      <c r="J2090" s="17" t="inlineStr">
        <is>
          <t>Cái</t>
        </is>
      </c>
      <c r="K2090" s="19" t="n">
        <v>890</v>
      </c>
      <c r="L2090" s="21" t="n"/>
      <c r="M2090" s="22" t="n"/>
      <c r="N2090" s="22" t="n">
        <v>665</v>
      </c>
      <c r="O2090" s="22" t="n">
        <v>591850</v>
      </c>
      <c r="P2090" s="22" t="n">
        <v>665</v>
      </c>
      <c r="Q2090" s="22" t="n">
        <v>591850</v>
      </c>
      <c r="R2090" s="42">
        <f>+L2090+N2090-P2090</f>
        <v/>
      </c>
      <c r="S2090" s="42">
        <f>+M2090+O2090-Q2090</f>
        <v/>
      </c>
    </row>
    <row r="2091" ht="30" customHeight="1">
      <c r="A2091" s="16" t="n">
        <v>45841</v>
      </c>
      <c r="B2091" s="17" t="inlineStr">
        <is>
          <t>MH2507-04</t>
        </is>
      </c>
      <c r="C2091" s="16" t="n">
        <v>45841</v>
      </c>
      <c r="D2091" s="16" t="n">
        <v>45841</v>
      </c>
      <c r="E2091" s="17" t="inlineStr">
        <is>
          <t>00002520</t>
        </is>
      </c>
      <c r="F2091" s="16" t="inlineStr">
        <is>
          <t>XK2507-03</t>
        </is>
      </c>
      <c r="G2091" s="16" t="n">
        <v>45841</v>
      </c>
      <c r="H2091" s="17" t="inlineStr">
        <is>
          <t>CÔNG TY CỔ PHẦN CÔNG NGHIỆP VÀ THƯƠNG MẠI CƯỜNG THỊNH</t>
        </is>
      </c>
      <c r="I2091" s="17" t="inlineStr">
        <is>
          <t>Bulong Din 933 8.8 ZP M30x120</t>
        </is>
      </c>
      <c r="J2091" s="17" t="inlineStr">
        <is>
          <t>Cái</t>
        </is>
      </c>
      <c r="K2091" s="19" t="n">
        <v>28640</v>
      </c>
      <c r="L2091" s="21" t="n"/>
      <c r="M2091" s="22" t="n"/>
      <c r="N2091" s="22" t="n">
        <v>661</v>
      </c>
      <c r="O2091" s="22" t="n">
        <v>18931040</v>
      </c>
      <c r="P2091" s="22" t="n">
        <v>661</v>
      </c>
      <c r="Q2091" s="22" t="n">
        <v>18931040</v>
      </c>
      <c r="R2091" s="42">
        <f>+L2091+N2091-P2091</f>
        <v/>
      </c>
      <c r="S2091" s="42">
        <f>+M2091+O2091-Q2091</f>
        <v/>
      </c>
    </row>
    <row r="2092" ht="30" customHeight="1">
      <c r="A2092" s="16" t="n">
        <v>45841</v>
      </c>
      <c r="B2092" s="17" t="inlineStr">
        <is>
          <t>MH2507-04</t>
        </is>
      </c>
      <c r="C2092" s="16" t="n">
        <v>45841</v>
      </c>
      <c r="D2092" s="16" t="n">
        <v>45841</v>
      </c>
      <c r="E2092" s="17" t="inlineStr">
        <is>
          <t>00002520</t>
        </is>
      </c>
      <c r="F2092" s="16" t="inlineStr">
        <is>
          <t>XK2507-03</t>
        </is>
      </c>
      <c r="G2092" s="16" t="n">
        <v>45841</v>
      </c>
      <c r="H2092" s="17" t="inlineStr">
        <is>
          <t>CÔNG TY CỔ PHẦN CÔNG NGHIỆP VÀ THƯƠNG MẠI CƯỜNG THỊNH</t>
        </is>
      </c>
      <c r="I2092" s="17" t="inlineStr">
        <is>
          <t>Đai ốc Din 934 8 ZP M30</t>
        </is>
      </c>
      <c r="J2092" s="17" t="inlineStr">
        <is>
          <t>Cái</t>
        </is>
      </c>
      <c r="K2092" s="19" t="n">
        <v>7750</v>
      </c>
      <c r="L2092" s="21" t="n"/>
      <c r="M2092" s="22" t="n"/>
      <c r="N2092" s="22" t="n">
        <v>661</v>
      </c>
      <c r="O2092" s="22" t="n">
        <v>5122750</v>
      </c>
      <c r="P2092" s="22" t="n">
        <v>661</v>
      </c>
      <c r="Q2092" s="22" t="n">
        <v>5122750</v>
      </c>
      <c r="R2092" s="42">
        <f>+L2092+N2092-P2092</f>
        <v/>
      </c>
      <c r="S2092" s="42">
        <f>+M2092+O2092-Q2092</f>
        <v/>
      </c>
    </row>
    <row r="2093" ht="30" customHeight="1">
      <c r="A2093" s="16" t="n">
        <v>45841</v>
      </c>
      <c r="B2093" s="17" t="inlineStr">
        <is>
          <t>MH2507-04</t>
        </is>
      </c>
      <c r="C2093" s="16" t="n">
        <v>45841</v>
      </c>
      <c r="D2093" s="16" t="n">
        <v>45841</v>
      </c>
      <c r="E2093" s="17" t="inlineStr">
        <is>
          <t>00002520</t>
        </is>
      </c>
      <c r="F2093" s="16" t="inlineStr">
        <is>
          <t>XK2507-03</t>
        </is>
      </c>
      <c r="G2093" s="16" t="n">
        <v>45841</v>
      </c>
      <c r="H2093" s="17" t="inlineStr">
        <is>
          <t>CÔNG TY CỔ PHẦN CÔNG NGHIỆP VÀ THƯƠNG MẠI CƯỜNG THỊNH</t>
        </is>
      </c>
      <c r="I2093" s="17" t="inlineStr">
        <is>
          <t>Long đền thường ZP M30B50D2</t>
        </is>
      </c>
      <c r="J2093" s="17" t="inlineStr">
        <is>
          <t>Cái</t>
        </is>
      </c>
      <c r="K2093" s="19" t="n">
        <v>890</v>
      </c>
      <c r="L2093" s="21" t="n"/>
      <c r="M2093" s="22" t="n"/>
      <c r="N2093" s="22" t="n">
        <v>661</v>
      </c>
      <c r="O2093" s="22" t="n">
        <v>588290</v>
      </c>
      <c r="P2093" s="22" t="n">
        <v>661</v>
      </c>
      <c r="Q2093" s="22" t="n">
        <v>588290</v>
      </c>
      <c r="R2093" s="42">
        <f>+L2093+N2093-P2093</f>
        <v/>
      </c>
      <c r="S2093" s="42">
        <f>+M2093+O2093-Q2093</f>
        <v/>
      </c>
    </row>
    <row r="2094" ht="30" customHeight="1">
      <c r="A2094" s="16" t="n">
        <v>45841</v>
      </c>
      <c r="B2094" s="17" t="inlineStr">
        <is>
          <t>MH2507-04</t>
        </is>
      </c>
      <c r="C2094" s="16" t="n">
        <v>45841</v>
      </c>
      <c r="D2094" s="16" t="n">
        <v>45841</v>
      </c>
      <c r="E2094" s="17" t="inlineStr">
        <is>
          <t>00002520</t>
        </is>
      </c>
      <c r="F2094" s="16" t="inlineStr">
        <is>
          <t>XK2507-03</t>
        </is>
      </c>
      <c r="G2094" s="16" t="n">
        <v>45841</v>
      </c>
      <c r="H2094" s="17" t="inlineStr">
        <is>
          <t>CÔNG TY CỔ PHẦN CÔNG NGHIỆP VÀ THƯƠNG MẠI CƯỜNG THỊNH</t>
        </is>
      </c>
      <c r="I2094" s="17" t="inlineStr">
        <is>
          <t>Vít B2 Dacromet 12-14x20</t>
        </is>
      </c>
      <c r="J2094" s="17" t="inlineStr">
        <is>
          <t>Cái</t>
        </is>
      </c>
      <c r="K2094" s="19" t="n">
        <v>600</v>
      </c>
      <c r="L2094" s="21" t="n"/>
      <c r="M2094" s="22" t="n"/>
      <c r="N2094" s="22" t="n">
        <v>1400</v>
      </c>
      <c r="O2094" s="22" t="n">
        <v>840000</v>
      </c>
      <c r="P2094" s="22" t="n">
        <v>1400</v>
      </c>
      <c r="Q2094" s="22" t="n">
        <v>840000</v>
      </c>
      <c r="R2094" s="42">
        <f>+L2094+N2094-P2094</f>
        <v/>
      </c>
      <c r="S2094" s="42">
        <f>+M2094+O2094-Q2094</f>
        <v/>
      </c>
    </row>
    <row r="2095" ht="15" customHeight="1">
      <c r="A2095" s="16" t="n">
        <v>45842</v>
      </c>
      <c r="B2095" s="17" t="inlineStr">
        <is>
          <t>MH2507-05</t>
        </is>
      </c>
      <c r="C2095" s="16" t="n">
        <v>45842</v>
      </c>
      <c r="D2095" s="16" t="n">
        <v>45842</v>
      </c>
      <c r="E2095" s="17" t="inlineStr">
        <is>
          <t>00006000</t>
        </is>
      </c>
      <c r="F2095" s="16" t="inlineStr">
        <is>
          <t>XK2507-04</t>
        </is>
      </c>
      <c r="G2095" s="16" t="n">
        <v>45842</v>
      </c>
      <c r="H2095" s="17" t="inlineStr">
        <is>
          <t>CÔNG TY TNHH SƠN JOTUN VIỆT NAM</t>
        </is>
      </c>
      <c r="I2095" s="17" t="inlineStr">
        <is>
          <t>SƠN JOTAMASTIC 70 GREY 18L</t>
        </is>
      </c>
      <c r="J2095" s="17" t="inlineStr">
        <is>
          <t>Lít</t>
        </is>
      </c>
      <c r="K2095" s="19" t="n">
        <v>90000</v>
      </c>
      <c r="L2095" s="21" t="n"/>
      <c r="M2095" s="22" t="n"/>
      <c r="N2095" s="22" t="n">
        <v>684</v>
      </c>
      <c r="O2095" s="22" t="n">
        <v>61560000</v>
      </c>
      <c r="P2095" s="22" t="n">
        <v>684</v>
      </c>
      <c r="Q2095" s="22" t="n">
        <v>61560000</v>
      </c>
      <c r="R2095" s="42">
        <f>+L2095+N2095-P2095</f>
        <v/>
      </c>
      <c r="S2095" s="42">
        <f>+M2095+O2095-Q2095</f>
        <v/>
      </c>
    </row>
    <row r="2096" ht="15" customHeight="1">
      <c r="A2096" s="16" t="n">
        <v>45842</v>
      </c>
      <c r="B2096" s="17" t="inlineStr">
        <is>
          <t>MH2507-05</t>
        </is>
      </c>
      <c r="C2096" s="16" t="n">
        <v>45842</v>
      </c>
      <c r="D2096" s="16" t="n">
        <v>45842</v>
      </c>
      <c r="E2096" s="17" t="inlineStr">
        <is>
          <t>00006000</t>
        </is>
      </c>
      <c r="F2096" s="16" t="inlineStr">
        <is>
          <t>XK2507-04</t>
        </is>
      </c>
      <c r="G2096" s="16" t="n">
        <v>45842</v>
      </c>
      <c r="H2096" s="17" t="inlineStr">
        <is>
          <t>CÔNG TY TNHH SƠN JOTUN VIỆT NAM</t>
        </is>
      </c>
      <c r="I2096" s="17" t="inlineStr">
        <is>
          <t>SƠN FUTURA CLASSIC STD 4056 19.01L</t>
        </is>
      </c>
      <c r="J2096" s="17" t="inlineStr">
        <is>
          <t>Lít</t>
        </is>
      </c>
      <c r="K2096" s="19" t="n">
        <v>155000</v>
      </c>
      <c r="L2096" s="21" t="n"/>
      <c r="M2096" s="22" t="n"/>
      <c r="N2096" s="22" t="n">
        <v>646.34</v>
      </c>
      <c r="O2096" s="22" t="n">
        <v>100182700</v>
      </c>
      <c r="P2096" s="22" t="n">
        <v>646.34</v>
      </c>
      <c r="Q2096" s="22" t="n">
        <v>100182700</v>
      </c>
      <c r="R2096" s="42">
        <f>+L2096+N2096-P2096</f>
        <v/>
      </c>
      <c r="S2096" s="42">
        <f>+M2096+O2096-Q2096</f>
        <v/>
      </c>
    </row>
    <row r="2097" ht="15" customHeight="1">
      <c r="A2097" s="16" t="n">
        <v>45842</v>
      </c>
      <c r="B2097" s="17" t="inlineStr">
        <is>
          <t>MH2507-05</t>
        </is>
      </c>
      <c r="C2097" s="16" t="n">
        <v>45842</v>
      </c>
      <c r="D2097" s="16" t="n">
        <v>45842</v>
      </c>
      <c r="E2097" s="17" t="inlineStr">
        <is>
          <t>00006000</t>
        </is>
      </c>
      <c r="F2097" s="16" t="inlineStr">
        <is>
          <t>XK2507-04</t>
        </is>
      </c>
      <c r="G2097" s="16" t="n">
        <v>45842</v>
      </c>
      <c r="H2097" s="17" t="inlineStr">
        <is>
          <t>CÔNG TY TNHH SƠN JOTUN VIỆT NAM</t>
        </is>
      </c>
      <c r="I2097" s="17" t="inlineStr">
        <is>
          <t>SƠN FUTURA CLASSIC STD 4056 4.75L</t>
        </is>
      </c>
      <c r="J2097" s="17" t="inlineStr">
        <is>
          <t>Lít</t>
        </is>
      </c>
      <c r="K2097" s="19" t="n">
        <v>155000</v>
      </c>
      <c r="L2097" s="21" t="n"/>
      <c r="M2097" s="22" t="n"/>
      <c r="N2097" s="22" t="n">
        <v>9.5</v>
      </c>
      <c r="O2097" s="22" t="n">
        <v>1472500</v>
      </c>
      <c r="P2097" s="22" t="n">
        <v>9.5</v>
      </c>
      <c r="Q2097" s="22" t="n">
        <v>1472500</v>
      </c>
      <c r="R2097" s="42">
        <f>+L2097+N2097-P2097</f>
        <v/>
      </c>
      <c r="S2097" s="42">
        <f>+M2097+O2097-Q2097</f>
        <v/>
      </c>
    </row>
    <row r="2098" ht="15" customHeight="1">
      <c r="A2098" s="16" t="n">
        <v>45842</v>
      </c>
      <c r="B2098" s="17" t="inlineStr">
        <is>
          <t>MH2507-05</t>
        </is>
      </c>
      <c r="C2098" s="16" t="n">
        <v>45842</v>
      </c>
      <c r="D2098" s="16" t="n">
        <v>45842</v>
      </c>
      <c r="E2098" s="17" t="inlineStr">
        <is>
          <t>00006000</t>
        </is>
      </c>
      <c r="F2098" s="16" t="inlineStr">
        <is>
          <t>XK2507-04</t>
        </is>
      </c>
      <c r="G2098" s="16" t="n">
        <v>45842</v>
      </c>
      <c r="H2098" s="17" t="inlineStr">
        <is>
          <t>CÔNG TY TNHH SƠN JOTUN VIỆT NAM</t>
        </is>
      </c>
      <c r="I2098" s="17" t="inlineStr">
        <is>
          <t>DUNG MÔI JOTUN THINNER NO. 17 20L</t>
        </is>
      </c>
      <c r="J2098" s="17" t="inlineStr">
        <is>
          <t>Lít</t>
        </is>
      </c>
      <c r="K2098" s="19" t="n">
        <v>60000</v>
      </c>
      <c r="L2098" s="21" t="n"/>
      <c r="M2098" s="22" t="n"/>
      <c r="N2098" s="22" t="n">
        <v>100</v>
      </c>
      <c r="O2098" s="22" t="n">
        <v>6000000</v>
      </c>
      <c r="P2098" s="22" t="n">
        <v>100</v>
      </c>
      <c r="Q2098" s="22" t="n">
        <v>6000000</v>
      </c>
      <c r="R2098" s="42">
        <f>+L2098+N2098-P2098</f>
        <v/>
      </c>
      <c r="S2098" s="42">
        <f>+M2098+O2098-Q2098</f>
        <v/>
      </c>
    </row>
    <row r="2099" ht="15" customHeight="1">
      <c r="A2099" s="16" t="n">
        <v>45842</v>
      </c>
      <c r="B2099" s="17" t="inlineStr">
        <is>
          <t>MH2507-05</t>
        </is>
      </c>
      <c r="C2099" s="16" t="n">
        <v>45842</v>
      </c>
      <c r="D2099" s="16" t="n">
        <v>45842</v>
      </c>
      <c r="E2099" s="17" t="inlineStr">
        <is>
          <t>00006000</t>
        </is>
      </c>
      <c r="F2099" s="16" t="inlineStr">
        <is>
          <t>XK2507-04</t>
        </is>
      </c>
      <c r="G2099" s="16" t="n">
        <v>45842</v>
      </c>
      <c r="H2099" s="17" t="inlineStr">
        <is>
          <t>CÔNG TY TNHH SƠN JOTUN VIỆT NAM</t>
        </is>
      </c>
      <c r="I2099" s="17" t="inlineStr">
        <is>
          <t>DUNG MÔI JOTUN THINNER NO. 10 20L</t>
        </is>
      </c>
      <c r="J2099" s="17" t="inlineStr">
        <is>
          <t>Lít</t>
        </is>
      </c>
      <c r="K2099" s="19" t="n">
        <v>60000</v>
      </c>
      <c r="L2099" s="21" t="n"/>
      <c r="M2099" s="22" t="n"/>
      <c r="N2099" s="22" t="n">
        <v>100</v>
      </c>
      <c r="O2099" s="22" t="n">
        <v>6000000</v>
      </c>
      <c r="P2099" s="22" t="n">
        <v>100</v>
      </c>
      <c r="Q2099" s="22" t="n">
        <v>6000000</v>
      </c>
      <c r="R2099" s="42">
        <f>+L2099+N2099-P2099</f>
        <v/>
      </c>
      <c r="S2099" s="42">
        <f>+M2099+O2099-Q2099</f>
        <v/>
      </c>
    </row>
    <row r="2100" ht="15" customHeight="1">
      <c r="A2100" s="16" t="n">
        <v>45845</v>
      </c>
      <c r="B2100" s="17" t="inlineStr">
        <is>
          <t>MH2507-08</t>
        </is>
      </c>
      <c r="C2100" s="16" t="n">
        <v>45845</v>
      </c>
      <c r="D2100" s="16" t="n">
        <v>45845</v>
      </c>
      <c r="E2100" s="17" t="inlineStr">
        <is>
          <t>00006045</t>
        </is>
      </c>
      <c r="F2100" s="16" t="inlineStr">
        <is>
          <t>XK2507-04</t>
        </is>
      </c>
      <c r="G2100" s="16" t="n">
        <v>45845</v>
      </c>
      <c r="H2100" s="17" t="inlineStr">
        <is>
          <t>CÔNG TY TNHH SƠN JOTUN VIỆT NAM</t>
        </is>
      </c>
      <c r="I2100" s="17" t="inlineStr">
        <is>
          <t>SƠN JOTAMASTIC 70 GREY 18L</t>
        </is>
      </c>
      <c r="J2100" s="17" t="inlineStr">
        <is>
          <t>Lít</t>
        </is>
      </c>
      <c r="K2100" s="19" t="n">
        <v>90000</v>
      </c>
      <c r="L2100" s="21" t="n"/>
      <c r="M2100" s="22" t="n"/>
      <c r="N2100" s="22" t="n">
        <v>972</v>
      </c>
      <c r="O2100" s="22" t="n">
        <v>87480000</v>
      </c>
      <c r="P2100" s="22" t="n">
        <v>972</v>
      </c>
      <c r="Q2100" s="22" t="n">
        <v>87480000</v>
      </c>
      <c r="R2100" s="42">
        <f>+L2100+N2100-P2100</f>
        <v/>
      </c>
      <c r="S2100" s="42">
        <f>+M2100+O2100-Q2100</f>
        <v/>
      </c>
    </row>
    <row r="2101" ht="15" customHeight="1">
      <c r="A2101" s="16" t="n">
        <v>45845</v>
      </c>
      <c r="B2101" s="17" t="inlineStr">
        <is>
          <t>MH2507-08</t>
        </is>
      </c>
      <c r="C2101" s="16" t="n">
        <v>45845</v>
      </c>
      <c r="D2101" s="16" t="n">
        <v>45845</v>
      </c>
      <c r="E2101" s="17" t="inlineStr">
        <is>
          <t>00006045</t>
        </is>
      </c>
      <c r="F2101" s="16" t="inlineStr">
        <is>
          <t>XK2507-04</t>
        </is>
      </c>
      <c r="G2101" s="16" t="n">
        <v>45845</v>
      </c>
      <c r="H2101" s="17" t="inlineStr">
        <is>
          <t>CÔNG TY TNHH SƠN JOTUN VIỆT NAM</t>
        </is>
      </c>
      <c r="I2101" s="17" t="inlineStr">
        <is>
          <t>SƠN FUTURA CLASSIC RAL 7040 18.28L</t>
        </is>
      </c>
      <c r="J2101" s="17" t="inlineStr">
        <is>
          <t>Lít</t>
        </is>
      </c>
      <c r="K2101" s="19" t="n">
        <v>155000</v>
      </c>
      <c r="L2101" s="21" t="n"/>
      <c r="M2101" s="22" t="n"/>
      <c r="N2101" s="22" t="n">
        <v>877.4400000000001</v>
      </c>
      <c r="O2101" s="22" t="n">
        <v>136003200</v>
      </c>
      <c r="P2101" s="22" t="n">
        <v>877.4400000000001</v>
      </c>
      <c r="Q2101" s="22" t="n">
        <v>136003200</v>
      </c>
      <c r="R2101" s="42">
        <f>+L2101+N2101-P2101</f>
        <v/>
      </c>
      <c r="S2101" s="42">
        <f>+M2101+O2101-Q2101</f>
        <v/>
      </c>
    </row>
    <row r="2102" ht="15" customHeight="1">
      <c r="A2102" s="16" t="n">
        <v>45845</v>
      </c>
      <c r="B2102" s="17" t="inlineStr">
        <is>
          <t>MH2507-08</t>
        </is>
      </c>
      <c r="C2102" s="16" t="n">
        <v>45845</v>
      </c>
      <c r="D2102" s="16" t="n">
        <v>45845</v>
      </c>
      <c r="E2102" s="17" t="inlineStr">
        <is>
          <t>00006045</t>
        </is>
      </c>
      <c r="F2102" s="16" t="inlineStr">
        <is>
          <t>XK2507-04</t>
        </is>
      </c>
      <c r="G2102" s="16" t="n">
        <v>45845</v>
      </c>
      <c r="H2102" s="17" t="inlineStr">
        <is>
          <t>CÔNG TY TNHH SƠN JOTUN VIỆT NAM</t>
        </is>
      </c>
      <c r="I2102" s="17" t="inlineStr">
        <is>
          <t>SƠN FUTURA CLASSIC RAL 7040 4.57L</t>
        </is>
      </c>
      <c r="J2102" s="17" t="inlineStr">
        <is>
          <t>Lít</t>
        </is>
      </c>
      <c r="K2102" s="19" t="n">
        <v>155000</v>
      </c>
      <c r="L2102" s="21" t="n"/>
      <c r="M2102" s="22" t="n"/>
      <c r="N2102" s="22" t="n">
        <v>41.13</v>
      </c>
      <c r="O2102" s="22" t="n">
        <v>6375150</v>
      </c>
      <c r="P2102" s="22" t="n">
        <v>41.13</v>
      </c>
      <c r="Q2102" s="22" t="n">
        <v>6375150</v>
      </c>
      <c r="R2102" s="42">
        <f>+L2102+N2102-P2102</f>
        <v/>
      </c>
      <c r="S2102" s="42">
        <f>+M2102+O2102-Q2102</f>
        <v/>
      </c>
    </row>
    <row r="2103" ht="15" customHeight="1">
      <c r="A2103" s="16" t="n">
        <v>45845</v>
      </c>
      <c r="B2103" s="17" t="inlineStr">
        <is>
          <t>MH2507-08</t>
        </is>
      </c>
      <c r="C2103" s="16" t="n">
        <v>45845</v>
      </c>
      <c r="D2103" s="16" t="n">
        <v>45845</v>
      </c>
      <c r="E2103" s="17" t="inlineStr">
        <is>
          <t>00006045</t>
        </is>
      </c>
      <c r="F2103" s="16" t="inlineStr">
        <is>
          <t>XK2507-04</t>
        </is>
      </c>
      <c r="G2103" s="16" t="n">
        <v>45845</v>
      </c>
      <c r="H2103" s="17" t="inlineStr">
        <is>
          <t>CÔNG TY TNHH SƠN JOTUN VIỆT NAM</t>
        </is>
      </c>
      <c r="I2103" s="17" t="inlineStr">
        <is>
          <t>DUNG MÔI JOTUN THINNER NO. 10 20L</t>
        </is>
      </c>
      <c r="J2103" s="17" t="inlineStr">
        <is>
          <t>Lít</t>
        </is>
      </c>
      <c r="K2103" s="19" t="n">
        <v>60000</v>
      </c>
      <c r="L2103" s="21" t="n"/>
      <c r="M2103" s="22" t="n"/>
      <c r="N2103" s="22" t="n">
        <v>140</v>
      </c>
      <c r="O2103" s="22" t="n">
        <v>8400000</v>
      </c>
      <c r="P2103" s="22" t="n">
        <v>140</v>
      </c>
      <c r="Q2103" s="22" t="n">
        <v>8400000</v>
      </c>
      <c r="R2103" s="42">
        <f>+L2103+N2103-P2103</f>
        <v/>
      </c>
      <c r="S2103" s="42">
        <f>+M2103+O2103-Q2103</f>
        <v/>
      </c>
    </row>
    <row r="2104" ht="15" customHeight="1">
      <c r="A2104" s="16" t="n">
        <v>45845</v>
      </c>
      <c r="B2104" s="17" t="inlineStr">
        <is>
          <t>MH2507-08</t>
        </is>
      </c>
      <c r="C2104" s="16" t="n">
        <v>45845</v>
      </c>
      <c r="D2104" s="16" t="n">
        <v>45845</v>
      </c>
      <c r="E2104" s="17" t="inlineStr">
        <is>
          <t>00006045</t>
        </is>
      </c>
      <c r="F2104" s="16" t="inlineStr">
        <is>
          <t>XK2507-04</t>
        </is>
      </c>
      <c r="G2104" s="16" t="n">
        <v>45845</v>
      </c>
      <c r="H2104" s="17" t="inlineStr">
        <is>
          <t>CÔNG TY TNHH SƠN JOTUN VIỆT NAM</t>
        </is>
      </c>
      <c r="I2104" s="17" t="inlineStr">
        <is>
          <t>DUNG MÔI JOTUN THINNER NO. 17 20L</t>
        </is>
      </c>
      <c r="J2104" s="17" t="inlineStr">
        <is>
          <t>Lít</t>
        </is>
      </c>
      <c r="K2104" s="19" t="n">
        <v>60000</v>
      </c>
      <c r="L2104" s="21" t="n"/>
      <c r="M2104" s="22" t="n"/>
      <c r="N2104" s="22" t="n">
        <v>140</v>
      </c>
      <c r="O2104" s="22" t="n">
        <v>8400000</v>
      </c>
      <c r="P2104" s="22" t="n">
        <v>140</v>
      </c>
      <c r="Q2104" s="22" t="n">
        <v>8400000</v>
      </c>
      <c r="R2104" s="42">
        <f>+L2104+N2104-P2104</f>
        <v/>
      </c>
      <c r="S2104" s="42">
        <f>+M2104+O2104-Q2104</f>
        <v/>
      </c>
    </row>
    <row r="2105" ht="15" customHeight="1">
      <c r="A2105" s="16" t="n">
        <v>45845</v>
      </c>
      <c r="B2105" s="17" t="inlineStr">
        <is>
          <t>MH2507-08</t>
        </is>
      </c>
      <c r="C2105" s="16" t="n">
        <v>45845</v>
      </c>
      <c r="D2105" s="16" t="n">
        <v>45845</v>
      </c>
      <c r="E2105" s="17" t="inlineStr">
        <is>
          <t>00006045</t>
        </is>
      </c>
      <c r="F2105" s="16" t="inlineStr">
        <is>
          <t>XK2507-04</t>
        </is>
      </c>
      <c r="G2105" s="16" t="n">
        <v>45845</v>
      </c>
      <c r="H2105" s="17" t="inlineStr">
        <is>
          <t>CÔNG TY TNHH SƠN JOTUN VIỆT NAM</t>
        </is>
      </c>
      <c r="I2105" s="17" t="inlineStr">
        <is>
          <t>DUNG MÔI JOTUN THINNER NO. 17 5L</t>
        </is>
      </c>
      <c r="J2105" s="17" t="inlineStr">
        <is>
          <t>Lít</t>
        </is>
      </c>
      <c r="K2105" s="19" t="n">
        <v>60000</v>
      </c>
      <c r="L2105" s="21" t="n"/>
      <c r="M2105" s="22" t="n"/>
      <c r="N2105" s="22" t="n">
        <v>5</v>
      </c>
      <c r="O2105" s="22" t="n">
        <v>300000</v>
      </c>
      <c r="P2105" s="22" t="n">
        <v>5</v>
      </c>
      <c r="Q2105" s="22" t="n">
        <v>300000</v>
      </c>
      <c r="R2105" s="42">
        <f>+L2105+N2105-P2105</f>
        <v/>
      </c>
      <c r="S2105" s="42">
        <f>+M2105+O2105-Q2105</f>
        <v/>
      </c>
    </row>
    <row r="2106" ht="30" customHeight="1">
      <c r="A2106" s="16" t="n">
        <v>45846</v>
      </c>
      <c r="B2106" s="17" t="inlineStr">
        <is>
          <t>MH2507-09</t>
        </is>
      </c>
      <c r="C2106" s="16" t="n">
        <v>45846</v>
      </c>
      <c r="D2106" s="16" t="n">
        <v>45846</v>
      </c>
      <c r="E2106" s="17" t="inlineStr">
        <is>
          <t>00002584</t>
        </is>
      </c>
      <c r="F2106" s="16" t="inlineStr">
        <is>
          <t>XK2507-05</t>
        </is>
      </c>
      <c r="G2106" s="16" t="n">
        <v>45846</v>
      </c>
      <c r="H2106" s="17" t="inlineStr">
        <is>
          <t>CÔNG TY CỔ PHẦN CÔNG NGHIỆP VÀ THƯƠNG MẠI CƯỜNG THỊNH</t>
        </is>
      </c>
      <c r="I2106" s="17" t="inlineStr">
        <is>
          <t>Bulong thường 4.6 ZP M12x30</t>
        </is>
      </c>
      <c r="J2106" s="17" t="inlineStr">
        <is>
          <t>Cái</t>
        </is>
      </c>
      <c r="K2106" s="19" t="n">
        <v>950</v>
      </c>
      <c r="L2106" s="21" t="n"/>
      <c r="M2106" s="22" t="n"/>
      <c r="N2106" s="22" t="n">
        <v>8313</v>
      </c>
      <c r="O2106" s="22" t="n">
        <v>7897350</v>
      </c>
      <c r="P2106" s="22" t="n">
        <v>8313</v>
      </c>
      <c r="Q2106" s="22" t="n">
        <v>7897350</v>
      </c>
      <c r="R2106" s="42">
        <f>+L2106+N2106-P2106</f>
        <v/>
      </c>
      <c r="S2106" s="42">
        <f>+M2106+O2106-Q2106</f>
        <v/>
      </c>
    </row>
    <row r="2107" ht="30" customHeight="1">
      <c r="A2107" s="16" t="n">
        <v>45846</v>
      </c>
      <c r="B2107" s="17" t="inlineStr">
        <is>
          <t>MH2507-09</t>
        </is>
      </c>
      <c r="C2107" s="16" t="n">
        <v>45846</v>
      </c>
      <c r="D2107" s="16" t="n">
        <v>45846</v>
      </c>
      <c r="E2107" s="17" t="inlineStr">
        <is>
          <t>00002584</t>
        </is>
      </c>
      <c r="F2107" s="16" t="inlineStr">
        <is>
          <t>XK2507-05</t>
        </is>
      </c>
      <c r="G2107" s="16" t="n">
        <v>45846</v>
      </c>
      <c r="H2107" s="17" t="inlineStr">
        <is>
          <t>CÔNG TY CỔ PHẦN CÔNG NGHIỆP VÀ THƯƠNG MẠI CƯỜNG THỊNH</t>
        </is>
      </c>
      <c r="I2107" s="17" t="inlineStr">
        <is>
          <t>Đai ốc thường 4 ZP M12 (9mm)</t>
        </is>
      </c>
      <c r="J2107" s="17" t="inlineStr">
        <is>
          <t>Cái</t>
        </is>
      </c>
      <c r="K2107" s="19" t="n">
        <v>360</v>
      </c>
      <c r="L2107" s="21" t="n"/>
      <c r="M2107" s="22" t="n"/>
      <c r="N2107" s="22" t="n">
        <v>8313</v>
      </c>
      <c r="O2107" s="22" t="n">
        <v>2992680</v>
      </c>
      <c r="P2107" s="22" t="n">
        <v>8313</v>
      </c>
      <c r="Q2107" s="22" t="n">
        <v>2992680</v>
      </c>
      <c r="R2107" s="42">
        <f>+L2107+N2107-P2107</f>
        <v/>
      </c>
      <c r="S2107" s="42">
        <f>+M2107+O2107-Q2107</f>
        <v/>
      </c>
    </row>
    <row r="2108" ht="30" customHeight="1">
      <c r="A2108" s="16" t="n">
        <v>45846</v>
      </c>
      <c r="B2108" s="17" t="inlineStr">
        <is>
          <t>MH2507-09</t>
        </is>
      </c>
      <c r="C2108" s="16" t="n">
        <v>45846</v>
      </c>
      <c r="D2108" s="16" t="n">
        <v>45846</v>
      </c>
      <c r="E2108" s="17" t="inlineStr">
        <is>
          <t>00002584</t>
        </is>
      </c>
      <c r="F2108" s="16" t="inlineStr">
        <is>
          <t>XK2507-05</t>
        </is>
      </c>
      <c r="G2108" s="16" t="n">
        <v>45846</v>
      </c>
      <c r="H2108" s="17" t="inlineStr">
        <is>
          <t>CÔNG TY CỔ PHẦN CÔNG NGHIỆP VÀ THƯƠNG MẠI CƯỜNG THỊNH</t>
        </is>
      </c>
      <c r="I2108" s="17" t="inlineStr">
        <is>
          <t>Long đền thường ZP M12B23D1</t>
        </is>
      </c>
      <c r="J2108" s="17" t="inlineStr">
        <is>
          <t>Cái</t>
        </is>
      </c>
      <c r="K2108" s="19" t="n">
        <v>100</v>
      </c>
      <c r="L2108" s="21" t="n"/>
      <c r="M2108" s="22" t="n"/>
      <c r="N2108" s="22" t="n">
        <v>16626</v>
      </c>
      <c r="O2108" s="22" t="n">
        <v>1662600</v>
      </c>
      <c r="P2108" s="22" t="n">
        <v>16626</v>
      </c>
      <c r="Q2108" s="22" t="n">
        <v>1662600</v>
      </c>
      <c r="R2108" s="42">
        <f>+L2108+N2108-P2108</f>
        <v/>
      </c>
      <c r="S2108" s="42">
        <f>+M2108+O2108-Q2108</f>
        <v/>
      </c>
    </row>
    <row r="2109" ht="30" customHeight="1">
      <c r="A2109" s="16" t="n">
        <v>45846</v>
      </c>
      <c r="B2109" s="17" t="inlineStr">
        <is>
          <t>MH2507-09</t>
        </is>
      </c>
      <c r="C2109" s="16" t="n">
        <v>45846</v>
      </c>
      <c r="D2109" s="16" t="n">
        <v>45846</v>
      </c>
      <c r="E2109" s="17" t="inlineStr">
        <is>
          <t>00002584</t>
        </is>
      </c>
      <c r="F2109" s="16" t="inlineStr">
        <is>
          <t>XK2507-05</t>
        </is>
      </c>
      <c r="G2109" s="16" t="n">
        <v>45846</v>
      </c>
      <c r="H2109" s="17" t="inlineStr">
        <is>
          <t>CÔNG TY CỔ PHẦN CÔNG NGHIỆP VÀ THƯƠNG MẠI CƯỜNG THỊNH</t>
        </is>
      </c>
      <c r="I2109" s="17" t="inlineStr">
        <is>
          <t>Bulong Din 933 8.8 ZP M20x60</t>
        </is>
      </c>
      <c r="J2109" s="17" t="inlineStr">
        <is>
          <t>Cái</t>
        </is>
      </c>
      <c r="K2109" s="19" t="n">
        <v>6360</v>
      </c>
      <c r="L2109" s="21" t="n"/>
      <c r="M2109" s="22" t="n"/>
      <c r="N2109" s="22" t="n">
        <v>544</v>
      </c>
      <c r="O2109" s="22" t="n">
        <v>3459840</v>
      </c>
      <c r="P2109" s="22" t="n">
        <v>544</v>
      </c>
      <c r="Q2109" s="22" t="n">
        <v>3459840</v>
      </c>
      <c r="R2109" s="42">
        <f>+L2109+N2109-P2109</f>
        <v/>
      </c>
      <c r="S2109" s="42">
        <f>+M2109+O2109-Q2109</f>
        <v/>
      </c>
    </row>
    <row r="2110" ht="30" customHeight="1">
      <c r="A2110" s="16" t="n">
        <v>45846</v>
      </c>
      <c r="B2110" s="17" t="inlineStr">
        <is>
          <t>MH2507-09</t>
        </is>
      </c>
      <c r="C2110" s="16" t="n">
        <v>45846</v>
      </c>
      <c r="D2110" s="16" t="n">
        <v>45846</v>
      </c>
      <c r="E2110" s="17" t="inlineStr">
        <is>
          <t>00002584</t>
        </is>
      </c>
      <c r="F2110" s="16" t="inlineStr">
        <is>
          <t>XK2507-05</t>
        </is>
      </c>
      <c r="G2110" s="16" t="n">
        <v>45846</v>
      </c>
      <c r="H2110" s="17" t="inlineStr">
        <is>
          <t>CÔNG TY CỔ PHẦN CÔNG NGHIỆP VÀ THƯƠNG MẠI CƯỜNG THỊNH</t>
        </is>
      </c>
      <c r="I2110" s="17" t="inlineStr">
        <is>
          <t>Đai ốc Din 934 8 ZP M20</t>
        </is>
      </c>
      <c r="J2110" s="17" t="inlineStr">
        <is>
          <t>Cái</t>
        </is>
      </c>
      <c r="K2110" s="19" t="n">
        <v>2030</v>
      </c>
      <c r="L2110" s="21" t="n"/>
      <c r="M2110" s="22" t="n"/>
      <c r="N2110" s="22" t="n">
        <v>544</v>
      </c>
      <c r="O2110" s="22" t="n">
        <v>1104320</v>
      </c>
      <c r="P2110" s="22" t="n">
        <v>544</v>
      </c>
      <c r="Q2110" s="22" t="n">
        <v>1104320</v>
      </c>
      <c r="R2110" s="42">
        <f>+L2110+N2110-P2110</f>
        <v/>
      </c>
      <c r="S2110" s="42">
        <f>+M2110+O2110-Q2110</f>
        <v/>
      </c>
    </row>
    <row r="2111" ht="30" customHeight="1">
      <c r="A2111" s="16" t="n">
        <v>45846</v>
      </c>
      <c r="B2111" s="17" t="inlineStr">
        <is>
          <t>MH2507-09</t>
        </is>
      </c>
      <c r="C2111" s="16" t="n">
        <v>45846</v>
      </c>
      <c r="D2111" s="16" t="n">
        <v>45846</v>
      </c>
      <c r="E2111" s="17" t="inlineStr">
        <is>
          <t>00002584</t>
        </is>
      </c>
      <c r="F2111" s="16" t="inlineStr">
        <is>
          <t>XK2507-05</t>
        </is>
      </c>
      <c r="G2111" s="16" t="n">
        <v>45846</v>
      </c>
      <c r="H2111" s="17" t="inlineStr">
        <is>
          <t>CÔNG TY CỔ PHẦN CÔNG NGHIỆP VÀ THƯƠNG MẠI CƯỜNG THỊNH</t>
        </is>
      </c>
      <c r="I2111" s="17" t="inlineStr">
        <is>
          <t>Long đền thường ZP M20B35D2</t>
        </is>
      </c>
      <c r="J2111" s="17" t="inlineStr">
        <is>
          <t>Cái</t>
        </is>
      </c>
      <c r="K2111" s="19" t="n">
        <v>350</v>
      </c>
      <c r="L2111" s="21" t="n"/>
      <c r="M2111" s="22" t="n"/>
      <c r="N2111" s="22" t="n">
        <v>544</v>
      </c>
      <c r="O2111" s="22" t="n">
        <v>190400</v>
      </c>
      <c r="P2111" s="22" t="n">
        <v>544</v>
      </c>
      <c r="Q2111" s="22" t="n">
        <v>190400</v>
      </c>
      <c r="R2111" s="42">
        <f>+L2111+N2111-P2111</f>
        <v/>
      </c>
      <c r="S2111" s="42">
        <f>+M2111+O2111-Q2111</f>
        <v/>
      </c>
    </row>
    <row r="2112" ht="30" customHeight="1">
      <c r="A2112" s="16" t="n">
        <v>45846</v>
      </c>
      <c r="B2112" s="17" t="inlineStr">
        <is>
          <t>MH2507-09</t>
        </is>
      </c>
      <c r="C2112" s="16" t="n">
        <v>45846</v>
      </c>
      <c r="D2112" s="16" t="n">
        <v>45846</v>
      </c>
      <c r="E2112" s="17" t="inlineStr">
        <is>
          <t>00002584</t>
        </is>
      </c>
      <c r="F2112" s="16" t="inlineStr">
        <is>
          <t>XK2507-05</t>
        </is>
      </c>
      <c r="G2112" s="16" t="n">
        <v>45846</v>
      </c>
      <c r="H2112" s="17" t="inlineStr">
        <is>
          <t>CÔNG TY CỔ PHẦN CÔNG NGHIỆP VÀ THƯƠNG MẠI CƯỜNG THỊNH</t>
        </is>
      </c>
      <c r="I2112" s="17" t="inlineStr">
        <is>
          <t>Bulong Din 933 8.8 ZP M24x70</t>
        </is>
      </c>
      <c r="J2112" s="17" t="inlineStr">
        <is>
          <t>Cái</t>
        </is>
      </c>
      <c r="K2112" s="19" t="n">
        <v>11010</v>
      </c>
      <c r="L2112" s="21" t="n"/>
      <c r="M2112" s="22" t="n"/>
      <c r="N2112" s="22" t="n">
        <v>482</v>
      </c>
      <c r="O2112" s="22" t="n">
        <v>5306820</v>
      </c>
      <c r="P2112" s="22" t="n">
        <v>482</v>
      </c>
      <c r="Q2112" s="22" t="n">
        <v>5306820</v>
      </c>
      <c r="R2112" s="42">
        <f>+L2112+N2112-P2112</f>
        <v/>
      </c>
      <c r="S2112" s="42">
        <f>+M2112+O2112-Q2112</f>
        <v/>
      </c>
    </row>
    <row r="2113" ht="30" customHeight="1">
      <c r="A2113" s="16" t="n">
        <v>45846</v>
      </c>
      <c r="B2113" s="17" t="inlineStr">
        <is>
          <t>MH2507-09</t>
        </is>
      </c>
      <c r="C2113" s="16" t="n">
        <v>45846</v>
      </c>
      <c r="D2113" s="16" t="n">
        <v>45846</v>
      </c>
      <c r="E2113" s="17" t="inlineStr">
        <is>
          <t>00002584</t>
        </is>
      </c>
      <c r="F2113" s="16" t="inlineStr">
        <is>
          <t>XK2507-05</t>
        </is>
      </c>
      <c r="G2113" s="16" t="n">
        <v>45846</v>
      </c>
      <c r="H2113" s="17" t="inlineStr">
        <is>
          <t>CÔNG TY CỔ PHẦN CÔNG NGHIỆP VÀ THƯƠNG MẠI CƯỜNG THỊNH</t>
        </is>
      </c>
      <c r="I2113" s="17" t="inlineStr">
        <is>
          <t>Đai ốc Din 934 8 ZP M24</t>
        </is>
      </c>
      <c r="J2113" s="17" t="inlineStr">
        <is>
          <t>Cái</t>
        </is>
      </c>
      <c r="K2113" s="19" t="n">
        <v>3500</v>
      </c>
      <c r="L2113" s="21" t="n"/>
      <c r="M2113" s="22" t="n"/>
      <c r="N2113" s="22" t="n">
        <v>482</v>
      </c>
      <c r="O2113" s="22" t="n">
        <v>1687000</v>
      </c>
      <c r="P2113" s="22" t="n">
        <v>482</v>
      </c>
      <c r="Q2113" s="22" t="n">
        <v>1687000</v>
      </c>
      <c r="R2113" s="42">
        <f>+L2113+N2113-P2113</f>
        <v/>
      </c>
      <c r="S2113" s="42">
        <f>+M2113+O2113-Q2113</f>
        <v/>
      </c>
    </row>
    <row r="2114" ht="30" customHeight="1">
      <c r="A2114" s="16" t="n">
        <v>45846</v>
      </c>
      <c r="B2114" s="17" t="inlineStr">
        <is>
          <t>MH2507-09</t>
        </is>
      </c>
      <c r="C2114" s="16" t="n">
        <v>45846</v>
      </c>
      <c r="D2114" s="16" t="n">
        <v>45846</v>
      </c>
      <c r="E2114" s="17" t="inlineStr">
        <is>
          <t>00002584</t>
        </is>
      </c>
      <c r="F2114" s="16" t="inlineStr">
        <is>
          <t>XK2507-05</t>
        </is>
      </c>
      <c r="G2114" s="16" t="n">
        <v>45846</v>
      </c>
      <c r="H2114" s="17" t="inlineStr">
        <is>
          <t>CÔNG TY CỔ PHẦN CÔNG NGHIỆP VÀ THƯƠNG MẠI CƯỜNG THỊNH</t>
        </is>
      </c>
      <c r="I2114" s="17" t="inlineStr">
        <is>
          <t>Long đền thường ZP M24B40-42D2</t>
        </is>
      </c>
      <c r="J2114" s="17" t="inlineStr">
        <is>
          <t>Cái</t>
        </is>
      </c>
      <c r="K2114" s="19" t="n">
        <v>710</v>
      </c>
      <c r="L2114" s="21" t="n"/>
      <c r="M2114" s="22" t="n"/>
      <c r="N2114" s="22" t="n">
        <v>482</v>
      </c>
      <c r="O2114" s="22" t="n">
        <v>342220</v>
      </c>
      <c r="P2114" s="22" t="n">
        <v>482</v>
      </c>
      <c r="Q2114" s="22" t="n">
        <v>342220</v>
      </c>
      <c r="R2114" s="42">
        <f>+L2114+N2114-P2114</f>
        <v/>
      </c>
      <c r="S2114" s="42">
        <f>+M2114+O2114-Q2114</f>
        <v/>
      </c>
    </row>
    <row r="2115" ht="30" customHeight="1">
      <c r="A2115" s="16" t="n">
        <v>45846</v>
      </c>
      <c r="B2115" s="17" t="inlineStr">
        <is>
          <t>MH2507-09</t>
        </is>
      </c>
      <c r="C2115" s="16" t="n">
        <v>45846</v>
      </c>
      <c r="D2115" s="16" t="n">
        <v>45846</v>
      </c>
      <c r="E2115" s="17" t="inlineStr">
        <is>
          <t>00002584</t>
        </is>
      </c>
      <c r="F2115" s="16" t="inlineStr">
        <is>
          <t>XK2507-05</t>
        </is>
      </c>
      <c r="G2115" s="16" t="n">
        <v>45846</v>
      </c>
      <c r="H2115" s="17" t="inlineStr">
        <is>
          <t>CÔNG TY CỔ PHẦN CÔNG NGHIỆP VÀ THƯƠNG MẠI CƯỜNG THỊNH</t>
        </is>
      </c>
      <c r="I2115" s="17" t="inlineStr">
        <is>
          <t>Bulong nở 5.6 ZP M12x100</t>
        </is>
      </c>
      <c r="J2115" s="17" t="inlineStr">
        <is>
          <t>Cái</t>
        </is>
      </c>
      <c r="K2115" s="19" t="n">
        <v>8380</v>
      </c>
      <c r="L2115" s="21" t="n"/>
      <c r="M2115" s="22" t="n"/>
      <c r="N2115" s="22" t="n">
        <v>33</v>
      </c>
      <c r="O2115" s="22" t="n">
        <v>276540</v>
      </c>
      <c r="P2115" s="22" t="n">
        <v>33</v>
      </c>
      <c r="Q2115" s="22" t="n">
        <v>276540</v>
      </c>
      <c r="R2115" s="42">
        <f>+L2115+N2115-P2115</f>
        <v/>
      </c>
      <c r="S2115" s="42">
        <f>+M2115+O2115-Q2115</f>
        <v/>
      </c>
    </row>
    <row r="2116" ht="30" customHeight="1">
      <c r="A2116" s="16" t="n">
        <v>45846</v>
      </c>
      <c r="B2116" s="17" t="inlineStr">
        <is>
          <t>MH2507-09</t>
        </is>
      </c>
      <c r="C2116" s="16" t="n">
        <v>45846</v>
      </c>
      <c r="D2116" s="16" t="n">
        <v>45846</v>
      </c>
      <c r="E2116" s="17" t="inlineStr">
        <is>
          <t>00002584</t>
        </is>
      </c>
      <c r="F2116" s="16" t="inlineStr">
        <is>
          <t>XK2507-05</t>
        </is>
      </c>
      <c r="G2116" s="16" t="n">
        <v>45846</v>
      </c>
      <c r="H2116" s="17" t="inlineStr">
        <is>
          <t>CÔNG TY CỔ PHẦN CÔNG NGHIỆP VÀ THƯƠNG MẠI CƯỜNG THỊNH</t>
        </is>
      </c>
      <c r="I2116" s="17" t="inlineStr">
        <is>
          <t>Bulong nở 5.6 ZP M16x180</t>
        </is>
      </c>
      <c r="J2116" s="17" t="inlineStr">
        <is>
          <t>Bộ</t>
        </is>
      </c>
      <c r="K2116" s="19" t="n">
        <v>30000</v>
      </c>
      <c r="L2116" s="21" t="n"/>
      <c r="M2116" s="22" t="n"/>
      <c r="N2116" s="22" t="n">
        <v>68</v>
      </c>
      <c r="O2116" s="22" t="n">
        <v>2040000</v>
      </c>
      <c r="P2116" s="22" t="n">
        <v>68</v>
      </c>
      <c r="Q2116" s="22" t="n">
        <v>2040000</v>
      </c>
      <c r="R2116" s="42">
        <f>+L2116+N2116-P2116</f>
        <v/>
      </c>
      <c r="S2116" s="42">
        <f>+M2116+O2116-Q2116</f>
        <v/>
      </c>
    </row>
    <row r="2117" ht="30" customHeight="1">
      <c r="A2117" s="16" t="n">
        <v>45846</v>
      </c>
      <c r="B2117" s="17" t="inlineStr">
        <is>
          <t>MH2507-09</t>
        </is>
      </c>
      <c r="C2117" s="16" t="n">
        <v>45846</v>
      </c>
      <c r="D2117" s="16" t="n">
        <v>45846</v>
      </c>
      <c r="E2117" s="17" t="inlineStr">
        <is>
          <t>00002584</t>
        </is>
      </c>
      <c r="F2117" s="16" t="inlineStr">
        <is>
          <t>XK2507-05</t>
        </is>
      </c>
      <c r="G2117" s="16" t="n">
        <v>45846</v>
      </c>
      <c r="H2117" s="17" t="inlineStr">
        <is>
          <t>CÔNG TY CỔ PHẦN CÔNG NGHIỆP VÀ THƯƠNG MẠI CƯỜNG THỊNH</t>
        </is>
      </c>
      <c r="I2117" s="17" t="inlineStr">
        <is>
          <t>Vít B2 Dacromet 12-14x20</t>
        </is>
      </c>
      <c r="J2117" s="17" t="inlineStr">
        <is>
          <t>Cái</t>
        </is>
      </c>
      <c r="K2117" s="19" t="n">
        <v>600</v>
      </c>
      <c r="L2117" s="21" t="n"/>
      <c r="M2117" s="22" t="n"/>
      <c r="N2117" s="22" t="n">
        <v>800</v>
      </c>
      <c r="O2117" s="22" t="n">
        <v>480000</v>
      </c>
      <c r="P2117" s="22" t="n">
        <v>800</v>
      </c>
      <c r="Q2117" s="22" t="n">
        <v>480000</v>
      </c>
      <c r="R2117" s="42">
        <f>+L2117+N2117-P2117</f>
        <v/>
      </c>
      <c r="S2117" s="42">
        <f>+M2117+O2117-Q2117</f>
        <v/>
      </c>
    </row>
    <row r="2118" ht="30" customHeight="1">
      <c r="A2118" s="16" t="n">
        <v>45846</v>
      </c>
      <c r="B2118" s="17" t="inlineStr">
        <is>
          <t>MH2507-09</t>
        </is>
      </c>
      <c r="C2118" s="16" t="n">
        <v>45846</v>
      </c>
      <c r="D2118" s="16" t="n">
        <v>45846</v>
      </c>
      <c r="E2118" s="17" t="inlineStr">
        <is>
          <t>00002584</t>
        </is>
      </c>
      <c r="F2118" s="16" t="inlineStr">
        <is>
          <t>XK2507-05</t>
        </is>
      </c>
      <c r="G2118" s="16" t="n">
        <v>45846</v>
      </c>
      <c r="H2118" s="17" t="inlineStr">
        <is>
          <t>CÔNG TY CỔ PHẦN CÔNG NGHIỆP VÀ THƯƠNG MẠI CƯỜNG THỊNH</t>
        </is>
      </c>
      <c r="I2118" s="17" t="inlineStr">
        <is>
          <t>Bulong Din 933 8.8 ZP M16x40</t>
        </is>
      </c>
      <c r="J2118" s="17" t="inlineStr">
        <is>
          <t>Cái</t>
        </is>
      </c>
      <c r="K2118" s="19" t="n">
        <v>3030</v>
      </c>
      <c r="L2118" s="21" t="n"/>
      <c r="M2118" s="22" t="n"/>
      <c r="N2118" s="22" t="n">
        <v>87</v>
      </c>
      <c r="O2118" s="22" t="n">
        <v>263610</v>
      </c>
      <c r="P2118" s="22" t="n">
        <v>87</v>
      </c>
      <c r="Q2118" s="22" t="n">
        <v>263610</v>
      </c>
      <c r="R2118" s="42">
        <f>+L2118+N2118-P2118</f>
        <v/>
      </c>
      <c r="S2118" s="42">
        <f>+M2118+O2118-Q2118</f>
        <v/>
      </c>
    </row>
    <row r="2119" ht="30" customHeight="1">
      <c r="A2119" s="16" t="n">
        <v>45846</v>
      </c>
      <c r="B2119" s="17" t="inlineStr">
        <is>
          <t>MH2507-09</t>
        </is>
      </c>
      <c r="C2119" s="16" t="n">
        <v>45846</v>
      </c>
      <c r="D2119" s="16" t="n">
        <v>45846</v>
      </c>
      <c r="E2119" s="17" t="inlineStr">
        <is>
          <t>00002584</t>
        </is>
      </c>
      <c r="F2119" s="16" t="inlineStr">
        <is>
          <t>XK2507-05</t>
        </is>
      </c>
      <c r="G2119" s="16" t="n">
        <v>45846</v>
      </c>
      <c r="H2119" s="17" t="inlineStr">
        <is>
          <t>CÔNG TY CỔ PHẦN CÔNG NGHIỆP VÀ THƯƠNG MẠI CƯỜNG THỊNH</t>
        </is>
      </c>
      <c r="I2119" s="17" t="inlineStr">
        <is>
          <t>Đai ốc Din 934 8 ZP M16</t>
        </is>
      </c>
      <c r="J2119" s="17" t="inlineStr">
        <is>
          <t>Cái</t>
        </is>
      </c>
      <c r="K2119" s="19" t="n">
        <v>1090</v>
      </c>
      <c r="L2119" s="21" t="n"/>
      <c r="M2119" s="22" t="n"/>
      <c r="N2119" s="22" t="n">
        <v>87</v>
      </c>
      <c r="O2119" s="22" t="n">
        <v>94830</v>
      </c>
      <c r="P2119" s="22" t="n">
        <v>87</v>
      </c>
      <c r="Q2119" s="22" t="n">
        <v>94830</v>
      </c>
      <c r="R2119" s="42">
        <f>+L2119+N2119-P2119</f>
        <v/>
      </c>
      <c r="S2119" s="42">
        <f>+M2119+O2119-Q2119</f>
        <v/>
      </c>
    </row>
    <row r="2120" ht="30" customHeight="1">
      <c r="A2120" s="16" t="n">
        <v>45846</v>
      </c>
      <c r="B2120" s="17" t="inlineStr">
        <is>
          <t>MH2507-09</t>
        </is>
      </c>
      <c r="C2120" s="16" t="n">
        <v>45846</v>
      </c>
      <c r="D2120" s="16" t="n">
        <v>45846</v>
      </c>
      <c r="E2120" s="17" t="inlineStr">
        <is>
          <t>00002584</t>
        </is>
      </c>
      <c r="F2120" s="16" t="inlineStr">
        <is>
          <t>XK2507-05</t>
        </is>
      </c>
      <c r="G2120" s="16" t="n">
        <v>45846</v>
      </c>
      <c r="H2120" s="17" t="inlineStr">
        <is>
          <t>CÔNG TY CỔ PHẦN CÔNG NGHIỆP VÀ THƯƠNG MẠI CƯỜNG THỊNH</t>
        </is>
      </c>
      <c r="I2120" s="17" t="inlineStr">
        <is>
          <t>Long đền thường ZP M16B30D2</t>
        </is>
      </c>
      <c r="J2120" s="17" t="inlineStr">
        <is>
          <t>Cái</t>
        </is>
      </c>
      <c r="K2120" s="19" t="n">
        <v>330</v>
      </c>
      <c r="L2120" s="21" t="n"/>
      <c r="M2120" s="22" t="n"/>
      <c r="N2120" s="22" t="n">
        <v>87</v>
      </c>
      <c r="O2120" s="22" t="n">
        <v>28710</v>
      </c>
      <c r="P2120" s="22" t="n">
        <v>87</v>
      </c>
      <c r="Q2120" s="22" t="n">
        <v>28710</v>
      </c>
      <c r="R2120" s="42">
        <f>+L2120+N2120-P2120</f>
        <v/>
      </c>
      <c r="S2120" s="42">
        <f>+M2120+O2120-Q2120</f>
        <v/>
      </c>
    </row>
    <row r="2121" ht="30" customHeight="1">
      <c r="A2121" s="16" t="n">
        <v>45846</v>
      </c>
      <c r="B2121" s="17" t="inlineStr">
        <is>
          <t>MH2507-09</t>
        </is>
      </c>
      <c r="C2121" s="16" t="n">
        <v>45846</v>
      </c>
      <c r="D2121" s="16" t="n">
        <v>45846</v>
      </c>
      <c r="E2121" s="17" t="inlineStr">
        <is>
          <t>00002584</t>
        </is>
      </c>
      <c r="F2121" s="16" t="inlineStr">
        <is>
          <t>XK2507-05</t>
        </is>
      </c>
      <c r="G2121" s="16" t="n">
        <v>45846</v>
      </c>
      <c r="H2121" s="17" t="inlineStr">
        <is>
          <t>CÔNG TY CỔ PHẦN CÔNG NGHIỆP VÀ THƯƠNG MẠI CƯỜNG THỊNH</t>
        </is>
      </c>
      <c r="I2121" s="17" t="inlineStr">
        <is>
          <t>Bulong Din 933 8.8 ZP M20x70</t>
        </is>
      </c>
      <c r="J2121" s="17" t="inlineStr">
        <is>
          <t>Cái</t>
        </is>
      </c>
      <c r="K2121" s="19" t="n">
        <v>7070</v>
      </c>
      <c r="L2121" s="21" t="n"/>
      <c r="M2121" s="22" t="n"/>
      <c r="N2121" s="22" t="n">
        <v>482</v>
      </c>
      <c r="O2121" s="22" t="n">
        <v>3407740</v>
      </c>
      <c r="P2121" s="22" t="n">
        <v>482</v>
      </c>
      <c r="Q2121" s="22" t="n">
        <v>3407740</v>
      </c>
      <c r="R2121" s="42">
        <f>+L2121+N2121-P2121</f>
        <v/>
      </c>
      <c r="S2121" s="42">
        <f>+M2121+O2121-Q2121</f>
        <v/>
      </c>
    </row>
    <row r="2122" ht="30" customHeight="1">
      <c r="A2122" s="16" t="n">
        <v>45846</v>
      </c>
      <c r="B2122" s="17" t="inlineStr">
        <is>
          <t>MH2507-09</t>
        </is>
      </c>
      <c r="C2122" s="16" t="n">
        <v>45846</v>
      </c>
      <c r="D2122" s="16" t="n">
        <v>45846</v>
      </c>
      <c r="E2122" s="17" t="inlineStr">
        <is>
          <t>00002584</t>
        </is>
      </c>
      <c r="F2122" s="16" t="inlineStr">
        <is>
          <t>XK2507-05</t>
        </is>
      </c>
      <c r="G2122" s="16" t="n">
        <v>45846</v>
      </c>
      <c r="H2122" s="17" t="inlineStr">
        <is>
          <t>CÔNG TY CỔ PHẦN CÔNG NGHIỆP VÀ THƯƠNG MẠI CƯỜNG THỊNH</t>
        </is>
      </c>
      <c r="I2122" s="17" t="inlineStr">
        <is>
          <t>Đai ốc Din 934 8 ZP M20</t>
        </is>
      </c>
      <c r="J2122" s="17" t="inlineStr">
        <is>
          <t>Cái</t>
        </is>
      </c>
      <c r="K2122" s="19" t="n">
        <v>2030</v>
      </c>
      <c r="L2122" s="21" t="n"/>
      <c r="M2122" s="22" t="n"/>
      <c r="N2122" s="22" t="n">
        <v>482</v>
      </c>
      <c r="O2122" s="22" t="n">
        <v>978460</v>
      </c>
      <c r="P2122" s="22" t="n">
        <v>482</v>
      </c>
      <c r="Q2122" s="22" t="n">
        <v>978460</v>
      </c>
      <c r="R2122" s="42">
        <f>+L2122+N2122-P2122</f>
        <v/>
      </c>
      <c r="S2122" s="42">
        <f>+M2122+O2122-Q2122</f>
        <v/>
      </c>
    </row>
    <row r="2123" ht="30" customHeight="1">
      <c r="A2123" s="16" t="n">
        <v>45846</v>
      </c>
      <c r="B2123" s="17" t="inlineStr">
        <is>
          <t>MH2507-09</t>
        </is>
      </c>
      <c r="C2123" s="16" t="n">
        <v>45846</v>
      </c>
      <c r="D2123" s="16" t="n">
        <v>45846</v>
      </c>
      <c r="E2123" s="17" t="inlineStr">
        <is>
          <t>00002584</t>
        </is>
      </c>
      <c r="F2123" s="16" t="inlineStr">
        <is>
          <t>XK2507-05</t>
        </is>
      </c>
      <c r="G2123" s="16" t="n">
        <v>45846</v>
      </c>
      <c r="H2123" s="17" t="inlineStr">
        <is>
          <t>CÔNG TY CỔ PHẦN CÔNG NGHIỆP VÀ THƯƠNG MẠI CƯỜNG THỊNH</t>
        </is>
      </c>
      <c r="I2123" s="17" t="inlineStr">
        <is>
          <t>Long đền thường ZP M20B35D2</t>
        </is>
      </c>
      <c r="J2123" s="17" t="inlineStr">
        <is>
          <t>Cái</t>
        </is>
      </c>
      <c r="K2123" s="19" t="n">
        <v>350</v>
      </c>
      <c r="L2123" s="21" t="n"/>
      <c r="M2123" s="22" t="n"/>
      <c r="N2123" s="22" t="n">
        <v>482</v>
      </c>
      <c r="O2123" s="22" t="n">
        <v>168700</v>
      </c>
      <c r="P2123" s="22" t="n">
        <v>482</v>
      </c>
      <c r="Q2123" s="22" t="n">
        <v>168700</v>
      </c>
      <c r="R2123" s="42">
        <f>+L2123+N2123-P2123</f>
        <v/>
      </c>
      <c r="S2123" s="42">
        <f>+M2123+O2123-Q2123</f>
        <v/>
      </c>
    </row>
    <row r="2124" ht="30" customHeight="1">
      <c r="A2124" s="16" t="n">
        <v>45846</v>
      </c>
      <c r="B2124" s="17" t="inlineStr">
        <is>
          <t>MH2507-09</t>
        </is>
      </c>
      <c r="C2124" s="16" t="n">
        <v>45846</v>
      </c>
      <c r="D2124" s="16" t="n">
        <v>45846</v>
      </c>
      <c r="E2124" s="17" t="inlineStr">
        <is>
          <t>00002584</t>
        </is>
      </c>
      <c r="F2124" s="16" t="inlineStr">
        <is>
          <t>XK2507-05</t>
        </is>
      </c>
      <c r="G2124" s="16" t="n">
        <v>45846</v>
      </c>
      <c r="H2124" s="17" t="inlineStr">
        <is>
          <t>CÔNG TY CỔ PHẦN CÔNG NGHIỆP VÀ THƯƠNG MẠI CƯỜNG THỊNH</t>
        </is>
      </c>
      <c r="I2124" s="17" t="inlineStr">
        <is>
          <t>Bulong Din 933 8.8 ZP M20x50</t>
        </is>
      </c>
      <c r="J2124" s="17" t="inlineStr">
        <is>
          <t>Cái</t>
        </is>
      </c>
      <c r="K2124" s="19" t="n">
        <v>5760</v>
      </c>
      <c r="L2124" s="21" t="n"/>
      <c r="M2124" s="22" t="n"/>
      <c r="N2124" s="22" t="n">
        <v>629</v>
      </c>
      <c r="O2124" s="22" t="n">
        <v>3623040</v>
      </c>
      <c r="P2124" s="22" t="n">
        <v>629</v>
      </c>
      <c r="Q2124" s="22" t="n">
        <v>3623040</v>
      </c>
      <c r="R2124" s="42">
        <f>+L2124+N2124-P2124</f>
        <v/>
      </c>
      <c r="S2124" s="42">
        <f>+M2124+O2124-Q2124</f>
        <v/>
      </c>
    </row>
    <row r="2125" ht="30" customHeight="1">
      <c r="A2125" s="16" t="n">
        <v>45846</v>
      </c>
      <c r="B2125" s="17" t="inlineStr">
        <is>
          <t>MH2507-09</t>
        </is>
      </c>
      <c r="C2125" s="16" t="n">
        <v>45846</v>
      </c>
      <c r="D2125" s="16" t="n">
        <v>45846</v>
      </c>
      <c r="E2125" s="17" t="inlineStr">
        <is>
          <t>00002584</t>
        </is>
      </c>
      <c r="F2125" s="16" t="inlineStr">
        <is>
          <t>XK2507-05</t>
        </is>
      </c>
      <c r="G2125" s="16" t="n">
        <v>45846</v>
      </c>
      <c r="H2125" s="17" t="inlineStr">
        <is>
          <t>CÔNG TY CỔ PHẦN CÔNG NGHIỆP VÀ THƯƠNG MẠI CƯỜNG THỊNH</t>
        </is>
      </c>
      <c r="I2125" s="17" t="inlineStr">
        <is>
          <t>Đai ốc Din 934 8 ZP M20</t>
        </is>
      </c>
      <c r="J2125" s="17" t="inlineStr">
        <is>
          <t>Cái</t>
        </is>
      </c>
      <c r="K2125" s="19" t="n">
        <v>2030</v>
      </c>
      <c r="L2125" s="21" t="n"/>
      <c r="M2125" s="22" t="n"/>
      <c r="N2125" s="22" t="n">
        <v>629</v>
      </c>
      <c r="O2125" s="22" t="n">
        <v>1276870</v>
      </c>
      <c r="P2125" s="22" t="n">
        <v>629</v>
      </c>
      <c r="Q2125" s="22" t="n">
        <v>1276870</v>
      </c>
      <c r="R2125" s="42">
        <f>+L2125+N2125-P2125</f>
        <v/>
      </c>
      <c r="S2125" s="42">
        <f>+M2125+O2125-Q2125</f>
        <v/>
      </c>
    </row>
    <row r="2126" ht="30" customHeight="1">
      <c r="A2126" s="16" t="n">
        <v>45846</v>
      </c>
      <c r="B2126" s="17" t="inlineStr">
        <is>
          <t>MH2507-09</t>
        </is>
      </c>
      <c r="C2126" s="16" t="n">
        <v>45846</v>
      </c>
      <c r="D2126" s="16" t="n">
        <v>45846</v>
      </c>
      <c r="E2126" s="17" t="inlineStr">
        <is>
          <t>00002584</t>
        </is>
      </c>
      <c r="F2126" s="16" t="inlineStr">
        <is>
          <t>XK2507-05</t>
        </is>
      </c>
      <c r="G2126" s="16" t="n">
        <v>45846</v>
      </c>
      <c r="H2126" s="17" t="inlineStr">
        <is>
          <t>CÔNG TY CỔ PHẦN CÔNG NGHIỆP VÀ THƯƠNG MẠI CƯỜNG THỊNH</t>
        </is>
      </c>
      <c r="I2126" s="17" t="inlineStr">
        <is>
          <t>Long đền thường ZP M20B35D2</t>
        </is>
      </c>
      <c r="J2126" s="17" t="inlineStr">
        <is>
          <t>Cái</t>
        </is>
      </c>
      <c r="K2126" s="19" t="n">
        <v>350</v>
      </c>
      <c r="L2126" s="21" t="n"/>
      <c r="M2126" s="22" t="n"/>
      <c r="N2126" s="22" t="n">
        <v>629</v>
      </c>
      <c r="O2126" s="22" t="n">
        <v>220150</v>
      </c>
      <c r="P2126" s="22" t="n">
        <v>629</v>
      </c>
      <c r="Q2126" s="22" t="n">
        <v>220150</v>
      </c>
      <c r="R2126" s="42">
        <f>+L2126+N2126-P2126</f>
        <v/>
      </c>
      <c r="S2126" s="42">
        <f>+M2126+O2126-Q2126</f>
        <v/>
      </c>
    </row>
    <row r="2127" ht="30" customHeight="1">
      <c r="A2127" s="16" t="n">
        <v>45846</v>
      </c>
      <c r="B2127" s="17" t="inlineStr">
        <is>
          <t>MH2507-09</t>
        </is>
      </c>
      <c r="C2127" s="16" t="n">
        <v>45846</v>
      </c>
      <c r="D2127" s="16" t="n">
        <v>45846</v>
      </c>
      <c r="E2127" s="17" t="inlineStr">
        <is>
          <t>00002584</t>
        </is>
      </c>
      <c r="F2127" s="16" t="inlineStr">
        <is>
          <t>XK2507-05</t>
        </is>
      </c>
      <c r="G2127" s="16" t="n">
        <v>45846</v>
      </c>
      <c r="H2127" s="17" t="inlineStr">
        <is>
          <t>CÔNG TY CỔ PHẦN CÔNG NGHIỆP VÀ THƯƠNG MẠI CƯỜNG THỊNH</t>
        </is>
      </c>
      <c r="I2127" s="17" t="inlineStr">
        <is>
          <t>Bulong thường 4.6 ZP M12x40</t>
        </is>
      </c>
      <c r="J2127" s="17" t="inlineStr">
        <is>
          <t>Cái</t>
        </is>
      </c>
      <c r="K2127" s="19" t="n">
        <v>1100</v>
      </c>
      <c r="L2127" s="21" t="n"/>
      <c r="M2127" s="22" t="n"/>
      <c r="N2127" s="22" t="n">
        <v>1172</v>
      </c>
      <c r="O2127" s="22" t="n">
        <v>1289200</v>
      </c>
      <c r="P2127" s="22" t="n">
        <v>1172</v>
      </c>
      <c r="Q2127" s="22" t="n">
        <v>1289200</v>
      </c>
      <c r="R2127" s="42">
        <f>+L2127+N2127-P2127</f>
        <v/>
      </c>
      <c r="S2127" s="42">
        <f>+M2127+O2127-Q2127</f>
        <v/>
      </c>
    </row>
    <row r="2128" ht="30" customHeight="1">
      <c r="A2128" s="16" t="n">
        <v>45846</v>
      </c>
      <c r="B2128" s="17" t="inlineStr">
        <is>
          <t>MH2507-09</t>
        </is>
      </c>
      <c r="C2128" s="16" t="n">
        <v>45846</v>
      </c>
      <c r="D2128" s="16" t="n">
        <v>45846</v>
      </c>
      <c r="E2128" s="17" t="inlineStr">
        <is>
          <t>00002584</t>
        </is>
      </c>
      <c r="F2128" s="16" t="inlineStr">
        <is>
          <t>XK2507-05</t>
        </is>
      </c>
      <c r="G2128" s="16" t="n">
        <v>45846</v>
      </c>
      <c r="H2128" s="17" t="inlineStr">
        <is>
          <t>CÔNG TY CỔ PHẦN CÔNG NGHIỆP VÀ THƯƠNG MẠI CƯỜNG THỊNH</t>
        </is>
      </c>
      <c r="I2128" s="17" t="inlineStr">
        <is>
          <t>Đai ốc thường 4 ZP M12 (9mm)</t>
        </is>
      </c>
      <c r="J2128" s="17" t="inlineStr">
        <is>
          <t>Cái</t>
        </is>
      </c>
      <c r="K2128" s="19" t="n">
        <v>360</v>
      </c>
      <c r="L2128" s="21" t="n"/>
      <c r="M2128" s="22" t="n"/>
      <c r="N2128" s="22" t="n">
        <v>1172</v>
      </c>
      <c r="O2128" s="22" t="n">
        <v>421920</v>
      </c>
      <c r="P2128" s="22" t="n">
        <v>1172</v>
      </c>
      <c r="Q2128" s="22" t="n">
        <v>421920</v>
      </c>
      <c r="R2128" s="42">
        <f>+L2128+N2128-P2128</f>
        <v/>
      </c>
      <c r="S2128" s="42">
        <f>+M2128+O2128-Q2128</f>
        <v/>
      </c>
    </row>
    <row r="2129" ht="30" customHeight="1">
      <c r="A2129" s="16" t="n">
        <v>45846</v>
      </c>
      <c r="B2129" s="17" t="inlineStr">
        <is>
          <t>MH2507-09</t>
        </is>
      </c>
      <c r="C2129" s="16" t="n">
        <v>45846</v>
      </c>
      <c r="D2129" s="16" t="n">
        <v>45846</v>
      </c>
      <c r="E2129" s="17" t="inlineStr">
        <is>
          <t>00002584</t>
        </is>
      </c>
      <c r="F2129" s="16" t="inlineStr">
        <is>
          <t>XK2507-05</t>
        </is>
      </c>
      <c r="G2129" s="16" t="n">
        <v>45846</v>
      </c>
      <c r="H2129" s="17" t="inlineStr">
        <is>
          <t>CÔNG TY CỔ PHẦN CÔNG NGHIỆP VÀ THƯƠNG MẠI CƯỜNG THỊNH</t>
        </is>
      </c>
      <c r="I2129" s="17" t="inlineStr">
        <is>
          <t>Long đền thường ZP M12B23D1</t>
        </is>
      </c>
      <c r="J2129" s="17" t="inlineStr">
        <is>
          <t>Cái</t>
        </is>
      </c>
      <c r="K2129" s="19" t="n">
        <v>100</v>
      </c>
      <c r="L2129" s="21" t="n"/>
      <c r="M2129" s="22" t="n"/>
      <c r="N2129" s="22" t="n">
        <v>2344</v>
      </c>
      <c r="O2129" s="22" t="n">
        <v>234400</v>
      </c>
      <c r="P2129" s="22" t="n">
        <v>2344</v>
      </c>
      <c r="Q2129" s="22" t="n">
        <v>234400</v>
      </c>
      <c r="R2129" s="42">
        <f>+L2129+N2129-P2129</f>
        <v/>
      </c>
      <c r="S2129" s="42">
        <f>+M2129+O2129-Q2129</f>
        <v/>
      </c>
    </row>
    <row r="2130" ht="30" customHeight="1">
      <c r="A2130" s="16" t="n">
        <v>45846</v>
      </c>
      <c r="B2130" s="17" t="inlineStr">
        <is>
          <t>MH2507-09</t>
        </is>
      </c>
      <c r="C2130" s="16" t="n">
        <v>45846</v>
      </c>
      <c r="D2130" s="16" t="n">
        <v>45846</v>
      </c>
      <c r="E2130" s="17" t="inlineStr">
        <is>
          <t>00002584</t>
        </is>
      </c>
      <c r="F2130" s="16" t="inlineStr">
        <is>
          <t>XK2507-05</t>
        </is>
      </c>
      <c r="G2130" s="16" t="n">
        <v>45846</v>
      </c>
      <c r="H2130" s="17" t="inlineStr">
        <is>
          <t>CÔNG TY CỔ PHẦN CÔNG NGHIỆP VÀ THƯƠNG MẠI CƯỜNG THỊNH</t>
        </is>
      </c>
      <c r="I2130" s="17" t="inlineStr">
        <is>
          <t>Vít B2 Dacromet 10-24x22 WAF (bake)</t>
        </is>
      </c>
      <c r="J2130" s="17" t="inlineStr">
        <is>
          <t>Cái</t>
        </is>
      </c>
      <c r="K2130" s="19" t="n">
        <v>380</v>
      </c>
      <c r="L2130" s="21" t="n"/>
      <c r="M2130" s="22" t="n"/>
      <c r="N2130" s="22" t="n">
        <v>1400</v>
      </c>
      <c r="O2130" s="22" t="n">
        <v>532000</v>
      </c>
      <c r="P2130" s="22" t="n">
        <v>1400</v>
      </c>
      <c r="Q2130" s="22" t="n">
        <v>532000</v>
      </c>
      <c r="R2130" s="42">
        <f>+L2130+N2130-P2130</f>
        <v/>
      </c>
      <c r="S2130" s="42">
        <f>+M2130+O2130-Q2130</f>
        <v/>
      </c>
    </row>
    <row r="2131" ht="30" customFormat="1" customHeight="1" s="41">
      <c r="A2131" s="36" t="n">
        <v>45846</v>
      </c>
      <c r="B2131" s="37" t="inlineStr">
        <is>
          <t>MH2507-10</t>
        </is>
      </c>
      <c r="C2131" s="36" t="n">
        <v>45846</v>
      </c>
      <c r="D2131" s="36" t="n">
        <v>45846</v>
      </c>
      <c r="E2131" s="37" t="inlineStr">
        <is>
          <t>00001266</t>
        </is>
      </c>
      <c r="F2131" s="16" t="inlineStr">
        <is>
          <t>XK2507-06</t>
        </is>
      </c>
      <c r="G2131" s="36" t="n">
        <v>45846</v>
      </c>
      <c r="H2131" s="37" t="inlineStr">
        <is>
          <t>CÔNG TY TNHH DỊCH VỤ - THƯƠNG MẠI THÉP THIÊN LONG</t>
        </is>
      </c>
      <c r="I2131" s="37" t="inlineStr">
        <is>
          <t>Thép phi 20</t>
        </is>
      </c>
      <c r="J2131" s="37" t="inlineStr">
        <is>
          <t>kg</t>
        </is>
      </c>
      <c r="K2131" s="38" t="n">
        <v>17727.27</v>
      </c>
      <c r="L2131" s="39" t="n"/>
      <c r="M2131" s="40" t="n"/>
      <c r="N2131" s="40" t="n">
        <v>27.72</v>
      </c>
      <c r="O2131" s="40" t="n">
        <v>491400</v>
      </c>
      <c r="P2131" s="40" t="n">
        <v>27.72</v>
      </c>
      <c r="Q2131" s="40" t="n">
        <v>491400</v>
      </c>
      <c r="R2131" s="42">
        <f>+L2131+N2131-P2131</f>
        <v/>
      </c>
      <c r="S2131" s="42">
        <f>+M2131+O2131-Q2131</f>
        <v/>
      </c>
    </row>
    <row r="2132" ht="30" customFormat="1" customHeight="1" s="41">
      <c r="A2132" s="36" t="n">
        <v>45846</v>
      </c>
      <c r="B2132" s="37" t="inlineStr">
        <is>
          <t>MH2507-10</t>
        </is>
      </c>
      <c r="C2132" s="36" t="n">
        <v>45846</v>
      </c>
      <c r="D2132" s="36" t="n">
        <v>45846</v>
      </c>
      <c r="E2132" s="37" t="inlineStr">
        <is>
          <t>00001266</t>
        </is>
      </c>
      <c r="F2132" s="16" t="inlineStr">
        <is>
          <t>XK2507-06</t>
        </is>
      </c>
      <c r="G2132" s="36" t="n">
        <v>45846</v>
      </c>
      <c r="H2132" s="37" t="inlineStr">
        <is>
          <t>CÔNG TY TNHH DỊCH VỤ - THƯƠNG MẠI THÉP THIÊN LONG</t>
        </is>
      </c>
      <c r="I2132" s="37" t="inlineStr">
        <is>
          <t>Thép hình U200</t>
        </is>
      </c>
      <c r="J2132" s="37" t="inlineStr">
        <is>
          <t>kg</t>
        </is>
      </c>
      <c r="K2132" s="38" t="n">
        <v>14545.45</v>
      </c>
      <c r="L2132" s="39" t="n"/>
      <c r="M2132" s="40" t="n"/>
      <c r="N2132" s="40" t="n">
        <v>408</v>
      </c>
      <c r="O2132" s="40" t="n">
        <v>5934544</v>
      </c>
      <c r="P2132" s="40" t="n">
        <v>408</v>
      </c>
      <c r="Q2132" s="40" t="n">
        <v>5934544</v>
      </c>
      <c r="R2132" s="42">
        <f>+L2132+N2132-P2132</f>
        <v/>
      </c>
      <c r="S2132" s="42">
        <f>+M2132+O2132-Q2132</f>
        <v/>
      </c>
    </row>
    <row r="2133" ht="30" customFormat="1" customHeight="1" s="41">
      <c r="A2133" s="36" t="n">
        <v>45846</v>
      </c>
      <c r="B2133" s="37" t="inlineStr">
        <is>
          <t>MH2507-10</t>
        </is>
      </c>
      <c r="C2133" s="36" t="n">
        <v>45846</v>
      </c>
      <c r="D2133" s="36" t="n">
        <v>45846</v>
      </c>
      <c r="E2133" s="37" t="inlineStr">
        <is>
          <t>00001266</t>
        </is>
      </c>
      <c r="F2133" s="16" t="inlineStr">
        <is>
          <t>XK2507-06</t>
        </is>
      </c>
      <c r="G2133" s="36" t="n">
        <v>45846</v>
      </c>
      <c r="H2133" s="37" t="inlineStr">
        <is>
          <t>CÔNG TY TNHH DỊCH VỤ - THƯƠNG MẠI THÉP THIÊN LONG</t>
        </is>
      </c>
      <c r="I2133" s="37" t="inlineStr">
        <is>
          <t>Thép góc V50</t>
        </is>
      </c>
      <c r="J2133" s="37" t="inlineStr">
        <is>
          <t>kg</t>
        </is>
      </c>
      <c r="K2133" s="38" t="n">
        <v>16363.63</v>
      </c>
      <c r="L2133" s="39" t="n"/>
      <c r="M2133" s="40" t="n"/>
      <c r="N2133" s="40" t="n">
        <v>36.72</v>
      </c>
      <c r="O2133" s="40" t="n">
        <v>600874</v>
      </c>
      <c r="P2133" s="40" t="n">
        <v>36.72</v>
      </c>
      <c r="Q2133" s="40" t="n">
        <v>600874</v>
      </c>
      <c r="R2133" s="42">
        <f>+L2133+N2133-P2133</f>
        <v/>
      </c>
      <c r="S2133" s="42">
        <f>+M2133+O2133-Q2133</f>
        <v/>
      </c>
    </row>
    <row r="2134" ht="30" customFormat="1" customHeight="1" s="41">
      <c r="A2134" s="36" t="n">
        <v>45846</v>
      </c>
      <c r="B2134" s="37" t="inlineStr">
        <is>
          <t>MH2507-10</t>
        </is>
      </c>
      <c r="C2134" s="36" t="n">
        <v>45846</v>
      </c>
      <c r="D2134" s="36" t="n">
        <v>45846</v>
      </c>
      <c r="E2134" s="37" t="inlineStr">
        <is>
          <t>00001266</t>
        </is>
      </c>
      <c r="F2134" s="16" t="inlineStr">
        <is>
          <t>XK2507-06</t>
        </is>
      </c>
      <c r="G2134" s="36" t="n">
        <v>45846</v>
      </c>
      <c r="H2134" s="37" t="inlineStr">
        <is>
          <t>CÔNG TY TNHH DỊCH VỤ - THƯƠNG MẠI THÉP THIÊN LONG</t>
        </is>
      </c>
      <c r="I2134" s="37" t="inlineStr">
        <is>
          <t>Thép ống đen 90</t>
        </is>
      </c>
      <c r="J2134" s="37" t="inlineStr">
        <is>
          <t>kg</t>
        </is>
      </c>
      <c r="K2134" s="38" t="n">
        <v>17000</v>
      </c>
      <c r="L2134" s="39" t="n"/>
      <c r="M2134" s="40" t="n"/>
      <c r="N2134" s="40" t="n">
        <v>49.9</v>
      </c>
      <c r="O2134" s="40" t="n">
        <v>848300</v>
      </c>
      <c r="P2134" s="40" t="n">
        <v>49.9</v>
      </c>
      <c r="Q2134" s="40" t="n">
        <v>848300</v>
      </c>
      <c r="R2134" s="42">
        <f>+L2134+N2134-P2134</f>
        <v/>
      </c>
      <c r="S2134" s="42">
        <f>+M2134+O2134-Q2134</f>
        <v/>
      </c>
    </row>
    <row r="2135" ht="30" customHeight="1">
      <c r="A2135" s="16" t="n">
        <v>45846</v>
      </c>
      <c r="B2135" s="17" t="inlineStr">
        <is>
          <t>MHDV2507-06</t>
        </is>
      </c>
      <c r="C2135" s="16" t="n">
        <v>45846</v>
      </c>
      <c r="D2135" s="16" t="n">
        <v>45846</v>
      </c>
      <c r="E2135" s="17" t="inlineStr">
        <is>
          <t>00001267</t>
        </is>
      </c>
      <c r="F2135" s="16" t="inlineStr">
        <is>
          <t>XK2507-06</t>
        </is>
      </c>
      <c r="G2135" s="16" t="n">
        <v>45846</v>
      </c>
      <c r="H2135" s="17" t="inlineStr">
        <is>
          <t>CÔNG TY TNHH DỊCH VỤ - THƯƠNG MẠI THÉP THIÊN LONG</t>
        </is>
      </c>
      <c r="I2135" s="17" t="inlineStr">
        <is>
          <t>Cước vận chuyển từ Bình Chánh giao Long Thành,Biên Hoà, Đồng Nai biển số xe 50H 85087</t>
        </is>
      </c>
      <c r="J2135" s="17" t="inlineStr">
        <is>
          <t>Chuyến</t>
        </is>
      </c>
      <c r="K2135" s="19" t="n">
        <v>2129630</v>
      </c>
      <c r="L2135" s="21" t="n"/>
      <c r="M2135" s="22" t="n"/>
      <c r="N2135" s="22" t="n">
        <v>1</v>
      </c>
      <c r="O2135" s="22" t="n">
        <v>2129630</v>
      </c>
      <c r="P2135" s="22" t="n">
        <v>1</v>
      </c>
      <c r="Q2135" s="22" t="n">
        <v>2129630</v>
      </c>
      <c r="R2135" s="42">
        <f>+L2135+N2135-P2135</f>
        <v/>
      </c>
      <c r="S2135" s="42">
        <f>+M2135+O2135-Q2135</f>
        <v/>
      </c>
    </row>
    <row r="2136" ht="30" customHeight="1">
      <c r="A2136" s="16" t="n">
        <v>45847</v>
      </c>
      <c r="B2136" s="17" t="inlineStr">
        <is>
          <t>MH2507-11</t>
        </is>
      </c>
      <c r="C2136" s="16" t="n">
        <v>45847</v>
      </c>
      <c r="D2136" s="16" t="n">
        <v>45847</v>
      </c>
      <c r="E2136" s="17" t="inlineStr">
        <is>
          <t>00002592</t>
        </is>
      </c>
      <c r="F2136" s="16" t="inlineStr">
        <is>
          <t>XK2507-07</t>
        </is>
      </c>
      <c r="G2136" s="16" t="n">
        <v>45847</v>
      </c>
      <c r="H2136" s="17" t="inlineStr">
        <is>
          <t>CÔNG TY CỔ PHẦN CÔNG NGHIỆP VÀ THƯƠNG MẠI CƯỜNG THỊNH</t>
        </is>
      </c>
      <c r="I2136" s="17" t="inlineStr">
        <is>
          <t>Ty giằng 2 đầu ren 4.6 ZP M20</t>
        </is>
      </c>
      <c r="J2136" s="17" t="inlineStr">
        <is>
          <t>Mét</t>
        </is>
      </c>
      <c r="K2136" s="19" t="n">
        <v>69000</v>
      </c>
      <c r="L2136" s="21" t="n"/>
      <c r="M2136" s="22" t="n"/>
      <c r="N2136" s="22" t="n">
        <v>746.05</v>
      </c>
      <c r="O2136" s="22" t="n">
        <v>51477450</v>
      </c>
      <c r="P2136" s="22" t="n">
        <v>746.05</v>
      </c>
      <c r="Q2136" s="22" t="n">
        <v>51477450</v>
      </c>
      <c r="R2136" s="42">
        <f>+L2136+N2136-P2136</f>
        <v/>
      </c>
      <c r="S2136" s="42">
        <f>+M2136+O2136-Q2136</f>
        <v/>
      </c>
    </row>
    <row r="2137" ht="30" customHeight="1">
      <c r="A2137" s="16" t="n">
        <v>45847</v>
      </c>
      <c r="B2137" s="17" t="inlineStr">
        <is>
          <t>MH2507-11</t>
        </is>
      </c>
      <c r="C2137" s="16" t="n">
        <v>45847</v>
      </c>
      <c r="D2137" s="16" t="n">
        <v>45847</v>
      </c>
      <c r="E2137" s="17" t="inlineStr">
        <is>
          <t>00002592</t>
        </is>
      </c>
      <c r="F2137" s="16" t="inlineStr">
        <is>
          <t>XK2507-07</t>
        </is>
      </c>
      <c r="G2137" s="16" t="n">
        <v>45847</v>
      </c>
      <c r="H2137" s="17" t="inlineStr">
        <is>
          <t>CÔNG TY CỔ PHẦN CÔNG NGHIỆP VÀ THƯƠNG MẠI CƯỜNG THỊNH</t>
        </is>
      </c>
      <c r="I2137" s="17" t="inlineStr">
        <is>
          <t>Đai ốc Din 934 5 ZP M20</t>
        </is>
      </c>
      <c r="J2137" s="17" t="inlineStr">
        <is>
          <t>Cái</t>
        </is>
      </c>
      <c r="K2137" s="19" t="n">
        <v>1850</v>
      </c>
      <c r="L2137" s="21" t="n"/>
      <c r="M2137" s="22" t="n"/>
      <c r="N2137" s="22" t="n">
        <v>184</v>
      </c>
      <c r="O2137" s="22" t="n">
        <v>340400</v>
      </c>
      <c r="P2137" s="22" t="n">
        <v>184</v>
      </c>
      <c r="Q2137" s="22" t="n">
        <v>340400</v>
      </c>
      <c r="R2137" s="42">
        <f>+L2137+N2137-P2137</f>
        <v/>
      </c>
      <c r="S2137" s="42">
        <f>+M2137+O2137-Q2137</f>
        <v/>
      </c>
    </row>
    <row r="2138" ht="30" customHeight="1">
      <c r="A2138" s="16" t="n">
        <v>45847</v>
      </c>
      <c r="B2138" s="17" t="inlineStr">
        <is>
          <t>MH2507-11</t>
        </is>
      </c>
      <c r="C2138" s="16" t="n">
        <v>45847</v>
      </c>
      <c r="D2138" s="16" t="n">
        <v>45847</v>
      </c>
      <c r="E2138" s="17" t="inlineStr">
        <is>
          <t>00002592</t>
        </is>
      </c>
      <c r="F2138" s="16" t="inlineStr">
        <is>
          <t>XK2507-07</t>
        </is>
      </c>
      <c r="G2138" s="16" t="n">
        <v>45847</v>
      </c>
      <c r="H2138" s="17" t="inlineStr">
        <is>
          <t>CÔNG TY CỔ PHẦN CÔNG NGHIỆP VÀ THƯƠNG MẠI CƯỜNG THỊNH</t>
        </is>
      </c>
      <c r="I2138" s="17" t="inlineStr">
        <is>
          <t>Long đền thường ZP M20B42D2</t>
        </is>
      </c>
      <c r="J2138" s="17" t="inlineStr">
        <is>
          <t>Cái</t>
        </is>
      </c>
      <c r="K2138" s="19" t="n">
        <v>700</v>
      </c>
      <c r="L2138" s="21" t="n"/>
      <c r="M2138" s="22" t="n"/>
      <c r="N2138" s="22" t="n">
        <v>184</v>
      </c>
      <c r="O2138" s="22" t="n">
        <v>128800</v>
      </c>
      <c r="P2138" s="22" t="n">
        <v>184</v>
      </c>
      <c r="Q2138" s="22" t="n">
        <v>128800</v>
      </c>
      <c r="R2138" s="42">
        <f>+L2138+N2138-P2138</f>
        <v/>
      </c>
      <c r="S2138" s="42">
        <f>+M2138+O2138-Q2138</f>
        <v/>
      </c>
    </row>
    <row r="2139" ht="30" customHeight="1">
      <c r="A2139" s="16" t="n">
        <v>45847</v>
      </c>
      <c r="B2139" s="17" t="inlineStr">
        <is>
          <t>MH2507-11</t>
        </is>
      </c>
      <c r="C2139" s="16" t="n">
        <v>45847</v>
      </c>
      <c r="D2139" s="16" t="n">
        <v>45847</v>
      </c>
      <c r="E2139" s="17" t="inlineStr">
        <is>
          <t>00002592</t>
        </is>
      </c>
      <c r="F2139" s="16" t="inlineStr">
        <is>
          <t>XK2507-07</t>
        </is>
      </c>
      <c r="G2139" s="16" t="n">
        <v>45847</v>
      </c>
      <c r="H2139" s="17" t="inlineStr">
        <is>
          <t>CÔNG TY CỔ PHẦN CÔNG NGHIỆP VÀ THƯƠNG MẠI CƯỜNG THỊNH</t>
        </is>
      </c>
      <c r="I2139" s="17" t="inlineStr">
        <is>
          <t>Long đền móng ngựa ZP M20</t>
        </is>
      </c>
      <c r="J2139" s="17" t="inlineStr">
        <is>
          <t>Cái</t>
        </is>
      </c>
      <c r="K2139" s="19" t="n">
        <v>15590</v>
      </c>
      <c r="L2139" s="21" t="n"/>
      <c r="M2139" s="22" t="n"/>
      <c r="N2139" s="22" t="n">
        <v>184</v>
      </c>
      <c r="O2139" s="22" t="n">
        <v>2868560</v>
      </c>
      <c r="P2139" s="22" t="n">
        <v>184</v>
      </c>
      <c r="Q2139" s="22" t="n">
        <v>2868560</v>
      </c>
      <c r="R2139" s="42">
        <f>+L2139+N2139-P2139</f>
        <v/>
      </c>
      <c r="S2139" s="42">
        <f>+M2139+O2139-Q2139</f>
        <v/>
      </c>
    </row>
    <row r="2140" ht="30" customHeight="1">
      <c r="A2140" s="16" t="n">
        <v>45847</v>
      </c>
      <c r="B2140" s="17" t="inlineStr">
        <is>
          <t>MH2507-11</t>
        </is>
      </c>
      <c r="C2140" s="16" t="n">
        <v>45847</v>
      </c>
      <c r="D2140" s="16" t="n">
        <v>45847</v>
      </c>
      <c r="E2140" s="17" t="inlineStr">
        <is>
          <t>00002592</t>
        </is>
      </c>
      <c r="F2140" s="16" t="inlineStr">
        <is>
          <t>XK2507-07</t>
        </is>
      </c>
      <c r="G2140" s="16" t="n">
        <v>45847</v>
      </c>
      <c r="H2140" s="17" t="inlineStr">
        <is>
          <t>CÔNG TY CỔ PHẦN CÔNG NGHIỆP VÀ THƯƠNG MẠI CƯỜNG THỊNH</t>
        </is>
      </c>
      <c r="I2140" s="17" t="inlineStr">
        <is>
          <t>Nối Ty ZP M20x100(28mm)</t>
        </is>
      </c>
      <c r="J2140" s="17" t="inlineStr">
        <is>
          <t>Cái</t>
        </is>
      </c>
      <c r="K2140" s="19" t="n">
        <v>24470</v>
      </c>
      <c r="L2140" s="21" t="n"/>
      <c r="M2140" s="22" t="n"/>
      <c r="N2140" s="22" t="n">
        <v>92</v>
      </c>
      <c r="O2140" s="22" t="n">
        <v>2251240</v>
      </c>
      <c r="P2140" s="22" t="n">
        <v>92</v>
      </c>
      <c r="Q2140" s="22" t="n">
        <v>2251240</v>
      </c>
      <c r="R2140" s="42">
        <f>+L2140+N2140-P2140</f>
        <v/>
      </c>
      <c r="S2140" s="42">
        <f>+M2140+O2140-Q2140</f>
        <v/>
      </c>
    </row>
    <row r="2141" ht="30" customHeight="1">
      <c r="A2141" s="16" t="n">
        <v>45847</v>
      </c>
      <c r="B2141" s="17" t="inlineStr">
        <is>
          <t>MH2507-11</t>
        </is>
      </c>
      <c r="C2141" s="16" t="n">
        <v>45847</v>
      </c>
      <c r="D2141" s="16" t="n">
        <v>45847</v>
      </c>
      <c r="E2141" s="17" t="inlineStr">
        <is>
          <t>00002592</t>
        </is>
      </c>
      <c r="F2141" s="16" t="inlineStr">
        <is>
          <t>XK2507-07</t>
        </is>
      </c>
      <c r="G2141" s="16" t="n">
        <v>45847</v>
      </c>
      <c r="H2141" s="17" t="inlineStr">
        <is>
          <t>CÔNG TY CỔ PHẦN CÔNG NGHIỆP VÀ THƯƠNG MẠI CƯỜNG THỊNH</t>
        </is>
      </c>
      <c r="I2141" s="17" t="inlineStr">
        <is>
          <t>Ty giằng 2 đầu ren 4.6 Ф11.3-11.5mm ZP M12</t>
        </is>
      </c>
      <c r="J2141" s="17" t="inlineStr">
        <is>
          <t>Mét</t>
        </is>
      </c>
      <c r="K2141" s="19" t="n">
        <v>20500</v>
      </c>
      <c r="L2141" s="21" t="n"/>
      <c r="M2141" s="22" t="n"/>
      <c r="N2141" s="22" t="n">
        <v>1605.16</v>
      </c>
      <c r="O2141" s="22" t="n">
        <v>32905780</v>
      </c>
      <c r="P2141" s="22" t="n">
        <v>1605.16</v>
      </c>
      <c r="Q2141" s="22" t="n">
        <v>32905780</v>
      </c>
      <c r="R2141" s="42">
        <f>+L2141+N2141-P2141</f>
        <v/>
      </c>
      <c r="S2141" s="42">
        <f>+M2141+O2141-Q2141</f>
        <v/>
      </c>
    </row>
    <row r="2142" ht="30" customHeight="1">
      <c r="A2142" s="16" t="n">
        <v>45847</v>
      </c>
      <c r="B2142" s="17" t="inlineStr">
        <is>
          <t>MH2507-11</t>
        </is>
      </c>
      <c r="C2142" s="16" t="n">
        <v>45847</v>
      </c>
      <c r="D2142" s="16" t="n">
        <v>45847</v>
      </c>
      <c r="E2142" s="17" t="inlineStr">
        <is>
          <t>00002592</t>
        </is>
      </c>
      <c r="F2142" s="16" t="inlineStr">
        <is>
          <t>XK2507-07</t>
        </is>
      </c>
      <c r="G2142" s="16" t="n">
        <v>45847</v>
      </c>
      <c r="H2142" s="17" t="inlineStr">
        <is>
          <t>CÔNG TY CỔ PHẦN CÔNG NGHIỆP VÀ THƯƠNG MẠI CƯỜNG THỊNH</t>
        </is>
      </c>
      <c r="I2142" s="17" t="inlineStr">
        <is>
          <t>Đai ốc thường 4 ZP M12 (9mm)</t>
        </is>
      </c>
      <c r="J2142" s="17" t="inlineStr">
        <is>
          <t>Cái</t>
        </is>
      </c>
      <c r="K2142" s="19" t="n">
        <v>360</v>
      </c>
      <c r="L2142" s="21" t="n"/>
      <c r="M2142" s="22" t="n"/>
      <c r="N2142" s="22" t="n">
        <v>6180</v>
      </c>
      <c r="O2142" s="22" t="n">
        <v>2224800</v>
      </c>
      <c r="P2142" s="22" t="n">
        <v>6180</v>
      </c>
      <c r="Q2142" s="22" t="n">
        <v>2224800</v>
      </c>
      <c r="R2142" s="42">
        <f>+L2142+N2142-P2142</f>
        <v/>
      </c>
      <c r="S2142" s="42">
        <f>+M2142+O2142-Q2142</f>
        <v/>
      </c>
    </row>
    <row r="2143" ht="30" customHeight="1">
      <c r="A2143" s="16" t="n">
        <v>45847</v>
      </c>
      <c r="B2143" s="17" t="inlineStr">
        <is>
          <t>MH2507-11</t>
        </is>
      </c>
      <c r="C2143" s="16" t="n">
        <v>45847</v>
      </c>
      <c r="D2143" s="16" t="n">
        <v>45847</v>
      </c>
      <c r="E2143" s="17" t="inlineStr">
        <is>
          <t>00002592</t>
        </is>
      </c>
      <c r="F2143" s="16" t="inlineStr">
        <is>
          <t>XK2507-07</t>
        </is>
      </c>
      <c r="G2143" s="16" t="n">
        <v>45847</v>
      </c>
      <c r="H2143" s="17" t="inlineStr">
        <is>
          <t>CÔNG TY CỔ PHẦN CÔNG NGHIỆP VÀ THƯƠNG MẠI CƯỜNG THỊNH</t>
        </is>
      </c>
      <c r="I2143" s="17" t="inlineStr">
        <is>
          <t>Long đền thường ZP M12B26D1.5</t>
        </is>
      </c>
      <c r="J2143" s="17" t="inlineStr">
        <is>
          <t>Cái</t>
        </is>
      </c>
      <c r="K2143" s="19" t="n">
        <v>190</v>
      </c>
      <c r="L2143" s="21" t="n"/>
      <c r="M2143" s="22" t="n"/>
      <c r="N2143" s="22" t="n">
        <v>6180</v>
      </c>
      <c r="O2143" s="22" t="n">
        <v>1174200</v>
      </c>
      <c r="P2143" s="22" t="n">
        <v>6180</v>
      </c>
      <c r="Q2143" s="22" t="n">
        <v>1174200</v>
      </c>
      <c r="R2143" s="42">
        <f>+L2143+N2143-P2143</f>
        <v/>
      </c>
      <c r="S2143" s="42">
        <f>+M2143+O2143-Q2143</f>
        <v/>
      </c>
    </row>
    <row r="2144" ht="30" customHeight="1">
      <c r="A2144" s="16" t="n">
        <v>45847</v>
      </c>
      <c r="B2144" s="17" t="inlineStr">
        <is>
          <t>MH2507-11</t>
        </is>
      </c>
      <c r="C2144" s="16" t="n">
        <v>45847</v>
      </c>
      <c r="D2144" s="16" t="n">
        <v>45847</v>
      </c>
      <c r="E2144" s="17" t="inlineStr">
        <is>
          <t>00002592</t>
        </is>
      </c>
      <c r="F2144" s="16" t="inlineStr">
        <is>
          <t>XK2507-07</t>
        </is>
      </c>
      <c r="G2144" s="16" t="n">
        <v>45847</v>
      </c>
      <c r="H2144" s="17" t="inlineStr">
        <is>
          <t>CÔNG TY CỔ PHẦN CÔNG NGHIỆP VÀ THƯƠNG MẠI CƯỜNG THỊNH</t>
        </is>
      </c>
      <c r="I2144" s="17" t="inlineStr">
        <is>
          <t>Ty giằng 2 đầu ren 4.6 Ф11.3-11.5mm ZP M12</t>
        </is>
      </c>
      <c r="J2144" s="17" t="inlineStr">
        <is>
          <t>Mét</t>
        </is>
      </c>
      <c r="K2144" s="19" t="n">
        <v>22500</v>
      </c>
      <c r="L2144" s="21" t="n"/>
      <c r="M2144" s="22" t="n"/>
      <c r="N2144" s="22" t="n">
        <v>466.62</v>
      </c>
      <c r="O2144" s="22" t="n">
        <v>10498950</v>
      </c>
      <c r="P2144" s="22" t="n">
        <v>466.62</v>
      </c>
      <c r="Q2144" s="22" t="n">
        <v>10498950</v>
      </c>
      <c r="R2144" s="42">
        <f>+L2144+N2144-P2144</f>
        <v/>
      </c>
      <c r="S2144" s="42">
        <f>+M2144+O2144-Q2144</f>
        <v/>
      </c>
    </row>
    <row r="2145" ht="30" customHeight="1">
      <c r="A2145" s="16" t="n">
        <v>45847</v>
      </c>
      <c r="B2145" s="17" t="inlineStr">
        <is>
          <t>MH2507-11</t>
        </is>
      </c>
      <c r="C2145" s="16" t="n">
        <v>45847</v>
      </c>
      <c r="D2145" s="16" t="n">
        <v>45847</v>
      </c>
      <c r="E2145" s="17" t="inlineStr">
        <is>
          <t>00002592</t>
        </is>
      </c>
      <c r="F2145" s="16" t="inlineStr">
        <is>
          <t>XK2507-07</t>
        </is>
      </c>
      <c r="G2145" s="16" t="n">
        <v>45847</v>
      </c>
      <c r="H2145" s="17" t="inlineStr">
        <is>
          <t>CÔNG TY CỔ PHẦN CÔNG NGHIỆP VÀ THƯƠNG MẠI CƯỜNG THỊNH</t>
        </is>
      </c>
      <c r="I2145" s="17" t="inlineStr">
        <is>
          <t>Ty giằng 2 đầu ren 4.6 ZP M16</t>
        </is>
      </c>
      <c r="J2145" s="17" t="inlineStr">
        <is>
          <t>Mét</t>
        </is>
      </c>
      <c r="K2145" s="19" t="n">
        <v>48000</v>
      </c>
      <c r="L2145" s="21" t="n"/>
      <c r="M2145" s="22" t="n"/>
      <c r="N2145" s="22" t="n">
        <v>336.27</v>
      </c>
      <c r="O2145" s="22" t="n">
        <v>16140960</v>
      </c>
      <c r="P2145" s="22" t="n">
        <v>336.27</v>
      </c>
      <c r="Q2145" s="22" t="n">
        <v>16140960</v>
      </c>
      <c r="R2145" s="42">
        <f>+L2145+N2145-P2145</f>
        <v/>
      </c>
      <c r="S2145" s="42">
        <f>+M2145+O2145-Q2145</f>
        <v/>
      </c>
    </row>
    <row r="2146" ht="30" customHeight="1">
      <c r="A2146" s="16" t="n">
        <v>45847</v>
      </c>
      <c r="B2146" s="17" t="inlineStr">
        <is>
          <t>MH2507-11</t>
        </is>
      </c>
      <c r="C2146" s="16" t="n">
        <v>45847</v>
      </c>
      <c r="D2146" s="16" t="n">
        <v>45847</v>
      </c>
      <c r="E2146" s="17" t="inlineStr">
        <is>
          <t>00002592</t>
        </is>
      </c>
      <c r="F2146" s="16" t="inlineStr">
        <is>
          <t>XK2507-07</t>
        </is>
      </c>
      <c r="G2146" s="16" t="n">
        <v>45847</v>
      </c>
      <c r="H2146" s="17" t="inlineStr">
        <is>
          <t>CÔNG TY CỔ PHẦN CÔNG NGHIỆP VÀ THƯƠNG MẠI CƯỜNG THỊNH</t>
        </is>
      </c>
      <c r="I2146" s="17" t="inlineStr">
        <is>
          <t>Đai ốc Din 934 5 ZP M16</t>
        </is>
      </c>
      <c r="J2146" s="17" t="inlineStr">
        <is>
          <t>Cái</t>
        </is>
      </c>
      <c r="K2146" s="19" t="n">
        <v>990</v>
      </c>
      <c r="L2146" s="21" t="n"/>
      <c r="M2146" s="22" t="n"/>
      <c r="N2146" s="22" t="n">
        <v>100</v>
      </c>
      <c r="O2146" s="22" t="n">
        <v>99000</v>
      </c>
      <c r="P2146" s="22" t="n">
        <v>100</v>
      </c>
      <c r="Q2146" s="22" t="n">
        <v>99000</v>
      </c>
      <c r="R2146" s="42">
        <f>+L2146+N2146-P2146</f>
        <v/>
      </c>
      <c r="S2146" s="42">
        <f>+M2146+O2146-Q2146</f>
        <v/>
      </c>
    </row>
    <row r="2147" ht="30" customHeight="1">
      <c r="A2147" s="16" t="n">
        <v>45847</v>
      </c>
      <c r="B2147" s="17" t="inlineStr">
        <is>
          <t>MH2507-11</t>
        </is>
      </c>
      <c r="C2147" s="16" t="n">
        <v>45847</v>
      </c>
      <c r="D2147" s="16" t="n">
        <v>45847</v>
      </c>
      <c r="E2147" s="17" t="inlineStr">
        <is>
          <t>00002592</t>
        </is>
      </c>
      <c r="F2147" s="16" t="inlineStr">
        <is>
          <t>XK2507-07</t>
        </is>
      </c>
      <c r="G2147" s="16" t="n">
        <v>45847</v>
      </c>
      <c r="H2147" s="17" t="inlineStr">
        <is>
          <t>CÔNG TY CỔ PHẦN CÔNG NGHIỆP VÀ THƯƠNG MẠI CƯỜNG THỊNH</t>
        </is>
      </c>
      <c r="I2147" s="17" t="inlineStr">
        <is>
          <t>Long đền thường ZP M16B42D2</t>
        </is>
      </c>
      <c r="J2147" s="17" t="inlineStr">
        <is>
          <t>Cái</t>
        </is>
      </c>
      <c r="K2147" s="19" t="n">
        <v>700</v>
      </c>
      <c r="L2147" s="21" t="n"/>
      <c r="M2147" s="22" t="n"/>
      <c r="N2147" s="22" t="n">
        <v>100</v>
      </c>
      <c r="O2147" s="22" t="n">
        <v>70000</v>
      </c>
      <c r="P2147" s="22" t="n">
        <v>100</v>
      </c>
      <c r="Q2147" s="22" t="n">
        <v>70000</v>
      </c>
      <c r="R2147" s="42">
        <f>+L2147+N2147-P2147</f>
        <v/>
      </c>
      <c r="S2147" s="42">
        <f>+M2147+O2147-Q2147</f>
        <v/>
      </c>
    </row>
    <row r="2148" ht="30" customHeight="1">
      <c r="A2148" s="16" t="n">
        <v>45847</v>
      </c>
      <c r="B2148" s="17" t="inlineStr">
        <is>
          <t>MH2507-11</t>
        </is>
      </c>
      <c r="C2148" s="16" t="n">
        <v>45847</v>
      </c>
      <c r="D2148" s="16" t="n">
        <v>45847</v>
      </c>
      <c r="E2148" s="17" t="inlineStr">
        <is>
          <t>00002592</t>
        </is>
      </c>
      <c r="F2148" s="16" t="inlineStr">
        <is>
          <t>XK2507-07</t>
        </is>
      </c>
      <c r="G2148" s="16" t="n">
        <v>45847</v>
      </c>
      <c r="H2148" s="17" t="inlineStr">
        <is>
          <t>CÔNG TY CỔ PHẦN CÔNG NGHIỆP VÀ THƯƠNG MẠI CƯỜNG THỊNH</t>
        </is>
      </c>
      <c r="I2148" s="17" t="inlineStr">
        <is>
          <t>Long đền móng ngựa ZP M16</t>
        </is>
      </c>
      <c r="J2148" s="17" t="inlineStr">
        <is>
          <t>Cái</t>
        </is>
      </c>
      <c r="K2148" s="19" t="n">
        <v>14830</v>
      </c>
      <c r="L2148" s="21" t="n"/>
      <c r="M2148" s="22" t="n"/>
      <c r="N2148" s="22" t="n">
        <v>100</v>
      </c>
      <c r="O2148" s="22" t="n">
        <v>1483000</v>
      </c>
      <c r="P2148" s="22" t="n">
        <v>100</v>
      </c>
      <c r="Q2148" s="22" t="n">
        <v>1483000</v>
      </c>
      <c r="R2148" s="42">
        <f>+L2148+N2148-P2148</f>
        <v/>
      </c>
      <c r="S2148" s="42">
        <f>+M2148+O2148-Q2148</f>
        <v/>
      </c>
    </row>
    <row r="2149" ht="30" customHeight="1">
      <c r="A2149" s="16" t="n">
        <v>45847</v>
      </c>
      <c r="B2149" s="17" t="inlineStr">
        <is>
          <t>MH2507-11</t>
        </is>
      </c>
      <c r="C2149" s="16" t="n">
        <v>45847</v>
      </c>
      <c r="D2149" s="16" t="n">
        <v>45847</v>
      </c>
      <c r="E2149" s="17" t="inlineStr">
        <is>
          <t>00002592</t>
        </is>
      </c>
      <c r="F2149" s="16" t="inlineStr">
        <is>
          <t>XK2507-07</t>
        </is>
      </c>
      <c r="G2149" s="16" t="n">
        <v>45847</v>
      </c>
      <c r="H2149" s="17" t="inlineStr">
        <is>
          <t>CÔNG TY CỔ PHẦN CÔNG NGHIỆP VÀ THƯƠNG MẠI CƯỜNG THỊNH</t>
        </is>
      </c>
      <c r="I2149" s="17" t="inlineStr">
        <is>
          <t>Nối Ty ZP M16x100 (23mm)</t>
        </is>
      </c>
      <c r="J2149" s="17" t="inlineStr">
        <is>
          <t>Cái</t>
        </is>
      </c>
      <c r="K2149" s="19" t="n">
        <v>19960</v>
      </c>
      <c r="L2149" s="21" t="n"/>
      <c r="M2149" s="22" t="n"/>
      <c r="N2149" s="22" t="n">
        <v>40</v>
      </c>
      <c r="O2149" s="22" t="n">
        <v>798400</v>
      </c>
      <c r="P2149" s="22" t="n">
        <v>40</v>
      </c>
      <c r="Q2149" s="22" t="n">
        <v>798400</v>
      </c>
      <c r="R2149" s="42">
        <f>+L2149+N2149-P2149</f>
        <v/>
      </c>
      <c r="S2149" s="42">
        <f>+M2149+O2149-Q2149</f>
        <v/>
      </c>
    </row>
    <row r="2150" ht="30" customHeight="1">
      <c r="A2150" s="16" t="n">
        <v>45848</v>
      </c>
      <c r="B2150" s="17" t="inlineStr">
        <is>
          <t>MH2507-14</t>
        </is>
      </c>
      <c r="C2150" s="16" t="n">
        <v>45848</v>
      </c>
      <c r="D2150" s="16" t="n">
        <v>45848</v>
      </c>
      <c r="E2150" s="17" t="inlineStr">
        <is>
          <t>116</t>
        </is>
      </c>
      <c r="F2150" s="16" t="inlineStr">
        <is>
          <t>XK2507-07</t>
        </is>
      </c>
      <c r="G2150" s="16" t="n">
        <v>45848</v>
      </c>
      <c r="H2150" s="17" t="inlineStr">
        <is>
          <t>CÔNG TY TNHH THƯƠNG MẠI DỊCH VỤ SẢN XUẤT HOÀNG CƯ</t>
        </is>
      </c>
      <c r="I2150" s="17" t="inlineStr">
        <is>
          <t>Thép lá</t>
        </is>
      </c>
      <c r="J2150" s="17" t="inlineStr">
        <is>
          <t>kg</t>
        </is>
      </c>
      <c r="K2150" s="19" t="n">
        <v>11550</v>
      </c>
      <c r="L2150" s="21" t="n"/>
      <c r="M2150" s="22" t="n"/>
      <c r="N2150" s="22" t="n">
        <v>268.4</v>
      </c>
      <c r="O2150" s="22" t="n">
        <v>3100020</v>
      </c>
      <c r="P2150" s="22" t="n">
        <v>268.4</v>
      </c>
      <c r="Q2150" s="22" t="n">
        <v>3100020</v>
      </c>
      <c r="R2150" s="42">
        <f>+L2150+N2150-P2150</f>
        <v/>
      </c>
      <c r="S2150" s="42">
        <f>+M2150+O2150-Q2150</f>
        <v/>
      </c>
    </row>
    <row r="2151" ht="30" customHeight="1">
      <c r="A2151" s="16" t="n">
        <v>45848</v>
      </c>
      <c r="B2151" s="17" t="inlineStr">
        <is>
          <t>MH2507-15</t>
        </is>
      </c>
      <c r="C2151" s="16" t="n">
        <v>45848</v>
      </c>
      <c r="D2151" s="16" t="n">
        <v>45848</v>
      </c>
      <c r="E2151" s="17" t="inlineStr">
        <is>
          <t>00002627</t>
        </is>
      </c>
      <c r="F2151" s="16" t="inlineStr">
        <is>
          <t>XK2507-07</t>
        </is>
      </c>
      <c r="G2151" s="16" t="n">
        <v>45848</v>
      </c>
      <c r="H2151" s="17" t="inlineStr">
        <is>
          <t>CÔNG TY CỔ PHẦN CÔNG NGHIỆP VÀ THƯƠNG MẠI CƯỜNG THỊNH</t>
        </is>
      </c>
      <c r="I2151" s="17" t="inlineStr">
        <is>
          <t>Ty giằng 2 đầu ren 4.6 Ф11.3-11.5mm ZP M12</t>
        </is>
      </c>
      <c r="J2151" s="17" t="inlineStr">
        <is>
          <t>Mét</t>
        </is>
      </c>
      <c r="K2151" s="19" t="n">
        <v>20500</v>
      </c>
      <c r="L2151" s="21" t="n"/>
      <c r="M2151" s="22" t="n"/>
      <c r="N2151" s="22" t="n">
        <v>11.52</v>
      </c>
      <c r="O2151" s="22" t="n">
        <v>236160</v>
      </c>
      <c r="P2151" s="22" t="n">
        <v>11.52</v>
      </c>
      <c r="Q2151" s="22" t="n">
        <v>236160</v>
      </c>
      <c r="R2151" s="42">
        <f>+L2151+N2151-P2151</f>
        <v/>
      </c>
      <c r="S2151" s="42">
        <f>+M2151+O2151-Q2151</f>
        <v/>
      </c>
    </row>
    <row r="2152" ht="30" customHeight="1">
      <c r="A2152" s="16" t="n">
        <v>45848</v>
      </c>
      <c r="B2152" s="17" t="inlineStr">
        <is>
          <t>MH2507-15</t>
        </is>
      </c>
      <c r="C2152" s="16" t="n">
        <v>45848</v>
      </c>
      <c r="D2152" s="16" t="n">
        <v>45848</v>
      </c>
      <c r="E2152" s="17" t="inlineStr">
        <is>
          <t>00002627</t>
        </is>
      </c>
      <c r="F2152" s="16" t="inlineStr">
        <is>
          <t>XK2507-07</t>
        </is>
      </c>
      <c r="G2152" s="16" t="n">
        <v>45848</v>
      </c>
      <c r="H2152" s="17" t="inlineStr">
        <is>
          <t>CÔNG TY CỔ PHẦN CÔNG NGHIỆP VÀ THƯƠNG MẠI CƯỜNG THỊNH</t>
        </is>
      </c>
      <c r="I2152" s="17" t="inlineStr">
        <is>
          <t>Đai ốc thường 4 ZP M12 (9mm)</t>
        </is>
      </c>
      <c r="J2152" s="17" t="inlineStr">
        <is>
          <t>Cái</t>
        </is>
      </c>
      <c r="K2152" s="19" t="n">
        <v>360</v>
      </c>
      <c r="L2152" s="21" t="n"/>
      <c r="M2152" s="22" t="n"/>
      <c r="N2152" s="22" t="n">
        <v>64</v>
      </c>
      <c r="O2152" s="22" t="n">
        <v>23040</v>
      </c>
      <c r="P2152" s="22" t="n">
        <v>64</v>
      </c>
      <c r="Q2152" s="22" t="n">
        <v>23040</v>
      </c>
      <c r="R2152" s="42">
        <f>+L2152+N2152-P2152</f>
        <v/>
      </c>
      <c r="S2152" s="42">
        <f>+M2152+O2152-Q2152</f>
        <v/>
      </c>
    </row>
    <row r="2153" ht="30" customHeight="1">
      <c r="A2153" s="16" t="n">
        <v>45848</v>
      </c>
      <c r="B2153" s="17" t="inlineStr">
        <is>
          <t>MH2507-15</t>
        </is>
      </c>
      <c r="C2153" s="16" t="n">
        <v>45848</v>
      </c>
      <c r="D2153" s="16" t="n">
        <v>45848</v>
      </c>
      <c r="E2153" s="17" t="inlineStr">
        <is>
          <t>00002627</t>
        </is>
      </c>
      <c r="F2153" s="16" t="inlineStr">
        <is>
          <t>XK2507-07</t>
        </is>
      </c>
      <c r="G2153" s="16" t="n">
        <v>45848</v>
      </c>
      <c r="H2153" s="17" t="inlineStr">
        <is>
          <t>CÔNG TY CỔ PHẦN CÔNG NGHIỆP VÀ THƯƠNG MẠI CƯỜNG THỊNH</t>
        </is>
      </c>
      <c r="I2153" s="17" t="inlineStr">
        <is>
          <t>Long đền thường ZP M12B26D1.5</t>
        </is>
      </c>
      <c r="J2153" s="17" t="inlineStr">
        <is>
          <t>Cái</t>
        </is>
      </c>
      <c r="K2153" s="19" t="n">
        <v>190</v>
      </c>
      <c r="L2153" s="21" t="n"/>
      <c r="M2153" s="22" t="n"/>
      <c r="N2153" s="22" t="n">
        <v>64</v>
      </c>
      <c r="O2153" s="22" t="n">
        <v>12160</v>
      </c>
      <c r="P2153" s="22" t="n">
        <v>64</v>
      </c>
      <c r="Q2153" s="22" t="n">
        <v>12160</v>
      </c>
      <c r="R2153" s="42">
        <f>+L2153+N2153-P2153</f>
        <v/>
      </c>
      <c r="S2153" s="42">
        <f>+M2153+O2153-Q2153</f>
        <v/>
      </c>
    </row>
    <row r="2154" ht="30" customHeight="1">
      <c r="A2154" s="16" t="n">
        <v>45848</v>
      </c>
      <c r="B2154" s="17" t="inlineStr">
        <is>
          <t>MH2507-15</t>
        </is>
      </c>
      <c r="C2154" s="16" t="n">
        <v>45848</v>
      </c>
      <c r="D2154" s="16" t="n">
        <v>45848</v>
      </c>
      <c r="E2154" s="17" t="inlineStr">
        <is>
          <t>00002627</t>
        </is>
      </c>
      <c r="F2154" s="16" t="inlineStr">
        <is>
          <t>XK2507-07</t>
        </is>
      </c>
      <c r="G2154" s="16" t="n">
        <v>45848</v>
      </c>
      <c r="H2154" s="17" t="inlineStr">
        <is>
          <t>CÔNG TY CỔ PHẦN CÔNG NGHIỆP VÀ THƯƠNG MẠI CƯỜNG THỊNH</t>
        </is>
      </c>
      <c r="I2154" s="17" t="inlineStr">
        <is>
          <t>Ty giằng 2 đầu ren 4.6 Ф11.3-11.5mm ZP M12</t>
        </is>
      </c>
      <c r="J2154" s="17" t="inlineStr">
        <is>
          <t>Mét</t>
        </is>
      </c>
      <c r="K2154" s="19" t="n">
        <v>22500</v>
      </c>
      <c r="L2154" s="21" t="n"/>
      <c r="M2154" s="22" t="n"/>
      <c r="N2154" s="22" t="n">
        <v>14.04</v>
      </c>
      <c r="O2154" s="22" t="n">
        <v>315900</v>
      </c>
      <c r="P2154" s="22" t="n">
        <v>14.04</v>
      </c>
      <c r="Q2154" s="22" t="n">
        <v>315900</v>
      </c>
      <c r="R2154" s="42">
        <f>+L2154+N2154-P2154</f>
        <v/>
      </c>
      <c r="S2154" s="42">
        <f>+M2154+O2154-Q2154</f>
        <v/>
      </c>
    </row>
    <row r="2155" ht="30" customHeight="1">
      <c r="A2155" s="16" t="n">
        <v>45848</v>
      </c>
      <c r="B2155" s="17" t="inlineStr">
        <is>
          <t>MH2507-15</t>
        </is>
      </c>
      <c r="C2155" s="16" t="n">
        <v>45848</v>
      </c>
      <c r="D2155" s="16" t="n">
        <v>45848</v>
      </c>
      <c r="E2155" s="17" t="inlineStr">
        <is>
          <t>00002627</t>
        </is>
      </c>
      <c r="F2155" s="16" t="inlineStr">
        <is>
          <t>XK2507-07</t>
        </is>
      </c>
      <c r="G2155" s="16" t="n">
        <v>45848</v>
      </c>
      <c r="H2155" s="17" t="inlineStr">
        <is>
          <t>CÔNG TY CỔ PHẦN CÔNG NGHIỆP VÀ THƯƠNG MẠI CƯỜNG THỊNH</t>
        </is>
      </c>
      <c r="I2155" s="17" t="inlineStr">
        <is>
          <t>Ty giằng 2 đầu ren 4.6 ZP M16</t>
        </is>
      </c>
      <c r="J2155" s="17" t="inlineStr">
        <is>
          <t>Mét</t>
        </is>
      </c>
      <c r="K2155" s="19" t="n">
        <v>48000</v>
      </c>
      <c r="L2155" s="21" t="n"/>
      <c r="M2155" s="22" t="n"/>
      <c r="N2155" s="22" t="n">
        <v>27.46</v>
      </c>
      <c r="O2155" s="22" t="n">
        <v>1318080</v>
      </c>
      <c r="P2155" s="22" t="n">
        <v>27.46</v>
      </c>
      <c r="Q2155" s="22" t="n">
        <v>1318080</v>
      </c>
      <c r="R2155" s="42">
        <f>+L2155+N2155-P2155</f>
        <v/>
      </c>
      <c r="S2155" s="42">
        <f>+M2155+O2155-Q2155</f>
        <v/>
      </c>
    </row>
    <row r="2156" ht="30" customHeight="1">
      <c r="A2156" s="16" t="n">
        <v>45848</v>
      </c>
      <c r="B2156" s="17" t="inlineStr">
        <is>
          <t>MH2507-15</t>
        </is>
      </c>
      <c r="C2156" s="16" t="n">
        <v>45848</v>
      </c>
      <c r="D2156" s="16" t="n">
        <v>45848</v>
      </c>
      <c r="E2156" s="17" t="inlineStr">
        <is>
          <t>00002627</t>
        </is>
      </c>
      <c r="F2156" s="16" t="inlineStr">
        <is>
          <t>XK2507-07</t>
        </is>
      </c>
      <c r="G2156" s="16" t="n">
        <v>45848</v>
      </c>
      <c r="H2156" s="17" t="inlineStr">
        <is>
          <t>CÔNG TY CỔ PHẦN CÔNG NGHIỆP VÀ THƯƠNG MẠI CƯỜNG THỊNH</t>
        </is>
      </c>
      <c r="I2156" s="17" t="inlineStr">
        <is>
          <t>Đai ốc Din 934 5 ZP M16</t>
        </is>
      </c>
      <c r="J2156" s="17" t="inlineStr">
        <is>
          <t>Cái</t>
        </is>
      </c>
      <c r="K2156" s="19" t="n">
        <v>990</v>
      </c>
      <c r="L2156" s="21" t="n"/>
      <c r="M2156" s="22" t="n"/>
      <c r="N2156" s="22" t="n">
        <v>8</v>
      </c>
      <c r="O2156" s="22" t="n">
        <v>7920</v>
      </c>
      <c r="P2156" s="22" t="n">
        <v>8</v>
      </c>
      <c r="Q2156" s="22" t="n">
        <v>7920</v>
      </c>
      <c r="R2156" s="42">
        <f>+L2156+N2156-P2156</f>
        <v/>
      </c>
      <c r="S2156" s="42">
        <f>+M2156+O2156-Q2156</f>
        <v/>
      </c>
    </row>
    <row r="2157" ht="30" customHeight="1">
      <c r="A2157" s="16" t="n">
        <v>45848</v>
      </c>
      <c r="B2157" s="17" t="inlineStr">
        <is>
          <t>MH2507-15</t>
        </is>
      </c>
      <c r="C2157" s="16" t="n">
        <v>45848</v>
      </c>
      <c r="D2157" s="16" t="n">
        <v>45848</v>
      </c>
      <c r="E2157" s="17" t="inlineStr">
        <is>
          <t>00002627</t>
        </is>
      </c>
      <c r="F2157" s="16" t="inlineStr">
        <is>
          <t>XK2507-07</t>
        </is>
      </c>
      <c r="G2157" s="16" t="n">
        <v>45848</v>
      </c>
      <c r="H2157" s="17" t="inlineStr">
        <is>
          <t>CÔNG TY CỔ PHẦN CÔNG NGHIỆP VÀ THƯƠNG MẠI CƯỜNG THỊNH</t>
        </is>
      </c>
      <c r="I2157" s="17" t="inlineStr">
        <is>
          <t>Long đền thường ZP M16B42D2</t>
        </is>
      </c>
      <c r="J2157" s="17" t="inlineStr">
        <is>
          <t>Cái</t>
        </is>
      </c>
      <c r="K2157" s="19" t="n">
        <v>700</v>
      </c>
      <c r="L2157" s="21" t="n"/>
      <c r="M2157" s="22" t="n"/>
      <c r="N2157" s="22" t="n">
        <v>8</v>
      </c>
      <c r="O2157" s="22" t="n">
        <v>5600</v>
      </c>
      <c r="P2157" s="22" t="n">
        <v>8</v>
      </c>
      <c r="Q2157" s="22" t="n">
        <v>5600</v>
      </c>
      <c r="R2157" s="42">
        <f>+L2157+N2157-P2157</f>
        <v/>
      </c>
      <c r="S2157" s="42">
        <f>+M2157+O2157-Q2157</f>
        <v/>
      </c>
    </row>
    <row r="2158" ht="30" customHeight="1">
      <c r="A2158" s="16" t="n">
        <v>45848</v>
      </c>
      <c r="B2158" s="17" t="inlineStr">
        <is>
          <t>MH2507-15</t>
        </is>
      </c>
      <c r="C2158" s="16" t="n">
        <v>45848</v>
      </c>
      <c r="D2158" s="16" t="n">
        <v>45848</v>
      </c>
      <c r="E2158" s="17" t="inlineStr">
        <is>
          <t>00002627</t>
        </is>
      </c>
      <c r="F2158" s="16" t="inlineStr">
        <is>
          <t>XK2507-07</t>
        </is>
      </c>
      <c r="G2158" s="16" t="n">
        <v>45848</v>
      </c>
      <c r="H2158" s="17" t="inlineStr">
        <is>
          <t>CÔNG TY CỔ PHẦN CÔNG NGHIỆP VÀ THƯƠNG MẠI CƯỜNG THỊNH</t>
        </is>
      </c>
      <c r="I2158" s="17" t="inlineStr">
        <is>
          <t>Long đền móng ngựa ZP M16</t>
        </is>
      </c>
      <c r="J2158" s="17" t="inlineStr">
        <is>
          <t>Cái</t>
        </is>
      </c>
      <c r="K2158" s="19" t="n">
        <v>14830</v>
      </c>
      <c r="L2158" s="21" t="n"/>
      <c r="M2158" s="22" t="n"/>
      <c r="N2158" s="22" t="n">
        <v>8</v>
      </c>
      <c r="O2158" s="22" t="n">
        <v>118640</v>
      </c>
      <c r="P2158" s="22" t="n">
        <v>8</v>
      </c>
      <c r="Q2158" s="22" t="n">
        <v>118640</v>
      </c>
      <c r="R2158" s="42">
        <f>+L2158+N2158-P2158</f>
        <v/>
      </c>
      <c r="S2158" s="42">
        <f>+M2158+O2158-Q2158</f>
        <v/>
      </c>
    </row>
    <row r="2159" ht="30" customHeight="1">
      <c r="A2159" s="16" t="n">
        <v>45848</v>
      </c>
      <c r="B2159" s="17" t="inlineStr">
        <is>
          <t>MH2507-15</t>
        </is>
      </c>
      <c r="C2159" s="16" t="n">
        <v>45848</v>
      </c>
      <c r="D2159" s="16" t="n">
        <v>45848</v>
      </c>
      <c r="E2159" s="17" t="inlineStr">
        <is>
          <t>00002627</t>
        </is>
      </c>
      <c r="F2159" s="16" t="inlineStr">
        <is>
          <t>XK2507-07</t>
        </is>
      </c>
      <c r="G2159" s="16" t="n">
        <v>45848</v>
      </c>
      <c r="H2159" s="17" t="inlineStr">
        <is>
          <t>CÔNG TY CỔ PHẦN CÔNG NGHIỆP VÀ THƯƠNG MẠI CƯỜNG THỊNH</t>
        </is>
      </c>
      <c r="I2159" s="17" t="inlineStr">
        <is>
          <t>Nối Ty ZP M16x100 (23mm)</t>
        </is>
      </c>
      <c r="J2159" s="17" t="inlineStr">
        <is>
          <t>Cái</t>
        </is>
      </c>
      <c r="K2159" s="19" t="n">
        <v>19960</v>
      </c>
      <c r="L2159" s="21" t="n"/>
      <c r="M2159" s="22" t="n"/>
      <c r="N2159" s="22" t="n">
        <v>4</v>
      </c>
      <c r="O2159" s="22" t="n">
        <v>79840</v>
      </c>
      <c r="P2159" s="22" t="n">
        <v>4</v>
      </c>
      <c r="Q2159" s="22" t="n">
        <v>79840</v>
      </c>
      <c r="R2159" s="42">
        <f>+L2159+N2159-P2159</f>
        <v/>
      </c>
      <c r="S2159" s="42">
        <f>+M2159+O2159-Q2159</f>
        <v/>
      </c>
    </row>
    <row r="2160" ht="30" customHeight="1">
      <c r="A2160" s="16" t="n">
        <v>45848</v>
      </c>
      <c r="B2160" s="17" t="inlineStr">
        <is>
          <t>MH2507-16</t>
        </is>
      </c>
      <c r="C2160" s="16" t="n">
        <v>45848</v>
      </c>
      <c r="D2160" s="16" t="n">
        <v>45848</v>
      </c>
      <c r="E2160" s="17" t="inlineStr">
        <is>
          <t>00002628</t>
        </is>
      </c>
      <c r="F2160" s="16" t="inlineStr">
        <is>
          <t>XK2507-07</t>
        </is>
      </c>
      <c r="G2160" s="16" t="n">
        <v>45848</v>
      </c>
      <c r="H2160" s="17" t="inlineStr">
        <is>
          <t>CÔNG TY CỔ PHẦN CÔNG NGHIỆP VÀ THƯƠNG MẠI CƯỜNG THỊNH</t>
        </is>
      </c>
      <c r="I2160" s="17" t="inlineStr">
        <is>
          <t>Vít B2 Dacromet 12-14x20</t>
        </is>
      </c>
      <c r="J2160" s="17" t="inlineStr">
        <is>
          <t>Cái</t>
        </is>
      </c>
      <c r="K2160" s="19" t="n">
        <v>600</v>
      </c>
      <c r="L2160" s="21" t="n"/>
      <c r="M2160" s="22" t="n"/>
      <c r="N2160" s="22" t="n">
        <v>200</v>
      </c>
      <c r="O2160" s="22" t="n">
        <v>120000</v>
      </c>
      <c r="P2160" s="22" t="n">
        <v>200</v>
      </c>
      <c r="Q2160" s="22" t="n">
        <v>120000</v>
      </c>
      <c r="R2160" s="42">
        <f>+L2160+N2160-P2160</f>
        <v/>
      </c>
      <c r="S2160" s="42">
        <f>+M2160+O2160-Q2160</f>
        <v/>
      </c>
    </row>
    <row r="2161" ht="30" customHeight="1">
      <c r="A2161" s="16" t="n">
        <v>45848</v>
      </c>
      <c r="B2161" s="17" t="inlineStr">
        <is>
          <t>MH2507-16</t>
        </is>
      </c>
      <c r="C2161" s="16" t="n">
        <v>45848</v>
      </c>
      <c r="D2161" s="16" t="n">
        <v>45848</v>
      </c>
      <c r="E2161" s="17" t="inlineStr">
        <is>
          <t>00002628</t>
        </is>
      </c>
      <c r="F2161" s="16" t="inlineStr">
        <is>
          <t>XK2507-07</t>
        </is>
      </c>
      <c r="G2161" s="16" t="n">
        <v>45848</v>
      </c>
      <c r="H2161" s="17" t="inlineStr">
        <is>
          <t>CÔNG TY CỔ PHẦN CÔNG NGHIỆP VÀ THƯƠNG MẠI CƯỜNG THỊNH</t>
        </is>
      </c>
      <c r="I2161" s="17" t="inlineStr">
        <is>
          <t>Bulong nở 5.6 ZP M16x180</t>
        </is>
      </c>
      <c r="J2161" s="17" t="inlineStr">
        <is>
          <t>Bộ</t>
        </is>
      </c>
      <c r="K2161" s="19" t="n">
        <v>30000</v>
      </c>
      <c r="L2161" s="21" t="n"/>
      <c r="M2161" s="22" t="n"/>
      <c r="N2161" s="22" t="n">
        <v>21</v>
      </c>
      <c r="O2161" s="22" t="n">
        <v>630000</v>
      </c>
      <c r="P2161" s="22" t="n">
        <v>21</v>
      </c>
      <c r="Q2161" s="22" t="n">
        <v>630000</v>
      </c>
      <c r="R2161" s="42">
        <f>+L2161+N2161-P2161</f>
        <v/>
      </c>
      <c r="S2161" s="42">
        <f>+M2161+O2161-Q2161</f>
        <v/>
      </c>
    </row>
    <row r="2162" ht="30" customHeight="1">
      <c r="A2162" s="16" t="n">
        <v>45848</v>
      </c>
      <c r="B2162" s="17" t="inlineStr">
        <is>
          <t>MH2507-16</t>
        </is>
      </c>
      <c r="C2162" s="16" t="n">
        <v>45848</v>
      </c>
      <c r="D2162" s="16" t="n">
        <v>45848</v>
      </c>
      <c r="E2162" s="17" t="inlineStr">
        <is>
          <t>00002628</t>
        </is>
      </c>
      <c r="F2162" s="16" t="inlineStr">
        <is>
          <t>XK2507-07</t>
        </is>
      </c>
      <c r="G2162" s="16" t="n">
        <v>45848</v>
      </c>
      <c r="H2162" s="17" t="inlineStr">
        <is>
          <t>CÔNG TY CỔ PHẦN CÔNG NGHIỆP VÀ THƯƠNG MẠI CƯỜNG THỊNH</t>
        </is>
      </c>
      <c r="I2162" s="17" t="inlineStr">
        <is>
          <t>Đinh hàn 4.8 M16x100</t>
        </is>
      </c>
      <c r="J2162" s="17" t="inlineStr">
        <is>
          <t>Bộ</t>
        </is>
      </c>
      <c r="K2162" s="19" t="n">
        <v>5800</v>
      </c>
      <c r="L2162" s="21" t="n"/>
      <c r="M2162" s="22" t="n"/>
      <c r="N2162" s="22" t="n">
        <v>2613</v>
      </c>
      <c r="O2162" s="22" t="n">
        <v>15155400</v>
      </c>
      <c r="P2162" s="22" t="n">
        <v>2613</v>
      </c>
      <c r="Q2162" s="22" t="n">
        <v>15155400</v>
      </c>
      <c r="R2162" s="42">
        <f>+L2162+N2162-P2162</f>
        <v/>
      </c>
      <c r="S2162" s="42">
        <f>+M2162+O2162-Q2162</f>
        <v/>
      </c>
    </row>
    <row r="2163" ht="30" customHeight="1">
      <c r="A2163" s="16" t="n">
        <v>45848</v>
      </c>
      <c r="B2163" s="17" t="inlineStr">
        <is>
          <t>MH2507-16</t>
        </is>
      </c>
      <c r="C2163" s="16" t="n">
        <v>45848</v>
      </c>
      <c r="D2163" s="16" t="n">
        <v>45848</v>
      </c>
      <c r="E2163" s="17" t="inlineStr">
        <is>
          <t>00002628</t>
        </is>
      </c>
      <c r="F2163" s="16" t="inlineStr">
        <is>
          <t>XK2507-07</t>
        </is>
      </c>
      <c r="G2163" s="16" t="n">
        <v>45848</v>
      </c>
      <c r="H2163" s="17" t="inlineStr">
        <is>
          <t>CÔNG TY CỔ PHẦN CÔNG NGHIỆP VÀ THƯƠNG MẠI CƯỜNG THỊNH</t>
        </is>
      </c>
      <c r="I2163" s="17" t="inlineStr">
        <is>
          <t>Bulong Din 933 8.8 ZP M16x40</t>
        </is>
      </c>
      <c r="J2163" s="17" t="inlineStr">
        <is>
          <t>Cái</t>
        </is>
      </c>
      <c r="K2163" s="19" t="n">
        <v>3030</v>
      </c>
      <c r="L2163" s="21" t="n"/>
      <c r="M2163" s="22" t="n"/>
      <c r="N2163" s="22" t="n">
        <v>41</v>
      </c>
      <c r="O2163" s="22" t="n">
        <v>124230</v>
      </c>
      <c r="P2163" s="22" t="n">
        <v>41</v>
      </c>
      <c r="Q2163" s="22" t="n">
        <v>124230</v>
      </c>
      <c r="R2163" s="42">
        <f>+L2163+N2163-P2163</f>
        <v/>
      </c>
      <c r="S2163" s="42">
        <f>+M2163+O2163-Q2163</f>
        <v/>
      </c>
    </row>
    <row r="2164" ht="30" customHeight="1">
      <c r="A2164" s="16" t="n">
        <v>45848</v>
      </c>
      <c r="B2164" s="17" t="inlineStr">
        <is>
          <t>MH2507-16</t>
        </is>
      </c>
      <c r="C2164" s="16" t="n">
        <v>45848</v>
      </c>
      <c r="D2164" s="16" t="n">
        <v>45848</v>
      </c>
      <c r="E2164" s="17" t="inlineStr">
        <is>
          <t>00002628</t>
        </is>
      </c>
      <c r="F2164" s="16" t="inlineStr">
        <is>
          <t>XK2507-07</t>
        </is>
      </c>
      <c r="G2164" s="16" t="n">
        <v>45848</v>
      </c>
      <c r="H2164" s="17" t="inlineStr">
        <is>
          <t>CÔNG TY CỔ PHẦN CÔNG NGHIỆP VÀ THƯƠNG MẠI CƯỜNG THỊNH</t>
        </is>
      </c>
      <c r="I2164" s="17" t="inlineStr">
        <is>
          <t>Đai ốc Din 934 8 ZP M16</t>
        </is>
      </c>
      <c r="J2164" s="17" t="inlineStr">
        <is>
          <t>Cái</t>
        </is>
      </c>
      <c r="K2164" s="19" t="n">
        <v>1090</v>
      </c>
      <c r="L2164" s="21" t="n"/>
      <c r="M2164" s="22" t="n"/>
      <c r="N2164" s="22" t="n">
        <v>41</v>
      </c>
      <c r="O2164" s="22" t="n">
        <v>44690</v>
      </c>
      <c r="P2164" s="22" t="n">
        <v>41</v>
      </c>
      <c r="Q2164" s="22" t="n">
        <v>44690</v>
      </c>
      <c r="R2164" s="42">
        <f>+L2164+N2164-P2164</f>
        <v/>
      </c>
      <c r="S2164" s="42">
        <f>+M2164+O2164-Q2164</f>
        <v/>
      </c>
    </row>
    <row r="2165" ht="30" customHeight="1">
      <c r="A2165" s="16" t="n">
        <v>45848</v>
      </c>
      <c r="B2165" s="17" t="inlineStr">
        <is>
          <t>MH2507-16</t>
        </is>
      </c>
      <c r="C2165" s="16" t="n">
        <v>45848</v>
      </c>
      <c r="D2165" s="16" t="n">
        <v>45848</v>
      </c>
      <c r="E2165" s="17" t="inlineStr">
        <is>
          <t>00002628</t>
        </is>
      </c>
      <c r="F2165" s="16" t="inlineStr">
        <is>
          <t>XK2507-07</t>
        </is>
      </c>
      <c r="G2165" s="16" t="n">
        <v>45848</v>
      </c>
      <c r="H2165" s="17" t="inlineStr">
        <is>
          <t>CÔNG TY CỔ PHẦN CÔNG NGHIỆP VÀ THƯƠNG MẠI CƯỜNG THỊNH</t>
        </is>
      </c>
      <c r="I2165" s="17" t="inlineStr">
        <is>
          <t>Long đền thường ZP M16B30D2</t>
        </is>
      </c>
      <c r="J2165" s="17" t="inlineStr">
        <is>
          <t>Cái</t>
        </is>
      </c>
      <c r="K2165" s="19" t="n">
        <v>330</v>
      </c>
      <c r="L2165" s="21" t="n"/>
      <c r="M2165" s="22" t="n"/>
      <c r="N2165" s="22" t="n">
        <v>41</v>
      </c>
      <c r="O2165" s="22" t="n">
        <v>13530</v>
      </c>
      <c r="P2165" s="22" t="n">
        <v>41</v>
      </c>
      <c r="Q2165" s="22" t="n">
        <v>13530</v>
      </c>
      <c r="R2165" s="42">
        <f>+L2165+N2165-P2165</f>
        <v/>
      </c>
      <c r="S2165" s="42">
        <f>+M2165+O2165-Q2165</f>
        <v/>
      </c>
    </row>
    <row r="2166" ht="30" customHeight="1">
      <c r="A2166" s="16" t="n">
        <v>45848</v>
      </c>
      <c r="B2166" s="17" t="inlineStr">
        <is>
          <t>MH2507-16</t>
        </is>
      </c>
      <c r="C2166" s="16" t="n">
        <v>45848</v>
      </c>
      <c r="D2166" s="16" t="n">
        <v>45848</v>
      </c>
      <c r="E2166" s="17" t="inlineStr">
        <is>
          <t>00002628</t>
        </is>
      </c>
      <c r="F2166" s="16" t="inlineStr">
        <is>
          <t>XK2507-07</t>
        </is>
      </c>
      <c r="G2166" s="16" t="n">
        <v>45848</v>
      </c>
      <c r="H2166" s="17" t="inlineStr">
        <is>
          <t>CÔNG TY CỔ PHẦN CÔNG NGHIỆP VÀ THƯƠNG MẠI CƯỜNG THỊNH</t>
        </is>
      </c>
      <c r="I2166" s="17" t="inlineStr">
        <is>
          <t>Bulong Din 933 8.8 ZP M20x50</t>
        </is>
      </c>
      <c r="J2166" s="17" t="inlineStr">
        <is>
          <t>Cái</t>
        </is>
      </c>
      <c r="K2166" s="19" t="n">
        <v>5760</v>
      </c>
      <c r="L2166" s="21" t="n"/>
      <c r="M2166" s="22" t="n"/>
      <c r="N2166" s="22" t="n">
        <v>678</v>
      </c>
      <c r="O2166" s="22" t="n">
        <v>3905280</v>
      </c>
      <c r="P2166" s="22" t="n">
        <v>678</v>
      </c>
      <c r="Q2166" s="22" t="n">
        <v>3905280</v>
      </c>
      <c r="R2166" s="42">
        <f>+L2166+N2166-P2166</f>
        <v/>
      </c>
      <c r="S2166" s="42">
        <f>+M2166+O2166-Q2166</f>
        <v/>
      </c>
    </row>
    <row r="2167" ht="30" customHeight="1">
      <c r="A2167" s="16" t="n">
        <v>45848</v>
      </c>
      <c r="B2167" s="17" t="inlineStr">
        <is>
          <t>MH2507-16</t>
        </is>
      </c>
      <c r="C2167" s="16" t="n">
        <v>45848</v>
      </c>
      <c r="D2167" s="16" t="n">
        <v>45848</v>
      </c>
      <c r="E2167" s="17" t="inlineStr">
        <is>
          <t>00002628</t>
        </is>
      </c>
      <c r="F2167" s="16" t="inlineStr">
        <is>
          <t>XK2507-07</t>
        </is>
      </c>
      <c r="G2167" s="16" t="n">
        <v>45848</v>
      </c>
      <c r="H2167" s="17" t="inlineStr">
        <is>
          <t>CÔNG TY CỔ PHẦN CÔNG NGHIỆP VÀ THƯƠNG MẠI CƯỜNG THỊNH</t>
        </is>
      </c>
      <c r="I2167" s="17" t="inlineStr">
        <is>
          <t>Đai ốc Din 934 8 ZP M20</t>
        </is>
      </c>
      <c r="J2167" s="17" t="inlineStr">
        <is>
          <t>Cái</t>
        </is>
      </c>
      <c r="K2167" s="19" t="n">
        <v>2030</v>
      </c>
      <c r="L2167" s="21" t="n"/>
      <c r="M2167" s="22" t="n"/>
      <c r="N2167" s="22" t="n">
        <v>678</v>
      </c>
      <c r="O2167" s="22" t="n">
        <v>1376340</v>
      </c>
      <c r="P2167" s="22" t="n">
        <v>678</v>
      </c>
      <c r="Q2167" s="22" t="n">
        <v>1376340</v>
      </c>
      <c r="R2167" s="42">
        <f>+L2167+N2167-P2167</f>
        <v/>
      </c>
      <c r="S2167" s="42">
        <f>+M2167+O2167-Q2167</f>
        <v/>
      </c>
    </row>
    <row r="2168" ht="30" customHeight="1">
      <c r="A2168" s="16" t="n">
        <v>45848</v>
      </c>
      <c r="B2168" s="17" t="inlineStr">
        <is>
          <t>MH2507-16</t>
        </is>
      </c>
      <c r="C2168" s="16" t="n">
        <v>45848</v>
      </c>
      <c r="D2168" s="16" t="n">
        <v>45848</v>
      </c>
      <c r="E2168" s="17" t="inlineStr">
        <is>
          <t>00002628</t>
        </is>
      </c>
      <c r="F2168" s="16" t="inlineStr">
        <is>
          <t>XK2507-07</t>
        </is>
      </c>
      <c r="G2168" s="16" t="n">
        <v>45848</v>
      </c>
      <c r="H2168" s="17" t="inlineStr">
        <is>
          <t>CÔNG TY CỔ PHẦN CÔNG NGHIỆP VÀ THƯƠNG MẠI CƯỜNG THỊNH</t>
        </is>
      </c>
      <c r="I2168" s="17" t="inlineStr">
        <is>
          <t>Long đền thường ZP M20B35D2</t>
        </is>
      </c>
      <c r="J2168" s="17" t="inlineStr">
        <is>
          <t>Cái</t>
        </is>
      </c>
      <c r="K2168" s="19" t="n">
        <v>350</v>
      </c>
      <c r="L2168" s="21" t="n"/>
      <c r="M2168" s="22" t="n"/>
      <c r="N2168" s="22" t="n">
        <v>678</v>
      </c>
      <c r="O2168" s="22" t="n">
        <v>237300</v>
      </c>
      <c r="P2168" s="22" t="n">
        <v>678</v>
      </c>
      <c r="Q2168" s="22" t="n">
        <v>237300</v>
      </c>
      <c r="R2168" s="42">
        <f>+L2168+N2168-P2168</f>
        <v/>
      </c>
      <c r="S2168" s="42">
        <f>+M2168+O2168-Q2168</f>
        <v/>
      </c>
    </row>
    <row r="2169" ht="30" customHeight="1">
      <c r="A2169" s="16" t="n">
        <v>45848</v>
      </c>
      <c r="B2169" s="17" t="inlineStr">
        <is>
          <t>MH2507-16</t>
        </is>
      </c>
      <c r="C2169" s="16" t="n">
        <v>45848</v>
      </c>
      <c r="D2169" s="16" t="n">
        <v>45848</v>
      </c>
      <c r="E2169" s="17" t="inlineStr">
        <is>
          <t>00002628</t>
        </is>
      </c>
      <c r="F2169" s="16" t="inlineStr">
        <is>
          <t>XK2507-07</t>
        </is>
      </c>
      <c r="G2169" s="16" t="n">
        <v>45848</v>
      </c>
      <c r="H2169" s="17" t="inlineStr">
        <is>
          <t>CÔNG TY CỔ PHẦN CÔNG NGHIỆP VÀ THƯƠNG MẠI CƯỜNG THỊNH</t>
        </is>
      </c>
      <c r="I2169" s="17" t="inlineStr">
        <is>
          <t>Bulong Din 933 8.8 ZP M20x60</t>
        </is>
      </c>
      <c r="J2169" s="17" t="inlineStr">
        <is>
          <t>Cái</t>
        </is>
      </c>
      <c r="K2169" s="19" t="n">
        <v>6360</v>
      </c>
      <c r="L2169" s="21" t="n"/>
      <c r="M2169" s="22" t="n"/>
      <c r="N2169" s="22" t="n">
        <v>981</v>
      </c>
      <c r="O2169" s="22" t="n">
        <v>6239160</v>
      </c>
      <c r="P2169" s="22" t="n">
        <v>981</v>
      </c>
      <c r="Q2169" s="22" t="n">
        <v>6239160</v>
      </c>
      <c r="R2169" s="42">
        <f>+L2169+N2169-P2169</f>
        <v/>
      </c>
      <c r="S2169" s="42">
        <f>+M2169+O2169-Q2169</f>
        <v/>
      </c>
    </row>
    <row r="2170" ht="30" customHeight="1">
      <c r="A2170" s="16" t="n">
        <v>45848</v>
      </c>
      <c r="B2170" s="17" t="inlineStr">
        <is>
          <t>MH2507-16</t>
        </is>
      </c>
      <c r="C2170" s="16" t="n">
        <v>45848</v>
      </c>
      <c r="D2170" s="16" t="n">
        <v>45848</v>
      </c>
      <c r="E2170" s="17" t="inlineStr">
        <is>
          <t>00002628</t>
        </is>
      </c>
      <c r="F2170" s="16" t="inlineStr">
        <is>
          <t>XK2507-07</t>
        </is>
      </c>
      <c r="G2170" s="16" t="n">
        <v>45848</v>
      </c>
      <c r="H2170" s="17" t="inlineStr">
        <is>
          <t>CÔNG TY CỔ PHẦN CÔNG NGHIỆP VÀ THƯƠNG MẠI CƯỜNG THỊNH</t>
        </is>
      </c>
      <c r="I2170" s="17" t="inlineStr">
        <is>
          <t>Đai ốc Din 934 8 ZP M20</t>
        </is>
      </c>
      <c r="J2170" s="17" t="inlineStr">
        <is>
          <t>Cái</t>
        </is>
      </c>
      <c r="K2170" s="19" t="n">
        <v>2030</v>
      </c>
      <c r="L2170" s="21" t="n"/>
      <c r="M2170" s="22" t="n"/>
      <c r="N2170" s="22" t="n">
        <v>981</v>
      </c>
      <c r="O2170" s="22" t="n">
        <v>1991430</v>
      </c>
      <c r="P2170" s="22" t="n">
        <v>981</v>
      </c>
      <c r="Q2170" s="22" t="n">
        <v>1991430</v>
      </c>
      <c r="R2170" s="42">
        <f>+L2170+N2170-P2170</f>
        <v/>
      </c>
      <c r="S2170" s="42">
        <f>+M2170+O2170-Q2170</f>
        <v/>
      </c>
    </row>
    <row r="2171" ht="30" customHeight="1">
      <c r="A2171" s="16" t="n">
        <v>45848</v>
      </c>
      <c r="B2171" s="17" t="inlineStr">
        <is>
          <t>MH2507-16</t>
        </is>
      </c>
      <c r="C2171" s="16" t="n">
        <v>45848</v>
      </c>
      <c r="D2171" s="16" t="n">
        <v>45848</v>
      </c>
      <c r="E2171" s="17" t="inlineStr">
        <is>
          <t>00002628</t>
        </is>
      </c>
      <c r="F2171" s="16" t="inlineStr">
        <is>
          <t>XK2507-07</t>
        </is>
      </c>
      <c r="G2171" s="16" t="n">
        <v>45848</v>
      </c>
      <c r="H2171" s="17" t="inlineStr">
        <is>
          <t>CÔNG TY CỔ PHẦN CÔNG NGHIỆP VÀ THƯƠNG MẠI CƯỜNG THỊNH</t>
        </is>
      </c>
      <c r="I2171" s="17" t="inlineStr">
        <is>
          <t>Long đền thường ZP M20B35D2</t>
        </is>
      </c>
      <c r="J2171" s="17" t="inlineStr">
        <is>
          <t>Cái</t>
        </is>
      </c>
      <c r="K2171" s="19" t="n">
        <v>350</v>
      </c>
      <c r="L2171" s="21" t="n"/>
      <c r="M2171" s="22" t="n"/>
      <c r="N2171" s="22" t="n">
        <v>981</v>
      </c>
      <c r="O2171" s="22" t="n">
        <v>343350</v>
      </c>
      <c r="P2171" s="22" t="n">
        <v>981</v>
      </c>
      <c r="Q2171" s="22" t="n">
        <v>343350</v>
      </c>
      <c r="R2171" s="42">
        <f>+L2171+N2171-P2171</f>
        <v/>
      </c>
      <c r="S2171" s="42">
        <f>+M2171+O2171-Q2171</f>
        <v/>
      </c>
    </row>
    <row r="2172" ht="30" customHeight="1">
      <c r="A2172" s="16" t="n">
        <v>45848</v>
      </c>
      <c r="B2172" s="17" t="inlineStr">
        <is>
          <t>MH2507-16</t>
        </is>
      </c>
      <c r="C2172" s="16" t="n">
        <v>45848</v>
      </c>
      <c r="D2172" s="16" t="n">
        <v>45848</v>
      </c>
      <c r="E2172" s="17" t="inlineStr">
        <is>
          <t>00002628</t>
        </is>
      </c>
      <c r="F2172" s="16" t="inlineStr">
        <is>
          <t>XK2507-07</t>
        </is>
      </c>
      <c r="G2172" s="16" t="n">
        <v>45848</v>
      </c>
      <c r="H2172" s="17" t="inlineStr">
        <is>
          <t>CÔNG TY CỔ PHẦN CÔNG NGHIỆP VÀ THƯƠNG MẠI CƯỜNG THỊNH</t>
        </is>
      </c>
      <c r="I2172" s="17" t="inlineStr">
        <is>
          <t>Bulong Din 933 8.8 ZP M20x70</t>
        </is>
      </c>
      <c r="J2172" s="17" t="inlineStr">
        <is>
          <t>Cái</t>
        </is>
      </c>
      <c r="K2172" s="19" t="n">
        <v>7070</v>
      </c>
      <c r="L2172" s="21" t="n"/>
      <c r="M2172" s="22" t="n"/>
      <c r="N2172" s="22" t="n">
        <v>70</v>
      </c>
      <c r="O2172" s="22" t="n">
        <v>494900</v>
      </c>
      <c r="P2172" s="22" t="n">
        <v>70</v>
      </c>
      <c r="Q2172" s="22" t="n">
        <v>494900</v>
      </c>
      <c r="R2172" s="42">
        <f>+L2172+N2172-P2172</f>
        <v/>
      </c>
      <c r="S2172" s="42">
        <f>+M2172+O2172-Q2172</f>
        <v/>
      </c>
    </row>
    <row r="2173" ht="30" customHeight="1">
      <c r="A2173" s="16" t="n">
        <v>45848</v>
      </c>
      <c r="B2173" s="17" t="inlineStr">
        <is>
          <t>MH2507-16</t>
        </is>
      </c>
      <c r="C2173" s="16" t="n">
        <v>45848</v>
      </c>
      <c r="D2173" s="16" t="n">
        <v>45848</v>
      </c>
      <c r="E2173" s="17" t="inlineStr">
        <is>
          <t>00002628</t>
        </is>
      </c>
      <c r="F2173" s="16" t="inlineStr">
        <is>
          <t>XK2507-07</t>
        </is>
      </c>
      <c r="G2173" s="16" t="n">
        <v>45848</v>
      </c>
      <c r="H2173" s="17" t="inlineStr">
        <is>
          <t>CÔNG TY CỔ PHẦN CÔNG NGHIỆP VÀ THƯƠNG MẠI CƯỜNG THỊNH</t>
        </is>
      </c>
      <c r="I2173" s="17" t="inlineStr">
        <is>
          <t>Đai ốc Din 934 8 ZP M20</t>
        </is>
      </c>
      <c r="J2173" s="17" t="inlineStr">
        <is>
          <t>Cái</t>
        </is>
      </c>
      <c r="K2173" s="19" t="n">
        <v>2030</v>
      </c>
      <c r="L2173" s="21" t="n"/>
      <c r="M2173" s="22" t="n"/>
      <c r="N2173" s="22" t="n">
        <v>70</v>
      </c>
      <c r="O2173" s="22" t="n">
        <v>142100</v>
      </c>
      <c r="P2173" s="22" t="n">
        <v>70</v>
      </c>
      <c r="Q2173" s="22" t="n">
        <v>142100</v>
      </c>
      <c r="R2173" s="42">
        <f>+L2173+N2173-P2173</f>
        <v/>
      </c>
      <c r="S2173" s="42">
        <f>+M2173+O2173-Q2173</f>
        <v/>
      </c>
    </row>
    <row r="2174" ht="30" customHeight="1">
      <c r="A2174" s="16" t="n">
        <v>45848</v>
      </c>
      <c r="B2174" s="17" t="inlineStr">
        <is>
          <t>MH2507-16</t>
        </is>
      </c>
      <c r="C2174" s="16" t="n">
        <v>45848</v>
      </c>
      <c r="D2174" s="16" t="n">
        <v>45848</v>
      </c>
      <c r="E2174" s="17" t="inlineStr">
        <is>
          <t>00002628</t>
        </is>
      </c>
      <c r="F2174" s="16" t="inlineStr">
        <is>
          <t>XK2507-07</t>
        </is>
      </c>
      <c r="G2174" s="16" t="n">
        <v>45848</v>
      </c>
      <c r="H2174" s="17" t="inlineStr">
        <is>
          <t>CÔNG TY CỔ PHẦN CÔNG NGHIỆP VÀ THƯƠNG MẠI CƯỜNG THỊNH</t>
        </is>
      </c>
      <c r="I2174" s="17" t="inlineStr">
        <is>
          <t>Long đền thường ZP M20B35D2</t>
        </is>
      </c>
      <c r="J2174" s="17" t="inlineStr">
        <is>
          <t>Cái</t>
        </is>
      </c>
      <c r="K2174" s="19" t="n">
        <v>350</v>
      </c>
      <c r="L2174" s="21" t="n"/>
      <c r="M2174" s="22" t="n"/>
      <c r="N2174" s="22" t="n">
        <v>70</v>
      </c>
      <c r="O2174" s="22" t="n">
        <v>24500</v>
      </c>
      <c r="P2174" s="22" t="n">
        <v>70</v>
      </c>
      <c r="Q2174" s="22" t="n">
        <v>24500</v>
      </c>
      <c r="R2174" s="42">
        <f>+L2174+N2174-P2174</f>
        <v/>
      </c>
      <c r="S2174" s="42">
        <f>+M2174+O2174-Q2174</f>
        <v/>
      </c>
    </row>
    <row r="2175" ht="30" customHeight="1">
      <c r="A2175" s="16" t="n">
        <v>45848</v>
      </c>
      <c r="B2175" s="17" t="inlineStr">
        <is>
          <t>MH2507-16</t>
        </is>
      </c>
      <c r="C2175" s="16" t="n">
        <v>45848</v>
      </c>
      <c r="D2175" s="16" t="n">
        <v>45848</v>
      </c>
      <c r="E2175" s="17" t="inlineStr">
        <is>
          <t>00002628</t>
        </is>
      </c>
      <c r="F2175" s="16" t="inlineStr">
        <is>
          <t>XK2507-07</t>
        </is>
      </c>
      <c r="G2175" s="16" t="n">
        <v>45848</v>
      </c>
      <c r="H2175" s="17" t="inlineStr">
        <is>
          <t>CÔNG TY CỔ PHẦN CÔNG NGHIỆP VÀ THƯƠNG MẠI CƯỜNG THỊNH</t>
        </is>
      </c>
      <c r="I2175" s="17" t="inlineStr">
        <is>
          <t>Bulong Din 933 8.8 ZP M24x60</t>
        </is>
      </c>
      <c r="J2175" s="17" t="inlineStr">
        <is>
          <t>Cái</t>
        </is>
      </c>
      <c r="K2175" s="19" t="n">
        <v>10030</v>
      </c>
      <c r="L2175" s="21" t="n"/>
      <c r="M2175" s="22" t="n"/>
      <c r="N2175" s="22" t="n">
        <v>181</v>
      </c>
      <c r="O2175" s="22" t="n">
        <v>1815430</v>
      </c>
      <c r="P2175" s="22" t="n">
        <v>181</v>
      </c>
      <c r="Q2175" s="22" t="n">
        <v>1815430</v>
      </c>
      <c r="R2175" s="42">
        <f>+L2175+N2175-P2175</f>
        <v/>
      </c>
      <c r="S2175" s="42">
        <f>+M2175+O2175-Q2175</f>
        <v/>
      </c>
    </row>
    <row r="2176" ht="30" customHeight="1">
      <c r="A2176" s="16" t="n">
        <v>45848</v>
      </c>
      <c r="B2176" s="17" t="inlineStr">
        <is>
          <t>MH2507-16</t>
        </is>
      </c>
      <c r="C2176" s="16" t="n">
        <v>45848</v>
      </c>
      <c r="D2176" s="16" t="n">
        <v>45848</v>
      </c>
      <c r="E2176" s="17" t="inlineStr">
        <is>
          <t>00002628</t>
        </is>
      </c>
      <c r="F2176" s="16" t="inlineStr">
        <is>
          <t>XK2507-07</t>
        </is>
      </c>
      <c r="G2176" s="16" t="n">
        <v>45848</v>
      </c>
      <c r="H2176" s="17" t="inlineStr">
        <is>
          <t>CÔNG TY CỔ PHẦN CÔNG NGHIỆP VÀ THƯƠNG MẠI CƯỜNG THỊNH</t>
        </is>
      </c>
      <c r="I2176" s="17" t="inlineStr">
        <is>
          <t>Đai ốc Din 934 8 ZP M24</t>
        </is>
      </c>
      <c r="J2176" s="17" t="inlineStr">
        <is>
          <t>Cái</t>
        </is>
      </c>
      <c r="K2176" s="19" t="n">
        <v>3500</v>
      </c>
      <c r="L2176" s="21" t="n"/>
      <c r="M2176" s="22" t="n"/>
      <c r="N2176" s="22" t="n">
        <v>181</v>
      </c>
      <c r="O2176" s="22" t="n">
        <v>633500</v>
      </c>
      <c r="P2176" s="22" t="n">
        <v>181</v>
      </c>
      <c r="Q2176" s="22" t="n">
        <v>633500</v>
      </c>
      <c r="R2176" s="42">
        <f>+L2176+N2176-P2176</f>
        <v/>
      </c>
      <c r="S2176" s="42">
        <f>+M2176+O2176-Q2176</f>
        <v/>
      </c>
    </row>
    <row r="2177" ht="30" customHeight="1">
      <c r="A2177" s="16" t="n">
        <v>45848</v>
      </c>
      <c r="B2177" s="17" t="inlineStr">
        <is>
          <t>MH2507-16</t>
        </is>
      </c>
      <c r="C2177" s="16" t="n">
        <v>45848</v>
      </c>
      <c r="D2177" s="16" t="n">
        <v>45848</v>
      </c>
      <c r="E2177" s="17" t="inlineStr">
        <is>
          <t>00002628</t>
        </is>
      </c>
      <c r="F2177" s="16" t="inlineStr">
        <is>
          <t>XK2507-07</t>
        </is>
      </c>
      <c r="G2177" s="16" t="n">
        <v>45848</v>
      </c>
      <c r="H2177" s="17" t="inlineStr">
        <is>
          <t>CÔNG TY CỔ PHẦN CÔNG NGHIỆP VÀ THƯƠNG MẠI CƯỜNG THỊNH</t>
        </is>
      </c>
      <c r="I2177" s="17" t="inlineStr">
        <is>
          <t>Long đền thường ZP M24B40-42D2</t>
        </is>
      </c>
      <c r="J2177" s="17" t="inlineStr">
        <is>
          <t>Cái</t>
        </is>
      </c>
      <c r="K2177" s="19" t="n">
        <v>710</v>
      </c>
      <c r="L2177" s="21" t="n"/>
      <c r="M2177" s="22" t="n"/>
      <c r="N2177" s="22" t="n">
        <v>181</v>
      </c>
      <c r="O2177" s="22" t="n">
        <v>128510</v>
      </c>
      <c r="P2177" s="22" t="n">
        <v>181</v>
      </c>
      <c r="Q2177" s="22" t="n">
        <v>128510</v>
      </c>
      <c r="R2177" s="42">
        <f>+L2177+N2177-P2177</f>
        <v/>
      </c>
      <c r="S2177" s="42">
        <f>+M2177+O2177-Q2177</f>
        <v/>
      </c>
    </row>
    <row r="2178" ht="30" customHeight="1">
      <c r="A2178" s="16" t="n">
        <v>45848</v>
      </c>
      <c r="B2178" s="17" t="inlineStr">
        <is>
          <t>MH2507-16</t>
        </is>
      </c>
      <c r="C2178" s="16" t="n">
        <v>45848</v>
      </c>
      <c r="D2178" s="16" t="n">
        <v>45848</v>
      </c>
      <c r="E2178" s="17" t="inlineStr">
        <is>
          <t>00002628</t>
        </is>
      </c>
      <c r="F2178" s="16" t="inlineStr">
        <is>
          <t>XK2507-07</t>
        </is>
      </c>
      <c r="G2178" s="16" t="n">
        <v>45848</v>
      </c>
      <c r="H2178" s="17" t="inlineStr">
        <is>
          <t>CÔNG TY CỔ PHẦN CÔNG NGHIỆP VÀ THƯƠNG MẠI CƯỜNG THỊNH</t>
        </is>
      </c>
      <c r="I2178" s="17" t="inlineStr">
        <is>
          <t>Bulong Din 933 8.8 ZP M24x70</t>
        </is>
      </c>
      <c r="J2178" s="17" t="inlineStr">
        <is>
          <t>Cái</t>
        </is>
      </c>
      <c r="K2178" s="19" t="n">
        <v>11010</v>
      </c>
      <c r="L2178" s="21" t="n"/>
      <c r="M2178" s="22" t="n"/>
      <c r="N2178" s="22" t="n">
        <v>173</v>
      </c>
      <c r="O2178" s="22" t="n">
        <v>1904730</v>
      </c>
      <c r="P2178" s="22" t="n">
        <v>173</v>
      </c>
      <c r="Q2178" s="22" t="n">
        <v>1904730</v>
      </c>
      <c r="R2178" s="42">
        <f>+L2178+N2178-P2178</f>
        <v/>
      </c>
      <c r="S2178" s="42">
        <f>+M2178+O2178-Q2178</f>
        <v/>
      </c>
    </row>
    <row r="2179" ht="30" customHeight="1">
      <c r="A2179" s="16" t="n">
        <v>45848</v>
      </c>
      <c r="B2179" s="17" t="inlineStr">
        <is>
          <t>MH2507-16</t>
        </is>
      </c>
      <c r="C2179" s="16" t="n">
        <v>45848</v>
      </c>
      <c r="D2179" s="16" t="n">
        <v>45848</v>
      </c>
      <c r="E2179" s="17" t="inlineStr">
        <is>
          <t>00002628</t>
        </is>
      </c>
      <c r="F2179" s="16" t="inlineStr">
        <is>
          <t>XK2507-07</t>
        </is>
      </c>
      <c r="G2179" s="16" t="n">
        <v>45848</v>
      </c>
      <c r="H2179" s="17" t="inlineStr">
        <is>
          <t>CÔNG TY CỔ PHẦN CÔNG NGHIỆP VÀ THƯƠNG MẠI CƯỜNG THỊNH</t>
        </is>
      </c>
      <c r="I2179" s="17" t="inlineStr">
        <is>
          <t>Đai ốc Din 934 8 ZP M24</t>
        </is>
      </c>
      <c r="J2179" s="17" t="inlineStr">
        <is>
          <t>Cái</t>
        </is>
      </c>
      <c r="K2179" s="19" t="n">
        <v>3500</v>
      </c>
      <c r="L2179" s="21" t="n"/>
      <c r="M2179" s="22" t="n"/>
      <c r="N2179" s="22" t="n">
        <v>173</v>
      </c>
      <c r="O2179" s="22" t="n">
        <v>605500</v>
      </c>
      <c r="P2179" s="22" t="n">
        <v>173</v>
      </c>
      <c r="Q2179" s="22" t="n">
        <v>605500</v>
      </c>
      <c r="R2179" s="42">
        <f>+L2179+N2179-P2179</f>
        <v/>
      </c>
      <c r="S2179" s="42">
        <f>+M2179+O2179-Q2179</f>
        <v/>
      </c>
    </row>
    <row r="2180" ht="30" customHeight="1">
      <c r="A2180" s="16" t="n">
        <v>45848</v>
      </c>
      <c r="B2180" s="17" t="inlineStr">
        <is>
          <t>MH2507-16</t>
        </is>
      </c>
      <c r="C2180" s="16" t="n">
        <v>45848</v>
      </c>
      <c r="D2180" s="16" t="n">
        <v>45848</v>
      </c>
      <c r="E2180" s="17" t="inlineStr">
        <is>
          <t>00002628</t>
        </is>
      </c>
      <c r="F2180" s="16" t="inlineStr">
        <is>
          <t>XK2507-07</t>
        </is>
      </c>
      <c r="G2180" s="16" t="n">
        <v>45848</v>
      </c>
      <c r="H2180" s="17" t="inlineStr">
        <is>
          <t>CÔNG TY CỔ PHẦN CÔNG NGHIỆP VÀ THƯƠNG MẠI CƯỜNG THỊNH</t>
        </is>
      </c>
      <c r="I2180" s="17" t="inlineStr">
        <is>
          <t>Long đền thường ZP M24B40-42D2</t>
        </is>
      </c>
      <c r="J2180" s="17" t="inlineStr">
        <is>
          <t>Cái</t>
        </is>
      </c>
      <c r="K2180" s="19" t="n">
        <v>710</v>
      </c>
      <c r="L2180" s="21" t="n"/>
      <c r="M2180" s="22" t="n"/>
      <c r="N2180" s="22" t="n">
        <v>173</v>
      </c>
      <c r="O2180" s="22" t="n">
        <v>122830</v>
      </c>
      <c r="P2180" s="22" t="n">
        <v>173</v>
      </c>
      <c r="Q2180" s="22" t="n">
        <v>122830</v>
      </c>
      <c r="R2180" s="42">
        <f>+L2180+N2180-P2180</f>
        <v/>
      </c>
      <c r="S2180" s="42">
        <f>+M2180+O2180-Q2180</f>
        <v/>
      </c>
    </row>
    <row r="2181" ht="30" customHeight="1">
      <c r="A2181" s="16" t="n">
        <v>45848</v>
      </c>
      <c r="B2181" s="17" t="inlineStr">
        <is>
          <t>MH2507-16</t>
        </is>
      </c>
      <c r="C2181" s="16" t="n">
        <v>45848</v>
      </c>
      <c r="D2181" s="16" t="n">
        <v>45848</v>
      </c>
      <c r="E2181" s="17" t="inlineStr">
        <is>
          <t>00002628</t>
        </is>
      </c>
      <c r="F2181" s="16" t="inlineStr">
        <is>
          <t>XK2507-07</t>
        </is>
      </c>
      <c r="G2181" s="16" t="n">
        <v>45848</v>
      </c>
      <c r="H2181" s="17" t="inlineStr">
        <is>
          <t>CÔNG TY CỔ PHẦN CÔNG NGHIỆP VÀ THƯƠNG MẠI CƯỜNG THỊNH</t>
        </is>
      </c>
      <c r="I2181" s="17" t="inlineStr">
        <is>
          <t>Bulong Din 933 8.8 ZP M24x80</t>
        </is>
      </c>
      <c r="J2181" s="17" t="inlineStr">
        <is>
          <t>Cái</t>
        </is>
      </c>
      <c r="K2181" s="19" t="n">
        <v>12010</v>
      </c>
      <c r="L2181" s="21" t="n"/>
      <c r="M2181" s="22" t="n"/>
      <c r="N2181" s="22" t="n">
        <v>834</v>
      </c>
      <c r="O2181" s="22" t="n">
        <v>10016340</v>
      </c>
      <c r="P2181" s="22" t="n">
        <v>834</v>
      </c>
      <c r="Q2181" s="22" t="n">
        <v>10016340</v>
      </c>
      <c r="R2181" s="42">
        <f>+L2181+N2181-P2181</f>
        <v/>
      </c>
      <c r="S2181" s="42">
        <f>+M2181+O2181-Q2181</f>
        <v/>
      </c>
    </row>
    <row r="2182" ht="30" customHeight="1">
      <c r="A2182" s="16" t="n">
        <v>45848</v>
      </c>
      <c r="B2182" s="17" t="inlineStr">
        <is>
          <t>MH2507-16</t>
        </is>
      </c>
      <c r="C2182" s="16" t="n">
        <v>45848</v>
      </c>
      <c r="D2182" s="16" t="n">
        <v>45848</v>
      </c>
      <c r="E2182" s="17" t="inlineStr">
        <is>
          <t>00002628</t>
        </is>
      </c>
      <c r="F2182" s="16" t="inlineStr">
        <is>
          <t>XK2507-07</t>
        </is>
      </c>
      <c r="G2182" s="16" t="n">
        <v>45848</v>
      </c>
      <c r="H2182" s="17" t="inlineStr">
        <is>
          <t>CÔNG TY CỔ PHẦN CÔNG NGHIỆP VÀ THƯƠNG MẠI CƯỜNG THỊNH</t>
        </is>
      </c>
      <c r="I2182" s="17" t="inlineStr">
        <is>
          <t>Đai ốc Din 934 8 ZP M24</t>
        </is>
      </c>
      <c r="J2182" s="17" t="inlineStr">
        <is>
          <t>Cái</t>
        </is>
      </c>
      <c r="K2182" s="19" t="n">
        <v>3500</v>
      </c>
      <c r="L2182" s="21" t="n"/>
      <c r="M2182" s="22" t="n"/>
      <c r="N2182" s="22" t="n">
        <v>834</v>
      </c>
      <c r="O2182" s="22" t="n">
        <v>2919000</v>
      </c>
      <c r="P2182" s="22" t="n">
        <v>834</v>
      </c>
      <c r="Q2182" s="22" t="n">
        <v>2919000</v>
      </c>
      <c r="R2182" s="42">
        <f>+L2182+N2182-P2182</f>
        <v/>
      </c>
      <c r="S2182" s="42">
        <f>+M2182+O2182-Q2182</f>
        <v/>
      </c>
    </row>
    <row r="2183" ht="30" customHeight="1">
      <c r="A2183" s="16" t="n">
        <v>45848</v>
      </c>
      <c r="B2183" s="17" t="inlineStr">
        <is>
          <t>MH2507-16</t>
        </is>
      </c>
      <c r="C2183" s="16" t="n">
        <v>45848</v>
      </c>
      <c r="D2183" s="16" t="n">
        <v>45848</v>
      </c>
      <c r="E2183" s="17" t="inlineStr">
        <is>
          <t>00002628</t>
        </is>
      </c>
      <c r="F2183" s="16" t="inlineStr">
        <is>
          <t>XK2507-07</t>
        </is>
      </c>
      <c r="G2183" s="16" t="n">
        <v>45848</v>
      </c>
      <c r="H2183" s="17" t="inlineStr">
        <is>
          <t>CÔNG TY CỔ PHẦN CÔNG NGHIỆP VÀ THƯƠNG MẠI CƯỜNG THỊNH</t>
        </is>
      </c>
      <c r="I2183" s="17" t="inlineStr">
        <is>
          <t>Long đền thường ZP M24B40-42D2</t>
        </is>
      </c>
      <c r="J2183" s="17" t="inlineStr">
        <is>
          <t>Cái</t>
        </is>
      </c>
      <c r="K2183" s="19" t="n">
        <v>660</v>
      </c>
      <c r="L2183" s="21" t="n"/>
      <c r="M2183" s="22" t="n"/>
      <c r="N2183" s="22" t="n">
        <v>834</v>
      </c>
      <c r="O2183" s="22" t="n">
        <v>550440</v>
      </c>
      <c r="P2183" s="22" t="n">
        <v>834</v>
      </c>
      <c r="Q2183" s="22" t="n">
        <v>550440</v>
      </c>
      <c r="R2183" s="42">
        <f>+L2183+N2183-P2183</f>
        <v/>
      </c>
      <c r="S2183" s="42">
        <f>+M2183+O2183-Q2183</f>
        <v/>
      </c>
    </row>
    <row r="2184" ht="30" customHeight="1">
      <c r="A2184" s="16" t="n">
        <v>45848</v>
      </c>
      <c r="B2184" s="17" t="inlineStr">
        <is>
          <t>MH2507-16</t>
        </is>
      </c>
      <c r="C2184" s="16" t="n">
        <v>45848</v>
      </c>
      <c r="D2184" s="16" t="n">
        <v>45848</v>
      </c>
      <c r="E2184" s="17" t="inlineStr">
        <is>
          <t>00002628</t>
        </is>
      </c>
      <c r="F2184" s="16" t="inlineStr">
        <is>
          <t>XK2507-07</t>
        </is>
      </c>
      <c r="G2184" s="16" t="n">
        <v>45848</v>
      </c>
      <c r="H2184" s="17" t="inlineStr">
        <is>
          <t>CÔNG TY CỔ PHẦN CÔNG NGHIỆP VÀ THƯƠNG MẠI CƯỜNG THỊNH</t>
        </is>
      </c>
      <c r="I2184" s="17" t="inlineStr">
        <is>
          <t>Bulong Din 933 8.8 ZP M24x90</t>
        </is>
      </c>
      <c r="J2184" s="17" t="inlineStr">
        <is>
          <t>Cái</t>
        </is>
      </c>
      <c r="K2184" s="19" t="n">
        <v>12950</v>
      </c>
      <c r="L2184" s="21" t="n"/>
      <c r="M2184" s="22" t="n"/>
      <c r="N2184" s="22" t="n">
        <v>66</v>
      </c>
      <c r="O2184" s="22" t="n">
        <v>854700</v>
      </c>
      <c r="P2184" s="22" t="n">
        <v>66</v>
      </c>
      <c r="Q2184" s="22" t="n">
        <v>854700</v>
      </c>
      <c r="R2184" s="42">
        <f>+L2184+N2184-P2184</f>
        <v/>
      </c>
      <c r="S2184" s="42">
        <f>+M2184+O2184-Q2184</f>
        <v/>
      </c>
    </row>
    <row r="2185" ht="30" customHeight="1">
      <c r="A2185" s="16" t="n">
        <v>45848</v>
      </c>
      <c r="B2185" s="17" t="inlineStr">
        <is>
          <t>MH2507-16</t>
        </is>
      </c>
      <c r="C2185" s="16" t="n">
        <v>45848</v>
      </c>
      <c r="D2185" s="16" t="n">
        <v>45848</v>
      </c>
      <c r="E2185" s="17" t="inlineStr">
        <is>
          <t>00002628</t>
        </is>
      </c>
      <c r="F2185" s="16" t="inlineStr">
        <is>
          <t>XK2507-07</t>
        </is>
      </c>
      <c r="G2185" s="16" t="n">
        <v>45848</v>
      </c>
      <c r="H2185" s="17" t="inlineStr">
        <is>
          <t>CÔNG TY CỔ PHẦN CÔNG NGHIỆP VÀ THƯƠNG MẠI CƯỜNG THỊNH</t>
        </is>
      </c>
      <c r="I2185" s="17" t="inlineStr">
        <is>
          <t>Đai ốc Din 934 8 ZP M24</t>
        </is>
      </c>
      <c r="J2185" s="17" t="inlineStr">
        <is>
          <t>Cái</t>
        </is>
      </c>
      <c r="K2185" s="19" t="n">
        <v>3500</v>
      </c>
      <c r="L2185" s="21" t="n"/>
      <c r="M2185" s="22" t="n"/>
      <c r="N2185" s="22" t="n">
        <v>66</v>
      </c>
      <c r="O2185" s="22" t="n">
        <v>231000</v>
      </c>
      <c r="P2185" s="22" t="n">
        <v>66</v>
      </c>
      <c r="Q2185" s="22" t="n">
        <v>231000</v>
      </c>
      <c r="R2185" s="42">
        <f>+L2185+N2185-P2185</f>
        <v/>
      </c>
      <c r="S2185" s="42">
        <f>+M2185+O2185-Q2185</f>
        <v/>
      </c>
    </row>
    <row r="2186" ht="30" customHeight="1">
      <c r="A2186" s="16" t="n">
        <v>45848</v>
      </c>
      <c r="B2186" s="17" t="inlineStr">
        <is>
          <t>MH2507-16</t>
        </is>
      </c>
      <c r="C2186" s="16" t="n">
        <v>45848</v>
      </c>
      <c r="D2186" s="16" t="n">
        <v>45848</v>
      </c>
      <c r="E2186" s="17" t="inlineStr">
        <is>
          <t>00002628</t>
        </is>
      </c>
      <c r="F2186" s="16" t="inlineStr">
        <is>
          <t>XK2507-07</t>
        </is>
      </c>
      <c r="G2186" s="16" t="n">
        <v>45848</v>
      </c>
      <c r="H2186" s="17" t="inlineStr">
        <is>
          <t>CÔNG TY CỔ PHẦN CÔNG NGHIỆP VÀ THƯƠNG MẠI CƯỜNG THỊNH</t>
        </is>
      </c>
      <c r="I2186" s="17" t="inlineStr">
        <is>
          <t>Long đền thường ZP M24B40-42D2</t>
        </is>
      </c>
      <c r="J2186" s="17" t="inlineStr">
        <is>
          <t>Cái</t>
        </is>
      </c>
      <c r="K2186" s="19" t="n">
        <v>710</v>
      </c>
      <c r="L2186" s="21" t="n"/>
      <c r="M2186" s="22" t="n"/>
      <c r="N2186" s="22" t="n">
        <v>66</v>
      </c>
      <c r="O2186" s="22" t="n">
        <v>46860</v>
      </c>
      <c r="P2186" s="22" t="n">
        <v>66</v>
      </c>
      <c r="Q2186" s="22" t="n">
        <v>46860</v>
      </c>
      <c r="R2186" s="42">
        <f>+L2186+N2186-P2186</f>
        <v/>
      </c>
      <c r="S2186" s="42">
        <f>+M2186+O2186-Q2186</f>
        <v/>
      </c>
    </row>
    <row r="2187" ht="30" customHeight="1">
      <c r="A2187" s="16" t="n">
        <v>45848</v>
      </c>
      <c r="B2187" s="17" t="inlineStr">
        <is>
          <t>MH2507-16</t>
        </is>
      </c>
      <c r="C2187" s="16" t="n">
        <v>45848</v>
      </c>
      <c r="D2187" s="16" t="n">
        <v>45848</v>
      </c>
      <c r="E2187" s="17" t="inlineStr">
        <is>
          <t>00002628</t>
        </is>
      </c>
      <c r="F2187" s="16" t="inlineStr">
        <is>
          <t>XK2507-07</t>
        </is>
      </c>
      <c r="G2187" s="16" t="n">
        <v>45848</v>
      </c>
      <c r="H2187" s="17" t="inlineStr">
        <is>
          <t>CÔNG TY CỔ PHẦN CÔNG NGHIỆP VÀ THƯƠNG MẠI CƯỜNG THỊNH</t>
        </is>
      </c>
      <c r="I2187" s="17" t="inlineStr">
        <is>
          <t>Bulong Din 933 8.8 ZP M30x100</t>
        </is>
      </c>
      <c r="J2187" s="17" t="inlineStr">
        <is>
          <t>Cái</t>
        </is>
      </c>
      <c r="K2187" s="19" t="n">
        <v>25460</v>
      </c>
      <c r="L2187" s="21" t="n"/>
      <c r="M2187" s="22" t="n"/>
      <c r="N2187" s="22" t="n">
        <v>148</v>
      </c>
      <c r="O2187" s="22" t="n">
        <v>3768080</v>
      </c>
      <c r="P2187" s="22" t="n">
        <v>148</v>
      </c>
      <c r="Q2187" s="22" t="n">
        <v>3768080</v>
      </c>
      <c r="R2187" s="42">
        <f>+L2187+N2187-P2187</f>
        <v/>
      </c>
      <c r="S2187" s="42">
        <f>+M2187+O2187-Q2187</f>
        <v/>
      </c>
    </row>
    <row r="2188" ht="30" customHeight="1">
      <c r="A2188" s="16" t="n">
        <v>45848</v>
      </c>
      <c r="B2188" s="17" t="inlineStr">
        <is>
          <t>MH2507-16</t>
        </is>
      </c>
      <c r="C2188" s="16" t="n">
        <v>45848</v>
      </c>
      <c r="D2188" s="16" t="n">
        <v>45848</v>
      </c>
      <c r="E2188" s="17" t="inlineStr">
        <is>
          <t>00002628</t>
        </is>
      </c>
      <c r="F2188" s="16" t="inlineStr">
        <is>
          <t>XK2507-07</t>
        </is>
      </c>
      <c r="G2188" s="16" t="n">
        <v>45848</v>
      </c>
      <c r="H2188" s="17" t="inlineStr">
        <is>
          <t>CÔNG TY CỔ PHẦN CÔNG NGHIỆP VÀ THƯƠNG MẠI CƯỜNG THỊNH</t>
        </is>
      </c>
      <c r="I2188" s="17" t="inlineStr">
        <is>
          <t>Đai ốc Din 934 8 ZP M30</t>
        </is>
      </c>
      <c r="J2188" s="17" t="inlineStr">
        <is>
          <t>Cái</t>
        </is>
      </c>
      <c r="K2188" s="19" t="n">
        <v>7750</v>
      </c>
      <c r="L2188" s="21" t="n"/>
      <c r="M2188" s="22" t="n"/>
      <c r="N2188" s="22" t="n">
        <v>148</v>
      </c>
      <c r="O2188" s="22" t="n">
        <v>1147000</v>
      </c>
      <c r="P2188" s="22" t="n">
        <v>148</v>
      </c>
      <c r="Q2188" s="22" t="n">
        <v>1147000</v>
      </c>
      <c r="R2188" s="42">
        <f>+L2188+N2188-P2188</f>
        <v/>
      </c>
      <c r="S2188" s="42">
        <f>+M2188+O2188-Q2188</f>
        <v/>
      </c>
    </row>
    <row r="2189" ht="30" customHeight="1">
      <c r="A2189" s="16" t="n">
        <v>45848</v>
      </c>
      <c r="B2189" s="17" t="inlineStr">
        <is>
          <t>MH2507-16</t>
        </is>
      </c>
      <c r="C2189" s="16" t="n">
        <v>45848</v>
      </c>
      <c r="D2189" s="16" t="n">
        <v>45848</v>
      </c>
      <c r="E2189" s="17" t="inlineStr">
        <is>
          <t>00002628</t>
        </is>
      </c>
      <c r="F2189" s="16" t="inlineStr">
        <is>
          <t>XK2507-07</t>
        </is>
      </c>
      <c r="G2189" s="16" t="n">
        <v>45848</v>
      </c>
      <c r="H2189" s="17" t="inlineStr">
        <is>
          <t>CÔNG TY CỔ PHẦN CÔNG NGHIỆP VÀ THƯƠNG MẠI CƯỜNG THỊNH</t>
        </is>
      </c>
      <c r="I2189" s="17" t="inlineStr">
        <is>
          <t>Long đền thường ZP M30B50D2</t>
        </is>
      </c>
      <c r="J2189" s="17" t="inlineStr">
        <is>
          <t>Cái</t>
        </is>
      </c>
      <c r="K2189" s="19" t="n">
        <v>890</v>
      </c>
      <c r="L2189" s="21" t="n"/>
      <c r="M2189" s="22" t="n"/>
      <c r="N2189" s="22" t="n">
        <v>148</v>
      </c>
      <c r="O2189" s="22" t="n">
        <v>131720</v>
      </c>
      <c r="P2189" s="22" t="n">
        <v>148</v>
      </c>
      <c r="Q2189" s="22" t="n">
        <v>131720</v>
      </c>
      <c r="R2189" s="42">
        <f>+L2189+N2189-P2189</f>
        <v/>
      </c>
      <c r="S2189" s="42">
        <f>+M2189+O2189-Q2189</f>
        <v/>
      </c>
    </row>
    <row r="2190" ht="30" customHeight="1">
      <c r="A2190" s="16" t="n">
        <v>45848</v>
      </c>
      <c r="B2190" s="17" t="inlineStr">
        <is>
          <t>MH2507-16</t>
        </is>
      </c>
      <c r="C2190" s="16" t="n">
        <v>45848</v>
      </c>
      <c r="D2190" s="16" t="n">
        <v>45848</v>
      </c>
      <c r="E2190" s="17" t="inlineStr">
        <is>
          <t>00002628</t>
        </is>
      </c>
      <c r="F2190" s="16" t="inlineStr">
        <is>
          <t>XK2507-07</t>
        </is>
      </c>
      <c r="G2190" s="16" t="n">
        <v>45848</v>
      </c>
      <c r="H2190" s="17" t="inlineStr">
        <is>
          <t>CÔNG TY CỔ PHẦN CÔNG NGHIỆP VÀ THƯƠNG MẠI CƯỜNG THỊNH</t>
        </is>
      </c>
      <c r="I2190" s="17" t="inlineStr">
        <is>
          <t>Bulong Din 933 8.8 ZP M30x90</t>
        </is>
      </c>
      <c r="J2190" s="17" t="inlineStr">
        <is>
          <t>Cái</t>
        </is>
      </c>
      <c r="K2190" s="19" t="n">
        <v>23590</v>
      </c>
      <c r="L2190" s="21" t="n"/>
      <c r="M2190" s="22" t="n"/>
      <c r="N2190" s="22" t="n">
        <v>470</v>
      </c>
      <c r="O2190" s="22" t="n">
        <v>11087300</v>
      </c>
      <c r="P2190" s="22" t="n">
        <v>470</v>
      </c>
      <c r="Q2190" s="22" t="n">
        <v>11087300</v>
      </c>
      <c r="R2190" s="42">
        <f>+L2190+N2190-P2190</f>
        <v/>
      </c>
      <c r="S2190" s="42">
        <f>+M2190+O2190-Q2190</f>
        <v/>
      </c>
    </row>
    <row r="2191" ht="30" customHeight="1">
      <c r="A2191" s="16" t="n">
        <v>45848</v>
      </c>
      <c r="B2191" s="17" t="inlineStr">
        <is>
          <t>MH2507-16</t>
        </is>
      </c>
      <c r="C2191" s="16" t="n">
        <v>45848</v>
      </c>
      <c r="D2191" s="16" t="n">
        <v>45848</v>
      </c>
      <c r="E2191" s="17" t="inlineStr">
        <is>
          <t>00002628</t>
        </is>
      </c>
      <c r="F2191" s="16" t="inlineStr">
        <is>
          <t>XK2507-07</t>
        </is>
      </c>
      <c r="G2191" s="16" t="n">
        <v>45848</v>
      </c>
      <c r="H2191" s="17" t="inlineStr">
        <is>
          <t>CÔNG TY CỔ PHẦN CÔNG NGHIỆP VÀ THƯƠNG MẠI CƯỜNG THỊNH</t>
        </is>
      </c>
      <c r="I2191" s="17" t="inlineStr">
        <is>
          <t>Đai ốc Din 934 8 ZP M30</t>
        </is>
      </c>
      <c r="J2191" s="17" t="inlineStr">
        <is>
          <t>Cái</t>
        </is>
      </c>
      <c r="K2191" s="19" t="n">
        <v>7750</v>
      </c>
      <c r="L2191" s="21" t="n"/>
      <c r="M2191" s="22" t="n"/>
      <c r="N2191" s="22" t="n">
        <v>470</v>
      </c>
      <c r="O2191" s="22" t="n">
        <v>3642500</v>
      </c>
      <c r="P2191" s="22" t="n">
        <v>470</v>
      </c>
      <c r="Q2191" s="22" t="n">
        <v>3642500</v>
      </c>
      <c r="R2191" s="42">
        <f>+L2191+N2191-P2191</f>
        <v/>
      </c>
      <c r="S2191" s="42">
        <f>+M2191+O2191-Q2191</f>
        <v/>
      </c>
    </row>
    <row r="2192" ht="30" customHeight="1">
      <c r="A2192" s="16" t="n">
        <v>45848</v>
      </c>
      <c r="B2192" s="17" t="inlineStr">
        <is>
          <t>MH2507-16</t>
        </is>
      </c>
      <c r="C2192" s="16" t="n">
        <v>45848</v>
      </c>
      <c r="D2192" s="16" t="n">
        <v>45848</v>
      </c>
      <c r="E2192" s="17" t="inlineStr">
        <is>
          <t>00002628</t>
        </is>
      </c>
      <c r="F2192" s="16" t="inlineStr">
        <is>
          <t>XK2507-07</t>
        </is>
      </c>
      <c r="G2192" s="16" t="n">
        <v>45848</v>
      </c>
      <c r="H2192" s="17" t="inlineStr">
        <is>
          <t>CÔNG TY CỔ PHẦN CÔNG NGHIỆP VÀ THƯƠNG MẠI CƯỜNG THỊNH</t>
        </is>
      </c>
      <c r="I2192" s="17" t="inlineStr">
        <is>
          <t>Long đền thường ZP M30B50D2</t>
        </is>
      </c>
      <c r="J2192" s="17" t="inlineStr">
        <is>
          <t>Cái</t>
        </is>
      </c>
      <c r="K2192" s="19" t="n">
        <v>890</v>
      </c>
      <c r="L2192" s="21" t="n"/>
      <c r="M2192" s="22" t="n"/>
      <c r="N2192" s="22" t="n">
        <v>470</v>
      </c>
      <c r="O2192" s="22" t="n">
        <v>418300</v>
      </c>
      <c r="P2192" s="22" t="n">
        <v>470</v>
      </c>
      <c r="Q2192" s="22" t="n">
        <v>418300</v>
      </c>
      <c r="R2192" s="42">
        <f>+L2192+N2192-P2192</f>
        <v/>
      </c>
      <c r="S2192" s="42">
        <f>+M2192+O2192-Q2192</f>
        <v/>
      </c>
    </row>
    <row r="2193" ht="30.75" customHeight="1">
      <c r="A2193" s="16" t="n">
        <v>45848</v>
      </c>
      <c r="B2193" s="17" t="inlineStr">
        <is>
          <t>MH2507-16</t>
        </is>
      </c>
      <c r="C2193" s="16" t="n">
        <v>45848</v>
      </c>
      <c r="D2193" s="16" t="n">
        <v>45848</v>
      </c>
      <c r="E2193" s="17" t="inlineStr">
        <is>
          <t>00002628</t>
        </is>
      </c>
      <c r="F2193" s="16" t="inlineStr">
        <is>
          <t>XK2507-07</t>
        </is>
      </c>
      <c r="G2193" s="16" t="n">
        <v>45848</v>
      </c>
      <c r="H2193" s="17" t="inlineStr">
        <is>
          <t>CÔNG TY CỔ PHẦN CÔNG NGHIỆP VÀ THƯƠNG MẠI CƯỜNG THỊNH</t>
        </is>
      </c>
      <c r="I2193" s="17" t="inlineStr">
        <is>
          <t>Bulong thường 4.6 ZP M12x30</t>
        </is>
      </c>
      <c r="J2193" s="17" t="inlineStr">
        <is>
          <t>Cái</t>
        </is>
      </c>
      <c r="K2193" s="19" t="n">
        <v>950</v>
      </c>
      <c r="L2193" s="34" t="n"/>
      <c r="M2193" s="35" t="n"/>
      <c r="N2193" s="22" t="n">
        <v>76</v>
      </c>
      <c r="O2193" s="22" t="n">
        <v>72200</v>
      </c>
      <c r="P2193" s="22" t="n">
        <v>76</v>
      </c>
      <c r="Q2193" s="22" t="n">
        <v>72200</v>
      </c>
      <c r="R2193" s="42">
        <f>+L2193+N2193-P2193</f>
        <v/>
      </c>
      <c r="S2193" s="42">
        <f>+M2193+O2193-Q2193</f>
        <v/>
      </c>
    </row>
    <row r="2194" ht="30" customHeight="1">
      <c r="A2194" s="16" t="n">
        <v>45848</v>
      </c>
      <c r="B2194" s="17" t="inlineStr">
        <is>
          <t>MH2507-16</t>
        </is>
      </c>
      <c r="C2194" s="16" t="n">
        <v>45848</v>
      </c>
      <c r="D2194" s="16" t="n">
        <v>45848</v>
      </c>
      <c r="E2194" s="17" t="inlineStr">
        <is>
          <t>00002628</t>
        </is>
      </c>
      <c r="F2194" s="16" t="inlineStr">
        <is>
          <t>XK2507-07</t>
        </is>
      </c>
      <c r="G2194" s="16" t="n">
        <v>45848</v>
      </c>
      <c r="H2194" s="17" t="inlineStr">
        <is>
          <t>CÔNG TY CỔ PHẦN CÔNG NGHIỆP VÀ THƯƠNG MẠI CƯỜNG THỊNH</t>
        </is>
      </c>
      <c r="I2194" s="17" t="inlineStr">
        <is>
          <t>Đai ốc thường 4 ZP M12 (9mm)</t>
        </is>
      </c>
      <c r="J2194" s="17" t="inlineStr">
        <is>
          <t>Cái</t>
        </is>
      </c>
      <c r="K2194" s="19" t="n">
        <v>360</v>
      </c>
      <c r="L2194" s="33" t="n"/>
      <c r="M2194" s="33" t="n"/>
      <c r="N2194" s="22" t="n">
        <v>76</v>
      </c>
      <c r="O2194" s="22" t="n">
        <v>27360</v>
      </c>
      <c r="P2194" s="22" t="n">
        <v>76</v>
      </c>
      <c r="Q2194" s="22" t="n">
        <v>27360</v>
      </c>
      <c r="R2194" s="42">
        <f>+L2194+N2194-P2194</f>
        <v/>
      </c>
      <c r="S2194" s="42">
        <f>+M2194+O2194-Q2194</f>
        <v/>
      </c>
    </row>
    <row r="2195" ht="30" customHeight="1">
      <c r="A2195" s="16" t="n">
        <v>45848</v>
      </c>
      <c r="B2195" s="17" t="inlineStr">
        <is>
          <t>MH2507-16</t>
        </is>
      </c>
      <c r="C2195" s="16" t="n">
        <v>45848</v>
      </c>
      <c r="D2195" s="16" t="n">
        <v>45848</v>
      </c>
      <c r="E2195" s="17" t="inlineStr">
        <is>
          <t>00002628</t>
        </is>
      </c>
      <c r="F2195" s="16" t="inlineStr">
        <is>
          <t>XK2507-07</t>
        </is>
      </c>
      <c r="G2195" s="16" t="n">
        <v>45848</v>
      </c>
      <c r="H2195" s="17" t="inlineStr">
        <is>
          <t>CÔNG TY CỔ PHẦN CÔNG NGHIỆP VÀ THƯƠNG MẠI CƯỜNG THỊNH</t>
        </is>
      </c>
      <c r="I2195" s="17" t="inlineStr">
        <is>
          <t>Long đền thường ZP M12B23D1</t>
        </is>
      </c>
      <c r="J2195" s="17" t="inlineStr">
        <is>
          <t>Cái</t>
        </is>
      </c>
      <c r="K2195" s="19" t="n">
        <v>100</v>
      </c>
      <c r="L2195" s="33" t="n"/>
      <c r="M2195" s="33" t="n"/>
      <c r="N2195" s="22" t="n">
        <v>152</v>
      </c>
      <c r="O2195" s="22" t="n">
        <v>15200</v>
      </c>
      <c r="P2195" s="22" t="n">
        <v>152</v>
      </c>
      <c r="Q2195" s="22" t="n">
        <v>15200</v>
      </c>
      <c r="R2195" s="42">
        <f>+L2195+N2195-P2195</f>
        <v/>
      </c>
      <c r="S2195" s="42">
        <f>+M2195+O2195-Q2195</f>
        <v/>
      </c>
    </row>
    <row r="2196" ht="30" customHeight="1">
      <c r="A2196" s="16" t="n">
        <v>45848</v>
      </c>
      <c r="B2196" s="17" t="inlineStr">
        <is>
          <t>MH2507-16</t>
        </is>
      </c>
      <c r="C2196" s="16" t="n">
        <v>45848</v>
      </c>
      <c r="D2196" s="16" t="n">
        <v>45848</v>
      </c>
      <c r="E2196" s="17" t="inlineStr">
        <is>
          <t>00002628</t>
        </is>
      </c>
      <c r="F2196" s="16" t="inlineStr">
        <is>
          <t>XK2507-07</t>
        </is>
      </c>
      <c r="G2196" s="16" t="n">
        <v>45848</v>
      </c>
      <c r="H2196" s="17" t="inlineStr">
        <is>
          <t>CÔNG TY CỔ PHẦN CÔNG NGHIỆP VÀ THƯƠNG MẠI CƯỜNG THỊNH</t>
        </is>
      </c>
      <c r="I2196" s="17" t="inlineStr">
        <is>
          <t>Bulong thường 4.6 ZP M12x40</t>
        </is>
      </c>
      <c r="J2196" s="17" t="inlineStr">
        <is>
          <t>Cái</t>
        </is>
      </c>
      <c r="K2196" s="19" t="n">
        <v>1100</v>
      </c>
      <c r="L2196" s="33" t="n"/>
      <c r="M2196" s="33" t="n"/>
      <c r="N2196" s="22" t="n">
        <v>82</v>
      </c>
      <c r="O2196" s="22" t="n">
        <v>90200</v>
      </c>
      <c r="P2196" s="22" t="n">
        <v>82</v>
      </c>
      <c r="Q2196" s="22" t="n">
        <v>90200</v>
      </c>
      <c r="R2196" s="42">
        <f>+L2196+N2196-P2196</f>
        <v/>
      </c>
      <c r="S2196" s="42">
        <f>+M2196+O2196-Q2196</f>
        <v/>
      </c>
    </row>
    <row r="2197" ht="30" customHeight="1">
      <c r="A2197" s="16" t="n">
        <v>45848</v>
      </c>
      <c r="B2197" s="17" t="inlineStr">
        <is>
          <t>MH2507-16</t>
        </is>
      </c>
      <c r="C2197" s="16" t="n">
        <v>45848</v>
      </c>
      <c r="D2197" s="16" t="n">
        <v>45848</v>
      </c>
      <c r="E2197" s="17" t="inlineStr">
        <is>
          <t>00002628</t>
        </is>
      </c>
      <c r="F2197" s="16" t="inlineStr">
        <is>
          <t>XK2507-07</t>
        </is>
      </c>
      <c r="G2197" s="16" t="n">
        <v>45848</v>
      </c>
      <c r="H2197" s="17" t="inlineStr">
        <is>
          <t>CÔNG TY CỔ PHẦN CÔNG NGHIỆP VÀ THƯƠNG MẠI CƯỜNG THỊNH</t>
        </is>
      </c>
      <c r="I2197" s="17" t="inlineStr">
        <is>
          <t>Đai ốc thường 4 ZP M12 (9mm)</t>
        </is>
      </c>
      <c r="J2197" s="17" t="inlineStr">
        <is>
          <t>Cái</t>
        </is>
      </c>
      <c r="K2197" s="19" t="n">
        <v>360</v>
      </c>
      <c r="L2197" s="33" t="n"/>
      <c r="M2197" s="33" t="n"/>
      <c r="N2197" s="22" t="n">
        <v>82</v>
      </c>
      <c r="O2197" s="22" t="n">
        <v>29520</v>
      </c>
      <c r="P2197" s="22" t="n">
        <v>82</v>
      </c>
      <c r="Q2197" s="22" t="n">
        <v>29520</v>
      </c>
      <c r="R2197" s="42">
        <f>+L2197+N2197-P2197</f>
        <v/>
      </c>
      <c r="S2197" s="42">
        <f>+M2197+O2197-Q2197</f>
        <v/>
      </c>
    </row>
    <row r="2198" ht="30" customHeight="1">
      <c r="A2198" s="16" t="n">
        <v>45848</v>
      </c>
      <c r="B2198" s="17" t="inlineStr">
        <is>
          <t>MH2507-16</t>
        </is>
      </c>
      <c r="C2198" s="16" t="n">
        <v>45848</v>
      </c>
      <c r="D2198" s="16" t="n">
        <v>45848</v>
      </c>
      <c r="E2198" s="17" t="inlineStr">
        <is>
          <t>00002628</t>
        </is>
      </c>
      <c r="F2198" s="16" t="inlineStr">
        <is>
          <t>XK2507-07</t>
        </is>
      </c>
      <c r="G2198" s="16" t="n">
        <v>45848</v>
      </c>
      <c r="H2198" s="17" t="inlineStr">
        <is>
          <t>CÔNG TY CỔ PHẦN CÔNG NGHIỆP VÀ THƯƠNG MẠI CƯỜNG THỊNH</t>
        </is>
      </c>
      <c r="I2198" s="17" t="inlineStr">
        <is>
          <t>Long đền thường ZP M12B23D1</t>
        </is>
      </c>
      <c r="J2198" s="17" t="inlineStr">
        <is>
          <t>Cái</t>
        </is>
      </c>
      <c r="K2198" s="19" t="n">
        <v>100</v>
      </c>
      <c r="L2198" s="33" t="n"/>
      <c r="M2198" s="33" t="n"/>
      <c r="N2198" s="22" t="n">
        <v>164</v>
      </c>
      <c r="O2198" s="22" t="n">
        <v>16400</v>
      </c>
      <c r="P2198" s="22" t="n">
        <v>164</v>
      </c>
      <c r="Q2198" s="22" t="n">
        <v>16400</v>
      </c>
      <c r="R2198" s="42">
        <f>+L2198+N2198-P2198</f>
        <v/>
      </c>
      <c r="S2198" s="42">
        <f>+M2198+O2198-Q2198</f>
        <v/>
      </c>
    </row>
    <row r="2199" ht="30" customHeight="1">
      <c r="A2199" s="16" t="n">
        <v>45848</v>
      </c>
      <c r="B2199" s="17" t="inlineStr">
        <is>
          <t>MH2507-17</t>
        </is>
      </c>
      <c r="C2199" s="16" t="n">
        <v>45848</v>
      </c>
      <c r="D2199" s="16" t="n">
        <v>45848</v>
      </c>
      <c r="E2199" s="17" t="inlineStr">
        <is>
          <t>00002629</t>
        </is>
      </c>
      <c r="F2199" s="16" t="inlineStr">
        <is>
          <t>XK2507-07</t>
        </is>
      </c>
      <c r="G2199" s="16" t="n">
        <v>45848</v>
      </c>
      <c r="H2199" s="17" t="inlineStr">
        <is>
          <t>CÔNG TY CỔ PHẦN CÔNG NGHIỆP VÀ THƯƠNG MẠI CƯỜNG THỊNH</t>
        </is>
      </c>
      <c r="I2199" s="17" t="inlineStr">
        <is>
          <t>Vít B2 Dacromet 12-14x20</t>
        </is>
      </c>
      <c r="J2199" s="17" t="inlineStr">
        <is>
          <t>Cái</t>
        </is>
      </c>
      <c r="K2199" s="19" t="n">
        <v>600</v>
      </c>
      <c r="L2199" s="33" t="n"/>
      <c r="M2199" s="33" t="n"/>
      <c r="N2199" s="22" t="n">
        <v>800</v>
      </c>
      <c r="O2199" s="22" t="n">
        <v>480000</v>
      </c>
      <c r="P2199" s="22" t="n">
        <v>800</v>
      </c>
      <c r="Q2199" s="22" t="n">
        <v>480000</v>
      </c>
      <c r="R2199" s="42">
        <f>+L2199+N2199-P2199</f>
        <v/>
      </c>
      <c r="S2199" s="42">
        <f>+M2199+O2199-Q2199</f>
        <v/>
      </c>
    </row>
    <row r="2200" ht="30" customHeight="1">
      <c r="A2200" s="16" t="n">
        <v>45848</v>
      </c>
      <c r="B2200" s="17" t="inlineStr">
        <is>
          <t>MH2507-17</t>
        </is>
      </c>
      <c r="C2200" s="16" t="n">
        <v>45848</v>
      </c>
      <c r="D2200" s="16" t="n">
        <v>45848</v>
      </c>
      <c r="E2200" s="17" t="inlineStr">
        <is>
          <t>00002629</t>
        </is>
      </c>
      <c r="F2200" s="16" t="inlineStr">
        <is>
          <t>XK2507-07</t>
        </is>
      </c>
      <c r="G2200" s="16" t="n">
        <v>45848</v>
      </c>
      <c r="H2200" s="17" t="inlineStr">
        <is>
          <t>CÔNG TY CỔ PHẦN CÔNG NGHIỆP VÀ THƯƠNG MẠI CƯỜNG THỊNH</t>
        </is>
      </c>
      <c r="I2200" s="17" t="inlineStr">
        <is>
          <t>Bulong Din 933 8.8 ZP M20x50</t>
        </is>
      </c>
      <c r="J2200" s="17" t="inlineStr">
        <is>
          <t>Cái</t>
        </is>
      </c>
      <c r="K2200" s="19" t="n">
        <v>5760</v>
      </c>
      <c r="L2200" s="33" t="n"/>
      <c r="M2200" s="33" t="n"/>
      <c r="N2200" s="22" t="n">
        <v>336</v>
      </c>
      <c r="O2200" s="22" t="n">
        <v>1935360</v>
      </c>
      <c r="P2200" s="22" t="n">
        <v>336</v>
      </c>
      <c r="Q2200" s="22" t="n">
        <v>1935360</v>
      </c>
      <c r="R2200" s="42">
        <f>+L2200+N2200-P2200</f>
        <v/>
      </c>
      <c r="S2200" s="42">
        <f>+M2200+O2200-Q2200</f>
        <v/>
      </c>
    </row>
    <row r="2201" ht="30" customHeight="1">
      <c r="A2201" s="16" t="n">
        <v>45848</v>
      </c>
      <c r="B2201" s="17" t="inlineStr">
        <is>
          <t>MH2507-17</t>
        </is>
      </c>
      <c r="C2201" s="16" t="n">
        <v>45848</v>
      </c>
      <c r="D2201" s="16" t="n">
        <v>45848</v>
      </c>
      <c r="E2201" s="17" t="inlineStr">
        <is>
          <t>00002629</t>
        </is>
      </c>
      <c r="F2201" s="16" t="inlineStr">
        <is>
          <t>XK2507-07</t>
        </is>
      </c>
      <c r="G2201" s="16" t="n">
        <v>45848</v>
      </c>
      <c r="H2201" s="17" t="inlineStr">
        <is>
          <t>CÔNG TY CỔ PHẦN CÔNG NGHIỆP VÀ THƯƠNG MẠI CƯỜNG THỊNH</t>
        </is>
      </c>
      <c r="I2201" s="17" t="inlineStr">
        <is>
          <t>Đai ốc Din 934 8 ZP M20</t>
        </is>
      </c>
      <c r="J2201" s="17" t="inlineStr">
        <is>
          <t>Cái</t>
        </is>
      </c>
      <c r="K2201" s="19" t="n">
        <v>2030</v>
      </c>
      <c r="L2201" s="33" t="n"/>
      <c r="M2201" s="33" t="n"/>
      <c r="N2201" s="22" t="n">
        <v>336</v>
      </c>
      <c r="O2201" s="22" t="n">
        <v>682080</v>
      </c>
      <c r="P2201" s="22" t="n">
        <v>336</v>
      </c>
      <c r="Q2201" s="22" t="n">
        <v>682080</v>
      </c>
      <c r="R2201" s="42">
        <f>+L2201+N2201-P2201</f>
        <v/>
      </c>
      <c r="S2201" s="42">
        <f>+M2201+O2201-Q2201</f>
        <v/>
      </c>
    </row>
    <row r="2202" ht="30" customHeight="1">
      <c r="A2202" s="16" t="n">
        <v>45848</v>
      </c>
      <c r="B2202" s="17" t="inlineStr">
        <is>
          <t>MH2507-17</t>
        </is>
      </c>
      <c r="C2202" s="16" t="n">
        <v>45848</v>
      </c>
      <c r="D2202" s="16" t="n">
        <v>45848</v>
      </c>
      <c r="E2202" s="17" t="inlineStr">
        <is>
          <t>00002629</t>
        </is>
      </c>
      <c r="F2202" s="16" t="inlineStr">
        <is>
          <t>XK2507-07</t>
        </is>
      </c>
      <c r="G2202" s="16" t="n">
        <v>45848</v>
      </c>
      <c r="H2202" s="17" t="inlineStr">
        <is>
          <t>CÔNG TY CỔ PHẦN CÔNG NGHIỆP VÀ THƯƠNG MẠI CƯỜNG THỊNH</t>
        </is>
      </c>
      <c r="I2202" s="17" t="inlineStr">
        <is>
          <t>Long đền thường ZP M20B35D2</t>
        </is>
      </c>
      <c r="J2202" s="17" t="inlineStr">
        <is>
          <t>Cái</t>
        </is>
      </c>
      <c r="K2202" s="19" t="n">
        <v>350</v>
      </c>
      <c r="L2202" s="33" t="n"/>
      <c r="M2202" s="33" t="n"/>
      <c r="N2202" s="22" t="n">
        <v>336</v>
      </c>
      <c r="O2202" s="22" t="n">
        <v>117600</v>
      </c>
      <c r="P2202" s="22" t="n">
        <v>336</v>
      </c>
      <c r="Q2202" s="22" t="n">
        <v>117600</v>
      </c>
      <c r="R2202" s="42">
        <f>+L2202+N2202-P2202</f>
        <v/>
      </c>
      <c r="S2202" s="42">
        <f>+M2202+O2202-Q2202</f>
        <v/>
      </c>
    </row>
    <row r="2203" ht="30" customHeight="1">
      <c r="A2203" s="16" t="n">
        <v>45848</v>
      </c>
      <c r="B2203" s="17" t="inlineStr">
        <is>
          <t>MH2507-18</t>
        </is>
      </c>
      <c r="C2203" s="16" t="n">
        <v>45848</v>
      </c>
      <c r="D2203" s="16" t="n">
        <v>45848</v>
      </c>
      <c r="E2203" s="17" t="inlineStr">
        <is>
          <t>00000100</t>
        </is>
      </c>
      <c r="F2203" s="16" t="inlineStr">
        <is>
          <t>XK2507-07</t>
        </is>
      </c>
      <c r="G2203" s="16" t="n">
        <v>45848</v>
      </c>
      <c r="H2203" s="17" t="inlineStr">
        <is>
          <t>CÔNG TY TNHH MTV VẬT TƯ CÔNG NGHIỆP THÀNH CÔNG</t>
        </is>
      </c>
      <c r="I2203" s="17" t="inlineStr">
        <is>
          <t>Vòng bi NTN: 6818ZZ/5K</t>
        </is>
      </c>
      <c r="J2203" s="17" t="inlineStr">
        <is>
          <t>Cái</t>
        </is>
      </c>
      <c r="K2203" s="19" t="n">
        <v>1680000</v>
      </c>
      <c r="L2203" s="33" t="n"/>
      <c r="M2203" s="33" t="n"/>
      <c r="N2203" s="22" t="n">
        <v>2</v>
      </c>
      <c r="O2203" s="22" t="n">
        <v>3360000</v>
      </c>
      <c r="P2203" s="22" t="n">
        <v>2</v>
      </c>
      <c r="Q2203" s="22" t="n">
        <v>3360000</v>
      </c>
      <c r="R2203" s="42">
        <f>+L2203+N2203-P2203</f>
        <v/>
      </c>
      <c r="S2203" s="42">
        <f>+M2203+O2203-Q2203</f>
        <v/>
      </c>
    </row>
    <row r="2204" ht="15" customHeight="1">
      <c r="A2204" s="16" t="n">
        <v>45849</v>
      </c>
      <c r="B2204" s="17" t="inlineStr">
        <is>
          <t>MH2507-19</t>
        </is>
      </c>
      <c r="C2204" s="16" t="n">
        <v>45849</v>
      </c>
      <c r="D2204" s="16" t="n">
        <v>45849</v>
      </c>
      <c r="E2204" s="17" t="inlineStr">
        <is>
          <t>875</t>
        </is>
      </c>
      <c r="F2204" s="16" t="inlineStr">
        <is>
          <t>XK2507-08</t>
        </is>
      </c>
      <c r="G2204" s="16" t="n">
        <v>45849</v>
      </c>
      <c r="H2204" s="17" t="inlineStr">
        <is>
          <t>CÔNG TY CỔ PHẦN QH PLUS</t>
        </is>
      </c>
      <c r="I2204" s="17" t="inlineStr">
        <is>
          <t>Thép tấm cán nóng 6x2000x6000</t>
        </is>
      </c>
      <c r="J2204" s="17" t="inlineStr">
        <is>
          <t>kg</t>
        </is>
      </c>
      <c r="K2204" s="19" t="n">
        <v>13455</v>
      </c>
      <c r="L2204" s="33" t="n"/>
      <c r="M2204" s="33" t="n"/>
      <c r="N2204" s="22" t="n">
        <v>33912</v>
      </c>
      <c r="O2204" s="22" t="n">
        <v>456285960</v>
      </c>
      <c r="P2204" s="22" t="n">
        <v>33912</v>
      </c>
      <c r="Q2204" s="22" t="n">
        <v>456285960</v>
      </c>
      <c r="R2204" s="42">
        <f>+L2204+N2204-P2204</f>
        <v/>
      </c>
      <c r="S2204" s="42">
        <f>+M2204+O2204-Q2204</f>
        <v/>
      </c>
    </row>
    <row r="2205" ht="30" customHeight="1">
      <c r="A2205" s="16" t="n">
        <v>45849</v>
      </c>
      <c r="B2205" s="17" t="inlineStr">
        <is>
          <t>MH2507-20</t>
        </is>
      </c>
      <c r="C2205" s="16" t="n">
        <v>45849</v>
      </c>
      <c r="D2205" s="16" t="n">
        <v>45849</v>
      </c>
      <c r="E2205" s="17" t="inlineStr">
        <is>
          <t>00001283</t>
        </is>
      </c>
      <c r="F2205" s="16" t="inlineStr">
        <is>
          <t>XK2507-09</t>
        </is>
      </c>
      <c r="G2205" s="16" t="n">
        <v>45849</v>
      </c>
      <c r="H2205" s="17" t="inlineStr">
        <is>
          <t>CÔNG TY TNHH DỊCH VỤ - THƯƠNG MẠI THÉP THIÊN LONG</t>
        </is>
      </c>
      <c r="I2205" s="17" t="inlineStr">
        <is>
          <t>Thép vuông 150</t>
        </is>
      </c>
      <c r="J2205" s="17" t="inlineStr">
        <is>
          <t>kg</t>
        </is>
      </c>
      <c r="K2205" s="19" t="n">
        <v>16363.63</v>
      </c>
      <c r="L2205" s="33" t="n"/>
      <c r="M2205" s="33" t="n"/>
      <c r="N2205" s="22" t="n">
        <v>3670.8</v>
      </c>
      <c r="O2205" s="22" t="n">
        <v>60067613</v>
      </c>
      <c r="P2205" s="22" t="n">
        <v>3670.8</v>
      </c>
      <c r="Q2205" s="22" t="n">
        <v>60067613</v>
      </c>
      <c r="R2205" s="42">
        <f>+L2205+N2205-P2205</f>
        <v/>
      </c>
      <c r="S2205" s="42">
        <f>+M2205+O2205-Q2205</f>
        <v/>
      </c>
    </row>
    <row r="2206" ht="30" customHeight="1">
      <c r="A2206" s="16" t="n">
        <v>45849</v>
      </c>
      <c r="B2206" s="17" t="inlineStr">
        <is>
          <t>MH2507-20</t>
        </is>
      </c>
      <c r="C2206" s="16" t="n">
        <v>45849</v>
      </c>
      <c r="D2206" s="16" t="n">
        <v>45849</v>
      </c>
      <c r="E2206" s="17" t="inlineStr">
        <is>
          <t>00001283</t>
        </is>
      </c>
      <c r="F2206" s="16" t="inlineStr">
        <is>
          <t>XK2507-09</t>
        </is>
      </c>
      <c r="G2206" s="16" t="n">
        <v>45849</v>
      </c>
      <c r="H2206" s="17" t="inlineStr">
        <is>
          <t>CÔNG TY TNHH DỊCH VỤ - THƯƠNG MẠI THÉP THIÊN LONG</t>
        </is>
      </c>
      <c r="I2206" s="17" t="inlineStr">
        <is>
          <t>Thép vuông 200</t>
        </is>
      </c>
      <c r="J2206" s="17" t="inlineStr">
        <is>
          <t>kg</t>
        </is>
      </c>
      <c r="K2206" s="19" t="n">
        <v>16681.81</v>
      </c>
      <c r="L2206" s="33" t="n"/>
      <c r="M2206" s="33" t="n"/>
      <c r="N2206" s="22" t="n">
        <v>22730.4</v>
      </c>
      <c r="O2206" s="22" t="n">
        <v>379184458</v>
      </c>
      <c r="P2206" s="22" t="n">
        <v>22730.4</v>
      </c>
      <c r="Q2206" s="22" t="n">
        <v>379184458</v>
      </c>
      <c r="R2206" s="42">
        <f>+L2206+N2206-P2206</f>
        <v/>
      </c>
      <c r="S2206" s="42">
        <f>+M2206+O2206-Q2206</f>
        <v/>
      </c>
    </row>
    <row r="2207" ht="30" customHeight="1">
      <c r="A2207" s="16" t="n">
        <v>45849</v>
      </c>
      <c r="B2207" s="17" t="inlineStr">
        <is>
          <t>MH2507-20</t>
        </is>
      </c>
      <c r="C2207" s="16" t="n">
        <v>45849</v>
      </c>
      <c r="D2207" s="16" t="n">
        <v>45849</v>
      </c>
      <c r="E2207" s="17" t="inlineStr">
        <is>
          <t>00001283</t>
        </is>
      </c>
      <c r="F2207" s="16" t="inlineStr">
        <is>
          <t>XK2507-09</t>
        </is>
      </c>
      <c r="G2207" s="16" t="n">
        <v>45849</v>
      </c>
      <c r="H2207" s="17" t="inlineStr">
        <is>
          <t>CÔNG TY TNHH DỊCH VỤ - THƯƠNG MẠI THÉP THIÊN LONG</t>
        </is>
      </c>
      <c r="I2207" s="17" t="inlineStr">
        <is>
          <t>Thép tấm 5ly</t>
        </is>
      </c>
      <c r="J2207" s="17" t="inlineStr">
        <is>
          <t>kg</t>
        </is>
      </c>
      <c r="K2207" s="19" t="n">
        <v>13636.36</v>
      </c>
      <c r="L2207" s="33" t="n"/>
      <c r="M2207" s="33" t="n"/>
      <c r="N2207" s="22" t="n">
        <v>9420</v>
      </c>
      <c r="O2207" s="22" t="n">
        <v>128454511</v>
      </c>
      <c r="P2207" s="22" t="n">
        <v>9420</v>
      </c>
      <c r="Q2207" s="22" t="n">
        <v>128454511</v>
      </c>
      <c r="R2207" s="42">
        <f>+L2207+N2207-P2207</f>
        <v/>
      </c>
      <c r="S2207" s="42">
        <f>+M2207+O2207-Q2207</f>
        <v/>
      </c>
    </row>
    <row r="2208" ht="15" customHeight="1">
      <c r="A2208" s="16" t="n">
        <v>45849</v>
      </c>
      <c r="B2208" s="17" t="inlineStr">
        <is>
          <t>MH2507-21</t>
        </is>
      </c>
      <c r="C2208" s="16" t="n">
        <v>45849</v>
      </c>
      <c r="D2208" s="16" t="n">
        <v>45849</v>
      </c>
      <c r="E2208" s="17" t="inlineStr">
        <is>
          <t>872</t>
        </is>
      </c>
      <c r="F2208" s="16" t="inlineStr">
        <is>
          <t>XK2507-10</t>
        </is>
      </c>
      <c r="G2208" s="16" t="n">
        <v>45849</v>
      </c>
      <c r="H2208" s="17" t="inlineStr">
        <is>
          <t>CÔNG TY CỔ PHẦN QH PLUS</t>
        </is>
      </c>
      <c r="I2208" s="17" t="inlineStr">
        <is>
          <t>Thép tấm cán nóng 6x2000x6000</t>
        </is>
      </c>
      <c r="J2208" s="17" t="inlineStr">
        <is>
          <t>kg</t>
        </is>
      </c>
      <c r="K2208" s="19" t="n">
        <v>13455</v>
      </c>
      <c r="L2208" s="33" t="n"/>
      <c r="M2208" s="33" t="n"/>
      <c r="N2208" s="22" t="n">
        <v>22608</v>
      </c>
      <c r="O2208" s="22" t="n">
        <v>304190640</v>
      </c>
      <c r="P2208" s="22" t="n">
        <v>22608</v>
      </c>
      <c r="Q2208" s="22" t="n">
        <v>304190640</v>
      </c>
      <c r="R2208" s="42">
        <f>+L2208+N2208-P2208</f>
        <v/>
      </c>
      <c r="S2208" s="42">
        <f>+M2208+O2208-Q2208</f>
        <v/>
      </c>
    </row>
    <row r="2209" ht="15" customHeight="1">
      <c r="A2209" s="16" t="n">
        <v>45850</v>
      </c>
      <c r="B2209" s="17" t="inlineStr">
        <is>
          <t>MH2507-22</t>
        </is>
      </c>
      <c r="C2209" s="16" t="n">
        <v>45850</v>
      </c>
      <c r="D2209" s="16" t="n">
        <v>45850</v>
      </c>
      <c r="E2209" s="17" t="inlineStr">
        <is>
          <t>00000027</t>
        </is>
      </c>
      <c r="F2209" s="16" t="inlineStr">
        <is>
          <t>XK2507-11</t>
        </is>
      </c>
      <c r="G2209" s="16" t="n">
        <v>45850</v>
      </c>
      <c r="H2209" s="17" t="inlineStr">
        <is>
          <t>CÔNG TY TNHH TÂN MỸ HẠNH</t>
        </is>
      </c>
      <c r="I2209" s="17" t="inlineStr">
        <is>
          <t>Tôn mạ kẽm</t>
        </is>
      </c>
      <c r="J2209" s="17" t="inlineStr">
        <is>
          <t>kg</t>
        </is>
      </c>
      <c r="K2209" s="19" t="n">
        <v>17445</v>
      </c>
      <c r="L2209" s="33" t="n"/>
      <c r="M2209" s="33" t="n"/>
      <c r="N2209" s="22" t="n">
        <v>10639.156</v>
      </c>
      <c r="O2209" s="22" t="n">
        <v>185600076</v>
      </c>
      <c r="P2209" s="22" t="n">
        <v>10639.156</v>
      </c>
      <c r="Q2209" s="22" t="n">
        <v>185600076</v>
      </c>
      <c r="R2209" s="42">
        <f>+L2209+N2209-P2209</f>
        <v/>
      </c>
      <c r="S2209" s="42">
        <f>+M2209+O2209-Q2209</f>
        <v/>
      </c>
    </row>
    <row r="2210" ht="15" customHeight="1">
      <c r="A2210" s="16" t="n">
        <v>45850</v>
      </c>
      <c r="B2210" s="17" t="inlineStr">
        <is>
          <t>MH2507-22</t>
        </is>
      </c>
      <c r="C2210" s="16" t="n">
        <v>45850</v>
      </c>
      <c r="D2210" s="16" t="n">
        <v>45850</v>
      </c>
      <c r="E2210" s="17" t="inlineStr">
        <is>
          <t>00000027</t>
        </is>
      </c>
      <c r="F2210" s="16" t="inlineStr">
        <is>
          <t>XK2507-11</t>
        </is>
      </c>
      <c r="G2210" s="16" t="n">
        <v>45850</v>
      </c>
      <c r="H2210" s="17" t="inlineStr">
        <is>
          <t>CÔNG TY TNHH TÂN MỸ HẠNH</t>
        </is>
      </c>
      <c r="I2210" s="17" t="inlineStr">
        <is>
          <t>Xà gồ kẽm Z</t>
        </is>
      </c>
      <c r="J2210" s="17" t="inlineStr">
        <is>
          <t>kg</t>
        </is>
      </c>
      <c r="K2210" s="19" t="n">
        <v>18976</v>
      </c>
      <c r="L2210" s="33" t="n"/>
      <c r="M2210" s="33" t="n"/>
      <c r="N2210" s="22" t="n">
        <v>212.628</v>
      </c>
      <c r="O2210" s="22" t="n">
        <v>4034829</v>
      </c>
      <c r="P2210" s="22" t="n">
        <v>212.628</v>
      </c>
      <c r="Q2210" s="22" t="n">
        <v>4034829</v>
      </c>
      <c r="R2210" s="42">
        <f>+L2210+N2210-P2210</f>
        <v/>
      </c>
      <c r="S2210" s="42">
        <f>+M2210+O2210-Q2210</f>
        <v/>
      </c>
    </row>
    <row r="2211" ht="15" customHeight="1">
      <c r="A2211" s="16" t="n">
        <v>45850</v>
      </c>
      <c r="B2211" s="17" t="inlineStr">
        <is>
          <t>MH2507-23</t>
        </is>
      </c>
      <c r="C2211" s="16" t="n">
        <v>45850</v>
      </c>
      <c r="D2211" s="16" t="n">
        <v>45850</v>
      </c>
      <c r="E2211" s="17" t="inlineStr">
        <is>
          <t>00000026</t>
        </is>
      </c>
      <c r="F2211" s="16" t="inlineStr">
        <is>
          <t>XK2507-12</t>
        </is>
      </c>
      <c r="G2211" s="16" t="n">
        <v>45850</v>
      </c>
      <c r="H2211" s="17" t="inlineStr">
        <is>
          <t>CÔNG TY TNHH TÂN MỸ HẠNH</t>
        </is>
      </c>
      <c r="I2211" s="17" t="inlineStr">
        <is>
          <t>Thép dày mạ kẽm</t>
        </is>
      </c>
      <c r="J2211" s="17" t="inlineStr">
        <is>
          <t>kg</t>
        </is>
      </c>
      <c r="K2211" s="19" t="n">
        <v>22696</v>
      </c>
      <c r="L2211" s="33" t="n"/>
      <c r="M2211" s="33" t="n"/>
      <c r="N2211" s="22" t="n">
        <v>1638</v>
      </c>
      <c r="O2211" s="22" t="n">
        <v>37176048</v>
      </c>
      <c r="P2211" s="22" t="n">
        <v>1638</v>
      </c>
      <c r="Q2211" s="22" t="n">
        <v>37176048</v>
      </c>
      <c r="R2211" s="42">
        <f>+L2211+N2211-P2211</f>
        <v/>
      </c>
      <c r="S2211" s="42">
        <f>+M2211+O2211-Q2211</f>
        <v/>
      </c>
    </row>
    <row r="2212" ht="15" customHeight="1">
      <c r="A2212" s="16" t="n">
        <v>45850</v>
      </c>
      <c r="B2212" s="17" t="inlineStr">
        <is>
          <t>MH2507-23</t>
        </is>
      </c>
      <c r="C2212" s="16" t="n">
        <v>45850</v>
      </c>
      <c r="D2212" s="16" t="n">
        <v>45850</v>
      </c>
      <c r="E2212" s="17" t="inlineStr">
        <is>
          <t>00000026</t>
        </is>
      </c>
      <c r="F2212" s="16" t="inlineStr">
        <is>
          <t>XK2507-12</t>
        </is>
      </c>
      <c r="G2212" s="16" t="n">
        <v>45850</v>
      </c>
      <c r="H2212" s="17" t="inlineStr">
        <is>
          <t>CÔNG TY TNHH TÂN MỸ HẠNH</t>
        </is>
      </c>
      <c r="I2212" s="17" t="inlineStr">
        <is>
          <t>Xà gồ kẽm Z</t>
        </is>
      </c>
      <c r="J2212" s="17" t="inlineStr">
        <is>
          <t>kg</t>
        </is>
      </c>
      <c r="K2212" s="19" t="n">
        <v>18976</v>
      </c>
      <c r="L2212" s="33" t="n"/>
      <c r="M2212" s="33" t="n"/>
      <c r="N2212" s="22" t="n">
        <v>12786.3</v>
      </c>
      <c r="O2212" s="22" t="n">
        <v>242632829</v>
      </c>
      <c r="P2212" s="22" t="n">
        <v>12786.3</v>
      </c>
      <c r="Q2212" s="22" t="n">
        <v>242632829</v>
      </c>
      <c r="R2212" s="42">
        <f>+L2212+N2212-P2212</f>
        <v/>
      </c>
      <c r="S2212" s="42">
        <f>+M2212+O2212-Q2212</f>
        <v/>
      </c>
    </row>
    <row r="2213" ht="15" customHeight="1">
      <c r="A2213" s="16" t="n">
        <v>45850</v>
      </c>
      <c r="B2213" s="17" t="inlineStr">
        <is>
          <t>MH2507-23</t>
        </is>
      </c>
      <c r="C2213" s="16" t="n">
        <v>45850</v>
      </c>
      <c r="D2213" s="16" t="n">
        <v>45850</v>
      </c>
      <c r="E2213" s="17" t="inlineStr">
        <is>
          <t>00000026</t>
        </is>
      </c>
      <c r="F2213" s="16" t="inlineStr">
        <is>
          <t>XK2507-12</t>
        </is>
      </c>
      <c r="G2213" s="16" t="n">
        <v>45850</v>
      </c>
      <c r="H2213" s="17" t="inlineStr">
        <is>
          <t>CÔNG TY TNHH TÂN MỸ HẠNH</t>
        </is>
      </c>
      <c r="I2213" s="17" t="inlineStr">
        <is>
          <t>Xà gồ kẽm C</t>
        </is>
      </c>
      <c r="J2213" s="17" t="inlineStr">
        <is>
          <t>kg</t>
        </is>
      </c>
      <c r="K2213" s="19" t="n">
        <v>18971</v>
      </c>
      <c r="L2213" s="33" t="n"/>
      <c r="M2213" s="33" t="n"/>
      <c r="N2213" s="22" t="n">
        <v>1677.3545</v>
      </c>
      <c r="O2213" s="22" t="n">
        <v>31821092</v>
      </c>
      <c r="P2213" s="22" t="n">
        <v>1677.3545</v>
      </c>
      <c r="Q2213" s="22" t="n">
        <v>31821092</v>
      </c>
      <c r="R2213" s="42">
        <f>+L2213+N2213-P2213</f>
        <v/>
      </c>
      <c r="S2213" s="42">
        <f>+M2213+O2213-Q2213</f>
        <v/>
      </c>
    </row>
    <row r="2214" ht="30" customHeight="1">
      <c r="A2214" s="16" t="n">
        <v>45854</v>
      </c>
      <c r="B2214" s="17" t="inlineStr">
        <is>
          <t>MH2507-25</t>
        </is>
      </c>
      <c r="C2214" s="16" t="n">
        <v>45854</v>
      </c>
      <c r="D2214" s="16" t="n">
        <v>45854</v>
      </c>
      <c r="E2214" s="17" t="inlineStr">
        <is>
          <t>00003849</t>
        </is>
      </c>
      <c r="F2214" s="16" t="inlineStr">
        <is>
          <t>XK2507-13</t>
        </is>
      </c>
      <c r="G2214" s="16" t="n">
        <v>45854</v>
      </c>
      <c r="H2214" s="17" t="inlineStr">
        <is>
          <t>CÔNG TY TNHH MTV SẢN XUẤT THƯƠNG MẠI DỊCH VỤ THANH HUYỀN</t>
        </is>
      </c>
      <c r="I2214" s="17" t="inlineStr">
        <is>
          <t>Thép mạ kẽm chấn</t>
        </is>
      </c>
      <c r="J2214" s="17" t="inlineStr">
        <is>
          <t>kg</t>
        </is>
      </c>
      <c r="K2214" s="19" t="n">
        <v>21827.8</v>
      </c>
      <c r="L2214" s="33" t="n"/>
      <c r="M2214" s="33" t="n"/>
      <c r="N2214" s="22" t="n">
        <v>1700</v>
      </c>
      <c r="O2214" s="22" t="n">
        <v>37107262</v>
      </c>
      <c r="P2214" s="22" t="n">
        <v>1700</v>
      </c>
      <c r="Q2214" s="22" t="n">
        <v>37107262</v>
      </c>
      <c r="R2214" s="42">
        <f>+L2214+N2214-P2214</f>
        <v/>
      </c>
      <c r="S2214" s="42">
        <f>+M2214+O2214-Q2214</f>
        <v/>
      </c>
    </row>
    <row r="2215" ht="30" customHeight="1">
      <c r="A2215" s="16" t="n">
        <v>45854</v>
      </c>
      <c r="B2215" s="17" t="inlineStr">
        <is>
          <t>MH2507-25</t>
        </is>
      </c>
      <c r="C2215" s="16" t="n">
        <v>45854</v>
      </c>
      <c r="D2215" s="16" t="n">
        <v>45854</v>
      </c>
      <c r="E2215" s="17" t="inlineStr">
        <is>
          <t>00003849</t>
        </is>
      </c>
      <c r="F2215" s="16" t="inlineStr">
        <is>
          <t>XK2507-13</t>
        </is>
      </c>
      <c r="G2215" s="16" t="n">
        <v>45854</v>
      </c>
      <c r="H2215" s="17" t="inlineStr">
        <is>
          <t>CÔNG TY TNHH MTV SẢN XUẤT THƯƠNG MẠI DỊCH VỤ THANH HUYỀN</t>
        </is>
      </c>
      <c r="I2215" s="17" t="inlineStr">
        <is>
          <t>Xà gồ mạ kẽm</t>
        </is>
      </c>
      <c r="J2215" s="17" t="inlineStr">
        <is>
          <t>kg</t>
        </is>
      </c>
      <c r="K2215" s="19" t="n">
        <v>18014.45</v>
      </c>
      <c r="L2215" s="33" t="n"/>
      <c r="M2215" s="33" t="n"/>
      <c r="N2215" s="22" t="n">
        <v>19178</v>
      </c>
      <c r="O2215" s="22" t="n">
        <v>345481122</v>
      </c>
      <c r="P2215" s="22" t="n">
        <v>19178</v>
      </c>
      <c r="Q2215" s="22" t="n">
        <v>345481122</v>
      </c>
      <c r="R2215" s="42">
        <f>+L2215+N2215-P2215</f>
        <v/>
      </c>
      <c r="S2215" s="42">
        <f>+M2215+O2215-Q2215</f>
        <v/>
      </c>
    </row>
    <row r="2216" ht="30" customHeight="1">
      <c r="A2216" s="16" t="n">
        <v>45855</v>
      </c>
      <c r="B2216" s="17" t="inlineStr">
        <is>
          <t>MH2507-26</t>
        </is>
      </c>
      <c r="C2216" s="16" t="n">
        <v>45855</v>
      </c>
      <c r="D2216" s="16" t="n">
        <v>45855</v>
      </c>
      <c r="E2216" s="17" t="inlineStr">
        <is>
          <t>00001617</t>
        </is>
      </c>
      <c r="F2216" s="16" t="inlineStr">
        <is>
          <t>XK2507-14</t>
        </is>
      </c>
      <c r="G2216" s="16" t="n">
        <v>45855</v>
      </c>
      <c r="H2216" s="17" t="inlineStr">
        <is>
          <t>CÔNG TY TNHH ĐẦU TƯ HÓA CHẤT THÀNH CÔNG</t>
        </is>
      </c>
      <c r="I2216" s="17" t="inlineStr">
        <is>
          <t>Phụ gia chống thấm Sika Latex 25L</t>
        </is>
      </c>
      <c r="J2216" s="17" t="inlineStr">
        <is>
          <t>Thùng</t>
        </is>
      </c>
      <c r="K2216" s="19" t="n">
        <v>81481.48</v>
      </c>
      <c r="L2216" s="33" t="n"/>
      <c r="M2216" s="33" t="n"/>
      <c r="N2216" s="22" t="n">
        <v>125</v>
      </c>
      <c r="O2216" s="22" t="n">
        <v>10185185</v>
      </c>
      <c r="P2216" s="22" t="n">
        <v>125</v>
      </c>
      <c r="Q2216" s="22" t="n">
        <v>10185185</v>
      </c>
      <c r="R2216" s="42">
        <f>+L2216+N2216-P2216</f>
        <v/>
      </c>
      <c r="S2216" s="42">
        <f>+M2216+O2216-Q2216</f>
        <v/>
      </c>
    </row>
    <row r="2217" ht="30" customHeight="1">
      <c r="A2217" s="16" t="n">
        <v>45855</v>
      </c>
      <c r="B2217" s="17" t="inlineStr">
        <is>
          <t>MH2507-26</t>
        </is>
      </c>
      <c r="C2217" s="16" t="n">
        <v>45855</v>
      </c>
      <c r="D2217" s="16" t="n">
        <v>45855</v>
      </c>
      <c r="E2217" s="17" t="inlineStr">
        <is>
          <t>00001617</t>
        </is>
      </c>
      <c r="F2217" s="16" t="inlineStr">
        <is>
          <t>XK2507-14</t>
        </is>
      </c>
      <c r="G2217" s="16" t="n">
        <v>45855</v>
      </c>
      <c r="H2217" s="17" t="inlineStr">
        <is>
          <t>CÔNG TY TNHH ĐẦU TƯ HÓA CHẤT THÀNH CÔNG</t>
        </is>
      </c>
      <c r="I2217" s="17" t="inlineStr">
        <is>
          <t>Phí vận chuyển</t>
        </is>
      </c>
      <c r="J2217" s="17" t="inlineStr">
        <is>
          <t>Thùng</t>
        </is>
      </c>
      <c r="K2217" s="19" t="n">
        <v>370371</v>
      </c>
      <c r="L2217" s="33" t="n"/>
      <c r="M2217" s="33" t="n"/>
      <c r="N2217" s="22" t="n">
        <v>1</v>
      </c>
      <c r="O2217" s="22" t="n">
        <v>370371</v>
      </c>
      <c r="P2217" s="22" t="n">
        <v>1</v>
      </c>
      <c r="Q2217" s="22" t="n">
        <v>370371</v>
      </c>
      <c r="R2217" s="42">
        <f>+L2217+N2217-P2217</f>
        <v/>
      </c>
      <c r="S2217" s="42">
        <f>+M2217+O2217-Q2217</f>
        <v/>
      </c>
    </row>
    <row r="2218" ht="15" customHeight="1">
      <c r="A2218" s="16" t="n">
        <v>45855</v>
      </c>
      <c r="B2218" s="17" t="inlineStr">
        <is>
          <t>MH2507-27</t>
        </is>
      </c>
      <c r="C2218" s="16" t="n">
        <v>45855</v>
      </c>
      <c r="D2218" s="16" t="n">
        <v>45855</v>
      </c>
      <c r="E2218" s="17" t="inlineStr">
        <is>
          <t>00006463</t>
        </is>
      </c>
      <c r="F2218" s="16" t="inlineStr">
        <is>
          <t>XK2507-15</t>
        </is>
      </c>
      <c r="G2218" s="16" t="n">
        <v>45855</v>
      </c>
      <c r="H2218" s="17" t="inlineStr">
        <is>
          <t>CÔNG TY TNHH SƠN JOTUN VIỆT NAM</t>
        </is>
      </c>
      <c r="I2218" s="17" t="inlineStr">
        <is>
          <t>SƠN FUTURA CLASSIC RAL 7012 4.73L</t>
        </is>
      </c>
      <c r="J2218" s="17" t="inlineStr">
        <is>
          <t>Thùng</t>
        </is>
      </c>
      <c r="K2218" s="19" t="n">
        <v>155000</v>
      </c>
      <c r="L2218" s="33" t="n"/>
      <c r="M2218" s="33" t="n"/>
      <c r="N2218" s="22" t="n">
        <v>94.59999999999999</v>
      </c>
      <c r="O2218" s="22" t="n">
        <v>14663000</v>
      </c>
      <c r="P2218" s="22" t="n">
        <v>94.59999999999999</v>
      </c>
      <c r="Q2218" s="22" t="n">
        <v>14663000</v>
      </c>
      <c r="R2218" s="42">
        <f>+L2218+N2218-P2218</f>
        <v/>
      </c>
      <c r="S2218" s="42">
        <f>+M2218+O2218-Q2218</f>
        <v/>
      </c>
    </row>
    <row r="2219" ht="15" customHeight="1">
      <c r="A2219" s="16" t="n">
        <v>45855</v>
      </c>
      <c r="B2219" s="17" t="inlineStr">
        <is>
          <t>MH2507-27</t>
        </is>
      </c>
      <c r="C2219" s="16" t="n">
        <v>45855</v>
      </c>
      <c r="D2219" s="16" t="n">
        <v>45855</v>
      </c>
      <c r="E2219" s="17" t="inlineStr">
        <is>
          <t>00006463</t>
        </is>
      </c>
      <c r="F2219" s="16" t="inlineStr">
        <is>
          <t>XK2507-15</t>
        </is>
      </c>
      <c r="G2219" s="16" t="n">
        <v>45855</v>
      </c>
      <c r="H2219" s="17" t="inlineStr">
        <is>
          <t>CÔNG TY TNHH SƠN JOTUN VIỆT NAM</t>
        </is>
      </c>
      <c r="I2219" s="17" t="inlineStr">
        <is>
          <t>SƠN FUTURA CLASSIC RAL 3028 19.97L</t>
        </is>
      </c>
      <c r="J2219" s="17" t="inlineStr">
        <is>
          <t>Thùng</t>
        </is>
      </c>
      <c r="K2219" s="19" t="n">
        <v>175000</v>
      </c>
      <c r="L2219" s="33" t="n"/>
      <c r="M2219" s="33" t="n"/>
      <c r="N2219" s="22" t="n">
        <v>19.97</v>
      </c>
      <c r="O2219" s="22" t="n">
        <v>3494750</v>
      </c>
      <c r="P2219" s="22" t="n">
        <v>19.97</v>
      </c>
      <c r="Q2219" s="22" t="n">
        <v>3494750</v>
      </c>
      <c r="R2219" s="42">
        <f>+L2219+N2219-P2219</f>
        <v/>
      </c>
      <c r="S2219" s="42">
        <f>+M2219+O2219-Q2219</f>
        <v/>
      </c>
    </row>
    <row r="2220" ht="15" customHeight="1">
      <c r="A2220" s="16" t="n">
        <v>45855</v>
      </c>
      <c r="B2220" s="17" t="inlineStr">
        <is>
          <t>MH2507-28</t>
        </is>
      </c>
      <c r="C2220" s="16" t="n">
        <v>45855</v>
      </c>
      <c r="D2220" s="16" t="n">
        <v>45855</v>
      </c>
      <c r="E2220" s="17" t="inlineStr">
        <is>
          <t>00006464</t>
        </is>
      </c>
      <c r="F2220" s="16" t="inlineStr">
        <is>
          <t>XK2507-15</t>
        </is>
      </c>
      <c r="G2220" s="16" t="n">
        <v>45855</v>
      </c>
      <c r="H2220" s="17" t="inlineStr">
        <is>
          <t>CÔNG TY TNHH SƠN JOTUN VIỆT NAM</t>
        </is>
      </c>
      <c r="I2220" s="17" t="inlineStr">
        <is>
          <t>SƠN JOTAMASTIC 70 RED 18L</t>
        </is>
      </c>
      <c r="J2220" s="17" t="inlineStr">
        <is>
          <t>Lít</t>
        </is>
      </c>
      <c r="K2220" s="19" t="n">
        <v>90000</v>
      </c>
      <c r="L2220" s="33" t="n"/>
      <c r="M2220" s="33" t="n"/>
      <c r="N2220" s="22" t="n">
        <v>162</v>
      </c>
      <c r="O2220" s="22" t="n">
        <v>14580000</v>
      </c>
      <c r="P2220" s="22" t="n">
        <v>162</v>
      </c>
      <c r="Q2220" s="22" t="n">
        <v>14580000</v>
      </c>
      <c r="R2220" s="42">
        <f>+L2220+N2220-P2220</f>
        <v/>
      </c>
      <c r="S2220" s="42">
        <f>+M2220+O2220-Q2220</f>
        <v/>
      </c>
    </row>
    <row r="2221" ht="15" customHeight="1">
      <c r="A2221" s="16" t="n">
        <v>45855</v>
      </c>
      <c r="B2221" s="17" t="inlineStr">
        <is>
          <t>MH2507-28</t>
        </is>
      </c>
      <c r="C2221" s="16" t="n">
        <v>45855</v>
      </c>
      <c r="D2221" s="16" t="n">
        <v>45855</v>
      </c>
      <c r="E2221" s="17" t="inlineStr">
        <is>
          <t>00006464</t>
        </is>
      </c>
      <c r="F2221" s="16" t="inlineStr">
        <is>
          <t>XK2507-15</t>
        </is>
      </c>
      <c r="G2221" s="16" t="n">
        <v>45855</v>
      </c>
      <c r="H2221" s="17" t="inlineStr">
        <is>
          <t>CÔNG TY TNHH SƠN JOTUN VIỆT NAM</t>
        </is>
      </c>
      <c r="I2221" s="17" t="inlineStr">
        <is>
          <t>SƠN JOTAMASTIC 70 GREY 18L</t>
        </is>
      </c>
      <c r="J2221" s="17" t="inlineStr">
        <is>
          <t>Lít</t>
        </is>
      </c>
      <c r="K2221" s="19" t="n">
        <v>90000</v>
      </c>
      <c r="L2221" s="33" t="n"/>
      <c r="M2221" s="33" t="n"/>
      <c r="N2221" s="22" t="n">
        <v>162</v>
      </c>
      <c r="O2221" s="22" t="n">
        <v>14580000</v>
      </c>
      <c r="P2221" s="22" t="n">
        <v>162</v>
      </c>
      <c r="Q2221" s="22" t="n">
        <v>14580000</v>
      </c>
      <c r="R2221" s="42">
        <f>+L2221+N2221-P2221</f>
        <v/>
      </c>
      <c r="S2221" s="42">
        <f>+M2221+O2221-Q2221</f>
        <v/>
      </c>
    </row>
    <row r="2222" ht="15" customHeight="1">
      <c r="A2222" s="16" t="n">
        <v>45855</v>
      </c>
      <c r="B2222" s="17" t="inlineStr">
        <is>
          <t>MH2507-28</t>
        </is>
      </c>
      <c r="C2222" s="16" t="n">
        <v>45855</v>
      </c>
      <c r="D2222" s="16" t="n">
        <v>45855</v>
      </c>
      <c r="E2222" s="17" t="inlineStr">
        <is>
          <t>00006464</t>
        </is>
      </c>
      <c r="F2222" s="16" t="inlineStr">
        <is>
          <t>XK2507-15</t>
        </is>
      </c>
      <c r="G2222" s="16" t="n">
        <v>45855</v>
      </c>
      <c r="H2222" s="17" t="inlineStr">
        <is>
          <t>CÔNG TY TNHH SƠN JOTUN VIỆT NAM</t>
        </is>
      </c>
      <c r="I2222" s="17" t="inlineStr">
        <is>
          <t>SƠN FUTURA CLASSIC RAL 7042 18.33L</t>
        </is>
      </c>
      <c r="J2222" s="17" t="inlineStr">
        <is>
          <t>Lít</t>
        </is>
      </c>
      <c r="K2222" s="19" t="n">
        <v>155000</v>
      </c>
      <c r="L2222" s="33" t="n"/>
      <c r="M2222" s="33" t="n"/>
      <c r="N2222" s="22" t="n">
        <v>183.3</v>
      </c>
      <c r="O2222" s="22" t="n">
        <v>28411500</v>
      </c>
      <c r="P2222" s="22" t="n">
        <v>183.3</v>
      </c>
      <c r="Q2222" s="22" t="n">
        <v>28411500</v>
      </c>
      <c r="R2222" s="42">
        <f>+L2222+N2222-P2222</f>
        <v/>
      </c>
      <c r="S2222" s="42">
        <f>+M2222+O2222-Q2222</f>
        <v/>
      </c>
    </row>
    <row r="2223" ht="15" customHeight="1">
      <c r="A2223" s="16" t="n">
        <v>45855</v>
      </c>
      <c r="B2223" s="17" t="inlineStr">
        <is>
          <t>MH2507-28</t>
        </is>
      </c>
      <c r="C2223" s="16" t="n">
        <v>45855</v>
      </c>
      <c r="D2223" s="16" t="n">
        <v>45855</v>
      </c>
      <c r="E2223" s="17" t="inlineStr">
        <is>
          <t>00006464</t>
        </is>
      </c>
      <c r="F2223" s="16" t="inlineStr">
        <is>
          <t>XK2507-15</t>
        </is>
      </c>
      <c r="G2223" s="16" t="n">
        <v>45855</v>
      </c>
      <c r="H2223" s="17" t="inlineStr">
        <is>
          <t>CÔNG TY TNHH SƠN JOTUN VIỆT NAM</t>
        </is>
      </c>
      <c r="I2223" s="17" t="inlineStr">
        <is>
          <t>DUNG MÔI JOTUN THINNER NO. 17 20L</t>
        </is>
      </c>
      <c r="J2223" s="17" t="inlineStr">
        <is>
          <t>Lít</t>
        </is>
      </c>
      <c r="K2223" s="19" t="n">
        <v>60000</v>
      </c>
      <c r="L2223" s="33" t="n"/>
      <c r="M2223" s="33" t="n"/>
      <c r="N2223" s="22" t="n">
        <v>40</v>
      </c>
      <c r="O2223" s="22" t="n">
        <v>2400000</v>
      </c>
      <c r="P2223" s="22" t="n">
        <v>40</v>
      </c>
      <c r="Q2223" s="22" t="n">
        <v>2400000</v>
      </c>
      <c r="R2223" s="42">
        <f>+L2223+N2223-P2223</f>
        <v/>
      </c>
      <c r="S2223" s="42">
        <f>+M2223+O2223-Q2223</f>
        <v/>
      </c>
    </row>
    <row r="2224" ht="15" customHeight="1">
      <c r="A2224" s="16" t="n">
        <v>45855</v>
      </c>
      <c r="B2224" s="17" t="inlineStr">
        <is>
          <t>MH2507-28</t>
        </is>
      </c>
      <c r="C2224" s="16" t="n">
        <v>45855</v>
      </c>
      <c r="D2224" s="16" t="n">
        <v>45855</v>
      </c>
      <c r="E2224" s="17" t="inlineStr">
        <is>
          <t>00006464</t>
        </is>
      </c>
      <c r="F2224" s="16" t="inlineStr">
        <is>
          <t>XK2507-15</t>
        </is>
      </c>
      <c r="G2224" s="16" t="n">
        <v>45855</v>
      </c>
      <c r="H2224" s="17" t="inlineStr">
        <is>
          <t>CÔNG TY TNHH SƠN JOTUN VIỆT NAM</t>
        </is>
      </c>
      <c r="I2224" s="17" t="inlineStr">
        <is>
          <t>DUNG MÔI JOTUN THINNER NO. 17 5L</t>
        </is>
      </c>
      <c r="J2224" s="17" t="inlineStr">
        <is>
          <t>Lít</t>
        </is>
      </c>
      <c r="K2224" s="19" t="n">
        <v>60000</v>
      </c>
      <c r="L2224" s="33" t="n"/>
      <c r="M2224" s="33" t="n"/>
      <c r="N2224" s="22" t="n">
        <v>10</v>
      </c>
      <c r="O2224" s="22" t="n">
        <v>600000</v>
      </c>
      <c r="P2224" s="22" t="n">
        <v>10</v>
      </c>
      <c r="Q2224" s="22" t="n">
        <v>600000</v>
      </c>
      <c r="R2224" s="42">
        <f>+L2224+N2224-P2224</f>
        <v/>
      </c>
      <c r="S2224" s="42">
        <f>+M2224+O2224-Q2224</f>
        <v/>
      </c>
    </row>
    <row r="2225" ht="15" customHeight="1">
      <c r="A2225" s="16" t="n">
        <v>45855</v>
      </c>
      <c r="B2225" s="17" t="inlineStr">
        <is>
          <t>MH2507-28</t>
        </is>
      </c>
      <c r="C2225" s="16" t="n">
        <v>45855</v>
      </c>
      <c r="D2225" s="16" t="n">
        <v>45855</v>
      </c>
      <c r="E2225" s="17" t="inlineStr">
        <is>
          <t>00006464</t>
        </is>
      </c>
      <c r="F2225" s="16" t="inlineStr">
        <is>
          <t>XK2507-15</t>
        </is>
      </c>
      <c r="G2225" s="16" t="n">
        <v>45855</v>
      </c>
      <c r="H2225" s="17" t="inlineStr">
        <is>
          <t>CÔNG TY TNHH SƠN JOTUN VIỆT NAM</t>
        </is>
      </c>
      <c r="I2225" s="17" t="inlineStr">
        <is>
          <t>DUNG MÔI JOTUN THINNER NO. 10 20L</t>
        </is>
      </c>
      <c r="J2225" s="17" t="inlineStr">
        <is>
          <t>Lít</t>
        </is>
      </c>
      <c r="K2225" s="19" t="n">
        <v>60000</v>
      </c>
      <c r="L2225" s="33" t="n"/>
      <c r="M2225" s="33" t="n"/>
      <c r="N2225" s="22" t="n">
        <v>20</v>
      </c>
      <c r="O2225" s="22" t="n">
        <v>1200000</v>
      </c>
      <c r="P2225" s="22" t="n">
        <v>20</v>
      </c>
      <c r="Q2225" s="22" t="n">
        <v>1200000</v>
      </c>
      <c r="R2225" s="42">
        <f>+L2225+N2225-P2225</f>
        <v/>
      </c>
      <c r="S2225" s="42">
        <f>+M2225+O2225-Q2225</f>
        <v/>
      </c>
    </row>
    <row r="2226" ht="15" customHeight="1">
      <c r="A2226" s="16" t="n">
        <v>45855</v>
      </c>
      <c r="B2226" s="17" t="inlineStr">
        <is>
          <t>MH2507-28</t>
        </is>
      </c>
      <c r="C2226" s="16" t="n">
        <v>45855</v>
      </c>
      <c r="D2226" s="16" t="n">
        <v>45855</v>
      </c>
      <c r="E2226" s="17" t="inlineStr">
        <is>
          <t>00006464</t>
        </is>
      </c>
      <c r="F2226" s="16" t="inlineStr">
        <is>
          <t>XK2507-15</t>
        </is>
      </c>
      <c r="G2226" s="16" t="n">
        <v>45855</v>
      </c>
      <c r="H2226" s="17" t="inlineStr">
        <is>
          <t>CÔNG TY TNHH SƠN JOTUN VIỆT NAM</t>
        </is>
      </c>
      <c r="I2226" s="17" t="inlineStr">
        <is>
          <t>DUNG MÔI JOTUN THINNER NO. 10 5L</t>
        </is>
      </c>
      <c r="J2226" s="17" t="inlineStr">
        <is>
          <t>Lít</t>
        </is>
      </c>
      <c r="K2226" s="19" t="n">
        <v>60000</v>
      </c>
      <c r="L2226" s="33" t="n"/>
      <c r="M2226" s="33" t="n"/>
      <c r="N2226" s="22" t="n">
        <v>10</v>
      </c>
      <c r="O2226" s="22" t="n">
        <v>600000</v>
      </c>
      <c r="P2226" s="22" t="n">
        <v>10</v>
      </c>
      <c r="Q2226" s="22" t="n">
        <v>600000</v>
      </c>
      <c r="R2226" s="42">
        <f>+L2226+N2226-P2226</f>
        <v/>
      </c>
      <c r="S2226" s="42">
        <f>+M2226+O2226-Q2226</f>
        <v/>
      </c>
    </row>
    <row r="2227" ht="15" customHeight="1">
      <c r="A2227" s="16" t="n">
        <v>45855</v>
      </c>
      <c r="B2227" s="17" t="inlineStr">
        <is>
          <t>MH2507-29</t>
        </is>
      </c>
      <c r="C2227" s="16" t="n">
        <v>45855</v>
      </c>
      <c r="D2227" s="16" t="n">
        <v>45855</v>
      </c>
      <c r="E2227" s="17" t="inlineStr">
        <is>
          <t>886</t>
        </is>
      </c>
      <c r="F2227" s="16" t="inlineStr">
        <is>
          <t>XK2507-16</t>
        </is>
      </c>
      <c r="G2227" s="16" t="n">
        <v>45855</v>
      </c>
      <c r="H2227" s="17" t="inlineStr">
        <is>
          <t>CÔNG TY CỔ PHẦN QH PLUS</t>
        </is>
      </c>
      <c r="I2227" s="17" t="inlineStr">
        <is>
          <t>Thép tấm cán nóng 8x2000x12000</t>
        </is>
      </c>
      <c r="J2227" s="17" t="inlineStr">
        <is>
          <t>kg</t>
        </is>
      </c>
      <c r="K2227" s="19" t="n">
        <v>13455</v>
      </c>
      <c r="L2227" s="33" t="n"/>
      <c r="M2227" s="33" t="n"/>
      <c r="N2227" s="22" t="n">
        <v>27129.6</v>
      </c>
      <c r="O2227" s="22" t="n">
        <v>365028768</v>
      </c>
      <c r="P2227" s="22" t="n">
        <v>27129.6</v>
      </c>
      <c r="Q2227" s="22" t="n">
        <v>365028768</v>
      </c>
      <c r="R2227" s="42">
        <f>+L2227+N2227-P2227</f>
        <v/>
      </c>
      <c r="S2227" s="42">
        <f>+M2227+O2227-Q2227</f>
        <v/>
      </c>
    </row>
    <row r="2228" ht="15" customHeight="1">
      <c r="A2228" s="16" t="n">
        <v>45855</v>
      </c>
      <c r="B2228" s="17" t="inlineStr">
        <is>
          <t>MH2507-29</t>
        </is>
      </c>
      <c r="C2228" s="16" t="n">
        <v>45855</v>
      </c>
      <c r="D2228" s="16" t="n">
        <v>45855</v>
      </c>
      <c r="E2228" s="17" t="inlineStr">
        <is>
          <t>886</t>
        </is>
      </c>
      <c r="F2228" s="16" t="inlineStr">
        <is>
          <t>XK2507-16</t>
        </is>
      </c>
      <c r="G2228" s="16" t="n">
        <v>45855</v>
      </c>
      <c r="H2228" s="17" t="inlineStr">
        <is>
          <t>CÔNG TY CỔ PHẦN QH PLUS</t>
        </is>
      </c>
      <c r="I2228" s="17" t="inlineStr">
        <is>
          <t>Thép tấm cán nóng 10x2000x12000</t>
        </is>
      </c>
      <c r="J2228" s="17" t="inlineStr">
        <is>
          <t>kg</t>
        </is>
      </c>
      <c r="K2228" s="19" t="n">
        <v>13455</v>
      </c>
      <c r="L2228" s="33" t="n"/>
      <c r="M2228" s="33" t="n"/>
      <c r="N2228" s="22" t="n">
        <v>3768</v>
      </c>
      <c r="O2228" s="22" t="n">
        <v>50698440</v>
      </c>
      <c r="P2228" s="22" t="n">
        <v>3768</v>
      </c>
      <c r="Q2228" s="22" t="n">
        <v>50698440</v>
      </c>
      <c r="R2228" s="42">
        <f>+L2228+N2228-P2228</f>
        <v/>
      </c>
      <c r="S2228" s="42">
        <f>+M2228+O2228-Q2228</f>
        <v/>
      </c>
    </row>
    <row r="2229" ht="15" customHeight="1">
      <c r="A2229" s="16" t="n">
        <v>45855</v>
      </c>
      <c r="B2229" s="17" t="inlineStr">
        <is>
          <t>MH2507-30</t>
        </is>
      </c>
      <c r="C2229" s="16" t="n">
        <v>45855</v>
      </c>
      <c r="D2229" s="16" t="n">
        <v>45855</v>
      </c>
      <c r="E2229" s="17" t="inlineStr">
        <is>
          <t>888</t>
        </is>
      </c>
      <c r="F2229" s="16" t="inlineStr">
        <is>
          <t>XK2507-17</t>
        </is>
      </c>
      <c r="G2229" s="16" t="n">
        <v>45855</v>
      </c>
      <c r="H2229" s="17" t="inlineStr">
        <is>
          <t>CÔNG TY CỔ PHẦN QH PLUS</t>
        </is>
      </c>
      <c r="I2229" s="17" t="inlineStr">
        <is>
          <t>Thép tấm cán nóng 5x2000x6000</t>
        </is>
      </c>
      <c r="J2229" s="17" t="inlineStr">
        <is>
          <t>kg</t>
        </is>
      </c>
      <c r="K2229" s="19" t="n">
        <v>13455</v>
      </c>
      <c r="L2229" s="33" t="n"/>
      <c r="M2229" s="33" t="n"/>
      <c r="N2229" s="22" t="n">
        <v>35325</v>
      </c>
      <c r="O2229" s="22" t="n">
        <v>475297875</v>
      </c>
      <c r="P2229" s="22" t="n">
        <v>35325</v>
      </c>
      <c r="Q2229" s="22" t="n">
        <v>475297875</v>
      </c>
      <c r="R2229" s="42">
        <f>+L2229+N2229-P2229</f>
        <v/>
      </c>
      <c r="S2229" s="42">
        <f>+M2229+O2229-Q2229</f>
        <v/>
      </c>
    </row>
    <row r="2230" ht="15" customHeight="1">
      <c r="A2230" s="16" t="n">
        <v>45855</v>
      </c>
      <c r="B2230" s="17" t="inlineStr">
        <is>
          <t>MH2507-31</t>
        </is>
      </c>
      <c r="C2230" s="16" t="n">
        <v>45855</v>
      </c>
      <c r="D2230" s="16" t="n">
        <v>45855</v>
      </c>
      <c r="E2230" s="17" t="inlineStr">
        <is>
          <t>890</t>
        </is>
      </c>
      <c r="F2230" s="16" t="inlineStr">
        <is>
          <t>XK2507-18</t>
        </is>
      </c>
      <c r="G2230" s="16" t="n">
        <v>45855</v>
      </c>
      <c r="H2230" s="17" t="inlineStr">
        <is>
          <t>CÔNG TY CỔ PHẦN QH PLUS</t>
        </is>
      </c>
      <c r="I2230" s="17" t="inlineStr">
        <is>
          <t>Thép tấm cán nóng 5x2000x6000</t>
        </is>
      </c>
      <c r="J2230" s="17" t="inlineStr">
        <is>
          <t>kg</t>
        </is>
      </c>
      <c r="K2230" s="19" t="n">
        <v>13455</v>
      </c>
      <c r="L2230" s="33" t="n"/>
      <c r="M2230" s="33" t="n"/>
      <c r="N2230" s="22" t="n">
        <v>35325</v>
      </c>
      <c r="O2230" s="22" t="n">
        <v>475297875</v>
      </c>
      <c r="P2230" s="22" t="n">
        <v>35325</v>
      </c>
      <c r="Q2230" s="22" t="n">
        <v>475297875</v>
      </c>
      <c r="R2230" s="42">
        <f>+L2230+N2230-P2230</f>
        <v/>
      </c>
      <c r="S2230" s="42">
        <f>+M2230+O2230-Q2230</f>
        <v/>
      </c>
    </row>
    <row r="2231" ht="15" customHeight="1">
      <c r="A2231" s="16" t="n">
        <v>45855</v>
      </c>
      <c r="B2231" s="17" t="inlineStr">
        <is>
          <t>MH2507-32</t>
        </is>
      </c>
      <c r="C2231" s="16" t="n">
        <v>45855</v>
      </c>
      <c r="D2231" s="16" t="n">
        <v>45855</v>
      </c>
      <c r="E2231" s="17" t="inlineStr">
        <is>
          <t>892</t>
        </is>
      </c>
      <c r="F2231" s="16" t="inlineStr">
        <is>
          <t>XK2507-19</t>
        </is>
      </c>
      <c r="G2231" s="16" t="n">
        <v>45855</v>
      </c>
      <c r="H2231" s="17" t="inlineStr">
        <is>
          <t>CÔNG TY CỔ PHẦN QH PLUS</t>
        </is>
      </c>
      <c r="I2231" s="17" t="inlineStr">
        <is>
          <t>Thép tấm cán nóng 10x2000x12000</t>
        </is>
      </c>
      <c r="J2231" s="17" t="inlineStr">
        <is>
          <t>kg</t>
        </is>
      </c>
      <c r="K2231" s="19" t="n">
        <v>13455</v>
      </c>
      <c r="L2231" s="33" t="n"/>
      <c r="M2231" s="33" t="n"/>
      <c r="N2231" s="22" t="n">
        <v>33912</v>
      </c>
      <c r="O2231" s="22" t="n">
        <v>456285960</v>
      </c>
      <c r="P2231" s="22" t="n">
        <v>33912</v>
      </c>
      <c r="Q2231" s="22" t="n">
        <v>456285960</v>
      </c>
      <c r="R2231" s="42">
        <f>+L2231+N2231-P2231</f>
        <v/>
      </c>
      <c r="S2231" s="42">
        <f>+M2231+O2231-Q2231</f>
        <v/>
      </c>
    </row>
    <row r="2232" ht="15" customHeight="1">
      <c r="A2232" s="16" t="n">
        <v>45856</v>
      </c>
      <c r="B2232" s="17" t="inlineStr">
        <is>
          <t>MH2507-33</t>
        </is>
      </c>
      <c r="C2232" s="16" t="n">
        <v>45856</v>
      </c>
      <c r="D2232" s="16" t="n">
        <v>45856</v>
      </c>
      <c r="E2232" s="17" t="inlineStr">
        <is>
          <t>00006533</t>
        </is>
      </c>
      <c r="F2232" s="16" t="inlineStr">
        <is>
          <t>XK2507-20</t>
        </is>
      </c>
      <c r="G2232" s="16" t="n">
        <v>45856</v>
      </c>
      <c r="H2232" s="17" t="inlineStr">
        <is>
          <t>CÔNG TY TNHH SƠN JOTUN VIỆT NAM</t>
        </is>
      </c>
      <c r="I2232" s="17" t="inlineStr">
        <is>
          <t>SƠN FUTURA CLASSIC RAL 7042 18.33L</t>
        </is>
      </c>
      <c r="J2232" s="17" t="inlineStr">
        <is>
          <t>Lít</t>
        </is>
      </c>
      <c r="K2232" s="19" t="n">
        <v>155000</v>
      </c>
      <c r="L2232" s="33" t="n"/>
      <c r="M2232" s="33" t="n"/>
      <c r="N2232" s="22" t="n">
        <v>183.3</v>
      </c>
      <c r="O2232" s="22" t="n">
        <v>28411500</v>
      </c>
      <c r="P2232" s="22" t="n">
        <v>183.3</v>
      </c>
      <c r="Q2232" s="22" t="n">
        <v>28411500</v>
      </c>
      <c r="R2232" s="42">
        <f>+L2232+N2232-P2232</f>
        <v/>
      </c>
      <c r="S2232" s="42">
        <f>+M2232+O2232-Q2232</f>
        <v/>
      </c>
    </row>
    <row r="2233" ht="15" customHeight="1">
      <c r="A2233" s="16" t="n">
        <v>45856</v>
      </c>
      <c r="B2233" s="17" t="inlineStr">
        <is>
          <t>MH2507-34</t>
        </is>
      </c>
      <c r="C2233" s="16" t="n">
        <v>45856</v>
      </c>
      <c r="D2233" s="16" t="n">
        <v>45856</v>
      </c>
      <c r="E2233" s="17" t="inlineStr">
        <is>
          <t>00006534</t>
        </is>
      </c>
      <c r="F2233" s="16" t="inlineStr">
        <is>
          <t>XK2507-21</t>
        </is>
      </c>
      <c r="G2233" s="16" t="n">
        <v>45856</v>
      </c>
      <c r="H2233" s="17" t="inlineStr">
        <is>
          <t>CÔNG TY TNHH SƠN JOTUN VIỆT NAM</t>
        </is>
      </c>
      <c r="I2233" s="17" t="inlineStr">
        <is>
          <t>SƠN FUTURA CLASSIC RAL 3028 4.99L</t>
        </is>
      </c>
      <c r="J2233" s="17" t="inlineStr">
        <is>
          <t>Lít</t>
        </is>
      </c>
      <c r="K2233" s="19" t="n">
        <v>175000</v>
      </c>
      <c r="L2233" s="33" t="n"/>
      <c r="M2233" s="33" t="n"/>
      <c r="N2233" s="22" t="n">
        <v>79.84</v>
      </c>
      <c r="O2233" s="22" t="n">
        <v>13972000</v>
      </c>
      <c r="P2233" s="22" t="n">
        <v>79.84</v>
      </c>
      <c r="Q2233" s="22" t="n">
        <v>13972000</v>
      </c>
      <c r="R2233" s="42">
        <f>+L2233+N2233-P2233</f>
        <v/>
      </c>
      <c r="S2233" s="42">
        <f>+M2233+O2233-Q2233</f>
        <v/>
      </c>
    </row>
    <row r="2234" ht="15" customHeight="1">
      <c r="A2234" s="16" t="n">
        <v>45856</v>
      </c>
      <c r="B2234" s="17" t="inlineStr">
        <is>
          <t>MH2507-35</t>
        </is>
      </c>
      <c r="C2234" s="16" t="n">
        <v>45856</v>
      </c>
      <c r="D2234" s="16" t="n">
        <v>45856</v>
      </c>
      <c r="E2234" s="17" t="inlineStr">
        <is>
          <t>00000180</t>
        </is>
      </c>
      <c r="F2234" s="16" t="inlineStr">
        <is>
          <t>XK2507-22</t>
        </is>
      </c>
      <c r="G2234" s="16" t="n">
        <v>45856</v>
      </c>
      <c r="H2234" s="17" t="inlineStr">
        <is>
          <t>CÔNG TY TNHH CƠ KHÍ ĐỨC HIỆP</t>
        </is>
      </c>
      <c r="I2234" s="17" t="inlineStr">
        <is>
          <t>Bulong neo M16x385, 4.6, MKĐP</t>
        </is>
      </c>
      <c r="J2234" s="17" t="inlineStr">
        <is>
          <t>Cái</t>
        </is>
      </c>
      <c r="K2234" s="19" t="n">
        <v>18250</v>
      </c>
      <c r="L2234" s="33" t="n"/>
      <c r="M2234" s="33" t="n"/>
      <c r="N2234" s="22" t="n">
        <v>2845</v>
      </c>
      <c r="O2234" s="22" t="n">
        <v>51921250</v>
      </c>
      <c r="P2234" s="22" t="n">
        <v>2845</v>
      </c>
      <c r="Q2234" s="22" t="n">
        <v>51921250</v>
      </c>
      <c r="R2234" s="42">
        <f>+L2234+N2234-P2234</f>
        <v/>
      </c>
      <c r="S2234" s="42">
        <f>+M2234+O2234-Q2234</f>
        <v/>
      </c>
    </row>
    <row r="2235" ht="30" customHeight="1">
      <c r="A2235" s="16" t="n">
        <v>45857</v>
      </c>
      <c r="B2235" s="17" t="inlineStr">
        <is>
          <t>MH2507-36</t>
        </is>
      </c>
      <c r="C2235" s="16" t="n">
        <v>45857</v>
      </c>
      <c r="D2235" s="16" t="n">
        <v>45857</v>
      </c>
      <c r="E2235" s="17" t="inlineStr">
        <is>
          <t>00002754</t>
        </is>
      </c>
      <c r="F2235" s="16" t="inlineStr">
        <is>
          <t>XK2507-23</t>
        </is>
      </c>
      <c r="G2235" s="16" t="n">
        <v>45857</v>
      </c>
      <c r="H2235" s="17" t="inlineStr">
        <is>
          <t>CÔNG TY CỔ PHẦN CÔNG NGHIỆP VÀ THƯƠNG MẠI CƯỜNG THỊNH</t>
        </is>
      </c>
      <c r="I2235" s="17" t="inlineStr">
        <is>
          <t>Bulong thường 4.6 ZP M12x30</t>
        </is>
      </c>
      <c r="J2235" s="17" t="inlineStr">
        <is>
          <t>Cái</t>
        </is>
      </c>
      <c r="K2235" s="19" t="n">
        <v>950</v>
      </c>
      <c r="L2235" s="33" t="n"/>
      <c r="M2235" s="33" t="n"/>
      <c r="N2235" s="22" t="n">
        <v>9734</v>
      </c>
      <c r="O2235" s="22" t="n">
        <v>9247300</v>
      </c>
      <c r="P2235" s="22" t="n">
        <v>9734</v>
      </c>
      <c r="Q2235" s="22" t="n">
        <v>9247300</v>
      </c>
      <c r="R2235" s="42">
        <f>+L2235+N2235-P2235</f>
        <v/>
      </c>
      <c r="S2235" s="42">
        <f>+M2235+O2235-Q2235</f>
        <v/>
      </c>
    </row>
    <row r="2236" ht="30" customHeight="1">
      <c r="A2236" s="16" t="n">
        <v>45857</v>
      </c>
      <c r="B2236" s="17" t="inlineStr">
        <is>
          <t>MH2507-36</t>
        </is>
      </c>
      <c r="C2236" s="16" t="n">
        <v>45857</v>
      </c>
      <c r="D2236" s="16" t="n">
        <v>45857</v>
      </c>
      <c r="E2236" s="17" t="inlineStr">
        <is>
          <t>00002754</t>
        </is>
      </c>
      <c r="F2236" s="16" t="inlineStr">
        <is>
          <t>XK2507-23</t>
        </is>
      </c>
      <c r="G2236" s="16" t="n">
        <v>45857</v>
      </c>
      <c r="H2236" s="17" t="inlineStr">
        <is>
          <t>CÔNG TY CỔ PHẦN CÔNG NGHIỆP VÀ THƯƠNG MẠI CƯỜNG THỊNH</t>
        </is>
      </c>
      <c r="I2236" s="17" t="inlineStr">
        <is>
          <t>Đai ốc thường 4 ZP M12 (9mm)</t>
        </is>
      </c>
      <c r="J2236" s="17" t="inlineStr">
        <is>
          <t>Cái</t>
        </is>
      </c>
      <c r="K2236" s="19" t="n">
        <v>360</v>
      </c>
      <c r="L2236" s="33" t="n"/>
      <c r="M2236" s="33" t="n"/>
      <c r="N2236" s="22" t="n">
        <v>9734</v>
      </c>
      <c r="O2236" s="22" t="n">
        <v>3504240</v>
      </c>
      <c r="P2236" s="22" t="n">
        <v>9734</v>
      </c>
      <c r="Q2236" s="22" t="n">
        <v>3504240</v>
      </c>
      <c r="R2236" s="42">
        <f>+L2236+N2236-P2236</f>
        <v/>
      </c>
      <c r="S2236" s="42">
        <f>+M2236+O2236-Q2236</f>
        <v/>
      </c>
    </row>
    <row r="2237" ht="30" customHeight="1">
      <c r="A2237" s="16" t="n">
        <v>45857</v>
      </c>
      <c r="B2237" s="17" t="inlineStr">
        <is>
          <t>MH2507-36</t>
        </is>
      </c>
      <c r="C2237" s="16" t="n">
        <v>45857</v>
      </c>
      <c r="D2237" s="16" t="n">
        <v>45857</v>
      </c>
      <c r="E2237" s="17" t="inlineStr">
        <is>
          <t>00002754</t>
        </is>
      </c>
      <c r="F2237" s="16" t="inlineStr">
        <is>
          <t>XK2507-23</t>
        </is>
      </c>
      <c r="G2237" s="16" t="n">
        <v>45857</v>
      </c>
      <c r="H2237" s="17" t="inlineStr">
        <is>
          <t>CÔNG TY CỔ PHẦN CÔNG NGHIỆP VÀ THƯƠNG MẠI CƯỜNG THỊNH</t>
        </is>
      </c>
      <c r="I2237" s="17" t="inlineStr">
        <is>
          <t>Long đền thường ZP M12B23D1</t>
        </is>
      </c>
      <c r="J2237" s="17" t="inlineStr">
        <is>
          <t>Cái</t>
        </is>
      </c>
      <c r="K2237" s="19" t="n">
        <v>100</v>
      </c>
      <c r="L2237" s="33" t="n"/>
      <c r="M2237" s="33" t="n"/>
      <c r="N2237" s="22" t="n">
        <v>19468</v>
      </c>
      <c r="O2237" s="22" t="n">
        <v>1946800</v>
      </c>
      <c r="P2237" s="22" t="n">
        <v>19468</v>
      </c>
      <c r="Q2237" s="22" t="n">
        <v>1946800</v>
      </c>
      <c r="R2237" s="42">
        <f>+L2237+N2237-P2237</f>
        <v/>
      </c>
      <c r="S2237" s="42">
        <f>+M2237+O2237-Q2237</f>
        <v/>
      </c>
    </row>
    <row r="2238" ht="30" customHeight="1">
      <c r="A2238" s="16" t="n">
        <v>45857</v>
      </c>
      <c r="B2238" s="17" t="inlineStr">
        <is>
          <t>MH2507-36</t>
        </is>
      </c>
      <c r="C2238" s="16" t="n">
        <v>45857</v>
      </c>
      <c r="D2238" s="16" t="n">
        <v>45857</v>
      </c>
      <c r="E2238" s="17" t="inlineStr">
        <is>
          <t>00002754</t>
        </is>
      </c>
      <c r="F2238" s="16" t="inlineStr">
        <is>
          <t>XK2507-23</t>
        </is>
      </c>
      <c r="G2238" s="16" t="n">
        <v>45857</v>
      </c>
      <c r="H2238" s="17" t="inlineStr">
        <is>
          <t>CÔNG TY CỔ PHẦN CÔNG NGHIỆP VÀ THƯƠNG MẠI CƯỜNG THỊNH</t>
        </is>
      </c>
      <c r="I2238" s="17" t="inlineStr">
        <is>
          <t>Bulong Din 933 8.8 ZP M20x60</t>
        </is>
      </c>
      <c r="J2238" s="17" t="inlineStr">
        <is>
          <t>Cái</t>
        </is>
      </c>
      <c r="K2238" s="19" t="n">
        <v>6360</v>
      </c>
      <c r="L2238" s="33" t="n"/>
      <c r="M2238" s="33" t="n"/>
      <c r="N2238" s="22" t="n">
        <v>1939</v>
      </c>
      <c r="O2238" s="22" t="n">
        <v>12332040</v>
      </c>
      <c r="P2238" s="22" t="n">
        <v>1939</v>
      </c>
      <c r="Q2238" s="22" t="n">
        <v>12332040</v>
      </c>
      <c r="R2238" s="42">
        <f>+L2238+N2238-P2238</f>
        <v/>
      </c>
      <c r="S2238" s="42">
        <f>+M2238+O2238-Q2238</f>
        <v/>
      </c>
    </row>
    <row r="2239" ht="30" customHeight="1">
      <c r="A2239" s="16" t="n">
        <v>45857</v>
      </c>
      <c r="B2239" s="17" t="inlineStr">
        <is>
          <t>MH2507-36</t>
        </is>
      </c>
      <c r="C2239" s="16" t="n">
        <v>45857</v>
      </c>
      <c r="D2239" s="16" t="n">
        <v>45857</v>
      </c>
      <c r="E2239" s="17" t="inlineStr">
        <is>
          <t>00002754</t>
        </is>
      </c>
      <c r="F2239" s="16" t="inlineStr">
        <is>
          <t>XK2507-23</t>
        </is>
      </c>
      <c r="G2239" s="16" t="n">
        <v>45857</v>
      </c>
      <c r="H2239" s="17" t="inlineStr">
        <is>
          <t>CÔNG TY CỔ PHẦN CÔNG NGHIỆP VÀ THƯƠNG MẠI CƯỜNG THỊNH</t>
        </is>
      </c>
      <c r="I2239" s="17" t="inlineStr">
        <is>
          <t>Đai ốc Din 934 8 ZP M20</t>
        </is>
      </c>
      <c r="J2239" s="17" t="inlineStr">
        <is>
          <t>Cái</t>
        </is>
      </c>
      <c r="K2239" s="19" t="n">
        <v>2030</v>
      </c>
      <c r="L2239" s="33" t="n"/>
      <c r="M2239" s="33" t="n"/>
      <c r="N2239" s="22" t="n">
        <v>1939</v>
      </c>
      <c r="O2239" s="22" t="n">
        <v>3936170</v>
      </c>
      <c r="P2239" s="22" t="n">
        <v>1939</v>
      </c>
      <c r="Q2239" s="22" t="n">
        <v>3936170</v>
      </c>
      <c r="R2239" s="42">
        <f>+L2239+N2239-P2239</f>
        <v/>
      </c>
      <c r="S2239" s="42">
        <f>+M2239+O2239-Q2239</f>
        <v/>
      </c>
    </row>
    <row r="2240" ht="30" customHeight="1">
      <c r="A2240" s="16" t="n">
        <v>45857</v>
      </c>
      <c r="B2240" s="17" t="inlineStr">
        <is>
          <t>MH2507-36</t>
        </is>
      </c>
      <c r="C2240" s="16" t="n">
        <v>45857</v>
      </c>
      <c r="D2240" s="16" t="n">
        <v>45857</v>
      </c>
      <c r="E2240" s="17" t="inlineStr">
        <is>
          <t>00002754</t>
        </is>
      </c>
      <c r="F2240" s="16" t="inlineStr">
        <is>
          <t>XK2507-23</t>
        </is>
      </c>
      <c r="G2240" s="16" t="n">
        <v>45857</v>
      </c>
      <c r="H2240" s="17" t="inlineStr">
        <is>
          <t>CÔNG TY CỔ PHẦN CÔNG NGHIỆP VÀ THƯƠNG MẠI CƯỜNG THỊNH</t>
        </is>
      </c>
      <c r="I2240" s="17" t="inlineStr">
        <is>
          <t>Long đền thường ZP M20B35D2</t>
        </is>
      </c>
      <c r="J2240" s="17" t="inlineStr">
        <is>
          <t>Cái</t>
        </is>
      </c>
      <c r="K2240" s="19" t="n">
        <v>350</v>
      </c>
      <c r="L2240" s="33" t="n"/>
      <c r="M2240" s="33" t="n"/>
      <c r="N2240" s="22" t="n">
        <v>1939</v>
      </c>
      <c r="O2240" s="22" t="n">
        <v>678650</v>
      </c>
      <c r="P2240" s="22" t="n">
        <v>1939</v>
      </c>
      <c r="Q2240" s="22" t="n">
        <v>678650</v>
      </c>
      <c r="R2240" s="42">
        <f>+L2240+N2240-P2240</f>
        <v/>
      </c>
      <c r="S2240" s="42">
        <f>+M2240+O2240-Q2240</f>
        <v/>
      </c>
    </row>
    <row r="2241" ht="30" customHeight="1">
      <c r="A2241" s="16" t="n">
        <v>45857</v>
      </c>
      <c r="B2241" s="17" t="inlineStr">
        <is>
          <t>MH2507-36</t>
        </is>
      </c>
      <c r="C2241" s="16" t="n">
        <v>45857</v>
      </c>
      <c r="D2241" s="16" t="n">
        <v>45857</v>
      </c>
      <c r="E2241" s="17" t="inlineStr">
        <is>
          <t>00002754</t>
        </is>
      </c>
      <c r="F2241" s="16" t="inlineStr">
        <is>
          <t>XK2507-23</t>
        </is>
      </c>
      <c r="G2241" s="16" t="n">
        <v>45857</v>
      </c>
      <c r="H2241" s="17" t="inlineStr">
        <is>
          <t>CÔNG TY CỔ PHẦN CÔNG NGHIỆP VÀ THƯƠNG MẠI CƯỜNG THỊNH</t>
        </is>
      </c>
      <c r="I2241" s="17" t="inlineStr">
        <is>
          <t>Bulong Din 933 8.8 ZP M24x70</t>
        </is>
      </c>
      <c r="J2241" s="17" t="inlineStr">
        <is>
          <t>Cái</t>
        </is>
      </c>
      <c r="K2241" s="19" t="n">
        <v>11010</v>
      </c>
      <c r="L2241" s="33" t="n"/>
      <c r="M2241" s="33" t="n"/>
      <c r="N2241" s="22" t="n">
        <v>1045</v>
      </c>
      <c r="O2241" s="22" t="n">
        <v>11505450</v>
      </c>
      <c r="P2241" s="22" t="n">
        <v>1045</v>
      </c>
      <c r="Q2241" s="22" t="n">
        <v>11505450</v>
      </c>
      <c r="R2241" s="42">
        <f>+L2241+N2241-P2241</f>
        <v/>
      </c>
      <c r="S2241" s="42">
        <f>+M2241+O2241-Q2241</f>
        <v/>
      </c>
    </row>
    <row r="2242" ht="30" customHeight="1">
      <c r="A2242" s="16" t="n">
        <v>45857</v>
      </c>
      <c r="B2242" s="17" t="inlineStr">
        <is>
          <t>MH2507-36</t>
        </is>
      </c>
      <c r="C2242" s="16" t="n">
        <v>45857</v>
      </c>
      <c r="D2242" s="16" t="n">
        <v>45857</v>
      </c>
      <c r="E2242" s="17" t="inlineStr">
        <is>
          <t>00002754</t>
        </is>
      </c>
      <c r="F2242" s="16" t="inlineStr">
        <is>
          <t>XK2507-23</t>
        </is>
      </c>
      <c r="G2242" s="16" t="n">
        <v>45857</v>
      </c>
      <c r="H2242" s="17" t="inlineStr">
        <is>
          <t>CÔNG TY CỔ PHẦN CÔNG NGHIỆP VÀ THƯƠNG MẠI CƯỜNG THỊNH</t>
        </is>
      </c>
      <c r="I2242" s="17" t="inlineStr">
        <is>
          <t>Đai ốc Din 934 8 ZP M24</t>
        </is>
      </c>
      <c r="J2242" s="17" t="inlineStr">
        <is>
          <t>Cái</t>
        </is>
      </c>
      <c r="K2242" s="19" t="n">
        <v>3500</v>
      </c>
      <c r="L2242" s="33" t="n"/>
      <c r="M2242" s="33" t="n"/>
      <c r="N2242" s="22" t="n">
        <v>1045</v>
      </c>
      <c r="O2242" s="22" t="n">
        <v>3657500</v>
      </c>
      <c r="P2242" s="22" t="n">
        <v>1045</v>
      </c>
      <c r="Q2242" s="22" t="n">
        <v>3657500</v>
      </c>
      <c r="R2242" s="42">
        <f>+L2242+N2242-P2242</f>
        <v/>
      </c>
      <c r="S2242" s="42">
        <f>+M2242+O2242-Q2242</f>
        <v/>
      </c>
    </row>
    <row r="2243" ht="30" customHeight="1">
      <c r="A2243" s="16" t="n">
        <v>45857</v>
      </c>
      <c r="B2243" s="17" t="inlineStr">
        <is>
          <t>MH2507-36</t>
        </is>
      </c>
      <c r="C2243" s="16" t="n">
        <v>45857</v>
      </c>
      <c r="D2243" s="16" t="n">
        <v>45857</v>
      </c>
      <c r="E2243" s="17" t="inlineStr">
        <is>
          <t>00002754</t>
        </is>
      </c>
      <c r="F2243" s="16" t="inlineStr">
        <is>
          <t>XK2507-23</t>
        </is>
      </c>
      <c r="G2243" s="16" t="n">
        <v>45857</v>
      </c>
      <c r="H2243" s="17" t="inlineStr">
        <is>
          <t>CÔNG TY CỔ PHẦN CÔNG NGHIỆP VÀ THƯƠNG MẠI CƯỜNG THỊNH</t>
        </is>
      </c>
      <c r="I2243" s="17" t="inlineStr">
        <is>
          <t>Long đền thường ZP M24B40-42D2</t>
        </is>
      </c>
      <c r="J2243" s="17" t="inlineStr">
        <is>
          <t>Cái</t>
        </is>
      </c>
      <c r="K2243" s="19" t="n">
        <v>710</v>
      </c>
      <c r="L2243" s="33" t="n"/>
      <c r="M2243" s="33" t="n"/>
      <c r="N2243" s="22" t="n">
        <v>1045</v>
      </c>
      <c r="O2243" s="22" t="n">
        <v>741950</v>
      </c>
      <c r="P2243" s="22" t="n">
        <v>1045</v>
      </c>
      <c r="Q2243" s="22" t="n">
        <v>741950</v>
      </c>
      <c r="R2243" s="42">
        <f>+L2243+N2243-P2243</f>
        <v/>
      </c>
      <c r="S2243" s="42">
        <f>+M2243+O2243-Q2243</f>
        <v/>
      </c>
    </row>
    <row r="2244" ht="30" customHeight="1">
      <c r="A2244" s="16" t="n">
        <v>45857</v>
      </c>
      <c r="B2244" s="17" t="inlineStr">
        <is>
          <t>MH2507-36</t>
        </is>
      </c>
      <c r="C2244" s="16" t="n">
        <v>45857</v>
      </c>
      <c r="D2244" s="16" t="n">
        <v>45857</v>
      </c>
      <c r="E2244" s="17" t="inlineStr">
        <is>
          <t>00002754</t>
        </is>
      </c>
      <c r="F2244" s="16" t="inlineStr">
        <is>
          <t>XK2507-23</t>
        </is>
      </c>
      <c r="G2244" s="16" t="n">
        <v>45857</v>
      </c>
      <c r="H2244" s="17" t="inlineStr">
        <is>
          <t>CÔNG TY CỔ PHẦN CÔNG NGHIỆP VÀ THƯƠNG MẠI CƯỜNG THỊNH</t>
        </is>
      </c>
      <c r="I2244" s="17" t="inlineStr">
        <is>
          <t>Bulong Din 933 8.8 ZP M24x90</t>
        </is>
      </c>
      <c r="J2244" s="17" t="inlineStr">
        <is>
          <t>Cái</t>
        </is>
      </c>
      <c r="K2244" s="19" t="n">
        <v>12950</v>
      </c>
      <c r="L2244" s="33" t="n"/>
      <c r="M2244" s="33" t="n"/>
      <c r="N2244" s="22" t="n">
        <v>220</v>
      </c>
      <c r="O2244" s="22" t="n">
        <v>2849000</v>
      </c>
      <c r="P2244" s="22" t="n">
        <v>220</v>
      </c>
      <c r="Q2244" s="22" t="n">
        <v>2849000</v>
      </c>
      <c r="R2244" s="42">
        <f>+L2244+N2244-P2244</f>
        <v/>
      </c>
      <c r="S2244" s="42">
        <f>+M2244+O2244-Q2244</f>
        <v/>
      </c>
    </row>
    <row r="2245" ht="30" customHeight="1">
      <c r="A2245" s="16" t="n">
        <v>45857</v>
      </c>
      <c r="B2245" s="17" t="inlineStr">
        <is>
          <t>MH2507-36</t>
        </is>
      </c>
      <c r="C2245" s="16" t="n">
        <v>45857</v>
      </c>
      <c r="D2245" s="16" t="n">
        <v>45857</v>
      </c>
      <c r="E2245" s="17" t="inlineStr">
        <is>
          <t>00002754</t>
        </is>
      </c>
      <c r="F2245" s="16" t="inlineStr">
        <is>
          <t>XK2507-23</t>
        </is>
      </c>
      <c r="G2245" s="16" t="n">
        <v>45857</v>
      </c>
      <c r="H2245" s="17" t="inlineStr">
        <is>
          <t>CÔNG TY CỔ PHẦN CÔNG NGHIỆP VÀ THƯƠNG MẠI CƯỜNG THỊNH</t>
        </is>
      </c>
      <c r="I2245" s="17" t="inlineStr">
        <is>
          <t>Đai ốc Din 934 8 ZP M24</t>
        </is>
      </c>
      <c r="J2245" s="17" t="inlineStr">
        <is>
          <t>Cái</t>
        </is>
      </c>
      <c r="K2245" s="19" t="n">
        <v>3500</v>
      </c>
      <c r="L2245" s="33" t="n"/>
      <c r="M2245" s="33" t="n"/>
      <c r="N2245" s="22" t="n">
        <v>220</v>
      </c>
      <c r="O2245" s="22" t="n">
        <v>770000</v>
      </c>
      <c r="P2245" s="22" t="n">
        <v>220</v>
      </c>
      <c r="Q2245" s="22" t="n">
        <v>770000</v>
      </c>
      <c r="R2245" s="42">
        <f>+L2245+N2245-P2245</f>
        <v/>
      </c>
      <c r="S2245" s="42">
        <f>+M2245+O2245-Q2245</f>
        <v/>
      </c>
    </row>
    <row r="2246" ht="30" customHeight="1">
      <c r="A2246" s="16" t="n">
        <v>45857</v>
      </c>
      <c r="B2246" s="17" t="inlineStr">
        <is>
          <t>MH2507-36</t>
        </is>
      </c>
      <c r="C2246" s="16" t="n">
        <v>45857</v>
      </c>
      <c r="D2246" s="16" t="n">
        <v>45857</v>
      </c>
      <c r="E2246" s="17" t="inlineStr">
        <is>
          <t>00002754</t>
        </is>
      </c>
      <c r="F2246" s="16" t="inlineStr">
        <is>
          <t>XK2507-23</t>
        </is>
      </c>
      <c r="G2246" s="16" t="n">
        <v>45857</v>
      </c>
      <c r="H2246" s="17" t="inlineStr">
        <is>
          <t>CÔNG TY CỔ PHẦN CÔNG NGHIỆP VÀ THƯƠNG MẠI CƯỜNG THỊNH</t>
        </is>
      </c>
      <c r="I2246" s="17" t="inlineStr">
        <is>
          <t>Long đền thường ZP M24B40-42D2</t>
        </is>
      </c>
      <c r="J2246" s="17" t="inlineStr">
        <is>
          <t>Cái</t>
        </is>
      </c>
      <c r="K2246" s="19" t="n">
        <v>710</v>
      </c>
      <c r="L2246" s="33" t="n"/>
      <c r="M2246" s="33" t="n"/>
      <c r="N2246" s="22" t="n">
        <v>220</v>
      </c>
      <c r="O2246" s="22" t="n">
        <v>156200</v>
      </c>
      <c r="P2246" s="22" t="n">
        <v>220</v>
      </c>
      <c r="Q2246" s="22" t="n">
        <v>156200</v>
      </c>
      <c r="R2246" s="42">
        <f>+L2246+N2246-P2246</f>
        <v/>
      </c>
      <c r="S2246" s="42">
        <f>+M2246+O2246-Q2246</f>
        <v/>
      </c>
    </row>
    <row r="2247" ht="30" customHeight="1">
      <c r="A2247" s="16" t="n">
        <v>45857</v>
      </c>
      <c r="B2247" s="17" t="inlineStr">
        <is>
          <t>MH2507-36</t>
        </is>
      </c>
      <c r="C2247" s="16" t="n">
        <v>45857</v>
      </c>
      <c r="D2247" s="16" t="n">
        <v>45857</v>
      </c>
      <c r="E2247" s="17" t="inlineStr">
        <is>
          <t>00002754</t>
        </is>
      </c>
      <c r="F2247" s="16" t="inlineStr">
        <is>
          <t>XK2507-23</t>
        </is>
      </c>
      <c r="G2247" s="16" t="n">
        <v>45857</v>
      </c>
      <c r="H2247" s="17" t="inlineStr">
        <is>
          <t>CÔNG TY CỔ PHẦN CÔNG NGHIỆP VÀ THƯƠNG MẠI CƯỜNG THỊNH</t>
        </is>
      </c>
      <c r="I2247" s="17" t="inlineStr">
        <is>
          <t>Vít B2 Dacromet 12-14x20</t>
        </is>
      </c>
      <c r="J2247" s="17" t="inlineStr">
        <is>
          <t>Cái</t>
        </is>
      </c>
      <c r="K2247" s="19" t="n">
        <v>600</v>
      </c>
      <c r="L2247" s="33" t="n"/>
      <c r="M2247" s="33" t="n"/>
      <c r="N2247" s="22" t="n">
        <v>200</v>
      </c>
      <c r="O2247" s="22" t="n">
        <v>120000</v>
      </c>
      <c r="P2247" s="22" t="n">
        <v>200</v>
      </c>
      <c r="Q2247" s="22" t="n">
        <v>120000</v>
      </c>
      <c r="R2247" s="42">
        <f>+L2247+N2247-P2247</f>
        <v/>
      </c>
      <c r="S2247" s="42">
        <f>+M2247+O2247-Q2247</f>
        <v/>
      </c>
    </row>
    <row r="2248" ht="30" customHeight="1">
      <c r="A2248" s="16" t="n">
        <v>45857</v>
      </c>
      <c r="B2248" s="17" t="inlineStr">
        <is>
          <t>MH2507-36</t>
        </is>
      </c>
      <c r="C2248" s="16" t="n">
        <v>45857</v>
      </c>
      <c r="D2248" s="16" t="n">
        <v>45857</v>
      </c>
      <c r="E2248" s="17" t="inlineStr">
        <is>
          <t>00002754</t>
        </is>
      </c>
      <c r="F2248" s="16" t="inlineStr">
        <is>
          <t>XK2507-23</t>
        </is>
      </c>
      <c r="G2248" s="16" t="n">
        <v>45857</v>
      </c>
      <c r="H2248" s="17" t="inlineStr">
        <is>
          <t>CÔNG TY CỔ PHẦN CÔNG NGHIỆP VÀ THƯƠNG MẠI CƯỜNG THỊNH</t>
        </is>
      </c>
      <c r="I2248" s="17" t="inlineStr">
        <is>
          <t>Bulong thường 4.6 ZP M12x50</t>
        </is>
      </c>
      <c r="J2248" s="17" t="inlineStr">
        <is>
          <t>Cái</t>
        </is>
      </c>
      <c r="K2248" s="19" t="n">
        <v>1300</v>
      </c>
      <c r="L2248" s="33" t="n"/>
      <c r="M2248" s="33" t="n"/>
      <c r="N2248" s="22" t="n">
        <v>1833</v>
      </c>
      <c r="O2248" s="22" t="n">
        <v>2382900</v>
      </c>
      <c r="P2248" s="22" t="n">
        <v>1833</v>
      </c>
      <c r="Q2248" s="22" t="n">
        <v>2382900</v>
      </c>
      <c r="R2248" s="42">
        <f>+L2248+N2248-P2248</f>
        <v/>
      </c>
      <c r="S2248" s="42">
        <f>+M2248+O2248-Q2248</f>
        <v/>
      </c>
    </row>
    <row r="2249" ht="30" customHeight="1">
      <c r="A2249" s="16" t="n">
        <v>45857</v>
      </c>
      <c r="B2249" s="17" t="inlineStr">
        <is>
          <t>MH2507-36</t>
        </is>
      </c>
      <c r="C2249" s="16" t="n">
        <v>45857</v>
      </c>
      <c r="D2249" s="16" t="n">
        <v>45857</v>
      </c>
      <c r="E2249" s="17" t="inlineStr">
        <is>
          <t>00002754</t>
        </is>
      </c>
      <c r="F2249" s="16" t="inlineStr">
        <is>
          <t>XK2507-23</t>
        </is>
      </c>
      <c r="G2249" s="16" t="n">
        <v>45857</v>
      </c>
      <c r="H2249" s="17" t="inlineStr">
        <is>
          <t>CÔNG TY CỔ PHẦN CÔNG NGHIỆP VÀ THƯƠNG MẠI CƯỜNG THỊNH</t>
        </is>
      </c>
      <c r="I2249" s="17" t="inlineStr">
        <is>
          <t>Đai ốc thường 4 ZP M12 (9mm)</t>
        </is>
      </c>
      <c r="J2249" s="17" t="inlineStr">
        <is>
          <t>Cái</t>
        </is>
      </c>
      <c r="K2249" s="19" t="n">
        <v>360</v>
      </c>
      <c r="L2249" s="33" t="n"/>
      <c r="M2249" s="33" t="n"/>
      <c r="N2249" s="22" t="n">
        <v>1833</v>
      </c>
      <c r="O2249" s="22" t="n">
        <v>659880</v>
      </c>
      <c r="P2249" s="22" t="n">
        <v>1833</v>
      </c>
      <c r="Q2249" s="22" t="n">
        <v>659880</v>
      </c>
      <c r="R2249" s="42">
        <f>+L2249+N2249-P2249</f>
        <v/>
      </c>
      <c r="S2249" s="42">
        <f>+M2249+O2249-Q2249</f>
        <v/>
      </c>
    </row>
    <row r="2250" ht="30" customHeight="1">
      <c r="A2250" s="16" t="n">
        <v>45857</v>
      </c>
      <c r="B2250" s="17" t="inlineStr">
        <is>
          <t>MH2507-36</t>
        </is>
      </c>
      <c r="C2250" s="16" t="n">
        <v>45857</v>
      </c>
      <c r="D2250" s="16" t="n">
        <v>45857</v>
      </c>
      <c r="E2250" s="17" t="inlineStr">
        <is>
          <t>00002754</t>
        </is>
      </c>
      <c r="F2250" s="16" t="inlineStr">
        <is>
          <t>XK2507-23</t>
        </is>
      </c>
      <c r="G2250" s="16" t="n">
        <v>45857</v>
      </c>
      <c r="H2250" s="17" t="inlineStr">
        <is>
          <t>CÔNG TY CỔ PHẦN CÔNG NGHIỆP VÀ THƯƠNG MẠI CƯỜNG THỊNH</t>
        </is>
      </c>
      <c r="I2250" s="17" t="inlineStr">
        <is>
          <t>Long đền thường ZP M12B23D1</t>
        </is>
      </c>
      <c r="J2250" s="17" t="inlineStr">
        <is>
          <t>Cái</t>
        </is>
      </c>
      <c r="K2250" s="19" t="n">
        <v>100</v>
      </c>
      <c r="L2250" s="33" t="n"/>
      <c r="M2250" s="33" t="n"/>
      <c r="N2250" s="22" t="n">
        <v>3666</v>
      </c>
      <c r="O2250" s="22" t="n">
        <v>366600</v>
      </c>
      <c r="P2250" s="22" t="n">
        <v>3666</v>
      </c>
      <c r="Q2250" s="22" t="n">
        <v>366600</v>
      </c>
      <c r="R2250" s="42">
        <f>+L2250+N2250-P2250</f>
        <v/>
      </c>
      <c r="S2250" s="42">
        <f>+M2250+O2250-Q2250</f>
        <v/>
      </c>
    </row>
    <row r="2251" ht="30" customHeight="1">
      <c r="A2251" s="16" t="n">
        <v>45857</v>
      </c>
      <c r="B2251" s="17" t="inlineStr">
        <is>
          <t>MH2507-36</t>
        </is>
      </c>
      <c r="C2251" s="16" t="n">
        <v>45857</v>
      </c>
      <c r="D2251" s="16" t="n">
        <v>45857</v>
      </c>
      <c r="E2251" s="17" t="inlineStr">
        <is>
          <t>00002754</t>
        </is>
      </c>
      <c r="F2251" s="16" t="inlineStr">
        <is>
          <t>XK2507-23</t>
        </is>
      </c>
      <c r="G2251" s="16" t="n">
        <v>45857</v>
      </c>
      <c r="H2251" s="17" t="inlineStr">
        <is>
          <t>CÔNG TY CỔ PHẦN CÔNG NGHIỆP VÀ THƯƠNG MẠI CƯỜNG THỊNH</t>
        </is>
      </c>
      <c r="I2251" s="17" t="inlineStr">
        <is>
          <t>Bulong Din 933 8.8 ZP M16x50</t>
        </is>
      </c>
      <c r="J2251" s="17" t="inlineStr">
        <is>
          <t>Cái</t>
        </is>
      </c>
      <c r="K2251" s="19" t="n">
        <v>3470</v>
      </c>
      <c r="L2251" s="33" t="n"/>
      <c r="M2251" s="33" t="n"/>
      <c r="N2251" s="22" t="n">
        <v>262</v>
      </c>
      <c r="O2251" s="22" t="n">
        <v>909140</v>
      </c>
      <c r="P2251" s="22" t="n">
        <v>262</v>
      </c>
      <c r="Q2251" s="22" t="n">
        <v>909140</v>
      </c>
      <c r="R2251" s="42">
        <f>+L2251+N2251-P2251</f>
        <v/>
      </c>
      <c r="S2251" s="42">
        <f>+M2251+O2251-Q2251</f>
        <v/>
      </c>
    </row>
    <row r="2252" ht="30" customHeight="1">
      <c r="A2252" s="16" t="n">
        <v>45857</v>
      </c>
      <c r="B2252" s="17" t="inlineStr">
        <is>
          <t>MH2507-36</t>
        </is>
      </c>
      <c r="C2252" s="16" t="n">
        <v>45857</v>
      </c>
      <c r="D2252" s="16" t="n">
        <v>45857</v>
      </c>
      <c r="E2252" s="17" t="inlineStr">
        <is>
          <t>00002754</t>
        </is>
      </c>
      <c r="F2252" s="16" t="inlineStr">
        <is>
          <t>XK2507-23</t>
        </is>
      </c>
      <c r="G2252" s="16" t="n">
        <v>45857</v>
      </c>
      <c r="H2252" s="17" t="inlineStr">
        <is>
          <t>CÔNG TY CỔ PHẦN CÔNG NGHIỆP VÀ THƯƠNG MẠI CƯỜNG THỊNH</t>
        </is>
      </c>
      <c r="I2252" s="17" t="inlineStr">
        <is>
          <t>Đai ốc Din 934 8 ZP M16</t>
        </is>
      </c>
      <c r="J2252" s="17" t="inlineStr">
        <is>
          <t>Cái</t>
        </is>
      </c>
      <c r="K2252" s="19" t="n">
        <v>1090</v>
      </c>
      <c r="L2252" s="33" t="n"/>
      <c r="M2252" s="33" t="n"/>
      <c r="N2252" s="22" t="n">
        <v>262</v>
      </c>
      <c r="O2252" s="22" t="n">
        <v>285580</v>
      </c>
      <c r="P2252" s="22" t="n">
        <v>262</v>
      </c>
      <c r="Q2252" s="22" t="n">
        <v>285580</v>
      </c>
      <c r="R2252" s="42">
        <f>+L2252+N2252-P2252</f>
        <v/>
      </c>
      <c r="S2252" s="42">
        <f>+M2252+O2252-Q2252</f>
        <v/>
      </c>
    </row>
    <row r="2253" ht="30" customHeight="1">
      <c r="A2253" s="16" t="n">
        <v>45857</v>
      </c>
      <c r="B2253" s="17" t="inlineStr">
        <is>
          <t>MH2507-36</t>
        </is>
      </c>
      <c r="C2253" s="16" t="n">
        <v>45857</v>
      </c>
      <c r="D2253" s="16" t="n">
        <v>45857</v>
      </c>
      <c r="E2253" s="17" t="inlineStr">
        <is>
          <t>00002754</t>
        </is>
      </c>
      <c r="F2253" s="16" t="inlineStr">
        <is>
          <t>XK2507-23</t>
        </is>
      </c>
      <c r="G2253" s="16" t="n">
        <v>45857</v>
      </c>
      <c r="H2253" s="17" t="inlineStr">
        <is>
          <t>CÔNG TY CỔ PHẦN CÔNG NGHIỆP VÀ THƯƠNG MẠI CƯỜNG THỊNH</t>
        </is>
      </c>
      <c r="I2253" s="17" t="inlineStr">
        <is>
          <t>Long đền thường ZP M16B30D2</t>
        </is>
      </c>
      <c r="J2253" s="17" t="inlineStr">
        <is>
          <t>Cái</t>
        </is>
      </c>
      <c r="K2253" s="19" t="n">
        <v>330</v>
      </c>
      <c r="L2253" s="33" t="n"/>
      <c r="M2253" s="33" t="n"/>
      <c r="N2253" s="22" t="n">
        <v>262</v>
      </c>
      <c r="O2253" s="22" t="n">
        <v>86460</v>
      </c>
      <c r="P2253" s="22" t="n">
        <v>262</v>
      </c>
      <c r="Q2253" s="22" t="n">
        <v>86460</v>
      </c>
      <c r="R2253" s="42">
        <f>+L2253+N2253-P2253</f>
        <v/>
      </c>
      <c r="S2253" s="42">
        <f>+M2253+O2253-Q2253</f>
        <v/>
      </c>
    </row>
    <row r="2254" ht="30" customHeight="1">
      <c r="A2254" s="16" t="n">
        <v>45857</v>
      </c>
      <c r="B2254" s="17" t="inlineStr">
        <is>
          <t>MH2507-36</t>
        </is>
      </c>
      <c r="C2254" s="16" t="n">
        <v>45857</v>
      </c>
      <c r="D2254" s="16" t="n">
        <v>45857</v>
      </c>
      <c r="E2254" s="17" t="inlineStr">
        <is>
          <t>00002754</t>
        </is>
      </c>
      <c r="F2254" s="16" t="inlineStr">
        <is>
          <t>XK2507-23</t>
        </is>
      </c>
      <c r="G2254" s="16" t="n">
        <v>45857</v>
      </c>
      <c r="H2254" s="17" t="inlineStr">
        <is>
          <t>CÔNG TY CỔ PHẦN CÔNG NGHIỆP VÀ THƯƠNG MẠI CƯỜNG THỊNH</t>
        </is>
      </c>
      <c r="I2254" s="17" t="inlineStr">
        <is>
          <t>Bulong Din 933 8.8 ZP M20x80</t>
        </is>
      </c>
      <c r="J2254" s="17" t="inlineStr">
        <is>
          <t>Cái</t>
        </is>
      </c>
      <c r="K2254" s="19" t="n">
        <v>7630</v>
      </c>
      <c r="L2254" s="33" t="n"/>
      <c r="M2254" s="33" t="n"/>
      <c r="N2254" s="22" t="n">
        <v>359</v>
      </c>
      <c r="O2254" s="22" t="n">
        <v>2739170</v>
      </c>
      <c r="P2254" s="22" t="n">
        <v>359</v>
      </c>
      <c r="Q2254" s="22" t="n">
        <v>2739170</v>
      </c>
      <c r="R2254" s="42">
        <f>+L2254+N2254-P2254</f>
        <v/>
      </c>
      <c r="S2254" s="42">
        <f>+M2254+O2254-Q2254</f>
        <v/>
      </c>
    </row>
    <row r="2255" ht="30" customHeight="1">
      <c r="A2255" s="16" t="n">
        <v>45857</v>
      </c>
      <c r="B2255" s="17" t="inlineStr">
        <is>
          <t>MH2507-36</t>
        </is>
      </c>
      <c r="C2255" s="16" t="n">
        <v>45857</v>
      </c>
      <c r="D2255" s="16" t="n">
        <v>45857</v>
      </c>
      <c r="E2255" s="17" t="inlineStr">
        <is>
          <t>00002754</t>
        </is>
      </c>
      <c r="F2255" s="16" t="inlineStr">
        <is>
          <t>XK2507-23</t>
        </is>
      </c>
      <c r="G2255" s="16" t="n">
        <v>45857</v>
      </c>
      <c r="H2255" s="17" t="inlineStr">
        <is>
          <t>CÔNG TY CỔ PHẦN CÔNG NGHIỆP VÀ THƯƠNG MẠI CƯỜNG THỊNH</t>
        </is>
      </c>
      <c r="I2255" s="17" t="inlineStr">
        <is>
          <t>Đai ốc Din 934 8 ZP M20</t>
        </is>
      </c>
      <c r="J2255" s="17" t="inlineStr">
        <is>
          <t>Cái</t>
        </is>
      </c>
      <c r="K2255" s="19" t="n">
        <v>2030</v>
      </c>
      <c r="L2255" s="33" t="n"/>
      <c r="M2255" s="33" t="n"/>
      <c r="N2255" s="22" t="n">
        <v>359</v>
      </c>
      <c r="O2255" s="22" t="n">
        <v>728770</v>
      </c>
      <c r="P2255" s="22" t="n">
        <v>359</v>
      </c>
      <c r="Q2255" s="22" t="n">
        <v>728770</v>
      </c>
      <c r="R2255" s="42">
        <f>+L2255+N2255-P2255</f>
        <v/>
      </c>
      <c r="S2255" s="42">
        <f>+M2255+O2255-Q2255</f>
        <v/>
      </c>
    </row>
    <row r="2256" ht="30" customHeight="1">
      <c r="A2256" s="16" t="n">
        <v>45857</v>
      </c>
      <c r="B2256" s="17" t="inlineStr">
        <is>
          <t>MH2507-36</t>
        </is>
      </c>
      <c r="C2256" s="16" t="n">
        <v>45857</v>
      </c>
      <c r="D2256" s="16" t="n">
        <v>45857</v>
      </c>
      <c r="E2256" s="17" t="inlineStr">
        <is>
          <t>00002754</t>
        </is>
      </c>
      <c r="F2256" s="16" t="inlineStr">
        <is>
          <t>XK2507-23</t>
        </is>
      </c>
      <c r="G2256" s="16" t="n">
        <v>45857</v>
      </c>
      <c r="H2256" s="17" t="inlineStr">
        <is>
          <t>CÔNG TY CỔ PHẦN CÔNG NGHIỆP VÀ THƯƠNG MẠI CƯỜNG THỊNH</t>
        </is>
      </c>
      <c r="I2256" s="17" t="inlineStr">
        <is>
          <t>Long đền thường ZP M20B35D2</t>
        </is>
      </c>
      <c r="J2256" s="17" t="inlineStr">
        <is>
          <t>Cái</t>
        </is>
      </c>
      <c r="K2256" s="19" t="n">
        <v>350</v>
      </c>
      <c r="L2256" s="33" t="n"/>
      <c r="M2256" s="33" t="n"/>
      <c r="N2256" s="22" t="n">
        <v>359</v>
      </c>
      <c r="O2256" s="22" t="n">
        <v>125650</v>
      </c>
      <c r="P2256" s="22" t="n">
        <v>359</v>
      </c>
      <c r="Q2256" s="22" t="n">
        <v>125650</v>
      </c>
      <c r="R2256" s="42">
        <f>+L2256+N2256-P2256</f>
        <v/>
      </c>
      <c r="S2256" s="42">
        <f>+M2256+O2256-Q2256</f>
        <v/>
      </c>
    </row>
    <row r="2257" ht="30" customHeight="1">
      <c r="A2257" s="16" t="n">
        <v>45857</v>
      </c>
      <c r="B2257" s="17" t="inlineStr">
        <is>
          <t>MH2507-37</t>
        </is>
      </c>
      <c r="C2257" s="16" t="n">
        <v>45857</v>
      </c>
      <c r="D2257" s="16" t="n">
        <v>45857</v>
      </c>
      <c r="E2257" s="17" t="inlineStr">
        <is>
          <t>00002755</t>
        </is>
      </c>
      <c r="F2257" s="16" t="inlineStr">
        <is>
          <t>XK2507-23</t>
        </is>
      </c>
      <c r="G2257" s="16" t="n">
        <v>45857</v>
      </c>
      <c r="H2257" s="17" t="inlineStr">
        <is>
          <t>CÔNG TY CỔ PHẦN CÔNG NGHIỆP VÀ THƯƠNG MẠI CƯỜNG THỊNH</t>
        </is>
      </c>
      <c r="I2257" s="17" t="inlineStr">
        <is>
          <t>Ty giằng 2 đầu ren 4.6 Ф11.3-11.5mm ZP M12</t>
        </is>
      </c>
      <c r="J2257" s="17" t="inlineStr">
        <is>
          <t>Mét</t>
        </is>
      </c>
      <c r="K2257" s="19" t="n">
        <v>20500</v>
      </c>
      <c r="L2257" s="33" t="n"/>
      <c r="M2257" s="33" t="n"/>
      <c r="N2257" s="22" t="n">
        <v>4907.64</v>
      </c>
      <c r="O2257" s="22" t="n">
        <v>100606620</v>
      </c>
      <c r="P2257" s="22" t="n">
        <v>4907.64</v>
      </c>
      <c r="Q2257" s="22" t="n">
        <v>100606620</v>
      </c>
      <c r="R2257" s="42">
        <f>+L2257+N2257-P2257</f>
        <v/>
      </c>
      <c r="S2257" s="42">
        <f>+M2257+O2257-Q2257</f>
        <v/>
      </c>
    </row>
    <row r="2258" ht="30" customHeight="1">
      <c r="A2258" s="16" t="n">
        <v>45857</v>
      </c>
      <c r="B2258" s="17" t="inlineStr">
        <is>
          <t>MH2507-37</t>
        </is>
      </c>
      <c r="C2258" s="16" t="n">
        <v>45857</v>
      </c>
      <c r="D2258" s="16" t="n">
        <v>45857</v>
      </c>
      <c r="E2258" s="17" t="inlineStr">
        <is>
          <t>00002755</t>
        </is>
      </c>
      <c r="F2258" s="16" t="inlineStr">
        <is>
          <t>XK2507-23</t>
        </is>
      </c>
      <c r="G2258" s="16" t="n">
        <v>45857</v>
      </c>
      <c r="H2258" s="17" t="inlineStr">
        <is>
          <t>CÔNG TY CỔ PHẦN CÔNG NGHIỆP VÀ THƯƠNG MẠI CƯỜNG THỊNH</t>
        </is>
      </c>
      <c r="I2258" s="17" t="inlineStr">
        <is>
          <t>Đai ốc thường 4 ZP M12 (9mm)</t>
        </is>
      </c>
      <c r="J2258" s="17" t="inlineStr">
        <is>
          <t>Cái</t>
        </is>
      </c>
      <c r="K2258" s="19" t="n">
        <v>360</v>
      </c>
      <c r="L2258" s="33" t="n"/>
      <c r="M2258" s="33" t="n"/>
      <c r="N2258" s="22" t="n">
        <v>20812</v>
      </c>
      <c r="O2258" s="22" t="n">
        <v>7492320</v>
      </c>
      <c r="P2258" s="22" t="n">
        <v>20812</v>
      </c>
      <c r="Q2258" s="22" t="n">
        <v>7492320</v>
      </c>
      <c r="R2258" s="42">
        <f>+L2258+N2258-P2258</f>
        <v/>
      </c>
      <c r="S2258" s="42">
        <f>+M2258+O2258-Q2258</f>
        <v/>
      </c>
    </row>
    <row r="2259" ht="30" customHeight="1">
      <c r="A2259" s="16" t="n">
        <v>45857</v>
      </c>
      <c r="B2259" s="17" t="inlineStr">
        <is>
          <t>MH2507-37</t>
        </is>
      </c>
      <c r="C2259" s="16" t="n">
        <v>45857</v>
      </c>
      <c r="D2259" s="16" t="n">
        <v>45857</v>
      </c>
      <c r="E2259" s="17" t="inlineStr">
        <is>
          <t>00002755</t>
        </is>
      </c>
      <c r="F2259" s="16" t="inlineStr">
        <is>
          <t>XK2507-23</t>
        </is>
      </c>
      <c r="G2259" s="16" t="n">
        <v>45857</v>
      </c>
      <c r="H2259" s="17" t="inlineStr">
        <is>
          <t>CÔNG TY CỔ PHẦN CÔNG NGHIỆP VÀ THƯƠNG MẠI CƯỜNG THỊNH</t>
        </is>
      </c>
      <c r="I2259" s="17" t="inlineStr">
        <is>
          <t>Long đền thường ZP M12B26D1.5</t>
        </is>
      </c>
      <c r="J2259" s="17" t="inlineStr">
        <is>
          <t>Cái</t>
        </is>
      </c>
      <c r="K2259" s="19" t="n">
        <v>170</v>
      </c>
      <c r="L2259" s="33" t="n"/>
      <c r="M2259" s="33" t="n"/>
      <c r="N2259" s="22" t="n">
        <v>20812</v>
      </c>
      <c r="O2259" s="22" t="n">
        <v>3538040</v>
      </c>
      <c r="P2259" s="22" t="n">
        <v>20812</v>
      </c>
      <c r="Q2259" s="22" t="n">
        <v>3538040</v>
      </c>
      <c r="R2259" s="42">
        <f>+L2259+N2259-P2259</f>
        <v/>
      </c>
      <c r="S2259" s="42">
        <f>+M2259+O2259-Q2259</f>
        <v/>
      </c>
    </row>
    <row r="2260" ht="30" customHeight="1">
      <c r="A2260" s="16" t="n">
        <v>45857</v>
      </c>
      <c r="B2260" s="17" t="inlineStr">
        <is>
          <t>MH2507-37</t>
        </is>
      </c>
      <c r="C2260" s="16" t="n">
        <v>45857</v>
      </c>
      <c r="D2260" s="16" t="n">
        <v>45857</v>
      </c>
      <c r="E2260" s="17" t="inlineStr">
        <is>
          <t>00002755</t>
        </is>
      </c>
      <c r="F2260" s="16" t="inlineStr">
        <is>
          <t>XK2507-23</t>
        </is>
      </c>
      <c r="G2260" s="16" t="n">
        <v>45857</v>
      </c>
      <c r="H2260" s="17" t="inlineStr">
        <is>
          <t>CÔNG TY CỔ PHẦN CÔNG NGHIỆP VÀ THƯƠNG MẠI CƯỜNG THỊNH</t>
        </is>
      </c>
      <c r="I2260" s="17" t="inlineStr">
        <is>
          <t>Ty giằng 2 đầu ren 4.6 Ф11.3-11.5mm ZP M12</t>
        </is>
      </c>
      <c r="J2260" s="17" t="inlineStr">
        <is>
          <t>Mét</t>
        </is>
      </c>
      <c r="K2260" s="19" t="n">
        <v>22500</v>
      </c>
      <c r="L2260" s="33" t="n"/>
      <c r="M2260" s="33" t="n"/>
      <c r="N2260" s="22" t="n">
        <v>421.43</v>
      </c>
      <c r="O2260" s="22" t="n">
        <v>9482175</v>
      </c>
      <c r="P2260" s="22" t="n">
        <v>421.43</v>
      </c>
      <c r="Q2260" s="22" t="n">
        <v>9482175</v>
      </c>
      <c r="R2260" s="42">
        <f>+L2260+N2260-P2260</f>
        <v/>
      </c>
      <c r="S2260" s="42">
        <f>+M2260+O2260-Q2260</f>
        <v/>
      </c>
    </row>
    <row r="2261" ht="30" customHeight="1">
      <c r="A2261" s="16" t="n">
        <v>45857</v>
      </c>
      <c r="B2261" s="17" t="inlineStr">
        <is>
          <t>MH2507-37</t>
        </is>
      </c>
      <c r="C2261" s="16" t="n">
        <v>45857</v>
      </c>
      <c r="D2261" s="16" t="n">
        <v>45857</v>
      </c>
      <c r="E2261" s="17" t="inlineStr">
        <is>
          <t>00002755</t>
        </is>
      </c>
      <c r="F2261" s="16" t="inlineStr">
        <is>
          <t>XK2507-23</t>
        </is>
      </c>
      <c r="G2261" s="16" t="n">
        <v>45857</v>
      </c>
      <c r="H2261" s="17" t="inlineStr">
        <is>
          <t>CÔNG TY CỔ PHẦN CÔNG NGHIỆP VÀ THƯƠNG MẠI CƯỜNG THỊNH</t>
        </is>
      </c>
      <c r="I2261" s="17" t="inlineStr">
        <is>
          <t>Ty giằng 2 đầu ren 4.6 ZP M16</t>
        </is>
      </c>
      <c r="J2261" s="17" t="inlineStr">
        <is>
          <t>Mét</t>
        </is>
      </c>
      <c r="K2261" s="19" t="n">
        <v>48000</v>
      </c>
      <c r="L2261" s="33" t="n"/>
      <c r="M2261" s="33" t="n"/>
      <c r="N2261" s="22" t="n">
        <v>249.53</v>
      </c>
      <c r="O2261" s="22" t="n">
        <v>11977440</v>
      </c>
      <c r="P2261" s="22" t="n">
        <v>249.53</v>
      </c>
      <c r="Q2261" s="22" t="n">
        <v>11977440</v>
      </c>
      <c r="R2261" s="42">
        <f>+L2261+N2261-P2261</f>
        <v/>
      </c>
      <c r="S2261" s="42">
        <f>+M2261+O2261-Q2261</f>
        <v/>
      </c>
    </row>
    <row r="2262" ht="30" customHeight="1">
      <c r="A2262" s="16" t="n">
        <v>45857</v>
      </c>
      <c r="B2262" s="17" t="inlineStr">
        <is>
          <t>MH2507-37</t>
        </is>
      </c>
      <c r="C2262" s="16" t="n">
        <v>45857</v>
      </c>
      <c r="D2262" s="16" t="n">
        <v>45857</v>
      </c>
      <c r="E2262" s="17" t="inlineStr">
        <is>
          <t>00002755</t>
        </is>
      </c>
      <c r="F2262" s="16" t="inlineStr">
        <is>
          <t>XK2507-23</t>
        </is>
      </c>
      <c r="G2262" s="16" t="n">
        <v>45857</v>
      </c>
      <c r="H2262" s="17" t="inlineStr">
        <is>
          <t>CÔNG TY CỔ PHẦN CÔNG NGHIỆP VÀ THƯƠNG MẠI CƯỜNG THỊNH</t>
        </is>
      </c>
      <c r="I2262" s="17" t="inlineStr">
        <is>
          <t>Đai ốc Din 934 5 ZP M16</t>
        </is>
      </c>
      <c r="J2262" s="17" t="inlineStr">
        <is>
          <t>Cái</t>
        </is>
      </c>
      <c r="K2262" s="19" t="n">
        <v>990</v>
      </c>
      <c r="L2262" s="33" t="n"/>
      <c r="M2262" s="33" t="n"/>
      <c r="N2262" s="22" t="n">
        <v>48</v>
      </c>
      <c r="O2262" s="22" t="n">
        <v>47520</v>
      </c>
      <c r="P2262" s="22" t="n">
        <v>48</v>
      </c>
      <c r="Q2262" s="22" t="n">
        <v>47520</v>
      </c>
      <c r="R2262" s="42">
        <f>+L2262+N2262-P2262</f>
        <v/>
      </c>
      <c r="S2262" s="42">
        <f>+M2262+O2262-Q2262</f>
        <v/>
      </c>
    </row>
    <row r="2263" ht="30" customHeight="1">
      <c r="A2263" s="16" t="n">
        <v>45857</v>
      </c>
      <c r="B2263" s="17" t="inlineStr">
        <is>
          <t>MH2507-37</t>
        </is>
      </c>
      <c r="C2263" s="16" t="n">
        <v>45857</v>
      </c>
      <c r="D2263" s="16" t="n">
        <v>45857</v>
      </c>
      <c r="E2263" s="17" t="inlineStr">
        <is>
          <t>00002755</t>
        </is>
      </c>
      <c r="F2263" s="16" t="inlineStr">
        <is>
          <t>XK2507-23</t>
        </is>
      </c>
      <c r="G2263" s="16" t="n">
        <v>45857</v>
      </c>
      <c r="H2263" s="17" t="inlineStr">
        <is>
          <t>CÔNG TY CỔ PHẦN CÔNG NGHIỆP VÀ THƯƠNG MẠI CƯỜNG THỊNH</t>
        </is>
      </c>
      <c r="I2263" s="17" t="inlineStr">
        <is>
          <t>Long đền thường ZP M16B42D2</t>
        </is>
      </c>
      <c r="J2263" s="17" t="inlineStr">
        <is>
          <t>Cái</t>
        </is>
      </c>
      <c r="K2263" s="19" t="n">
        <v>700</v>
      </c>
      <c r="L2263" s="33" t="n"/>
      <c r="M2263" s="33" t="n"/>
      <c r="N2263" s="22" t="n">
        <v>48</v>
      </c>
      <c r="O2263" s="22" t="n">
        <v>33600</v>
      </c>
      <c r="P2263" s="22" t="n">
        <v>48</v>
      </c>
      <c r="Q2263" s="22" t="n">
        <v>33600</v>
      </c>
      <c r="R2263" s="42">
        <f>+L2263+N2263-P2263</f>
        <v/>
      </c>
      <c r="S2263" s="42">
        <f>+M2263+O2263-Q2263</f>
        <v/>
      </c>
    </row>
    <row r="2264" ht="30" customHeight="1">
      <c r="A2264" s="16" t="n">
        <v>45857</v>
      </c>
      <c r="B2264" s="17" t="inlineStr">
        <is>
          <t>MH2507-37</t>
        </is>
      </c>
      <c r="C2264" s="16" t="n">
        <v>45857</v>
      </c>
      <c r="D2264" s="16" t="n">
        <v>45857</v>
      </c>
      <c r="E2264" s="17" t="inlineStr">
        <is>
          <t>00002755</t>
        </is>
      </c>
      <c r="F2264" s="16" t="inlineStr">
        <is>
          <t>XK2507-23</t>
        </is>
      </c>
      <c r="G2264" s="16" t="n">
        <v>45857</v>
      </c>
      <c r="H2264" s="17" t="inlineStr">
        <is>
          <t>CÔNG TY CỔ PHẦN CÔNG NGHIỆP VÀ THƯƠNG MẠI CƯỜNG THỊNH</t>
        </is>
      </c>
      <c r="I2264" s="17" t="inlineStr">
        <is>
          <t>Long đền móng ngựa ZP M16</t>
        </is>
      </c>
      <c r="J2264" s="17" t="inlineStr">
        <is>
          <t>Cái</t>
        </is>
      </c>
      <c r="K2264" s="19" t="n">
        <v>14830</v>
      </c>
      <c r="L2264" s="33" t="n"/>
      <c r="M2264" s="33" t="n"/>
      <c r="N2264" s="22" t="n">
        <v>48</v>
      </c>
      <c r="O2264" s="22" t="n">
        <v>711840</v>
      </c>
      <c r="P2264" s="22" t="n">
        <v>48</v>
      </c>
      <c r="Q2264" s="22" t="n">
        <v>711840</v>
      </c>
      <c r="R2264" s="42">
        <f>+L2264+N2264-P2264</f>
        <v/>
      </c>
      <c r="S2264" s="42">
        <f>+M2264+O2264-Q2264</f>
        <v/>
      </c>
    </row>
    <row r="2265" ht="30" customHeight="1">
      <c r="A2265" s="16" t="n">
        <v>45857</v>
      </c>
      <c r="B2265" s="17" t="inlineStr">
        <is>
          <t>MH2507-37</t>
        </is>
      </c>
      <c r="C2265" s="16" t="n">
        <v>45857</v>
      </c>
      <c r="D2265" s="16" t="n">
        <v>45857</v>
      </c>
      <c r="E2265" s="17" t="inlineStr">
        <is>
          <t>00002755</t>
        </is>
      </c>
      <c r="F2265" s="16" t="inlineStr">
        <is>
          <t>XK2507-23</t>
        </is>
      </c>
      <c r="G2265" s="16" t="n">
        <v>45857</v>
      </c>
      <c r="H2265" s="17" t="inlineStr">
        <is>
          <t>CÔNG TY CỔ PHẦN CÔNG NGHIỆP VÀ THƯƠNG MẠI CƯỜNG THỊNH</t>
        </is>
      </c>
      <c r="I2265" s="17" t="inlineStr">
        <is>
          <t>Nối Ty ZP M16x100 (23mm)</t>
        </is>
      </c>
      <c r="J2265" s="17" t="inlineStr">
        <is>
          <t>Cái</t>
        </is>
      </c>
      <c r="K2265" s="19" t="n">
        <v>19960</v>
      </c>
      <c r="L2265" s="33" t="n"/>
      <c r="M2265" s="33" t="n"/>
      <c r="N2265" s="22" t="n">
        <v>24</v>
      </c>
      <c r="O2265" s="22" t="n">
        <v>479040</v>
      </c>
      <c r="P2265" s="22" t="n">
        <v>24</v>
      </c>
      <c r="Q2265" s="22" t="n">
        <v>479040</v>
      </c>
      <c r="R2265" s="42">
        <f>+L2265+N2265-P2265</f>
        <v/>
      </c>
      <c r="S2265" s="42">
        <f>+M2265+O2265-Q2265</f>
        <v/>
      </c>
    </row>
    <row r="2266" ht="30" customHeight="1">
      <c r="A2266" s="16" t="n">
        <v>45857</v>
      </c>
      <c r="B2266" s="17" t="inlineStr">
        <is>
          <t>MH2507-37</t>
        </is>
      </c>
      <c r="C2266" s="16" t="n">
        <v>45857</v>
      </c>
      <c r="D2266" s="16" t="n">
        <v>45857</v>
      </c>
      <c r="E2266" s="17" t="inlineStr">
        <is>
          <t>00002755</t>
        </is>
      </c>
      <c r="F2266" s="16" t="inlineStr">
        <is>
          <t>XK2507-23</t>
        </is>
      </c>
      <c r="G2266" s="16" t="n">
        <v>45857</v>
      </c>
      <c r="H2266" s="17" t="inlineStr">
        <is>
          <t>CÔNG TY CỔ PHẦN CÔNG NGHIỆP VÀ THƯƠNG MẠI CƯỜNG THỊNH</t>
        </is>
      </c>
      <c r="I2266" s="17" t="inlineStr">
        <is>
          <t>Ty giằng 2 đầu ren 5.6 ZP M24</t>
        </is>
      </c>
      <c r="J2266" s="17" t="inlineStr">
        <is>
          <t>Mét</t>
        </is>
      </c>
      <c r="K2266" s="19" t="n">
        <v>99000</v>
      </c>
      <c r="L2266" s="33" t="n"/>
      <c r="M2266" s="33" t="n"/>
      <c r="N2266" s="22" t="n">
        <v>2145.87</v>
      </c>
      <c r="O2266" s="22" t="n">
        <v>212441130</v>
      </c>
      <c r="P2266" s="22" t="n">
        <v>2145.87</v>
      </c>
      <c r="Q2266" s="22" t="n">
        <v>212441130</v>
      </c>
      <c r="R2266" s="42">
        <f>+L2266+N2266-P2266</f>
        <v/>
      </c>
      <c r="S2266" s="42">
        <f>+M2266+O2266-Q2266</f>
        <v/>
      </c>
    </row>
    <row r="2267" ht="30" customHeight="1">
      <c r="A2267" s="16" t="n">
        <v>45857</v>
      </c>
      <c r="B2267" s="17" t="inlineStr">
        <is>
          <t>MH2507-37</t>
        </is>
      </c>
      <c r="C2267" s="16" t="n">
        <v>45857</v>
      </c>
      <c r="D2267" s="16" t="n">
        <v>45857</v>
      </c>
      <c r="E2267" s="17" t="inlineStr">
        <is>
          <t>00002755</t>
        </is>
      </c>
      <c r="F2267" s="16" t="inlineStr">
        <is>
          <t>XK2507-23</t>
        </is>
      </c>
      <c r="G2267" s="16" t="n">
        <v>45857</v>
      </c>
      <c r="H2267" s="17" t="inlineStr">
        <is>
          <t>CÔNG TY CỔ PHẦN CÔNG NGHIỆP VÀ THƯƠNG MẠI CƯỜNG THỊNH</t>
        </is>
      </c>
      <c r="I2267" s="17" t="inlineStr">
        <is>
          <t>Đai ốc Din 934 5 ZP M24</t>
        </is>
      </c>
      <c r="J2267" s="17" t="inlineStr">
        <is>
          <t>Cái</t>
        </is>
      </c>
      <c r="K2267" s="19" t="n">
        <v>2930</v>
      </c>
      <c r="L2267" s="33" t="n"/>
      <c r="M2267" s="33" t="n"/>
      <c r="N2267" s="22" t="n">
        <v>332</v>
      </c>
      <c r="O2267" s="22" t="n">
        <v>972760</v>
      </c>
      <c r="P2267" s="22" t="n">
        <v>332</v>
      </c>
      <c r="Q2267" s="22" t="n">
        <v>972760</v>
      </c>
      <c r="R2267" s="42">
        <f>+L2267+N2267-P2267</f>
        <v/>
      </c>
      <c r="S2267" s="42">
        <f>+M2267+O2267-Q2267</f>
        <v/>
      </c>
    </row>
    <row r="2268" ht="30" customHeight="1">
      <c r="A2268" s="16" t="n">
        <v>45857</v>
      </c>
      <c r="B2268" s="17" t="inlineStr">
        <is>
          <t>MH2507-37</t>
        </is>
      </c>
      <c r="C2268" s="16" t="n">
        <v>45857</v>
      </c>
      <c r="D2268" s="16" t="n">
        <v>45857</v>
      </c>
      <c r="E2268" s="17" t="inlineStr">
        <is>
          <t>00002755</t>
        </is>
      </c>
      <c r="F2268" s="16" t="inlineStr">
        <is>
          <t>XK2507-23</t>
        </is>
      </c>
      <c r="G2268" s="16" t="n">
        <v>45857</v>
      </c>
      <c r="H2268" s="17" t="inlineStr">
        <is>
          <t>CÔNG TY CỔ PHẦN CÔNG NGHIỆP VÀ THƯƠNG MẠI CƯỜNG THỊNH</t>
        </is>
      </c>
      <c r="I2268" s="17" t="inlineStr">
        <is>
          <t>Long đền thường ZP M24B45D2</t>
        </is>
      </c>
      <c r="J2268" s="17" t="inlineStr">
        <is>
          <t>Cái</t>
        </is>
      </c>
      <c r="K2268" s="19" t="n">
        <v>770</v>
      </c>
      <c r="L2268" s="33" t="n"/>
      <c r="M2268" s="33" t="n"/>
      <c r="N2268" s="22" t="n">
        <v>332</v>
      </c>
      <c r="O2268" s="22" t="n">
        <v>255640</v>
      </c>
      <c r="P2268" s="22" t="n">
        <v>332</v>
      </c>
      <c r="Q2268" s="22" t="n">
        <v>255640</v>
      </c>
      <c r="R2268" s="42">
        <f>+L2268+N2268-P2268</f>
        <v/>
      </c>
      <c r="S2268" s="42">
        <f>+M2268+O2268-Q2268</f>
        <v/>
      </c>
    </row>
    <row r="2269" ht="30" customHeight="1">
      <c r="A2269" s="16" t="n">
        <v>45857</v>
      </c>
      <c r="B2269" s="17" t="inlineStr">
        <is>
          <t>MH2507-37</t>
        </is>
      </c>
      <c r="C2269" s="16" t="n">
        <v>45857</v>
      </c>
      <c r="D2269" s="16" t="n">
        <v>45857</v>
      </c>
      <c r="E2269" s="17" t="inlineStr">
        <is>
          <t>00002755</t>
        </is>
      </c>
      <c r="F2269" s="16" t="inlineStr">
        <is>
          <t>XK2507-23</t>
        </is>
      </c>
      <c r="G2269" s="16" t="n">
        <v>45857</v>
      </c>
      <c r="H2269" s="17" t="inlineStr">
        <is>
          <t>CÔNG TY CỔ PHẦN CÔNG NGHIỆP VÀ THƯƠNG MẠI CƯỜNG THỊNH</t>
        </is>
      </c>
      <c r="I2269" s="17" t="inlineStr">
        <is>
          <t>Long đền móng ngựa ZP M24</t>
        </is>
      </c>
      <c r="J2269" s="17" t="inlineStr">
        <is>
          <t>Cái</t>
        </is>
      </c>
      <c r="K2269" s="19" t="n">
        <v>21210</v>
      </c>
      <c r="L2269" s="33" t="n"/>
      <c r="M2269" s="33" t="n"/>
      <c r="N2269" s="22" t="n">
        <v>332</v>
      </c>
      <c r="O2269" s="22" t="n">
        <v>7041720</v>
      </c>
      <c r="P2269" s="22" t="n">
        <v>332</v>
      </c>
      <c r="Q2269" s="22" t="n">
        <v>7041720</v>
      </c>
      <c r="R2269" s="42">
        <f>+L2269+N2269-P2269</f>
        <v/>
      </c>
      <c r="S2269" s="42">
        <f>+M2269+O2269-Q2269</f>
        <v/>
      </c>
    </row>
    <row r="2270" ht="30" customHeight="1">
      <c r="A2270" s="16" t="n">
        <v>45857</v>
      </c>
      <c r="B2270" s="17" t="inlineStr">
        <is>
          <t>MH2507-37</t>
        </is>
      </c>
      <c r="C2270" s="16" t="n">
        <v>45857</v>
      </c>
      <c r="D2270" s="16" t="n">
        <v>45857</v>
      </c>
      <c r="E2270" s="17" t="inlineStr">
        <is>
          <t>00002755</t>
        </is>
      </c>
      <c r="F2270" s="16" t="inlineStr">
        <is>
          <t>XK2507-23</t>
        </is>
      </c>
      <c r="G2270" s="16" t="n">
        <v>45857</v>
      </c>
      <c r="H2270" s="17" t="inlineStr">
        <is>
          <t>CÔNG TY CỔ PHẦN CÔNG NGHIỆP VÀ THƯƠNG MẠI CƯỜNG THỊNH</t>
        </is>
      </c>
      <c r="I2270" s="17" t="inlineStr">
        <is>
          <t>Nối Ty ZP M24x100 (34mm)</t>
        </is>
      </c>
      <c r="J2270" s="17" t="inlineStr">
        <is>
          <t>Cái</t>
        </is>
      </c>
      <c r="K2270" s="19" t="n">
        <v>30860</v>
      </c>
      <c r="L2270" s="33" t="n"/>
      <c r="M2270" s="33" t="n"/>
      <c r="N2270" s="22" t="n">
        <v>267</v>
      </c>
      <c r="O2270" s="22" t="n">
        <v>8239620</v>
      </c>
      <c r="P2270" s="22" t="n">
        <v>267</v>
      </c>
      <c r="Q2270" s="22" t="n">
        <v>8239620</v>
      </c>
      <c r="R2270" s="42">
        <f>+L2270+N2270-P2270</f>
        <v/>
      </c>
      <c r="S2270" s="42">
        <f>+M2270+O2270-Q2270</f>
        <v/>
      </c>
    </row>
    <row r="2271" ht="30" customHeight="1">
      <c r="A2271" s="16" t="n">
        <v>45857</v>
      </c>
      <c r="B2271" s="17" t="inlineStr">
        <is>
          <t>MH2507-38</t>
        </is>
      </c>
      <c r="C2271" s="16" t="n">
        <v>45857</v>
      </c>
      <c r="D2271" s="16" t="n">
        <v>45857</v>
      </c>
      <c r="E2271" s="17" t="inlineStr">
        <is>
          <t>00002756</t>
        </is>
      </c>
      <c r="F2271" s="16" t="inlineStr">
        <is>
          <t>XK2507-23</t>
        </is>
      </c>
      <c r="G2271" s="16" t="n">
        <v>45857</v>
      </c>
      <c r="H2271" s="17" t="inlineStr">
        <is>
          <t>CÔNG TY CỔ PHẦN CÔNG NGHIỆP VÀ THƯƠNG MẠI CƯỜNG THỊNH</t>
        </is>
      </c>
      <c r="I2271" s="17" t="inlineStr">
        <is>
          <t>Ty giằng 2 đầu ren 4.6 Ф11.3-11.5mm ZP M12</t>
        </is>
      </c>
      <c r="J2271" s="17" t="inlineStr">
        <is>
          <t>Mét</t>
        </is>
      </c>
      <c r="K2271" s="19" t="n">
        <v>20500</v>
      </c>
      <c r="L2271" s="33" t="n"/>
      <c r="M2271" s="33" t="n"/>
      <c r="N2271" s="22" t="n">
        <v>50.62</v>
      </c>
      <c r="O2271" s="22" t="n">
        <v>1037710</v>
      </c>
      <c r="P2271" s="22" t="n">
        <v>50.62</v>
      </c>
      <c r="Q2271" s="22" t="n">
        <v>1037710</v>
      </c>
      <c r="R2271" s="42">
        <f>+L2271+N2271-P2271</f>
        <v/>
      </c>
      <c r="S2271" s="42">
        <f>+M2271+O2271-Q2271</f>
        <v/>
      </c>
    </row>
    <row r="2272" ht="30" customHeight="1">
      <c r="A2272" s="16" t="n">
        <v>45857</v>
      </c>
      <c r="B2272" s="17" t="inlineStr">
        <is>
          <t>MH2507-38</t>
        </is>
      </c>
      <c r="C2272" s="16" t="n">
        <v>45857</v>
      </c>
      <c r="D2272" s="16" t="n">
        <v>45857</v>
      </c>
      <c r="E2272" s="17" t="inlineStr">
        <is>
          <t>00002756</t>
        </is>
      </c>
      <c r="F2272" s="16" t="inlineStr">
        <is>
          <t>XK2507-23</t>
        </is>
      </c>
      <c r="G2272" s="16" t="n">
        <v>45857</v>
      </c>
      <c r="H2272" s="17" t="inlineStr">
        <is>
          <t>CÔNG TY CỔ PHẦN CÔNG NGHIỆP VÀ THƯƠNG MẠI CƯỜNG THỊNH</t>
        </is>
      </c>
      <c r="I2272" s="17" t="inlineStr">
        <is>
          <t>Đai ốc thường 4 ZP M12 (9mm)</t>
        </is>
      </c>
      <c r="J2272" s="17" t="inlineStr">
        <is>
          <t>Cái</t>
        </is>
      </c>
      <c r="K2272" s="19" t="n">
        <v>360</v>
      </c>
      <c r="L2272" s="33" t="n"/>
      <c r="M2272" s="33" t="n"/>
      <c r="N2272" s="22" t="n">
        <v>208</v>
      </c>
      <c r="O2272" s="22" t="n">
        <v>74880</v>
      </c>
      <c r="P2272" s="22" t="n">
        <v>208</v>
      </c>
      <c r="Q2272" s="22" t="n">
        <v>74880</v>
      </c>
      <c r="R2272" s="42">
        <f>+L2272+N2272-P2272</f>
        <v/>
      </c>
      <c r="S2272" s="42">
        <f>+M2272+O2272-Q2272</f>
        <v/>
      </c>
    </row>
    <row r="2273" ht="30" customHeight="1">
      <c r="A2273" s="16" t="n">
        <v>45857</v>
      </c>
      <c r="B2273" s="17" t="inlineStr">
        <is>
          <t>MH2507-38</t>
        </is>
      </c>
      <c r="C2273" s="16" t="n">
        <v>45857</v>
      </c>
      <c r="D2273" s="16" t="n">
        <v>45857</v>
      </c>
      <c r="E2273" s="17" t="inlineStr">
        <is>
          <t>00002756</t>
        </is>
      </c>
      <c r="F2273" s="16" t="inlineStr">
        <is>
          <t>XK2507-23</t>
        </is>
      </c>
      <c r="G2273" s="16" t="n">
        <v>45857</v>
      </c>
      <c r="H2273" s="17" t="inlineStr">
        <is>
          <t>CÔNG TY CỔ PHẦN CÔNG NGHIỆP VÀ THƯƠNG MẠI CƯỜNG THỊNH</t>
        </is>
      </c>
      <c r="I2273" s="17" t="inlineStr">
        <is>
          <t>Long đền thường ZP M12B26D1.5</t>
        </is>
      </c>
      <c r="J2273" s="17" t="inlineStr">
        <is>
          <t>Cái</t>
        </is>
      </c>
      <c r="K2273" s="19" t="n">
        <v>170</v>
      </c>
      <c r="L2273" s="33" t="n"/>
      <c r="M2273" s="33" t="n"/>
      <c r="N2273" s="22" t="n">
        <v>208</v>
      </c>
      <c r="O2273" s="22" t="n">
        <v>35360</v>
      </c>
      <c r="P2273" s="22" t="n">
        <v>208</v>
      </c>
      <c r="Q2273" s="22" t="n">
        <v>35360</v>
      </c>
      <c r="R2273" s="42">
        <f>+L2273+N2273-P2273</f>
        <v/>
      </c>
      <c r="S2273" s="42">
        <f>+M2273+O2273-Q2273</f>
        <v/>
      </c>
    </row>
    <row r="2274" ht="30" customHeight="1">
      <c r="A2274" s="16" t="n">
        <v>45857</v>
      </c>
      <c r="B2274" s="17" t="inlineStr">
        <is>
          <t>MH2507-39</t>
        </is>
      </c>
      <c r="C2274" s="16" t="n">
        <v>45857</v>
      </c>
      <c r="D2274" s="16" t="n">
        <v>45857</v>
      </c>
      <c r="E2274" s="17" t="inlineStr">
        <is>
          <t>00002757</t>
        </is>
      </c>
      <c r="F2274" s="16" t="inlineStr">
        <is>
          <t>XK2507-23</t>
        </is>
      </c>
      <c r="G2274" s="16" t="n">
        <v>45857</v>
      </c>
      <c r="H2274" s="17" t="inlineStr">
        <is>
          <t>CÔNG TY CỔ PHẦN CÔNG NGHIỆP VÀ THƯƠNG MẠI CƯỜNG THỊNH</t>
        </is>
      </c>
      <c r="I2274" s="17" t="inlineStr">
        <is>
          <t>Bulong Din 933 8.8 ZP M16x50</t>
        </is>
      </c>
      <c r="J2274" s="17" t="inlineStr">
        <is>
          <t>Cái</t>
        </is>
      </c>
      <c r="K2274" s="19" t="n">
        <v>3470</v>
      </c>
      <c r="L2274" s="33" t="n"/>
      <c r="M2274" s="33" t="n"/>
      <c r="N2274" s="22" t="n">
        <v>99</v>
      </c>
      <c r="O2274" s="22" t="n">
        <v>343530</v>
      </c>
      <c r="P2274" s="22" t="n">
        <v>99</v>
      </c>
      <c r="Q2274" s="22" t="n">
        <v>343530</v>
      </c>
      <c r="R2274" s="42">
        <f>+L2274+N2274-P2274</f>
        <v/>
      </c>
      <c r="S2274" s="42">
        <f>+M2274+O2274-Q2274</f>
        <v/>
      </c>
    </row>
    <row r="2275" ht="30" customHeight="1">
      <c r="A2275" s="16" t="n">
        <v>45857</v>
      </c>
      <c r="B2275" s="17" t="inlineStr">
        <is>
          <t>MH2507-39</t>
        </is>
      </c>
      <c r="C2275" s="16" t="n">
        <v>45857</v>
      </c>
      <c r="D2275" s="16" t="n">
        <v>45857</v>
      </c>
      <c r="E2275" s="17" t="inlineStr">
        <is>
          <t>00002757</t>
        </is>
      </c>
      <c r="F2275" s="16" t="inlineStr">
        <is>
          <t>XK2507-23</t>
        </is>
      </c>
      <c r="G2275" s="16" t="n">
        <v>45857</v>
      </c>
      <c r="H2275" s="17" t="inlineStr">
        <is>
          <t>CÔNG TY CỔ PHẦN CÔNG NGHIỆP VÀ THƯƠNG MẠI CƯỜNG THỊNH</t>
        </is>
      </c>
      <c r="I2275" s="17" t="inlineStr">
        <is>
          <t>Đai ốc Din 934 8 ZP M16</t>
        </is>
      </c>
      <c r="J2275" s="17" t="inlineStr">
        <is>
          <t>Cái</t>
        </is>
      </c>
      <c r="K2275" s="19" t="n">
        <v>1090</v>
      </c>
      <c r="L2275" s="33" t="n"/>
      <c r="M2275" s="33" t="n"/>
      <c r="N2275" s="22" t="n">
        <v>99</v>
      </c>
      <c r="O2275" s="22" t="n">
        <v>107910</v>
      </c>
      <c r="P2275" s="22" t="n">
        <v>99</v>
      </c>
      <c r="Q2275" s="22" t="n">
        <v>107910</v>
      </c>
      <c r="R2275" s="42">
        <f>+L2275+N2275-P2275</f>
        <v/>
      </c>
      <c r="S2275" s="42">
        <f>+M2275+O2275-Q2275</f>
        <v/>
      </c>
    </row>
    <row r="2276" ht="30" customHeight="1">
      <c r="A2276" s="16" t="n">
        <v>45857</v>
      </c>
      <c r="B2276" s="17" t="inlineStr">
        <is>
          <t>MH2507-39</t>
        </is>
      </c>
      <c r="C2276" s="16" t="n">
        <v>45857</v>
      </c>
      <c r="D2276" s="16" t="n">
        <v>45857</v>
      </c>
      <c r="E2276" s="17" t="inlineStr">
        <is>
          <t>00002757</t>
        </is>
      </c>
      <c r="F2276" s="16" t="inlineStr">
        <is>
          <t>XK2507-23</t>
        </is>
      </c>
      <c r="G2276" s="16" t="n">
        <v>45857</v>
      </c>
      <c r="H2276" s="17" t="inlineStr">
        <is>
          <t>CÔNG TY CỔ PHẦN CÔNG NGHIỆP VÀ THƯƠNG MẠI CƯỜNG THỊNH</t>
        </is>
      </c>
      <c r="I2276" s="17" t="inlineStr">
        <is>
          <t>Long đền thường ZP M16B30D2</t>
        </is>
      </c>
      <c r="J2276" s="17" t="inlineStr">
        <is>
          <t>Cái</t>
        </is>
      </c>
      <c r="K2276" s="19" t="n">
        <v>330</v>
      </c>
      <c r="L2276" s="33" t="n"/>
      <c r="M2276" s="33" t="n"/>
      <c r="N2276" s="22" t="n">
        <v>99</v>
      </c>
      <c r="O2276" s="22" t="n">
        <v>32670</v>
      </c>
      <c r="P2276" s="22" t="n">
        <v>99</v>
      </c>
      <c r="Q2276" s="22" t="n">
        <v>32670</v>
      </c>
      <c r="R2276" s="42">
        <f>+L2276+N2276-P2276</f>
        <v/>
      </c>
      <c r="S2276" s="42">
        <f>+M2276+O2276-Q2276</f>
        <v/>
      </c>
    </row>
    <row r="2277" ht="30" customHeight="1">
      <c r="A2277" s="16" t="n">
        <v>45857</v>
      </c>
      <c r="B2277" s="17" t="inlineStr">
        <is>
          <t>MH2507-39</t>
        </is>
      </c>
      <c r="C2277" s="16" t="n">
        <v>45857</v>
      </c>
      <c r="D2277" s="16" t="n">
        <v>45857</v>
      </c>
      <c r="E2277" s="17" t="inlineStr">
        <is>
          <t>00002757</t>
        </is>
      </c>
      <c r="F2277" s="16" t="inlineStr">
        <is>
          <t>XK2507-23</t>
        </is>
      </c>
      <c r="G2277" s="16" t="n">
        <v>45857</v>
      </c>
      <c r="H2277" s="17" t="inlineStr">
        <is>
          <t>CÔNG TY CỔ PHẦN CÔNG NGHIỆP VÀ THƯƠNG MẠI CƯỜNG THỊNH</t>
        </is>
      </c>
      <c r="I2277" s="17" t="inlineStr">
        <is>
          <t>Bulong Din 933 8.8 ZP M20x60</t>
        </is>
      </c>
      <c r="J2277" s="17" t="inlineStr">
        <is>
          <t>Cái</t>
        </is>
      </c>
      <c r="K2277" s="19" t="n">
        <v>6360</v>
      </c>
      <c r="L2277" s="33" t="n"/>
      <c r="M2277" s="33" t="n"/>
      <c r="N2277" s="22" t="n">
        <v>466</v>
      </c>
      <c r="O2277" s="22" t="n">
        <v>2963760</v>
      </c>
      <c r="P2277" s="22" t="n">
        <v>466</v>
      </c>
      <c r="Q2277" s="22" t="n">
        <v>2963760</v>
      </c>
      <c r="R2277" s="42">
        <f>+L2277+N2277-P2277</f>
        <v/>
      </c>
      <c r="S2277" s="42">
        <f>+M2277+O2277-Q2277</f>
        <v/>
      </c>
    </row>
    <row r="2278" ht="30" customHeight="1">
      <c r="A2278" s="16" t="n">
        <v>45857</v>
      </c>
      <c r="B2278" s="17" t="inlineStr">
        <is>
          <t>MH2507-39</t>
        </is>
      </c>
      <c r="C2278" s="16" t="n">
        <v>45857</v>
      </c>
      <c r="D2278" s="16" t="n">
        <v>45857</v>
      </c>
      <c r="E2278" s="17" t="inlineStr">
        <is>
          <t>00002757</t>
        </is>
      </c>
      <c r="F2278" s="16" t="inlineStr">
        <is>
          <t>XK2507-23</t>
        </is>
      </c>
      <c r="G2278" s="16" t="n">
        <v>45857</v>
      </c>
      <c r="H2278" s="17" t="inlineStr">
        <is>
          <t>CÔNG TY CỔ PHẦN CÔNG NGHIỆP VÀ THƯƠNG MẠI CƯỜNG THỊNH</t>
        </is>
      </c>
      <c r="I2278" s="17" t="inlineStr">
        <is>
          <t>Đai ốc Din 934 8 ZP M20</t>
        </is>
      </c>
      <c r="J2278" s="17" t="inlineStr">
        <is>
          <t>Cái</t>
        </is>
      </c>
      <c r="K2278" s="19" t="n">
        <v>2030</v>
      </c>
      <c r="L2278" s="33" t="n"/>
      <c r="M2278" s="33" t="n"/>
      <c r="N2278" s="22" t="n">
        <v>466</v>
      </c>
      <c r="O2278" s="22" t="n">
        <v>945980</v>
      </c>
      <c r="P2278" s="22" t="n">
        <v>466</v>
      </c>
      <c r="Q2278" s="22" t="n">
        <v>945980</v>
      </c>
      <c r="R2278" s="42">
        <f>+L2278+N2278-P2278</f>
        <v/>
      </c>
      <c r="S2278" s="42">
        <f>+M2278+O2278-Q2278</f>
        <v/>
      </c>
    </row>
    <row r="2279" ht="30" customHeight="1">
      <c r="A2279" s="16" t="n">
        <v>45857</v>
      </c>
      <c r="B2279" s="17" t="inlineStr">
        <is>
          <t>MH2507-39</t>
        </is>
      </c>
      <c r="C2279" s="16" t="n">
        <v>45857</v>
      </c>
      <c r="D2279" s="16" t="n">
        <v>45857</v>
      </c>
      <c r="E2279" s="17" t="inlineStr">
        <is>
          <t>00002757</t>
        </is>
      </c>
      <c r="F2279" s="16" t="inlineStr">
        <is>
          <t>XK2507-23</t>
        </is>
      </c>
      <c r="G2279" s="16" t="n">
        <v>45857</v>
      </c>
      <c r="H2279" s="17" t="inlineStr">
        <is>
          <t>CÔNG TY CỔ PHẦN CÔNG NGHIỆP VÀ THƯƠNG MẠI CƯỜNG THỊNH</t>
        </is>
      </c>
      <c r="I2279" s="17" t="inlineStr">
        <is>
          <t>Long đền thường ZP M20B35D2</t>
        </is>
      </c>
      <c r="J2279" s="17" t="inlineStr">
        <is>
          <t>Cái</t>
        </is>
      </c>
      <c r="K2279" s="19" t="n">
        <v>350</v>
      </c>
      <c r="L2279" s="33" t="n"/>
      <c r="M2279" s="33" t="n"/>
      <c r="N2279" s="22" t="n">
        <v>466</v>
      </c>
      <c r="O2279" s="22" t="n">
        <v>163100</v>
      </c>
      <c r="P2279" s="22" t="n">
        <v>466</v>
      </c>
      <c r="Q2279" s="22" t="n">
        <v>163100</v>
      </c>
      <c r="R2279" s="42">
        <f>+L2279+N2279-P2279</f>
        <v/>
      </c>
      <c r="S2279" s="42">
        <f>+M2279+O2279-Q2279</f>
        <v/>
      </c>
    </row>
    <row r="2280" ht="30" customHeight="1">
      <c r="A2280" s="16" t="n">
        <v>45857</v>
      </c>
      <c r="B2280" s="17" t="inlineStr">
        <is>
          <t>MH2507-39</t>
        </is>
      </c>
      <c r="C2280" s="16" t="n">
        <v>45857</v>
      </c>
      <c r="D2280" s="16" t="n">
        <v>45857</v>
      </c>
      <c r="E2280" s="17" t="inlineStr">
        <is>
          <t>00002757</t>
        </is>
      </c>
      <c r="F2280" s="16" t="inlineStr">
        <is>
          <t>XK2507-23</t>
        </is>
      </c>
      <c r="G2280" s="16" t="n">
        <v>45857</v>
      </c>
      <c r="H2280" s="17" t="inlineStr">
        <is>
          <t>CÔNG TY CỔ PHẦN CÔNG NGHIỆP VÀ THƯƠNG MẠI CƯỜNG THỊNH</t>
        </is>
      </c>
      <c r="I2280" s="17" t="inlineStr">
        <is>
          <t>Bulong Din 933 8.8 ZP M24x90</t>
        </is>
      </c>
      <c r="J2280" s="17" t="inlineStr">
        <is>
          <t>Cái</t>
        </is>
      </c>
      <c r="K2280" s="19" t="n">
        <v>12950</v>
      </c>
      <c r="L2280" s="33" t="n"/>
      <c r="M2280" s="33" t="n"/>
      <c r="N2280" s="22" t="n">
        <v>132</v>
      </c>
      <c r="O2280" s="22" t="n">
        <v>1709400</v>
      </c>
      <c r="P2280" s="22" t="n">
        <v>132</v>
      </c>
      <c r="Q2280" s="22" t="n">
        <v>1709400</v>
      </c>
      <c r="R2280" s="42">
        <f>+L2280+N2280-P2280</f>
        <v/>
      </c>
      <c r="S2280" s="42">
        <f>+M2280+O2280-Q2280</f>
        <v/>
      </c>
    </row>
    <row r="2281" ht="30" customHeight="1">
      <c r="A2281" s="16" t="n">
        <v>45857</v>
      </c>
      <c r="B2281" s="17" t="inlineStr">
        <is>
          <t>MH2507-39</t>
        </is>
      </c>
      <c r="C2281" s="16" t="n">
        <v>45857</v>
      </c>
      <c r="D2281" s="16" t="n">
        <v>45857</v>
      </c>
      <c r="E2281" s="17" t="inlineStr">
        <is>
          <t>00002757</t>
        </is>
      </c>
      <c r="F2281" s="16" t="inlineStr">
        <is>
          <t>XK2507-23</t>
        </is>
      </c>
      <c r="G2281" s="16" t="n">
        <v>45857</v>
      </c>
      <c r="H2281" s="17" t="inlineStr">
        <is>
          <t>CÔNG TY CỔ PHẦN CÔNG NGHIỆP VÀ THƯƠNG MẠI CƯỜNG THỊNH</t>
        </is>
      </c>
      <c r="I2281" s="17" t="inlineStr">
        <is>
          <t>Đai ốc Din 934 8 ZP M24</t>
        </is>
      </c>
      <c r="J2281" s="17" t="inlineStr">
        <is>
          <t>Cái</t>
        </is>
      </c>
      <c r="K2281" s="19" t="n">
        <v>3500</v>
      </c>
      <c r="L2281" s="33" t="n"/>
      <c r="M2281" s="33" t="n"/>
      <c r="N2281" s="22" t="n">
        <v>132</v>
      </c>
      <c r="O2281" s="22" t="n">
        <v>462000</v>
      </c>
      <c r="P2281" s="22" t="n">
        <v>132</v>
      </c>
      <c r="Q2281" s="22" t="n">
        <v>462000</v>
      </c>
      <c r="R2281" s="42">
        <f>+L2281+N2281-P2281</f>
        <v/>
      </c>
      <c r="S2281" s="42">
        <f>+M2281+O2281-Q2281</f>
        <v/>
      </c>
    </row>
    <row r="2282" ht="30" customHeight="1">
      <c r="A2282" s="16" t="n">
        <v>45857</v>
      </c>
      <c r="B2282" s="17" t="inlineStr">
        <is>
          <t>MH2507-39</t>
        </is>
      </c>
      <c r="C2282" s="16" t="n">
        <v>45857</v>
      </c>
      <c r="D2282" s="16" t="n">
        <v>45857</v>
      </c>
      <c r="E2282" s="17" t="inlineStr">
        <is>
          <t>00002757</t>
        </is>
      </c>
      <c r="F2282" s="16" t="inlineStr">
        <is>
          <t>XK2507-23</t>
        </is>
      </c>
      <c r="G2282" s="16" t="n">
        <v>45857</v>
      </c>
      <c r="H2282" s="17" t="inlineStr">
        <is>
          <t>CÔNG TY CỔ PHẦN CÔNG NGHIỆP VÀ THƯƠNG MẠI CƯỜNG THỊNH</t>
        </is>
      </c>
      <c r="I2282" s="17" t="inlineStr">
        <is>
          <t>Long đền thường ZP M24B40-42D2</t>
        </is>
      </c>
      <c r="J2282" s="17" t="inlineStr">
        <is>
          <t>Cái</t>
        </is>
      </c>
      <c r="K2282" s="19" t="n">
        <v>710</v>
      </c>
      <c r="L2282" s="33" t="n"/>
      <c r="M2282" s="33" t="n"/>
      <c r="N2282" s="22" t="n">
        <v>132</v>
      </c>
      <c r="O2282" s="22" t="n">
        <v>93720</v>
      </c>
      <c r="P2282" s="22" t="n">
        <v>132</v>
      </c>
      <c r="Q2282" s="22" t="n">
        <v>93720</v>
      </c>
      <c r="R2282" s="42">
        <f>+L2282+N2282-P2282</f>
        <v/>
      </c>
      <c r="S2282" s="42">
        <f>+M2282+O2282-Q2282</f>
        <v/>
      </c>
    </row>
    <row r="2283" ht="30" customHeight="1">
      <c r="A2283" s="16" t="n">
        <v>45857</v>
      </c>
      <c r="B2283" s="17" t="inlineStr">
        <is>
          <t>MH2507-39</t>
        </is>
      </c>
      <c r="C2283" s="16" t="n">
        <v>45857</v>
      </c>
      <c r="D2283" s="16" t="n">
        <v>45857</v>
      </c>
      <c r="E2283" s="17" t="inlineStr">
        <is>
          <t>00002757</t>
        </is>
      </c>
      <c r="F2283" s="16" t="inlineStr">
        <is>
          <t>XK2507-23</t>
        </is>
      </c>
      <c r="G2283" s="16" t="n">
        <v>45857</v>
      </c>
      <c r="H2283" s="17" t="inlineStr">
        <is>
          <t>CÔNG TY CỔ PHẦN CÔNG NGHIỆP VÀ THƯƠNG MẠI CƯỜNG THỊNH</t>
        </is>
      </c>
      <c r="I2283" s="17" t="inlineStr">
        <is>
          <t>Bulong thường 4.6 ZP M12x40</t>
        </is>
      </c>
      <c r="J2283" s="17" t="inlineStr">
        <is>
          <t>Cái</t>
        </is>
      </c>
      <c r="K2283" s="19" t="n">
        <v>1100</v>
      </c>
      <c r="L2283" s="33" t="n"/>
      <c r="M2283" s="33" t="n"/>
      <c r="N2283" s="22" t="n">
        <v>99</v>
      </c>
      <c r="O2283" s="22" t="n">
        <v>108900</v>
      </c>
      <c r="P2283" s="22" t="n">
        <v>99</v>
      </c>
      <c r="Q2283" s="22" t="n">
        <v>108900</v>
      </c>
      <c r="R2283" s="42">
        <f>+L2283+N2283-P2283</f>
        <v/>
      </c>
      <c r="S2283" s="42">
        <f>+M2283+O2283-Q2283</f>
        <v/>
      </c>
    </row>
    <row r="2284" ht="30" customHeight="1">
      <c r="A2284" s="16" t="n">
        <v>45857</v>
      </c>
      <c r="B2284" s="17" t="inlineStr">
        <is>
          <t>MH2507-39</t>
        </is>
      </c>
      <c r="C2284" s="16" t="n">
        <v>45857</v>
      </c>
      <c r="D2284" s="16" t="n">
        <v>45857</v>
      </c>
      <c r="E2284" s="17" t="inlineStr">
        <is>
          <t>00002757</t>
        </is>
      </c>
      <c r="F2284" s="16" t="inlineStr">
        <is>
          <t>XK2507-23</t>
        </is>
      </c>
      <c r="G2284" s="16" t="n">
        <v>45857</v>
      </c>
      <c r="H2284" s="17" t="inlineStr">
        <is>
          <t>CÔNG TY CỔ PHẦN CÔNG NGHIỆP VÀ THƯƠNG MẠI CƯỜNG THỊNH</t>
        </is>
      </c>
      <c r="I2284" s="17" t="inlineStr">
        <is>
          <t>Đai ốc thường 4 ZP M12 (9mm)</t>
        </is>
      </c>
      <c r="J2284" s="17" t="inlineStr">
        <is>
          <t>Cái</t>
        </is>
      </c>
      <c r="K2284" s="19" t="n">
        <v>360</v>
      </c>
      <c r="L2284" s="33" t="n"/>
      <c r="M2284" s="33" t="n"/>
      <c r="N2284" s="22" t="n">
        <v>99</v>
      </c>
      <c r="O2284" s="22" t="n">
        <v>35640</v>
      </c>
      <c r="P2284" s="22" t="n">
        <v>99</v>
      </c>
      <c r="Q2284" s="22" t="n">
        <v>35640</v>
      </c>
      <c r="R2284" s="42">
        <f>+L2284+N2284-P2284</f>
        <v/>
      </c>
      <c r="S2284" s="42">
        <f>+M2284+O2284-Q2284</f>
        <v/>
      </c>
    </row>
    <row r="2285" ht="30" customHeight="1">
      <c r="A2285" s="16" t="n">
        <v>45857</v>
      </c>
      <c r="B2285" s="17" t="inlineStr">
        <is>
          <t>MH2507-39</t>
        </is>
      </c>
      <c r="C2285" s="16" t="n">
        <v>45857</v>
      </c>
      <c r="D2285" s="16" t="n">
        <v>45857</v>
      </c>
      <c r="E2285" s="17" t="inlineStr">
        <is>
          <t>00002757</t>
        </is>
      </c>
      <c r="F2285" s="16" t="inlineStr">
        <is>
          <t>XK2507-23</t>
        </is>
      </c>
      <c r="G2285" s="16" t="n">
        <v>45857</v>
      </c>
      <c r="H2285" s="17" t="inlineStr">
        <is>
          <t>CÔNG TY CỔ PHẦN CÔNG NGHIỆP VÀ THƯƠNG MẠI CƯỜNG THỊNH</t>
        </is>
      </c>
      <c r="I2285" s="17" t="inlineStr">
        <is>
          <t>Long đền thường ZP M12B23D1</t>
        </is>
      </c>
      <c r="J2285" s="17" t="inlineStr">
        <is>
          <t>Cái</t>
        </is>
      </c>
      <c r="K2285" s="19" t="n">
        <v>100</v>
      </c>
      <c r="L2285" s="33" t="n"/>
      <c r="M2285" s="33" t="n"/>
      <c r="N2285" s="22" t="n">
        <v>198</v>
      </c>
      <c r="O2285" s="22" t="n">
        <v>19800</v>
      </c>
      <c r="P2285" s="22" t="n">
        <v>198</v>
      </c>
      <c r="Q2285" s="22" t="n">
        <v>19800</v>
      </c>
      <c r="R2285" s="42">
        <f>+L2285+N2285-P2285</f>
        <v/>
      </c>
      <c r="S2285" s="42">
        <f>+M2285+O2285-Q2285</f>
        <v/>
      </c>
    </row>
    <row r="2286" ht="30" customHeight="1">
      <c r="A2286" s="16" t="n">
        <v>45857</v>
      </c>
      <c r="B2286" s="17" t="inlineStr">
        <is>
          <t>MH2507-39</t>
        </is>
      </c>
      <c r="C2286" s="16" t="n">
        <v>45857</v>
      </c>
      <c r="D2286" s="16" t="n">
        <v>45857</v>
      </c>
      <c r="E2286" s="17" t="inlineStr">
        <is>
          <t>00002757</t>
        </is>
      </c>
      <c r="F2286" s="16" t="inlineStr">
        <is>
          <t>XK2507-23</t>
        </is>
      </c>
      <c r="G2286" s="16" t="n">
        <v>45857</v>
      </c>
      <c r="H2286" s="17" t="inlineStr">
        <is>
          <t>CÔNG TY CỔ PHẦN CÔNG NGHIỆP VÀ THƯƠNG MẠI CƯỜNG THỊNH</t>
        </is>
      </c>
      <c r="I2286" s="17" t="inlineStr">
        <is>
          <t>Bulong Din 933 8.8 ZP M16x60</t>
        </is>
      </c>
      <c r="J2286" s="17" t="inlineStr">
        <is>
          <t>Cái</t>
        </is>
      </c>
      <c r="K2286" s="19" t="n">
        <v>3850</v>
      </c>
      <c r="L2286" s="33" t="n"/>
      <c r="M2286" s="33" t="n"/>
      <c r="N2286" s="22" t="n">
        <v>396</v>
      </c>
      <c r="O2286" s="22" t="n">
        <v>1524600</v>
      </c>
      <c r="P2286" s="22" t="n">
        <v>396</v>
      </c>
      <c r="Q2286" s="22" t="n">
        <v>1524600</v>
      </c>
      <c r="R2286" s="42">
        <f>+L2286+N2286-P2286</f>
        <v/>
      </c>
      <c r="S2286" s="42">
        <f>+M2286+O2286-Q2286</f>
        <v/>
      </c>
    </row>
    <row r="2287" ht="30" customHeight="1">
      <c r="A2287" s="16" t="n">
        <v>45857</v>
      </c>
      <c r="B2287" s="17" t="inlineStr">
        <is>
          <t>MH2507-39</t>
        </is>
      </c>
      <c r="C2287" s="16" t="n">
        <v>45857</v>
      </c>
      <c r="D2287" s="16" t="n">
        <v>45857</v>
      </c>
      <c r="E2287" s="17" t="inlineStr">
        <is>
          <t>00002757</t>
        </is>
      </c>
      <c r="F2287" s="16" t="inlineStr">
        <is>
          <t>XK2507-23</t>
        </is>
      </c>
      <c r="G2287" s="16" t="n">
        <v>45857</v>
      </c>
      <c r="H2287" s="17" t="inlineStr">
        <is>
          <t>CÔNG TY CỔ PHẦN CÔNG NGHIỆP VÀ THƯƠNG MẠI CƯỜNG THỊNH</t>
        </is>
      </c>
      <c r="I2287" s="17" t="inlineStr">
        <is>
          <t>Đai ốc Din 934 8 ZP M16</t>
        </is>
      </c>
      <c r="J2287" s="17" t="inlineStr">
        <is>
          <t>Cái</t>
        </is>
      </c>
      <c r="K2287" s="19" t="n">
        <v>1090</v>
      </c>
      <c r="L2287" s="33" t="n"/>
      <c r="M2287" s="33" t="n"/>
      <c r="N2287" s="22" t="n">
        <v>396</v>
      </c>
      <c r="O2287" s="22" t="n">
        <v>431640</v>
      </c>
      <c r="P2287" s="22" t="n">
        <v>396</v>
      </c>
      <c r="Q2287" s="22" t="n">
        <v>431640</v>
      </c>
      <c r="R2287" s="42">
        <f>+L2287+N2287-P2287</f>
        <v/>
      </c>
      <c r="S2287" s="42">
        <f>+M2287+O2287-Q2287</f>
        <v/>
      </c>
    </row>
    <row r="2288" ht="30" customHeight="1">
      <c r="A2288" s="16" t="n">
        <v>45857</v>
      </c>
      <c r="B2288" s="17" t="inlineStr">
        <is>
          <t>MH2507-39</t>
        </is>
      </c>
      <c r="C2288" s="16" t="n">
        <v>45857</v>
      </c>
      <c r="D2288" s="16" t="n">
        <v>45857</v>
      </c>
      <c r="E2288" s="17" t="inlineStr">
        <is>
          <t>00002757</t>
        </is>
      </c>
      <c r="F2288" s="16" t="inlineStr">
        <is>
          <t>XK2507-23</t>
        </is>
      </c>
      <c r="G2288" s="16" t="n">
        <v>45857</v>
      </c>
      <c r="H2288" s="17" t="inlineStr">
        <is>
          <t>CÔNG TY CỔ PHẦN CÔNG NGHIỆP VÀ THƯƠNG MẠI CƯỜNG THỊNH</t>
        </is>
      </c>
      <c r="I2288" s="17" t="inlineStr">
        <is>
          <t>Long đền thường ZP M16B30D2</t>
        </is>
      </c>
      <c r="J2288" s="17" t="inlineStr">
        <is>
          <t>Cái</t>
        </is>
      </c>
      <c r="K2288" s="19" t="n">
        <v>330</v>
      </c>
      <c r="L2288" s="33" t="n"/>
      <c r="M2288" s="33" t="n"/>
      <c r="N2288" s="22" t="n">
        <v>396</v>
      </c>
      <c r="O2288" s="22" t="n">
        <v>130680</v>
      </c>
      <c r="P2288" s="22" t="n">
        <v>396</v>
      </c>
      <c r="Q2288" s="22" t="n">
        <v>130680</v>
      </c>
      <c r="R2288" s="42">
        <f>+L2288+N2288-P2288</f>
        <v/>
      </c>
      <c r="S2288" s="42">
        <f>+M2288+O2288-Q2288</f>
        <v/>
      </c>
    </row>
    <row r="2289" ht="30" customHeight="1">
      <c r="A2289" s="16" t="n">
        <v>45857</v>
      </c>
      <c r="B2289" s="17" t="inlineStr">
        <is>
          <t>MH2507-39</t>
        </is>
      </c>
      <c r="C2289" s="16" t="n">
        <v>45857</v>
      </c>
      <c r="D2289" s="16" t="n">
        <v>45857</v>
      </c>
      <c r="E2289" s="17" t="inlineStr">
        <is>
          <t>00002757</t>
        </is>
      </c>
      <c r="F2289" s="16" t="inlineStr">
        <is>
          <t>XK2507-23</t>
        </is>
      </c>
      <c r="G2289" s="16" t="n">
        <v>45857</v>
      </c>
      <c r="H2289" s="17" t="inlineStr">
        <is>
          <t>CÔNG TY CỔ PHẦN CÔNG NGHIỆP VÀ THƯƠNG MẠI CƯỜNG THỊNH</t>
        </is>
      </c>
      <c r="I2289" s="17" t="inlineStr">
        <is>
          <t>Bulong Din 933 8.8 ZP M20x50</t>
        </is>
      </c>
      <c r="J2289" s="17" t="inlineStr">
        <is>
          <t>Cái</t>
        </is>
      </c>
      <c r="K2289" s="19" t="n">
        <v>5760</v>
      </c>
      <c r="L2289" s="33" t="n"/>
      <c r="M2289" s="33" t="n"/>
      <c r="N2289" s="22" t="n">
        <v>235</v>
      </c>
      <c r="O2289" s="22" t="n">
        <v>1353600</v>
      </c>
      <c r="P2289" s="22" t="n">
        <v>235</v>
      </c>
      <c r="Q2289" s="22" t="n">
        <v>1353600</v>
      </c>
      <c r="R2289" s="42">
        <f>+L2289+N2289-P2289</f>
        <v/>
      </c>
      <c r="S2289" s="42">
        <f>+M2289+O2289-Q2289</f>
        <v/>
      </c>
    </row>
    <row r="2290" ht="30" customHeight="1">
      <c r="A2290" s="16" t="n">
        <v>45857</v>
      </c>
      <c r="B2290" s="17" t="inlineStr">
        <is>
          <t>MH2507-39</t>
        </is>
      </c>
      <c r="C2290" s="16" t="n">
        <v>45857</v>
      </c>
      <c r="D2290" s="16" t="n">
        <v>45857</v>
      </c>
      <c r="E2290" s="17" t="inlineStr">
        <is>
          <t>00002757</t>
        </is>
      </c>
      <c r="F2290" s="16" t="inlineStr">
        <is>
          <t>XK2507-23</t>
        </is>
      </c>
      <c r="G2290" s="16" t="n">
        <v>45857</v>
      </c>
      <c r="H2290" s="17" t="inlineStr">
        <is>
          <t>CÔNG TY CỔ PHẦN CÔNG NGHIỆP VÀ THƯƠNG MẠI CƯỜNG THỊNH</t>
        </is>
      </c>
      <c r="I2290" s="17" t="inlineStr">
        <is>
          <t>Đai ốc Din 934 8 ZP M20</t>
        </is>
      </c>
      <c r="J2290" s="17" t="inlineStr">
        <is>
          <t>Cái</t>
        </is>
      </c>
      <c r="K2290" s="19" t="n">
        <v>2030</v>
      </c>
      <c r="L2290" s="33" t="n"/>
      <c r="M2290" s="33" t="n"/>
      <c r="N2290" s="22" t="n">
        <v>235</v>
      </c>
      <c r="O2290" s="22" t="n">
        <v>477050</v>
      </c>
      <c r="P2290" s="22" t="n">
        <v>235</v>
      </c>
      <c r="Q2290" s="22" t="n">
        <v>477050</v>
      </c>
      <c r="R2290" s="42">
        <f>+L2290+N2290-P2290</f>
        <v/>
      </c>
      <c r="S2290" s="42">
        <f>+M2290+O2290-Q2290</f>
        <v/>
      </c>
    </row>
    <row r="2291" ht="30" customHeight="1">
      <c r="A2291" s="16" t="n">
        <v>45857</v>
      </c>
      <c r="B2291" s="17" t="inlineStr">
        <is>
          <t>MH2507-39</t>
        </is>
      </c>
      <c r="C2291" s="16" t="n">
        <v>45857</v>
      </c>
      <c r="D2291" s="16" t="n">
        <v>45857</v>
      </c>
      <c r="E2291" s="17" t="inlineStr">
        <is>
          <t>00002757</t>
        </is>
      </c>
      <c r="F2291" s="16" t="inlineStr">
        <is>
          <t>XK2507-23</t>
        </is>
      </c>
      <c r="G2291" s="16" t="n">
        <v>45857</v>
      </c>
      <c r="H2291" s="17" t="inlineStr">
        <is>
          <t>CÔNG TY CỔ PHẦN CÔNG NGHIỆP VÀ THƯƠNG MẠI CƯỜNG THỊNH</t>
        </is>
      </c>
      <c r="I2291" s="17" t="inlineStr">
        <is>
          <t>Long đền thường ZP M20B35D2</t>
        </is>
      </c>
      <c r="J2291" s="17" t="inlineStr">
        <is>
          <t>Cái</t>
        </is>
      </c>
      <c r="K2291" s="19" t="n">
        <v>350</v>
      </c>
      <c r="L2291" s="33" t="n"/>
      <c r="M2291" s="33" t="n"/>
      <c r="N2291" s="22" t="n">
        <v>235</v>
      </c>
      <c r="O2291" s="22" t="n">
        <v>82250</v>
      </c>
      <c r="P2291" s="22" t="n">
        <v>235</v>
      </c>
      <c r="Q2291" s="22" t="n">
        <v>82250</v>
      </c>
      <c r="R2291" s="42">
        <f>+L2291+N2291-P2291</f>
        <v/>
      </c>
      <c r="S2291" s="42">
        <f>+M2291+O2291-Q2291</f>
        <v/>
      </c>
    </row>
    <row r="2292" ht="30" customHeight="1">
      <c r="A2292" s="16" t="n">
        <v>45857</v>
      </c>
      <c r="B2292" s="17" t="inlineStr">
        <is>
          <t>MH2507-39</t>
        </is>
      </c>
      <c r="C2292" s="16" t="n">
        <v>45857</v>
      </c>
      <c r="D2292" s="16" t="n">
        <v>45857</v>
      </c>
      <c r="E2292" s="17" t="inlineStr">
        <is>
          <t>00002757</t>
        </is>
      </c>
      <c r="F2292" s="16" t="inlineStr">
        <is>
          <t>XK2507-23</t>
        </is>
      </c>
      <c r="G2292" s="16" t="n">
        <v>45857</v>
      </c>
      <c r="H2292" s="17" t="inlineStr">
        <is>
          <t>CÔNG TY CỔ PHẦN CÔNG NGHIỆP VÀ THƯƠNG MẠI CƯỜNG THỊNH</t>
        </is>
      </c>
      <c r="I2292" s="17" t="inlineStr">
        <is>
          <t>Bulong Din 933 8.8 ZP M30x120</t>
        </is>
      </c>
      <c r="J2292" s="17" t="inlineStr">
        <is>
          <t>Cái</t>
        </is>
      </c>
      <c r="K2292" s="19" t="n">
        <v>28640</v>
      </c>
      <c r="L2292" s="33" t="n"/>
      <c r="M2292" s="33" t="n"/>
      <c r="N2292" s="22" t="n">
        <v>66</v>
      </c>
      <c r="O2292" s="22" t="n">
        <v>1890240</v>
      </c>
      <c r="P2292" s="22" t="n">
        <v>66</v>
      </c>
      <c r="Q2292" s="22" t="n">
        <v>1890240</v>
      </c>
      <c r="R2292" s="42">
        <f>+L2292+N2292-P2292</f>
        <v/>
      </c>
      <c r="S2292" s="42">
        <f>+M2292+O2292-Q2292</f>
        <v/>
      </c>
    </row>
    <row r="2293" ht="30" customHeight="1">
      <c r="A2293" s="16" t="n">
        <v>45857</v>
      </c>
      <c r="B2293" s="17" t="inlineStr">
        <is>
          <t>MH2507-39</t>
        </is>
      </c>
      <c r="C2293" s="16" t="n">
        <v>45857</v>
      </c>
      <c r="D2293" s="16" t="n">
        <v>45857</v>
      </c>
      <c r="E2293" s="17" t="inlineStr">
        <is>
          <t>00002757</t>
        </is>
      </c>
      <c r="F2293" s="16" t="inlineStr">
        <is>
          <t>XK2507-23</t>
        </is>
      </c>
      <c r="G2293" s="16" t="n">
        <v>45857</v>
      </c>
      <c r="H2293" s="17" t="inlineStr">
        <is>
          <t>CÔNG TY CỔ PHẦN CÔNG NGHIỆP VÀ THƯƠNG MẠI CƯỜNG THỊNH</t>
        </is>
      </c>
      <c r="I2293" s="17" t="inlineStr">
        <is>
          <t>Đai ốc Din 934 8 ZP M30</t>
        </is>
      </c>
      <c r="J2293" s="17" t="inlineStr">
        <is>
          <t>Cái</t>
        </is>
      </c>
      <c r="K2293" s="19" t="n">
        <v>7750</v>
      </c>
      <c r="L2293" s="33" t="n"/>
      <c r="M2293" s="33" t="n"/>
      <c r="N2293" s="22" t="n">
        <v>66</v>
      </c>
      <c r="O2293" s="22" t="n">
        <v>511500</v>
      </c>
      <c r="P2293" s="22" t="n">
        <v>66</v>
      </c>
      <c r="Q2293" s="22" t="n">
        <v>511500</v>
      </c>
      <c r="R2293" s="42">
        <f>+L2293+N2293-P2293</f>
        <v/>
      </c>
      <c r="S2293" s="42">
        <f>+M2293+O2293-Q2293</f>
        <v/>
      </c>
    </row>
    <row r="2294" ht="30" customHeight="1">
      <c r="A2294" s="16" t="n">
        <v>45857</v>
      </c>
      <c r="B2294" s="17" t="inlineStr">
        <is>
          <t>MH2507-39</t>
        </is>
      </c>
      <c r="C2294" s="16" t="n">
        <v>45857</v>
      </c>
      <c r="D2294" s="16" t="n">
        <v>45857</v>
      </c>
      <c r="E2294" s="17" t="inlineStr">
        <is>
          <t>00002757</t>
        </is>
      </c>
      <c r="F2294" s="16" t="inlineStr">
        <is>
          <t>XK2507-23</t>
        </is>
      </c>
      <c r="G2294" s="16" t="n">
        <v>45857</v>
      </c>
      <c r="H2294" s="17" t="inlineStr">
        <is>
          <t>CÔNG TY CỔ PHẦN CÔNG NGHIỆP VÀ THƯƠNG MẠI CƯỜNG THỊNH</t>
        </is>
      </c>
      <c r="I2294" s="17" t="inlineStr">
        <is>
          <t>Long đền thường ZP M30B50D2</t>
        </is>
      </c>
      <c r="J2294" s="17" t="inlineStr">
        <is>
          <t>Cái</t>
        </is>
      </c>
      <c r="K2294" s="19" t="n">
        <v>890</v>
      </c>
      <c r="L2294" s="33" t="n"/>
      <c r="M2294" s="33" t="n"/>
      <c r="N2294" s="22" t="n">
        <v>66</v>
      </c>
      <c r="O2294" s="22" t="n">
        <v>58740</v>
      </c>
      <c r="P2294" s="22" t="n">
        <v>66</v>
      </c>
      <c r="Q2294" s="22" t="n">
        <v>58740</v>
      </c>
      <c r="R2294" s="42">
        <f>+L2294+N2294-P2294</f>
        <v/>
      </c>
      <c r="S2294" s="42">
        <f>+M2294+O2294-Q2294</f>
        <v/>
      </c>
    </row>
    <row r="2295" ht="30" customHeight="1">
      <c r="A2295" s="16" t="n">
        <v>45857</v>
      </c>
      <c r="B2295" s="17" t="inlineStr">
        <is>
          <t>MH2507-39</t>
        </is>
      </c>
      <c r="C2295" s="16" t="n">
        <v>45857</v>
      </c>
      <c r="D2295" s="16" t="n">
        <v>45857</v>
      </c>
      <c r="E2295" s="17" t="inlineStr">
        <is>
          <t>00002757</t>
        </is>
      </c>
      <c r="F2295" s="16" t="inlineStr">
        <is>
          <t>XK2507-23</t>
        </is>
      </c>
      <c r="G2295" s="16" t="n">
        <v>45857</v>
      </c>
      <c r="H2295" s="17" t="inlineStr">
        <is>
          <t>CÔNG TY CỔ PHẦN CÔNG NGHIỆP VÀ THƯƠNG MẠI CƯỜNG THỊNH</t>
        </is>
      </c>
      <c r="I2295" s="17" t="inlineStr">
        <is>
          <t>Bulong nở 5.6 ZP M16x180</t>
        </is>
      </c>
      <c r="J2295" s="17" t="inlineStr">
        <is>
          <t>Bộ</t>
        </is>
      </c>
      <c r="K2295" s="19" t="n">
        <v>30000</v>
      </c>
      <c r="L2295" s="33" t="n"/>
      <c r="M2295" s="33" t="n"/>
      <c r="N2295" s="22" t="n">
        <v>8</v>
      </c>
      <c r="O2295" s="22" t="n">
        <v>240000</v>
      </c>
      <c r="P2295" s="22" t="n">
        <v>8</v>
      </c>
      <c r="Q2295" s="22" t="n">
        <v>240000</v>
      </c>
      <c r="R2295" s="42">
        <f>+L2295+N2295-P2295</f>
        <v/>
      </c>
      <c r="S2295" s="42">
        <f>+M2295+O2295-Q2295</f>
        <v/>
      </c>
    </row>
    <row r="2296" ht="30" customHeight="1">
      <c r="A2296" s="16" t="n">
        <v>45857</v>
      </c>
      <c r="B2296" s="17" t="inlineStr">
        <is>
          <t>MH2507-39</t>
        </is>
      </c>
      <c r="C2296" s="16" t="n">
        <v>45857</v>
      </c>
      <c r="D2296" s="16" t="n">
        <v>45857</v>
      </c>
      <c r="E2296" s="17" t="inlineStr">
        <is>
          <t>00002757</t>
        </is>
      </c>
      <c r="F2296" s="16" t="inlineStr">
        <is>
          <t>XK2507-23</t>
        </is>
      </c>
      <c r="G2296" s="16" t="n">
        <v>45857</v>
      </c>
      <c r="H2296" s="17" t="inlineStr">
        <is>
          <t>CÔNG TY CỔ PHẦN CÔNG NGHIỆP VÀ THƯƠNG MẠI CƯỜNG THỊNH</t>
        </is>
      </c>
      <c r="I2296" s="17" t="inlineStr">
        <is>
          <t>Bulong thường 4.6 ZP M12x30</t>
        </is>
      </c>
      <c r="J2296" s="17" t="inlineStr">
        <is>
          <t>Cái</t>
        </is>
      </c>
      <c r="K2296" s="19" t="n">
        <v>950</v>
      </c>
      <c r="L2296" s="33" t="n"/>
      <c r="M2296" s="33" t="n"/>
      <c r="N2296" s="22" t="n">
        <v>24</v>
      </c>
      <c r="O2296" s="22" t="n">
        <v>22800</v>
      </c>
      <c r="P2296" s="22" t="n">
        <v>24</v>
      </c>
      <c r="Q2296" s="22" t="n">
        <v>22800</v>
      </c>
      <c r="R2296" s="42">
        <f>+L2296+N2296-P2296</f>
        <v/>
      </c>
      <c r="S2296" s="42">
        <f>+M2296+O2296-Q2296</f>
        <v/>
      </c>
    </row>
    <row r="2297" ht="30" customHeight="1">
      <c r="A2297" s="16" t="n">
        <v>45857</v>
      </c>
      <c r="B2297" s="17" t="inlineStr">
        <is>
          <t>MH2507-39</t>
        </is>
      </c>
      <c r="C2297" s="16" t="n">
        <v>45857</v>
      </c>
      <c r="D2297" s="16" t="n">
        <v>45857</v>
      </c>
      <c r="E2297" s="17" t="inlineStr">
        <is>
          <t>00002757</t>
        </is>
      </c>
      <c r="F2297" s="16" t="inlineStr">
        <is>
          <t>XK2507-23</t>
        </is>
      </c>
      <c r="G2297" s="16" t="n">
        <v>45857</v>
      </c>
      <c r="H2297" s="17" t="inlineStr">
        <is>
          <t>CÔNG TY CỔ PHẦN CÔNG NGHIỆP VÀ THƯƠNG MẠI CƯỜNG THỊNH</t>
        </is>
      </c>
      <c r="I2297" s="17" t="inlineStr">
        <is>
          <t>Đai ốc thường 4 ZP M12 (8mm)</t>
        </is>
      </c>
      <c r="J2297" s="17" t="inlineStr">
        <is>
          <t>Cái</t>
        </is>
      </c>
      <c r="K2297" s="19" t="n">
        <v>360</v>
      </c>
      <c r="L2297" s="33" t="n"/>
      <c r="M2297" s="33" t="n"/>
      <c r="N2297" s="22" t="n">
        <v>24</v>
      </c>
      <c r="O2297" s="22" t="n">
        <v>8640</v>
      </c>
      <c r="P2297" s="22" t="n">
        <v>24</v>
      </c>
      <c r="Q2297" s="22" t="n">
        <v>8640</v>
      </c>
      <c r="R2297" s="42">
        <f>+L2297+N2297-P2297</f>
        <v/>
      </c>
      <c r="S2297" s="42">
        <f>+M2297+O2297-Q2297</f>
        <v/>
      </c>
    </row>
    <row r="2298" ht="30" customHeight="1">
      <c r="A2298" s="16" t="n">
        <v>45857</v>
      </c>
      <c r="B2298" s="17" t="inlineStr">
        <is>
          <t>MH2507-39</t>
        </is>
      </c>
      <c r="C2298" s="16" t="n">
        <v>45857</v>
      </c>
      <c r="D2298" s="16" t="n">
        <v>45857</v>
      </c>
      <c r="E2298" s="17" t="inlineStr">
        <is>
          <t>00002757</t>
        </is>
      </c>
      <c r="F2298" s="16" t="inlineStr">
        <is>
          <t>XK2507-23</t>
        </is>
      </c>
      <c r="G2298" s="16" t="n">
        <v>45857</v>
      </c>
      <c r="H2298" s="17" t="inlineStr">
        <is>
          <t>CÔNG TY CỔ PHẦN CÔNG NGHIỆP VÀ THƯƠNG MẠI CƯỜNG THỊNH</t>
        </is>
      </c>
      <c r="I2298" s="17" t="inlineStr">
        <is>
          <t>Long đền thường ZP M12B23D1</t>
        </is>
      </c>
      <c r="J2298" s="17" t="inlineStr">
        <is>
          <t>Cái</t>
        </is>
      </c>
      <c r="K2298" s="19" t="n">
        <v>100</v>
      </c>
      <c r="L2298" s="33" t="n"/>
      <c r="M2298" s="33" t="n"/>
      <c r="N2298" s="22" t="n">
        <v>48</v>
      </c>
      <c r="O2298" s="22" t="n">
        <v>4800</v>
      </c>
      <c r="P2298" s="22" t="n">
        <v>48</v>
      </c>
      <c r="Q2298" s="22" t="n">
        <v>4800</v>
      </c>
      <c r="R2298" s="42">
        <f>+L2298+N2298-P2298</f>
        <v/>
      </c>
      <c r="S2298" s="42">
        <f>+M2298+O2298-Q2298</f>
        <v/>
      </c>
    </row>
    <row r="2299" ht="30" customHeight="1">
      <c r="A2299" s="16" t="n">
        <v>45857</v>
      </c>
      <c r="B2299" s="17" t="inlineStr">
        <is>
          <t>MH2507-39</t>
        </is>
      </c>
      <c r="C2299" s="16" t="n">
        <v>45857</v>
      </c>
      <c r="D2299" s="16" t="n">
        <v>45857</v>
      </c>
      <c r="E2299" s="17" t="inlineStr">
        <is>
          <t>00002757</t>
        </is>
      </c>
      <c r="F2299" s="16" t="inlineStr">
        <is>
          <t>XK2507-23</t>
        </is>
      </c>
      <c r="G2299" s="16" t="n">
        <v>45857</v>
      </c>
      <c r="H2299" s="17" t="inlineStr">
        <is>
          <t>CÔNG TY CỔ PHẦN CÔNG NGHIỆP VÀ THƯƠNG MẠI CƯỜNG THỊNH</t>
        </is>
      </c>
      <c r="I2299" s="17" t="inlineStr">
        <is>
          <t>Vít B2 Dacromet 10-24x22 WAF (bake)</t>
        </is>
      </c>
      <c r="J2299" s="17" t="inlineStr">
        <is>
          <t>Cái</t>
        </is>
      </c>
      <c r="K2299" s="19" t="n">
        <v>380</v>
      </c>
      <c r="L2299" s="33" t="n"/>
      <c r="M2299" s="33" t="n"/>
      <c r="N2299" s="22" t="n">
        <v>200</v>
      </c>
      <c r="O2299" s="22" t="n">
        <v>76000</v>
      </c>
      <c r="P2299" s="22" t="n">
        <v>200</v>
      </c>
      <c r="Q2299" s="22" t="n">
        <v>76000</v>
      </c>
      <c r="R2299" s="42">
        <f>+L2299+N2299-P2299</f>
        <v/>
      </c>
      <c r="S2299" s="42">
        <f>+M2299+O2299-Q2299</f>
        <v/>
      </c>
    </row>
    <row r="2300" ht="15" customHeight="1">
      <c r="A2300" s="16" t="n">
        <v>45861</v>
      </c>
      <c r="B2300" s="17" t="inlineStr">
        <is>
          <t>MH2507-42</t>
        </is>
      </c>
      <c r="C2300" s="16" t="n">
        <v>45861</v>
      </c>
      <c r="D2300" s="16" t="n">
        <v>45861</v>
      </c>
      <c r="E2300" s="17" t="inlineStr">
        <is>
          <t>00006671</t>
        </is>
      </c>
      <c r="F2300" s="16" t="inlineStr">
        <is>
          <t>XK2507-24</t>
        </is>
      </c>
      <c r="G2300" s="16" t="n">
        <v>45861</v>
      </c>
      <c r="H2300" s="17" t="inlineStr">
        <is>
          <t>CÔNG TY TNHH SƠN JOTUN VIỆT NAM</t>
        </is>
      </c>
      <c r="I2300" s="17" t="inlineStr">
        <is>
          <t>SƠN JOTAMASTIC 70 GREY 18L</t>
        </is>
      </c>
      <c r="J2300" s="17" t="inlineStr">
        <is>
          <t>Lít</t>
        </is>
      </c>
      <c r="K2300" s="19" t="n">
        <v>90000</v>
      </c>
      <c r="L2300" s="33" t="n"/>
      <c r="M2300" s="33" t="n"/>
      <c r="N2300" s="22" t="n">
        <v>180</v>
      </c>
      <c r="O2300" s="22" t="n">
        <v>16200000</v>
      </c>
      <c r="P2300" s="22" t="n">
        <v>180</v>
      </c>
      <c r="Q2300" s="22" t="n">
        <v>16200000</v>
      </c>
      <c r="R2300" s="42">
        <f>+L2300+N2300-P2300</f>
        <v/>
      </c>
      <c r="S2300" s="42">
        <f>+M2300+O2300-Q2300</f>
        <v/>
      </c>
    </row>
    <row r="2301" ht="15" customHeight="1">
      <c r="A2301" s="16" t="n">
        <v>45861</v>
      </c>
      <c r="B2301" s="17" t="inlineStr">
        <is>
          <t>MH2507-42</t>
        </is>
      </c>
      <c r="C2301" s="16" t="n">
        <v>45861</v>
      </c>
      <c r="D2301" s="16" t="n">
        <v>45861</v>
      </c>
      <c r="E2301" s="17" t="inlineStr">
        <is>
          <t>00006671</t>
        </is>
      </c>
      <c r="F2301" s="16" t="inlineStr">
        <is>
          <t>XK2507-24</t>
        </is>
      </c>
      <c r="G2301" s="16" t="n">
        <v>45861</v>
      </c>
      <c r="H2301" s="17" t="inlineStr">
        <is>
          <t>CÔNG TY TNHH SƠN JOTUN VIỆT NAM</t>
        </is>
      </c>
      <c r="I2301" s="17" t="inlineStr">
        <is>
          <t>SƠN FUTURA CLASSIC RAL 9010 18.22L</t>
        </is>
      </c>
      <c r="J2301" s="17" t="inlineStr">
        <is>
          <t>Lít</t>
        </is>
      </c>
      <c r="K2301" s="19" t="n">
        <v>155000</v>
      </c>
      <c r="L2301" s="33" t="n"/>
      <c r="M2301" s="33" t="n"/>
      <c r="N2301" s="22" t="n">
        <v>182.2</v>
      </c>
      <c r="O2301" s="22" t="n">
        <v>28241000</v>
      </c>
      <c r="P2301" s="22" t="n">
        <v>182.2</v>
      </c>
      <c r="Q2301" s="22" t="n">
        <v>28241000</v>
      </c>
      <c r="R2301" s="42">
        <f>+L2301+N2301-P2301</f>
        <v/>
      </c>
      <c r="S2301" s="42">
        <f>+M2301+O2301-Q2301</f>
        <v/>
      </c>
    </row>
    <row r="2302" ht="15" customHeight="1">
      <c r="A2302" s="16" t="n">
        <v>45861</v>
      </c>
      <c r="B2302" s="17" t="inlineStr">
        <is>
          <t>MH2507-42</t>
        </is>
      </c>
      <c r="C2302" s="16" t="n">
        <v>45861</v>
      </c>
      <c r="D2302" s="16" t="n">
        <v>45861</v>
      </c>
      <c r="E2302" s="17" t="inlineStr">
        <is>
          <t>00006671</t>
        </is>
      </c>
      <c r="F2302" s="16" t="inlineStr">
        <is>
          <t>XK2507-24</t>
        </is>
      </c>
      <c r="G2302" s="16" t="n">
        <v>45861</v>
      </c>
      <c r="H2302" s="17" t="inlineStr">
        <is>
          <t>CÔNG TY TNHH SƠN JOTUN VIỆT NAM</t>
        </is>
      </c>
      <c r="I2302" s="17" t="inlineStr">
        <is>
          <t>DUNG MÔI JOTUN THINNER NO. 10 20L</t>
        </is>
      </c>
      <c r="J2302" s="17" t="inlineStr">
        <is>
          <t>Lít</t>
        </is>
      </c>
      <c r="K2302" s="19" t="n">
        <v>60000</v>
      </c>
      <c r="L2302" s="33" t="n"/>
      <c r="M2302" s="33" t="n"/>
      <c r="N2302" s="22" t="n">
        <v>20</v>
      </c>
      <c r="O2302" s="22" t="n">
        <v>1200000</v>
      </c>
      <c r="P2302" s="22" t="n">
        <v>20</v>
      </c>
      <c r="Q2302" s="22" t="n">
        <v>1200000</v>
      </c>
      <c r="R2302" s="42">
        <f>+L2302+N2302-P2302</f>
        <v/>
      </c>
      <c r="S2302" s="42">
        <f>+M2302+O2302-Q2302</f>
        <v/>
      </c>
    </row>
    <row r="2303" ht="15" customHeight="1">
      <c r="A2303" s="16" t="n">
        <v>45861</v>
      </c>
      <c r="B2303" s="17" t="inlineStr">
        <is>
          <t>MH2507-42</t>
        </is>
      </c>
      <c r="C2303" s="16" t="n">
        <v>45861</v>
      </c>
      <c r="D2303" s="16" t="n">
        <v>45861</v>
      </c>
      <c r="E2303" s="17" t="inlineStr">
        <is>
          <t>00006671</t>
        </is>
      </c>
      <c r="F2303" s="16" t="inlineStr">
        <is>
          <t>XK2507-24</t>
        </is>
      </c>
      <c r="G2303" s="16" t="n">
        <v>45861</v>
      </c>
      <c r="H2303" s="17" t="inlineStr">
        <is>
          <t>CÔNG TY TNHH SƠN JOTUN VIỆT NAM</t>
        </is>
      </c>
      <c r="I2303" s="17" t="inlineStr">
        <is>
          <t>DUNG MÔI JOTUN THINNER NO. 10 5L</t>
        </is>
      </c>
      <c r="J2303" s="17" t="inlineStr">
        <is>
          <t>Lít</t>
        </is>
      </c>
      <c r="K2303" s="19" t="n">
        <v>60000</v>
      </c>
      <c r="L2303" s="33" t="n"/>
      <c r="M2303" s="33" t="n"/>
      <c r="N2303" s="22" t="n">
        <v>10</v>
      </c>
      <c r="O2303" s="22" t="n">
        <v>600000</v>
      </c>
      <c r="P2303" s="22" t="n">
        <v>10</v>
      </c>
      <c r="Q2303" s="22" t="n">
        <v>600000</v>
      </c>
      <c r="R2303" s="42">
        <f>+L2303+N2303-P2303</f>
        <v/>
      </c>
      <c r="S2303" s="42">
        <f>+M2303+O2303-Q2303</f>
        <v/>
      </c>
    </row>
    <row r="2304" ht="15" customHeight="1">
      <c r="A2304" s="16" t="n">
        <v>45861</v>
      </c>
      <c r="B2304" s="17" t="inlineStr">
        <is>
          <t>MH2507-42</t>
        </is>
      </c>
      <c r="C2304" s="16" t="n">
        <v>45861</v>
      </c>
      <c r="D2304" s="16" t="n">
        <v>45861</v>
      </c>
      <c r="E2304" s="17" t="inlineStr">
        <is>
          <t>00006671</t>
        </is>
      </c>
      <c r="F2304" s="16" t="inlineStr">
        <is>
          <t>XK2507-24</t>
        </is>
      </c>
      <c r="G2304" s="16" t="n">
        <v>45861</v>
      </c>
      <c r="H2304" s="17" t="inlineStr">
        <is>
          <t>CÔNG TY TNHH SƠN JOTUN VIỆT NAM</t>
        </is>
      </c>
      <c r="I2304" s="17" t="inlineStr">
        <is>
          <t>DUNG MÔI JOTUN THINNER NO. 17 20L</t>
        </is>
      </c>
      <c r="J2304" s="17" t="inlineStr">
        <is>
          <t>Lít</t>
        </is>
      </c>
      <c r="K2304" s="19" t="n">
        <v>60000</v>
      </c>
      <c r="L2304" s="33" t="n"/>
      <c r="M2304" s="33" t="n"/>
      <c r="N2304" s="22" t="n">
        <v>20</v>
      </c>
      <c r="O2304" s="22" t="n">
        <v>1200000</v>
      </c>
      <c r="P2304" s="22" t="n">
        <v>20</v>
      </c>
      <c r="Q2304" s="22" t="n">
        <v>1200000</v>
      </c>
      <c r="R2304" s="42">
        <f>+L2304+N2304-P2304</f>
        <v/>
      </c>
      <c r="S2304" s="42">
        <f>+M2304+O2304-Q2304</f>
        <v/>
      </c>
    </row>
    <row r="2305" ht="15" customHeight="1">
      <c r="A2305" s="16" t="n">
        <v>45861</v>
      </c>
      <c r="B2305" s="17" t="inlineStr">
        <is>
          <t>MH2507-42</t>
        </is>
      </c>
      <c r="C2305" s="16" t="n">
        <v>45861</v>
      </c>
      <c r="D2305" s="16" t="n">
        <v>45861</v>
      </c>
      <c r="E2305" s="17" t="inlineStr">
        <is>
          <t>00006671</t>
        </is>
      </c>
      <c r="F2305" s="16" t="inlineStr">
        <is>
          <t>XK2507-24</t>
        </is>
      </c>
      <c r="G2305" s="16" t="n">
        <v>45861</v>
      </c>
      <c r="H2305" s="17" t="inlineStr">
        <is>
          <t>CÔNG TY TNHH SƠN JOTUN VIỆT NAM</t>
        </is>
      </c>
      <c r="I2305" s="17" t="inlineStr">
        <is>
          <t>DUNG MÔI JOTUN THINNER NO. 17 5L</t>
        </is>
      </c>
      <c r="J2305" s="17" t="inlineStr">
        <is>
          <t>Lít</t>
        </is>
      </c>
      <c r="K2305" s="19" t="n">
        <v>60000</v>
      </c>
      <c r="L2305" s="33" t="n"/>
      <c r="M2305" s="33" t="n"/>
      <c r="N2305" s="22" t="n">
        <v>10</v>
      </c>
      <c r="O2305" s="22" t="n">
        <v>600000</v>
      </c>
      <c r="P2305" s="22" t="n">
        <v>10</v>
      </c>
      <c r="Q2305" s="22" t="n">
        <v>600000</v>
      </c>
      <c r="R2305" s="42">
        <f>+L2305+N2305-P2305</f>
        <v/>
      </c>
      <c r="S2305" s="42">
        <f>+M2305+O2305-Q2305</f>
        <v/>
      </c>
    </row>
    <row r="2306" ht="30" customHeight="1">
      <c r="A2306" s="16" t="n">
        <v>45861</v>
      </c>
      <c r="B2306" s="17" t="inlineStr">
        <is>
          <t>MH2507-43</t>
        </is>
      </c>
      <c r="C2306" s="16" t="n">
        <v>45861</v>
      </c>
      <c r="D2306" s="16" t="n">
        <v>45861</v>
      </c>
      <c r="E2306" s="17" t="inlineStr">
        <is>
          <t>00001360</t>
        </is>
      </c>
      <c r="F2306" s="16" t="inlineStr">
        <is>
          <t>XK2507-25</t>
        </is>
      </c>
      <c r="G2306" s="16" t="n">
        <v>45861</v>
      </c>
      <c r="H2306" s="17" t="inlineStr">
        <is>
          <t>CÔNG TY TNHH DỊCH VỤ - THƯƠNG MẠI THÉP THIÊN LONG</t>
        </is>
      </c>
      <c r="I2306" s="17" t="inlineStr">
        <is>
          <t>Thép hình U250</t>
        </is>
      </c>
      <c r="J2306" s="17" t="inlineStr">
        <is>
          <t>kg</t>
        </is>
      </c>
      <c r="K2306" s="19" t="n">
        <v>14736.36</v>
      </c>
      <c r="L2306" s="33" t="n"/>
      <c r="M2306" s="33" t="n"/>
      <c r="N2306" s="22" t="n">
        <v>657.84</v>
      </c>
      <c r="O2306" s="22" t="n">
        <v>9694167</v>
      </c>
      <c r="P2306" s="22" t="n">
        <v>657.84</v>
      </c>
      <c r="Q2306" s="22" t="n">
        <v>9694167</v>
      </c>
      <c r="R2306" s="42">
        <f>+L2306+N2306-P2306</f>
        <v/>
      </c>
      <c r="S2306" s="42">
        <f>+M2306+O2306-Q2306</f>
        <v/>
      </c>
    </row>
    <row r="2307" ht="30" customHeight="1">
      <c r="A2307" s="16" t="n">
        <v>45861</v>
      </c>
      <c r="B2307" s="17" t="inlineStr">
        <is>
          <t>MH2507-43</t>
        </is>
      </c>
      <c r="C2307" s="16" t="n">
        <v>45861</v>
      </c>
      <c r="D2307" s="16" t="n">
        <v>45861</v>
      </c>
      <c r="E2307" s="17" t="inlineStr">
        <is>
          <t>00001360</t>
        </is>
      </c>
      <c r="F2307" s="16" t="inlineStr">
        <is>
          <t>XK2507-25</t>
        </is>
      </c>
      <c r="G2307" s="16" t="n">
        <v>45861</v>
      </c>
      <c r="H2307" s="17" t="inlineStr">
        <is>
          <t>CÔNG TY TNHH DỊCH VỤ - THƯƠNG MẠI THÉP THIÊN LONG</t>
        </is>
      </c>
      <c r="I2307" s="17" t="inlineStr">
        <is>
          <t>Thép góc V50</t>
        </is>
      </c>
      <c r="J2307" s="17" t="inlineStr">
        <is>
          <t>kg</t>
        </is>
      </c>
      <c r="K2307" s="19" t="n">
        <v>14918.18</v>
      </c>
      <c r="L2307" s="33" t="n"/>
      <c r="M2307" s="33" t="n"/>
      <c r="N2307" s="22" t="n">
        <v>36.72</v>
      </c>
      <c r="O2307" s="22" t="n">
        <v>547796</v>
      </c>
      <c r="P2307" s="22" t="n">
        <v>36.72</v>
      </c>
      <c r="Q2307" s="22" t="n">
        <v>547796</v>
      </c>
      <c r="R2307" s="42">
        <f>+L2307+N2307-P2307</f>
        <v/>
      </c>
      <c r="S2307" s="42">
        <f>+M2307+O2307-Q2307</f>
        <v/>
      </c>
    </row>
    <row r="2308" ht="30" customHeight="1">
      <c r="A2308" s="16" t="n">
        <v>45861</v>
      </c>
      <c r="B2308" s="17" t="inlineStr">
        <is>
          <t>MH2507-43</t>
        </is>
      </c>
      <c r="C2308" s="16" t="n">
        <v>45861</v>
      </c>
      <c r="D2308" s="16" t="n">
        <v>45861</v>
      </c>
      <c r="E2308" s="17" t="inlineStr">
        <is>
          <t>00001360</t>
        </is>
      </c>
      <c r="F2308" s="16" t="inlineStr">
        <is>
          <t>XK2507-25</t>
        </is>
      </c>
      <c r="G2308" s="16" t="n">
        <v>45861</v>
      </c>
      <c r="H2308" s="17" t="inlineStr">
        <is>
          <t>CÔNG TY TNHH DỊCH VỤ - THƯƠNG MẠI THÉP THIÊN LONG</t>
        </is>
      </c>
      <c r="I2308" s="17" t="inlineStr">
        <is>
          <t>Thép góc V63</t>
        </is>
      </c>
      <c r="J2308" s="17" t="inlineStr">
        <is>
          <t>kg</t>
        </is>
      </c>
      <c r="K2308" s="19" t="n">
        <v>14918.18</v>
      </c>
      <c r="L2308" s="33" t="n"/>
      <c r="M2308" s="33" t="n"/>
      <c r="N2308" s="22" t="n">
        <v>252</v>
      </c>
      <c r="O2308" s="22" t="n">
        <v>3759381</v>
      </c>
      <c r="P2308" s="22" t="n">
        <v>252</v>
      </c>
      <c r="Q2308" s="22" t="n">
        <v>3759381</v>
      </c>
      <c r="R2308" s="42">
        <f>+L2308+N2308-P2308</f>
        <v/>
      </c>
      <c r="S2308" s="42">
        <f>+M2308+O2308-Q2308</f>
        <v/>
      </c>
    </row>
    <row r="2309" ht="30" customHeight="1">
      <c r="A2309" s="16" t="n">
        <v>45861</v>
      </c>
      <c r="B2309" s="17" t="inlineStr">
        <is>
          <t>MH2507-43</t>
        </is>
      </c>
      <c r="C2309" s="16" t="n">
        <v>45861</v>
      </c>
      <c r="D2309" s="16" t="n">
        <v>45861</v>
      </c>
      <c r="E2309" s="17" t="inlineStr">
        <is>
          <t>00001360</t>
        </is>
      </c>
      <c r="F2309" s="16" t="inlineStr">
        <is>
          <t>XK2507-25</t>
        </is>
      </c>
      <c r="G2309" s="16" t="n">
        <v>45861</v>
      </c>
      <c r="H2309" s="17" t="inlineStr">
        <is>
          <t>CÔNG TY TNHH DỊCH VỤ - THƯƠNG MẠI THÉP THIÊN LONG</t>
        </is>
      </c>
      <c r="I2309" s="17" t="inlineStr">
        <is>
          <t>Thép ống đen 27</t>
        </is>
      </c>
      <c r="J2309" s="17" t="inlineStr">
        <is>
          <t>kg</t>
        </is>
      </c>
      <c r="K2309" s="19" t="n">
        <v>16554.54</v>
      </c>
      <c r="L2309" s="33" t="n"/>
      <c r="M2309" s="33" t="n"/>
      <c r="N2309" s="22" t="n">
        <v>102.06</v>
      </c>
      <c r="O2309" s="22" t="n">
        <v>1689640</v>
      </c>
      <c r="P2309" s="22" t="n">
        <v>102.06</v>
      </c>
      <c r="Q2309" s="22" t="n">
        <v>1689640</v>
      </c>
      <c r="R2309" s="42">
        <f>+L2309+N2309-P2309</f>
        <v/>
      </c>
      <c r="S2309" s="42">
        <f>+M2309+O2309-Q2309</f>
        <v/>
      </c>
    </row>
    <row r="2310" ht="30" customHeight="1">
      <c r="A2310" s="16" t="n">
        <v>45861</v>
      </c>
      <c r="B2310" s="17" t="inlineStr">
        <is>
          <t>MH2507-43</t>
        </is>
      </c>
      <c r="C2310" s="16" t="n">
        <v>45861</v>
      </c>
      <c r="D2310" s="16" t="n">
        <v>45861</v>
      </c>
      <c r="E2310" s="17" t="inlineStr">
        <is>
          <t>00001360</t>
        </is>
      </c>
      <c r="F2310" s="16" t="inlineStr">
        <is>
          <t>XK2507-25</t>
        </is>
      </c>
      <c r="G2310" s="16" t="n">
        <v>45861</v>
      </c>
      <c r="H2310" s="17" t="inlineStr">
        <is>
          <t>CÔNG TY TNHH DỊCH VỤ - THƯƠNG MẠI THÉP THIÊN LONG</t>
        </is>
      </c>
      <c r="I2310" s="17" t="inlineStr">
        <is>
          <t>Thép ống đen 42</t>
        </is>
      </c>
      <c r="J2310" s="17" t="inlineStr">
        <is>
          <t>kg</t>
        </is>
      </c>
      <c r="K2310" s="19" t="n">
        <v>16554.54</v>
      </c>
      <c r="L2310" s="33" t="n"/>
      <c r="M2310" s="33" t="n"/>
      <c r="N2310" s="22" t="n">
        <v>261</v>
      </c>
      <c r="O2310" s="22" t="n">
        <v>4320735</v>
      </c>
      <c r="P2310" s="22" t="n">
        <v>261</v>
      </c>
      <c r="Q2310" s="22" t="n">
        <v>4320735</v>
      </c>
      <c r="R2310" s="42">
        <f>+L2310+N2310-P2310</f>
        <v/>
      </c>
      <c r="S2310" s="42">
        <f>+M2310+O2310-Q2310</f>
        <v/>
      </c>
    </row>
    <row r="2311" ht="30" customHeight="1">
      <c r="A2311" s="16" t="n">
        <v>45861</v>
      </c>
      <c r="B2311" s="17" t="inlineStr">
        <is>
          <t>MH2507-43</t>
        </is>
      </c>
      <c r="C2311" s="16" t="n">
        <v>45861</v>
      </c>
      <c r="D2311" s="16" t="n">
        <v>45861</v>
      </c>
      <c r="E2311" s="17" t="inlineStr">
        <is>
          <t>00001360</t>
        </is>
      </c>
      <c r="F2311" s="16" t="inlineStr">
        <is>
          <t>XK2507-25</t>
        </is>
      </c>
      <c r="G2311" s="16" t="n">
        <v>45861</v>
      </c>
      <c r="H2311" s="17" t="inlineStr">
        <is>
          <t>CÔNG TY TNHH DỊCH VỤ - THƯƠNG MẠI THÉP THIÊN LONG</t>
        </is>
      </c>
      <c r="I2311" s="17" t="inlineStr">
        <is>
          <t>Thép tấm gân 5ly</t>
        </is>
      </c>
      <c r="J2311" s="17" t="inlineStr">
        <is>
          <t>kg</t>
        </is>
      </c>
      <c r="K2311" s="19" t="n">
        <v>12827.27</v>
      </c>
      <c r="L2311" s="33" t="n"/>
      <c r="M2311" s="33" t="n"/>
      <c r="N2311" s="22" t="n">
        <v>3422.25</v>
      </c>
      <c r="O2311" s="22" t="n">
        <v>43898125</v>
      </c>
      <c r="P2311" s="22" t="n">
        <v>3422.25</v>
      </c>
      <c r="Q2311" s="22" t="n">
        <v>43898125</v>
      </c>
      <c r="R2311" s="42">
        <f>+L2311+N2311-P2311</f>
        <v/>
      </c>
      <c r="S2311" s="42">
        <f>+M2311+O2311-Q2311</f>
        <v/>
      </c>
    </row>
    <row r="2312" ht="30" customHeight="1">
      <c r="A2312" s="16" t="n">
        <v>45861</v>
      </c>
      <c r="B2312" s="17" t="inlineStr">
        <is>
          <t>MH2507-43</t>
        </is>
      </c>
      <c r="C2312" s="16" t="n">
        <v>45861</v>
      </c>
      <c r="D2312" s="16" t="n">
        <v>45861</v>
      </c>
      <c r="E2312" s="17" t="inlineStr">
        <is>
          <t>00001360</t>
        </is>
      </c>
      <c r="F2312" s="16" t="inlineStr">
        <is>
          <t>XK2507-25</t>
        </is>
      </c>
      <c r="G2312" s="16" t="n">
        <v>45861</v>
      </c>
      <c r="H2312" s="17" t="inlineStr">
        <is>
          <t>CÔNG TY TNHH DỊCH VỤ - THƯƠNG MẠI THÉP THIÊN LONG</t>
        </is>
      </c>
      <c r="I2312" s="17" t="inlineStr">
        <is>
          <t>Thép tấm 45ly</t>
        </is>
      </c>
      <c r="J2312" s="17" t="inlineStr">
        <is>
          <t>kg</t>
        </is>
      </c>
      <c r="K2312" s="19" t="n">
        <v>15281.81</v>
      </c>
      <c r="L2312" s="33" t="n"/>
      <c r="M2312" s="33" t="n"/>
      <c r="N2312" s="22" t="n">
        <v>8478</v>
      </c>
      <c r="O2312" s="22" t="n">
        <v>129559185</v>
      </c>
      <c r="P2312" s="22" t="n">
        <v>8478</v>
      </c>
      <c r="Q2312" s="22" t="n">
        <v>129559185</v>
      </c>
      <c r="R2312" s="42">
        <f>+L2312+N2312-P2312</f>
        <v/>
      </c>
      <c r="S2312" s="42">
        <f>+M2312+O2312-Q2312</f>
        <v/>
      </c>
    </row>
    <row r="2313" ht="15" customHeight="1">
      <c r="A2313" s="16" t="n">
        <v>45862</v>
      </c>
      <c r="B2313" s="17" t="inlineStr">
        <is>
          <t>MH2507-44</t>
        </is>
      </c>
      <c r="C2313" s="16" t="n">
        <v>45862</v>
      </c>
      <c r="D2313" s="16" t="n">
        <v>45862</v>
      </c>
      <c r="E2313" s="17" t="inlineStr">
        <is>
          <t>909</t>
        </is>
      </c>
      <c r="F2313" s="16" t="inlineStr">
        <is>
          <t>XK2507-26</t>
        </is>
      </c>
      <c r="G2313" s="16" t="n">
        <v>45862</v>
      </c>
      <c r="H2313" s="17" t="inlineStr">
        <is>
          <t>CÔNG TY CỔ PHẦN QH PLUS</t>
        </is>
      </c>
      <c r="I2313" s="17" t="inlineStr">
        <is>
          <t>Thép tấm cán nóng 8x2000x12000</t>
        </is>
      </c>
      <c r="J2313" s="17" t="inlineStr">
        <is>
          <t>kg</t>
        </is>
      </c>
      <c r="K2313" s="19" t="n">
        <v>13455</v>
      </c>
      <c r="L2313" s="33" t="n"/>
      <c r="M2313" s="33" t="n"/>
      <c r="N2313" s="22" t="n">
        <v>28636.8</v>
      </c>
      <c r="O2313" s="22" t="n">
        <v>385308144</v>
      </c>
      <c r="P2313" s="22" t="n">
        <v>28636.8</v>
      </c>
      <c r="Q2313" s="22" t="n">
        <v>385308144</v>
      </c>
      <c r="R2313" s="42">
        <f>+L2313+N2313-P2313</f>
        <v/>
      </c>
      <c r="S2313" s="42">
        <f>+M2313+O2313-Q2313</f>
        <v/>
      </c>
    </row>
    <row r="2314" ht="15" customHeight="1">
      <c r="A2314" s="16" t="n">
        <v>45862</v>
      </c>
      <c r="B2314" s="17" t="inlineStr">
        <is>
          <t>MH2507-45</t>
        </is>
      </c>
      <c r="C2314" s="16" t="n">
        <v>45862</v>
      </c>
      <c r="D2314" s="16" t="n">
        <v>45862</v>
      </c>
      <c r="E2314" s="17" t="inlineStr">
        <is>
          <t>910</t>
        </is>
      </c>
      <c r="F2314" s="16" t="inlineStr">
        <is>
          <t>XK2507-26</t>
        </is>
      </c>
      <c r="G2314" s="16" t="n">
        <v>45862</v>
      </c>
      <c r="H2314" s="17" t="inlineStr">
        <is>
          <t>CÔNG TY CỔ PHẦN QH PLUS</t>
        </is>
      </c>
      <c r="I2314" s="17" t="inlineStr">
        <is>
          <t>Thép tấm cán nóng 5x2000x6000</t>
        </is>
      </c>
      <c r="J2314" s="17" t="inlineStr">
        <is>
          <t>kg</t>
        </is>
      </c>
      <c r="K2314" s="19" t="n">
        <v>13455</v>
      </c>
      <c r="L2314" s="33" t="n"/>
      <c r="M2314" s="33" t="n"/>
      <c r="N2314" s="22" t="n">
        <v>35325</v>
      </c>
      <c r="O2314" s="22" t="n">
        <v>475297875</v>
      </c>
      <c r="P2314" s="22" t="n">
        <v>35325</v>
      </c>
      <c r="Q2314" s="22" t="n">
        <v>475297875</v>
      </c>
      <c r="R2314" s="42">
        <f>+L2314+N2314-P2314</f>
        <v/>
      </c>
      <c r="S2314" s="42">
        <f>+M2314+O2314-Q2314</f>
        <v/>
      </c>
    </row>
    <row r="2315" ht="15" customHeight="1">
      <c r="A2315" s="16" t="n">
        <v>45862</v>
      </c>
      <c r="B2315" s="17" t="inlineStr">
        <is>
          <t>MH2507-46</t>
        </is>
      </c>
      <c r="C2315" s="16" t="n">
        <v>45862</v>
      </c>
      <c r="D2315" s="16" t="n">
        <v>45862</v>
      </c>
      <c r="E2315" s="17" t="inlineStr">
        <is>
          <t>911</t>
        </is>
      </c>
      <c r="F2315" s="16" t="inlineStr">
        <is>
          <t>XK2507-26</t>
        </is>
      </c>
      <c r="G2315" s="16" t="n">
        <v>45862</v>
      </c>
      <c r="H2315" s="17" t="inlineStr">
        <is>
          <t>CÔNG TY CỔ PHẦN QH PLUS</t>
        </is>
      </c>
      <c r="I2315" s="17" t="inlineStr">
        <is>
          <t>Thép tấm cán nóng 5x2000x6000</t>
        </is>
      </c>
      <c r="J2315" s="17" t="inlineStr">
        <is>
          <t>kg</t>
        </is>
      </c>
      <c r="K2315" s="19" t="n">
        <v>13455</v>
      </c>
      <c r="L2315" s="33" t="n"/>
      <c r="M2315" s="33" t="n"/>
      <c r="N2315" s="22" t="n">
        <v>6594</v>
      </c>
      <c r="O2315" s="22" t="n">
        <v>88722270</v>
      </c>
      <c r="P2315" s="22" t="n">
        <v>6594</v>
      </c>
      <c r="Q2315" s="22" t="n">
        <v>88722270</v>
      </c>
      <c r="R2315" s="42">
        <f>+L2315+N2315-P2315</f>
        <v/>
      </c>
      <c r="S2315" s="42">
        <f>+M2315+O2315-Q2315</f>
        <v/>
      </c>
    </row>
    <row r="2316" ht="15" customHeight="1">
      <c r="A2316" s="16" t="n">
        <v>45862</v>
      </c>
      <c r="B2316" s="17" t="inlineStr">
        <is>
          <t>MH2507-46</t>
        </is>
      </c>
      <c r="C2316" s="16" t="n">
        <v>45862</v>
      </c>
      <c r="D2316" s="16" t="n">
        <v>45862</v>
      </c>
      <c r="E2316" s="17" t="inlineStr">
        <is>
          <t>911</t>
        </is>
      </c>
      <c r="F2316" s="16" t="inlineStr">
        <is>
          <t>XK2507-26</t>
        </is>
      </c>
      <c r="G2316" s="16" t="n">
        <v>45862</v>
      </c>
      <c r="H2316" s="17" t="inlineStr">
        <is>
          <t>CÔNG TY CỔ PHẦN QH PLUS</t>
        </is>
      </c>
      <c r="I2316" s="17" t="inlineStr">
        <is>
          <t>Thép tấm cán nóng 10x2000x12000</t>
        </is>
      </c>
      <c r="J2316" s="17" t="inlineStr">
        <is>
          <t>kg</t>
        </is>
      </c>
      <c r="K2316" s="19" t="n">
        <v>13455</v>
      </c>
      <c r="L2316" s="33" t="n"/>
      <c r="M2316" s="33" t="n"/>
      <c r="N2316" s="22" t="n">
        <v>28260</v>
      </c>
      <c r="O2316" s="22" t="n">
        <v>380238300</v>
      </c>
      <c r="P2316" s="22" t="n">
        <v>28260</v>
      </c>
      <c r="Q2316" s="22" t="n">
        <v>380238300</v>
      </c>
      <c r="R2316" s="42">
        <f>+L2316+N2316-P2316</f>
        <v/>
      </c>
      <c r="S2316" s="42">
        <f>+M2316+O2316-Q2316</f>
        <v/>
      </c>
    </row>
    <row r="2317" ht="30" customHeight="1">
      <c r="A2317" s="16" t="n">
        <v>45862</v>
      </c>
      <c r="B2317" s="17" t="inlineStr">
        <is>
          <t>MH2507-47</t>
        </is>
      </c>
      <c r="C2317" s="16" t="n">
        <v>45862</v>
      </c>
      <c r="D2317" s="16" t="n">
        <v>45862</v>
      </c>
      <c r="E2317" s="17" t="inlineStr">
        <is>
          <t>00002866</t>
        </is>
      </c>
      <c r="F2317" s="16" t="inlineStr">
        <is>
          <t>XK2507-27</t>
        </is>
      </c>
      <c r="G2317" s="16" t="n">
        <v>45862</v>
      </c>
      <c r="H2317" s="17" t="inlineStr">
        <is>
          <t>CÔNG TY CỔ PHẦN CÔNG NGHIỆP VÀ THƯƠNG MẠI CƯỜNG THỊNH</t>
        </is>
      </c>
      <c r="I2317" s="17" t="inlineStr">
        <is>
          <t>Dịch vụ vận chuyển</t>
        </is>
      </c>
      <c r="J2317" s="17" t="inlineStr">
        <is>
          <t>Lần</t>
        </is>
      </c>
      <c r="K2317" s="19" t="n">
        <v>500000</v>
      </c>
      <c r="L2317" s="33" t="n"/>
      <c r="M2317" s="33" t="n"/>
      <c r="N2317" s="22" t="n">
        <v>1</v>
      </c>
      <c r="O2317" s="22" t="n">
        <v>500000</v>
      </c>
      <c r="P2317" s="22" t="n">
        <v>1</v>
      </c>
      <c r="Q2317" s="22" t="n">
        <v>500000</v>
      </c>
      <c r="R2317" s="42">
        <f>+L2317+N2317-P2317</f>
        <v/>
      </c>
      <c r="S2317" s="42">
        <f>+M2317+O2317-Q2317</f>
        <v/>
      </c>
    </row>
    <row r="2318" ht="30" customHeight="1">
      <c r="A2318" s="16" t="n">
        <v>45862</v>
      </c>
      <c r="B2318" s="17" t="inlineStr">
        <is>
          <t>MH2507-47</t>
        </is>
      </c>
      <c r="C2318" s="16" t="n">
        <v>45862</v>
      </c>
      <c r="D2318" s="16" t="n">
        <v>45862</v>
      </c>
      <c r="E2318" s="17" t="inlineStr">
        <is>
          <t>00002866</t>
        </is>
      </c>
      <c r="F2318" s="16" t="inlineStr">
        <is>
          <t>XK2507-27</t>
        </is>
      </c>
      <c r="G2318" s="16" t="n">
        <v>45862</v>
      </c>
      <c r="H2318" s="17" t="inlineStr">
        <is>
          <t>CÔNG TY CỔ PHẦN CÔNG NGHIỆP VÀ THƯƠNG MẠI CƯỜNG THỊNH</t>
        </is>
      </c>
      <c r="I2318" s="17" t="inlineStr">
        <is>
          <t>Bulong Din 933 8.8 ZP M20x70</t>
        </is>
      </c>
      <c r="J2318" s="17" t="inlineStr">
        <is>
          <t>Cái</t>
        </is>
      </c>
      <c r="K2318" s="19" t="n">
        <v>7070</v>
      </c>
      <c r="L2318" s="33" t="n"/>
      <c r="M2318" s="33" t="n"/>
      <c r="N2318" s="22" t="n">
        <v>286</v>
      </c>
      <c r="O2318" s="22" t="n">
        <v>2022020</v>
      </c>
      <c r="P2318" s="22" t="n">
        <v>286</v>
      </c>
      <c r="Q2318" s="22" t="n">
        <v>2022020</v>
      </c>
      <c r="R2318" s="42">
        <f>+L2318+N2318-P2318</f>
        <v/>
      </c>
      <c r="S2318" s="42">
        <f>+M2318+O2318-Q2318</f>
        <v/>
      </c>
    </row>
    <row r="2319" ht="30" customHeight="1">
      <c r="A2319" s="16" t="n">
        <v>45862</v>
      </c>
      <c r="B2319" s="17" t="inlineStr">
        <is>
          <t>MH2507-47</t>
        </is>
      </c>
      <c r="C2319" s="16" t="n">
        <v>45862</v>
      </c>
      <c r="D2319" s="16" t="n">
        <v>45862</v>
      </c>
      <c r="E2319" s="17" t="inlineStr">
        <is>
          <t>00002866</t>
        </is>
      </c>
      <c r="F2319" s="16" t="inlineStr">
        <is>
          <t>XK2507-27</t>
        </is>
      </c>
      <c r="G2319" s="16" t="n">
        <v>45862</v>
      </c>
      <c r="H2319" s="17" t="inlineStr">
        <is>
          <t>CÔNG TY CỔ PHẦN CÔNG NGHIỆP VÀ THƯƠNG MẠI CƯỜNG THỊNH</t>
        </is>
      </c>
      <c r="I2319" s="17" t="inlineStr">
        <is>
          <t>Đai ốc Din 934 8 ZP M20</t>
        </is>
      </c>
      <c r="J2319" s="17" t="inlineStr">
        <is>
          <t>Cái</t>
        </is>
      </c>
      <c r="K2319" s="19" t="n">
        <v>2030</v>
      </c>
      <c r="L2319" s="33" t="n"/>
      <c r="M2319" s="33" t="n"/>
      <c r="N2319" s="22" t="n">
        <v>286</v>
      </c>
      <c r="O2319" s="22" t="n">
        <v>580580</v>
      </c>
      <c r="P2319" s="22" t="n">
        <v>286</v>
      </c>
      <c r="Q2319" s="22" t="n">
        <v>580580</v>
      </c>
      <c r="R2319" s="42">
        <f>+L2319+N2319-P2319</f>
        <v/>
      </c>
      <c r="S2319" s="42">
        <f>+M2319+O2319-Q2319</f>
        <v/>
      </c>
    </row>
    <row r="2320" ht="30" customHeight="1">
      <c r="A2320" s="16" t="n">
        <v>45862</v>
      </c>
      <c r="B2320" s="17" t="inlineStr">
        <is>
          <t>MH2507-47</t>
        </is>
      </c>
      <c r="C2320" s="16" t="n">
        <v>45862</v>
      </c>
      <c r="D2320" s="16" t="n">
        <v>45862</v>
      </c>
      <c r="E2320" s="17" t="inlineStr">
        <is>
          <t>00002866</t>
        </is>
      </c>
      <c r="F2320" s="16" t="inlineStr">
        <is>
          <t>XK2507-27</t>
        </is>
      </c>
      <c r="G2320" s="16" t="n">
        <v>45862</v>
      </c>
      <c r="H2320" s="17" t="inlineStr">
        <is>
          <t>CÔNG TY CỔ PHẦN CÔNG NGHIỆP VÀ THƯƠNG MẠI CƯỜNG THỊNH</t>
        </is>
      </c>
      <c r="I2320" s="17" t="inlineStr">
        <is>
          <t>Long đền thường ZP M20B35D2</t>
        </is>
      </c>
      <c r="J2320" s="17" t="inlineStr">
        <is>
          <t>Cái</t>
        </is>
      </c>
      <c r="K2320" s="19" t="n">
        <v>350</v>
      </c>
      <c r="L2320" s="33" t="n"/>
      <c r="M2320" s="33" t="n"/>
      <c r="N2320" s="22" t="n">
        <v>286</v>
      </c>
      <c r="O2320" s="22" t="n">
        <v>100100</v>
      </c>
      <c r="P2320" s="22" t="n">
        <v>286</v>
      </c>
      <c r="Q2320" s="22" t="n">
        <v>100100</v>
      </c>
      <c r="R2320" s="42">
        <f>+L2320+N2320-P2320</f>
        <v/>
      </c>
      <c r="S2320" s="42">
        <f>+M2320+O2320-Q2320</f>
        <v/>
      </c>
    </row>
    <row r="2321" ht="15" customHeight="1">
      <c r="A2321" s="16" t="n">
        <v>45862</v>
      </c>
      <c r="B2321" s="17" t="inlineStr">
        <is>
          <t>MH2507-48</t>
        </is>
      </c>
      <c r="C2321" s="16" t="n">
        <v>45862</v>
      </c>
      <c r="D2321" s="16" t="n">
        <v>45862</v>
      </c>
      <c r="E2321" s="17" t="inlineStr">
        <is>
          <t>916</t>
        </is>
      </c>
      <c r="F2321" s="16" t="inlineStr">
        <is>
          <t>XK2507-28</t>
        </is>
      </c>
      <c r="G2321" s="16" t="n">
        <v>45862</v>
      </c>
      <c r="H2321" s="17" t="inlineStr">
        <is>
          <t>CÔNG TY CỔ PHẦN QH PLUS</t>
        </is>
      </c>
      <c r="I2321" s="17" t="inlineStr">
        <is>
          <t>Thép tấm cán nóng 8x2000x12000</t>
        </is>
      </c>
      <c r="J2321" s="17" t="inlineStr">
        <is>
          <t>kg</t>
        </is>
      </c>
      <c r="K2321" s="19" t="n">
        <v>13455</v>
      </c>
      <c r="L2321" s="33" t="n"/>
      <c r="M2321" s="33" t="n"/>
      <c r="N2321" s="22" t="n">
        <v>18086.4</v>
      </c>
      <c r="O2321" s="22" t="n">
        <v>243352512</v>
      </c>
      <c r="P2321" s="22" t="n">
        <v>18086.4</v>
      </c>
      <c r="Q2321" s="22" t="n">
        <v>243352512</v>
      </c>
      <c r="R2321" s="42">
        <f>+L2321+N2321-P2321</f>
        <v/>
      </c>
      <c r="S2321" s="42">
        <f>+M2321+O2321-Q2321</f>
        <v/>
      </c>
    </row>
    <row r="2322" ht="15" customHeight="1">
      <c r="A2322" s="16" t="n">
        <v>45862</v>
      </c>
      <c r="B2322" s="17" t="inlineStr">
        <is>
          <t>MH2507-48</t>
        </is>
      </c>
      <c r="C2322" s="16" t="n">
        <v>45862</v>
      </c>
      <c r="D2322" s="16" t="n">
        <v>45862</v>
      </c>
      <c r="E2322" s="17" t="inlineStr">
        <is>
          <t>916</t>
        </is>
      </c>
      <c r="F2322" s="16" t="inlineStr">
        <is>
          <t>XK2507-28</t>
        </is>
      </c>
      <c r="G2322" s="16" t="n">
        <v>45862</v>
      </c>
      <c r="H2322" s="17" t="inlineStr">
        <is>
          <t>CÔNG TY CỔ PHẦN QH PLUS</t>
        </is>
      </c>
      <c r="I2322" s="17" t="inlineStr">
        <is>
          <t>Thép tấm cán nóng 10x2000x12000</t>
        </is>
      </c>
      <c r="J2322" s="17" t="inlineStr">
        <is>
          <t>kg</t>
        </is>
      </c>
      <c r="K2322" s="19" t="n">
        <v>13455</v>
      </c>
      <c r="L2322" s="33" t="n"/>
      <c r="M2322" s="33" t="n"/>
      <c r="N2322" s="22" t="n">
        <v>13188</v>
      </c>
      <c r="O2322" s="22" t="n">
        <v>177444540</v>
      </c>
      <c r="P2322" s="22" t="n">
        <v>13188</v>
      </c>
      <c r="Q2322" s="22" t="n">
        <v>177444540</v>
      </c>
      <c r="R2322" s="42">
        <f>+L2322+N2322-P2322</f>
        <v/>
      </c>
      <c r="S2322" s="42">
        <f>+M2322+O2322-Q2322</f>
        <v/>
      </c>
    </row>
    <row r="2323" ht="15" customHeight="1">
      <c r="A2323" s="16" t="n">
        <v>45863</v>
      </c>
      <c r="B2323" s="17" t="inlineStr">
        <is>
          <t>MH2507-49</t>
        </is>
      </c>
      <c r="C2323" s="16" t="n">
        <v>45863</v>
      </c>
      <c r="D2323" s="16" t="n">
        <v>45863</v>
      </c>
      <c r="E2323" s="17" t="inlineStr">
        <is>
          <t>920</t>
        </is>
      </c>
      <c r="F2323" s="16" t="inlineStr">
        <is>
          <t>XK2507-29</t>
        </is>
      </c>
      <c r="G2323" s="16" t="n">
        <v>45863</v>
      </c>
      <c r="H2323" s="17" t="inlineStr">
        <is>
          <t>CÔNG TY CỔ PHẦN QH PLUS</t>
        </is>
      </c>
      <c r="I2323" s="17" t="inlineStr">
        <is>
          <t>Thép tấm cán nóng 5x2000x6000</t>
        </is>
      </c>
      <c r="J2323" s="17" t="inlineStr">
        <is>
          <t>kg</t>
        </is>
      </c>
      <c r="K2323" s="19" t="n">
        <v>13455</v>
      </c>
      <c r="L2323" s="33" t="n"/>
      <c r="M2323" s="33" t="n"/>
      <c r="N2323" s="22" t="n">
        <v>471</v>
      </c>
      <c r="O2323" s="22" t="n">
        <v>6337305</v>
      </c>
      <c r="P2323" s="22" t="n">
        <v>471</v>
      </c>
      <c r="Q2323" s="22" t="n">
        <v>6337305</v>
      </c>
      <c r="R2323" s="42">
        <f>+L2323+N2323-P2323</f>
        <v/>
      </c>
      <c r="S2323" s="42">
        <f>+M2323+O2323-Q2323</f>
        <v/>
      </c>
    </row>
    <row r="2324" ht="15" customHeight="1">
      <c r="A2324" s="16" t="n">
        <v>45863</v>
      </c>
      <c r="B2324" s="17" t="inlineStr">
        <is>
          <t>MH2507-49</t>
        </is>
      </c>
      <c r="C2324" s="16" t="n">
        <v>45863</v>
      </c>
      <c r="D2324" s="16" t="n">
        <v>45863</v>
      </c>
      <c r="E2324" s="17" t="inlineStr">
        <is>
          <t>920</t>
        </is>
      </c>
      <c r="F2324" s="16" t="inlineStr">
        <is>
          <t>XK2507-29</t>
        </is>
      </c>
      <c r="G2324" s="16" t="n">
        <v>45863</v>
      </c>
      <c r="H2324" s="17" t="inlineStr">
        <is>
          <t>CÔNG TY CỔ PHẦN QH PLUS</t>
        </is>
      </c>
      <c r="I2324" s="17" t="inlineStr">
        <is>
          <t>Thép tấm cán nóng 8x2000x12000</t>
        </is>
      </c>
      <c r="J2324" s="17" t="inlineStr">
        <is>
          <t>kg</t>
        </is>
      </c>
      <c r="K2324" s="19" t="n">
        <v>13455</v>
      </c>
      <c r="L2324" s="33" t="n"/>
      <c r="M2324" s="33" t="n"/>
      <c r="N2324" s="22" t="n">
        <v>1507.2</v>
      </c>
      <c r="O2324" s="22" t="n">
        <v>20279376</v>
      </c>
      <c r="P2324" s="22" t="n">
        <v>1507.2</v>
      </c>
      <c r="Q2324" s="22" t="n">
        <v>20279376</v>
      </c>
      <c r="R2324" s="42">
        <f>+L2324+N2324-P2324</f>
        <v/>
      </c>
      <c r="S2324" s="42">
        <f>+M2324+O2324-Q2324</f>
        <v/>
      </c>
    </row>
    <row r="2325" ht="15" customHeight="1">
      <c r="A2325" s="16" t="n">
        <v>45866</v>
      </c>
      <c r="B2325" s="17" t="inlineStr">
        <is>
          <t>MH2507-53</t>
        </is>
      </c>
      <c r="C2325" s="16" t="n">
        <v>45866</v>
      </c>
      <c r="D2325" s="16" t="n">
        <v>45866</v>
      </c>
      <c r="E2325" s="17" t="inlineStr">
        <is>
          <t>923</t>
        </is>
      </c>
      <c r="F2325" s="16" t="inlineStr">
        <is>
          <t>XK2507-30</t>
        </is>
      </c>
      <c r="G2325" s="16" t="n">
        <v>45866</v>
      </c>
      <c r="H2325" s="17" t="inlineStr">
        <is>
          <t>CÔNG TY CỔ PHẦN QH PLUS</t>
        </is>
      </c>
      <c r="I2325" s="17" t="inlineStr">
        <is>
          <t>Thép tấm cán nóng 10x2000x12000</t>
        </is>
      </c>
      <c r="J2325" s="17" t="inlineStr">
        <is>
          <t>kg</t>
        </is>
      </c>
      <c r="K2325" s="19" t="n">
        <v>13455</v>
      </c>
      <c r="L2325" s="33" t="n"/>
      <c r="M2325" s="33" t="n"/>
      <c r="N2325" s="22" t="n">
        <v>32028</v>
      </c>
      <c r="O2325" s="22" t="n">
        <v>430936740</v>
      </c>
      <c r="P2325" s="22" t="n">
        <v>32028</v>
      </c>
      <c r="Q2325" s="22" t="n">
        <v>430936740</v>
      </c>
      <c r="R2325" s="42">
        <f>+L2325+N2325-P2325</f>
        <v/>
      </c>
      <c r="S2325" s="42">
        <f>+M2325+O2325-Q2325</f>
        <v/>
      </c>
    </row>
    <row r="2326" ht="30" customHeight="1">
      <c r="A2326" s="16" t="n">
        <v>45866</v>
      </c>
      <c r="B2326" s="17" t="inlineStr">
        <is>
          <t>MH2507-54</t>
        </is>
      </c>
      <c r="C2326" s="16" t="n">
        <v>45866</v>
      </c>
      <c r="D2326" s="16" t="n">
        <v>45866</v>
      </c>
      <c r="E2326" s="17" t="inlineStr">
        <is>
          <t>00004133</t>
        </is>
      </c>
      <c r="F2326" s="16" t="inlineStr">
        <is>
          <t>XK2507-31</t>
        </is>
      </c>
      <c r="G2326" s="16" t="n">
        <v>45866</v>
      </c>
      <c r="H2326" s="17" t="inlineStr">
        <is>
          <t>CÔNG TY TNHH MTV SẢN XUẤT THƯƠNG MẠI DỊCH VỤ THANH HUYỀN</t>
        </is>
      </c>
      <c r="I2326" s="17" t="inlineStr">
        <is>
          <t>Thép mạ kẽm chấn</t>
        </is>
      </c>
      <c r="J2326" s="17" t="inlineStr">
        <is>
          <t>kg</t>
        </is>
      </c>
      <c r="K2326" s="19" t="n">
        <v>21798.37</v>
      </c>
      <c r="L2326" s="33" t="n"/>
      <c r="M2326" s="33" t="n"/>
      <c r="N2326" s="22" t="n">
        <v>367</v>
      </c>
      <c r="O2326" s="22" t="n">
        <v>8000000</v>
      </c>
      <c r="P2326" s="22" t="n">
        <v>367</v>
      </c>
      <c r="Q2326" s="22" t="n">
        <v>8000000</v>
      </c>
      <c r="R2326" s="42">
        <f>+L2326+N2326-P2326</f>
        <v/>
      </c>
      <c r="S2326" s="42">
        <f>+M2326+O2326-Q2326</f>
        <v/>
      </c>
    </row>
    <row r="2327" ht="30" customHeight="1">
      <c r="A2327" s="16" t="n">
        <v>45866</v>
      </c>
      <c r="B2327" s="17" t="inlineStr">
        <is>
          <t>MH2507-55</t>
        </is>
      </c>
      <c r="C2327" s="16" t="n">
        <v>45866</v>
      </c>
      <c r="D2327" s="16" t="n">
        <v>45866</v>
      </c>
      <c r="E2327" s="17" t="inlineStr">
        <is>
          <t>00004132</t>
        </is>
      </c>
      <c r="F2327" s="16" t="inlineStr">
        <is>
          <t>XK2507-32</t>
        </is>
      </c>
      <c r="G2327" s="16" t="n">
        <v>45866</v>
      </c>
      <c r="H2327" s="17" t="inlineStr">
        <is>
          <t>CÔNG TY TNHH MTV SẢN XUẤT THƯƠNG MẠI DỊCH VỤ THANH HUYỀN</t>
        </is>
      </c>
      <c r="I2327" s="17" t="inlineStr">
        <is>
          <t>Thép mạ kẽm chấn</t>
        </is>
      </c>
      <c r="J2327" s="17" t="inlineStr">
        <is>
          <t>kg</t>
        </is>
      </c>
      <c r="K2327" s="19" t="n">
        <v>21797.06</v>
      </c>
      <c r="L2327" s="33" t="n"/>
      <c r="M2327" s="33" t="n"/>
      <c r="N2327" s="22" t="n">
        <v>1233</v>
      </c>
      <c r="O2327" s="22" t="n">
        <v>26875775</v>
      </c>
      <c r="P2327" s="22" t="n">
        <v>1233</v>
      </c>
      <c r="Q2327" s="22" t="n">
        <v>26875775</v>
      </c>
      <c r="R2327" s="42">
        <f>+L2327+N2327-P2327</f>
        <v/>
      </c>
      <c r="S2327" s="42">
        <f>+M2327+O2327-Q2327</f>
        <v/>
      </c>
    </row>
    <row r="2328" ht="30" customHeight="1">
      <c r="A2328" s="16" t="n">
        <v>45866</v>
      </c>
      <c r="B2328" s="17" t="inlineStr">
        <is>
          <t>MH2507-55</t>
        </is>
      </c>
      <c r="C2328" s="16" t="n">
        <v>45866</v>
      </c>
      <c r="D2328" s="16" t="n">
        <v>45866</v>
      </c>
      <c r="E2328" s="17" t="inlineStr">
        <is>
          <t>00004132</t>
        </is>
      </c>
      <c r="F2328" s="16" t="inlineStr">
        <is>
          <t>XK2507-32</t>
        </is>
      </c>
      <c r="G2328" s="16" t="n">
        <v>45866</v>
      </c>
      <c r="H2328" s="17" t="inlineStr">
        <is>
          <t>CÔNG TY TNHH MTV SẢN XUẤT THƯƠNG MẠI DỊCH VỤ THANH HUYỀN</t>
        </is>
      </c>
      <c r="I2328" s="17" t="inlineStr">
        <is>
          <t>Xà gồ mạ kẽm</t>
        </is>
      </c>
      <c r="J2328" s="17" t="inlineStr">
        <is>
          <t>kg</t>
        </is>
      </c>
      <c r="K2328" s="19" t="n">
        <v>17918.5</v>
      </c>
      <c r="L2328" s="33" t="n"/>
      <c r="M2328" s="33" t="n"/>
      <c r="N2328" s="22" t="n">
        <v>55285</v>
      </c>
      <c r="O2328" s="22" t="n">
        <v>990624494</v>
      </c>
      <c r="P2328" s="22" t="n">
        <v>55285</v>
      </c>
      <c r="Q2328" s="22" t="n">
        <v>990624494</v>
      </c>
      <c r="R2328" s="42">
        <f>+L2328+N2328-P2328</f>
        <v/>
      </c>
      <c r="S2328" s="42">
        <f>+M2328+O2328-Q2328</f>
        <v/>
      </c>
    </row>
    <row r="2329" ht="15" customHeight="1">
      <c r="A2329" s="16" t="n">
        <v>45868</v>
      </c>
      <c r="B2329" s="17" t="inlineStr">
        <is>
          <t>MH2507-58</t>
        </is>
      </c>
      <c r="C2329" s="16" t="n">
        <v>45868</v>
      </c>
      <c r="D2329" s="16" t="n">
        <v>45868</v>
      </c>
      <c r="E2329" s="17" t="inlineStr">
        <is>
          <t>00006917</t>
        </is>
      </c>
      <c r="F2329" s="16" t="inlineStr">
        <is>
          <t>XK2507-33</t>
        </is>
      </c>
      <c r="G2329" s="16" t="n">
        <v>45868</v>
      </c>
      <c r="H2329" s="17" t="inlineStr">
        <is>
          <t>CÔNG TY TNHH SƠN JOTUN VIỆT NAM</t>
        </is>
      </c>
      <c r="I2329" s="17" t="inlineStr">
        <is>
          <t>SƠN JOTAMASTIC 70 GREY 18L</t>
        </is>
      </c>
      <c r="J2329" s="17" t="inlineStr">
        <is>
          <t>Lít</t>
        </is>
      </c>
      <c r="K2329" s="19" t="n">
        <v>90000</v>
      </c>
      <c r="L2329" s="33" t="n"/>
      <c r="M2329" s="33" t="n"/>
      <c r="N2329" s="22" t="n">
        <v>612</v>
      </c>
      <c r="O2329" s="22" t="n">
        <v>55080000</v>
      </c>
      <c r="P2329" s="22" t="n">
        <v>612</v>
      </c>
      <c r="Q2329" s="22" t="n">
        <v>55080000</v>
      </c>
      <c r="R2329" s="42">
        <f>+L2329+N2329-P2329</f>
        <v/>
      </c>
      <c r="S2329" s="42">
        <f>+M2329+O2329-Q2329</f>
        <v/>
      </c>
    </row>
    <row r="2330" ht="15" customHeight="1">
      <c r="A2330" s="16" t="n">
        <v>45868</v>
      </c>
      <c r="B2330" s="17" t="inlineStr">
        <is>
          <t>MH2507-58</t>
        </is>
      </c>
      <c r="C2330" s="16" t="n">
        <v>45868</v>
      </c>
      <c r="D2330" s="16" t="n">
        <v>45868</v>
      </c>
      <c r="E2330" s="17" t="inlineStr">
        <is>
          <t>00006917</t>
        </is>
      </c>
      <c r="F2330" s="16" t="inlineStr">
        <is>
          <t>XK2507-33</t>
        </is>
      </c>
      <c r="G2330" s="16" t="n">
        <v>45868</v>
      </c>
      <c r="H2330" s="17" t="inlineStr">
        <is>
          <t>CÔNG TY TNHH SƠN JOTUN VIỆT NAM</t>
        </is>
      </c>
      <c r="I2330" s="17" t="inlineStr">
        <is>
          <t>SƠN FUTURA CLASSIC STD0403 GREY 18.32L</t>
        </is>
      </c>
      <c r="J2330" s="17" t="inlineStr">
        <is>
          <t>Lít</t>
        </is>
      </c>
      <c r="K2330" s="19" t="n">
        <v>155000</v>
      </c>
      <c r="L2330" s="33" t="n"/>
      <c r="M2330" s="33" t="n"/>
      <c r="N2330" s="22" t="n">
        <v>549.6</v>
      </c>
      <c r="O2330" s="22" t="n">
        <v>85188000</v>
      </c>
      <c r="P2330" s="22" t="n">
        <v>549.6</v>
      </c>
      <c r="Q2330" s="22" t="n">
        <v>85188000</v>
      </c>
      <c r="R2330" s="42">
        <f>+L2330+N2330-P2330</f>
        <v/>
      </c>
      <c r="S2330" s="42">
        <f>+M2330+O2330-Q2330</f>
        <v/>
      </c>
    </row>
    <row r="2331" ht="15" customHeight="1">
      <c r="A2331" s="16" t="n">
        <v>45868</v>
      </c>
      <c r="B2331" s="17" t="inlineStr">
        <is>
          <t>MH2507-58</t>
        </is>
      </c>
      <c r="C2331" s="16" t="n">
        <v>45868</v>
      </c>
      <c r="D2331" s="16" t="n">
        <v>45868</v>
      </c>
      <c r="E2331" s="17" t="inlineStr">
        <is>
          <t>00006917</t>
        </is>
      </c>
      <c r="F2331" s="16" t="inlineStr">
        <is>
          <t>XK2507-33</t>
        </is>
      </c>
      <c r="G2331" s="16" t="n">
        <v>45868</v>
      </c>
      <c r="H2331" s="17" t="inlineStr">
        <is>
          <t>CÔNG TY TNHH SƠN JOTUN VIỆT NAM</t>
        </is>
      </c>
      <c r="I2331" s="17" t="inlineStr">
        <is>
          <t>SƠN FUTURA CLASSIC STD0403 GREY 4.58L</t>
        </is>
      </c>
      <c r="J2331" s="17" t="inlineStr">
        <is>
          <t>Lít</t>
        </is>
      </c>
      <c r="K2331" s="19" t="n">
        <v>155000</v>
      </c>
      <c r="L2331" s="33" t="n"/>
      <c r="M2331" s="33" t="n"/>
      <c r="N2331" s="22" t="n">
        <v>27.48</v>
      </c>
      <c r="O2331" s="22" t="n">
        <v>4259400</v>
      </c>
      <c r="P2331" s="22" t="n">
        <v>27.48</v>
      </c>
      <c r="Q2331" s="22" t="n">
        <v>4259400</v>
      </c>
      <c r="R2331" s="42">
        <f>+L2331+N2331-P2331</f>
        <v/>
      </c>
      <c r="S2331" s="42">
        <f>+M2331+O2331-Q2331</f>
        <v/>
      </c>
    </row>
    <row r="2332" ht="15" customHeight="1">
      <c r="A2332" s="16" t="n">
        <v>45868</v>
      </c>
      <c r="B2332" s="17" t="inlineStr">
        <is>
          <t>MH2507-58</t>
        </is>
      </c>
      <c r="C2332" s="16" t="n">
        <v>45868</v>
      </c>
      <c r="D2332" s="16" t="n">
        <v>45868</v>
      </c>
      <c r="E2332" s="17" t="inlineStr">
        <is>
          <t>00006917</t>
        </is>
      </c>
      <c r="F2332" s="16" t="inlineStr">
        <is>
          <t>XK2507-33</t>
        </is>
      </c>
      <c r="G2332" s="16" t="n">
        <v>45868</v>
      </c>
      <c r="H2332" s="17" t="inlineStr">
        <is>
          <t>CÔNG TY TNHH SƠN JOTUN VIỆT NAM</t>
        </is>
      </c>
      <c r="I2332" s="17" t="inlineStr">
        <is>
          <t>DUNG MÔI JOTUN THINNER NO. 17 20L</t>
        </is>
      </c>
      <c r="J2332" s="17" t="inlineStr">
        <is>
          <t>Lít</t>
        </is>
      </c>
      <c r="K2332" s="19" t="n">
        <v>60000</v>
      </c>
      <c r="L2332" s="33" t="n"/>
      <c r="M2332" s="33" t="n"/>
      <c r="N2332" s="22" t="n">
        <v>80</v>
      </c>
      <c r="O2332" s="22" t="n">
        <v>4800000</v>
      </c>
      <c r="P2332" s="22" t="n">
        <v>80</v>
      </c>
      <c r="Q2332" s="22" t="n">
        <v>4800000</v>
      </c>
      <c r="R2332" s="42">
        <f>+L2332+N2332-P2332</f>
        <v/>
      </c>
      <c r="S2332" s="42">
        <f>+M2332+O2332-Q2332</f>
        <v/>
      </c>
    </row>
    <row r="2333" ht="15" customHeight="1">
      <c r="A2333" s="16" t="n">
        <v>45868</v>
      </c>
      <c r="B2333" s="17" t="inlineStr">
        <is>
          <t>MH2507-58</t>
        </is>
      </c>
      <c r="C2333" s="16" t="n">
        <v>45868</v>
      </c>
      <c r="D2333" s="16" t="n">
        <v>45868</v>
      </c>
      <c r="E2333" s="17" t="inlineStr">
        <is>
          <t>00006917</t>
        </is>
      </c>
      <c r="F2333" s="16" t="inlineStr">
        <is>
          <t>XK2507-33</t>
        </is>
      </c>
      <c r="G2333" s="16" t="n">
        <v>45868</v>
      </c>
      <c r="H2333" s="17" t="inlineStr">
        <is>
          <t>CÔNG TY TNHH SƠN JOTUN VIỆT NAM</t>
        </is>
      </c>
      <c r="I2333" s="17" t="inlineStr">
        <is>
          <t>DUNG MÔI JOTUN THINNER NO. 17 5L</t>
        </is>
      </c>
      <c r="J2333" s="17" t="inlineStr">
        <is>
          <t>Lít</t>
        </is>
      </c>
      <c r="K2333" s="19" t="n">
        <v>60000</v>
      </c>
      <c r="L2333" s="33" t="n"/>
      <c r="M2333" s="33" t="n"/>
      <c r="N2333" s="22" t="n">
        <v>10</v>
      </c>
      <c r="O2333" s="22" t="n">
        <v>600000</v>
      </c>
      <c r="P2333" s="22" t="n">
        <v>10</v>
      </c>
      <c r="Q2333" s="22" t="n">
        <v>600000</v>
      </c>
      <c r="R2333" s="42">
        <f>+L2333+N2333-P2333</f>
        <v/>
      </c>
      <c r="S2333" s="42">
        <f>+M2333+O2333-Q2333</f>
        <v/>
      </c>
    </row>
    <row r="2334" ht="15" customHeight="1">
      <c r="A2334" s="16" t="n">
        <v>45868</v>
      </c>
      <c r="B2334" s="17" t="inlineStr">
        <is>
          <t>MH2507-58</t>
        </is>
      </c>
      <c r="C2334" s="16" t="n">
        <v>45868</v>
      </c>
      <c r="D2334" s="16" t="n">
        <v>45868</v>
      </c>
      <c r="E2334" s="17" t="inlineStr">
        <is>
          <t>00006917</t>
        </is>
      </c>
      <c r="F2334" s="16" t="inlineStr">
        <is>
          <t>XK2507-33</t>
        </is>
      </c>
      <c r="G2334" s="16" t="n">
        <v>45868</v>
      </c>
      <c r="H2334" s="17" t="inlineStr">
        <is>
          <t>CÔNG TY TNHH SƠN JOTUN VIỆT NAM</t>
        </is>
      </c>
      <c r="I2334" s="17" t="inlineStr">
        <is>
          <t>DUNG MÔI JOTUN THINNER NO. 10 20L</t>
        </is>
      </c>
      <c r="J2334" s="17" t="inlineStr">
        <is>
          <t>Lít</t>
        </is>
      </c>
      <c r="K2334" s="19" t="n">
        <v>60000</v>
      </c>
      <c r="L2334" s="33" t="n"/>
      <c r="M2334" s="33" t="n"/>
      <c r="N2334" s="22" t="n">
        <v>80</v>
      </c>
      <c r="O2334" s="22" t="n">
        <v>4800000</v>
      </c>
      <c r="P2334" s="22" t="n">
        <v>80</v>
      </c>
      <c r="Q2334" s="22" t="n">
        <v>4800000</v>
      </c>
      <c r="R2334" s="42">
        <f>+L2334+N2334-P2334</f>
        <v/>
      </c>
      <c r="S2334" s="42">
        <f>+M2334+O2334-Q2334</f>
        <v/>
      </c>
    </row>
    <row r="2335" ht="15" customHeight="1">
      <c r="A2335" s="16" t="n">
        <v>45868</v>
      </c>
      <c r="B2335" s="17" t="inlineStr">
        <is>
          <t>MH2507-58</t>
        </is>
      </c>
      <c r="C2335" s="16" t="n">
        <v>45868</v>
      </c>
      <c r="D2335" s="16" t="n">
        <v>45868</v>
      </c>
      <c r="E2335" s="17" t="inlineStr">
        <is>
          <t>00006917</t>
        </is>
      </c>
      <c r="F2335" s="16" t="inlineStr">
        <is>
          <t>XK2507-33</t>
        </is>
      </c>
      <c r="G2335" s="16" t="n">
        <v>45868</v>
      </c>
      <c r="H2335" s="17" t="inlineStr">
        <is>
          <t>CÔNG TY TNHH SƠN JOTUN VIỆT NAM</t>
        </is>
      </c>
      <c r="I2335" s="17" t="inlineStr">
        <is>
          <t>DUNG MÔI JOTUN THINNER NO. 10 5L</t>
        </is>
      </c>
      <c r="J2335" s="17" t="inlineStr">
        <is>
          <t>Lít</t>
        </is>
      </c>
      <c r="K2335" s="19" t="n">
        <v>60000</v>
      </c>
      <c r="L2335" s="33" t="n"/>
      <c r="M2335" s="33" t="n"/>
      <c r="N2335" s="22" t="n">
        <v>10</v>
      </c>
      <c r="O2335" s="22" t="n">
        <v>600000</v>
      </c>
      <c r="P2335" s="22" t="n">
        <v>10</v>
      </c>
      <c r="Q2335" s="22" t="n">
        <v>600000</v>
      </c>
      <c r="R2335" s="42">
        <f>+L2335+N2335-P2335</f>
        <v/>
      </c>
      <c r="S2335" s="42">
        <f>+M2335+O2335-Q2335</f>
        <v/>
      </c>
    </row>
    <row r="2336" ht="30" customHeight="1">
      <c r="A2336" s="16" t="n">
        <v>45868</v>
      </c>
      <c r="B2336" s="17" t="inlineStr">
        <is>
          <t>MH2507-59</t>
        </is>
      </c>
      <c r="C2336" s="16" t="n">
        <v>45868</v>
      </c>
      <c r="D2336" s="16" t="n">
        <v>45868</v>
      </c>
      <c r="E2336" s="17" t="inlineStr">
        <is>
          <t>00002936</t>
        </is>
      </c>
      <c r="F2336" s="16" t="inlineStr">
        <is>
          <t>XK2507-34</t>
        </is>
      </c>
      <c r="G2336" s="16" t="n">
        <v>45868</v>
      </c>
      <c r="H2336" s="17" t="inlineStr">
        <is>
          <t>CÔNG TY CỔ PHẦN CÔNG NGHIỆP VÀ THƯƠNG MẠI CƯỜNG THỊNH</t>
        </is>
      </c>
      <c r="I2336" s="17" t="inlineStr">
        <is>
          <t>Ty giằng 2 đầu ren 4.6 Ф11.3-11.5mm ZP M12</t>
        </is>
      </c>
      <c r="J2336" s="17" t="inlineStr">
        <is>
          <t>Mét</t>
        </is>
      </c>
      <c r="K2336" s="19" t="n">
        <v>20500</v>
      </c>
      <c r="L2336" s="33" t="n"/>
      <c r="M2336" s="33" t="n"/>
      <c r="N2336" s="22" t="n">
        <v>22.86</v>
      </c>
      <c r="O2336" s="22" t="n">
        <v>468630</v>
      </c>
      <c r="P2336" s="22" t="n">
        <v>22.86</v>
      </c>
      <c r="Q2336" s="22" t="n">
        <v>468630</v>
      </c>
      <c r="R2336" s="42">
        <f>+L2336+N2336-P2336</f>
        <v/>
      </c>
      <c r="S2336" s="42">
        <f>+M2336+O2336-Q2336</f>
        <v/>
      </c>
    </row>
    <row r="2337" ht="30" customHeight="1">
      <c r="A2337" s="16" t="n">
        <v>45868</v>
      </c>
      <c r="B2337" s="17" t="inlineStr">
        <is>
          <t>MH2507-59</t>
        </is>
      </c>
      <c r="C2337" s="16" t="n">
        <v>45868</v>
      </c>
      <c r="D2337" s="16" t="n">
        <v>45868</v>
      </c>
      <c r="E2337" s="17" t="inlineStr">
        <is>
          <t>00002936</t>
        </is>
      </c>
      <c r="F2337" s="16" t="inlineStr">
        <is>
          <t>XK2507-34</t>
        </is>
      </c>
      <c r="G2337" s="16" t="n">
        <v>45868</v>
      </c>
      <c r="H2337" s="17" t="inlineStr">
        <is>
          <t>CÔNG TY CỔ PHẦN CÔNG NGHIỆP VÀ THƯƠNG MẠI CƯỜNG THỊNH</t>
        </is>
      </c>
      <c r="I2337" s="17" t="inlineStr">
        <is>
          <t>Đai ốc thường 4 ZP M12 (9mm)</t>
        </is>
      </c>
      <c r="J2337" s="17" t="inlineStr">
        <is>
          <t>Cái</t>
        </is>
      </c>
      <c r="K2337" s="19" t="n">
        <v>360</v>
      </c>
      <c r="L2337" s="33" t="n"/>
      <c r="M2337" s="33" t="n"/>
      <c r="N2337" s="22" t="n">
        <v>256</v>
      </c>
      <c r="O2337" s="22" t="n">
        <v>92160</v>
      </c>
      <c r="P2337" s="22" t="n">
        <v>256</v>
      </c>
      <c r="Q2337" s="22" t="n">
        <v>92160</v>
      </c>
      <c r="R2337" s="42">
        <f>+L2337+N2337-P2337</f>
        <v/>
      </c>
      <c r="S2337" s="42">
        <f>+M2337+O2337-Q2337</f>
        <v/>
      </c>
    </row>
    <row r="2338" ht="30" customHeight="1">
      <c r="A2338" s="16" t="n">
        <v>45868</v>
      </c>
      <c r="B2338" s="17" t="inlineStr">
        <is>
          <t>MH2507-59</t>
        </is>
      </c>
      <c r="C2338" s="16" t="n">
        <v>45868</v>
      </c>
      <c r="D2338" s="16" t="n">
        <v>45868</v>
      </c>
      <c r="E2338" s="17" t="inlineStr">
        <is>
          <t>00002936</t>
        </is>
      </c>
      <c r="F2338" s="16" t="inlineStr">
        <is>
          <t>XK2507-34</t>
        </is>
      </c>
      <c r="G2338" s="16" t="n">
        <v>45868</v>
      </c>
      <c r="H2338" s="17" t="inlineStr">
        <is>
          <t>CÔNG TY CỔ PHẦN CÔNG NGHIỆP VÀ THƯƠNG MẠI CƯỜNG THỊNH</t>
        </is>
      </c>
      <c r="I2338" s="17" t="inlineStr">
        <is>
          <t>Long đền thường ZP M12B26D1.5</t>
        </is>
      </c>
      <c r="J2338" s="17" t="inlineStr">
        <is>
          <t>Cái</t>
        </is>
      </c>
      <c r="K2338" s="19" t="n">
        <v>170</v>
      </c>
      <c r="L2338" s="33" t="n"/>
      <c r="M2338" s="33" t="n"/>
      <c r="N2338" s="22" t="n">
        <v>256</v>
      </c>
      <c r="O2338" s="22" t="n">
        <v>43520</v>
      </c>
      <c r="P2338" s="22" t="n">
        <v>256</v>
      </c>
      <c r="Q2338" s="22" t="n">
        <v>43520</v>
      </c>
      <c r="R2338" s="42">
        <f>+L2338+N2338-P2338</f>
        <v/>
      </c>
      <c r="S2338" s="42">
        <f>+M2338+O2338-Q2338</f>
        <v/>
      </c>
    </row>
    <row r="2339" ht="30" customHeight="1">
      <c r="A2339" s="16" t="n">
        <v>45868</v>
      </c>
      <c r="B2339" s="17" t="inlineStr">
        <is>
          <t>MH2507-59</t>
        </is>
      </c>
      <c r="C2339" s="16" t="n">
        <v>45868</v>
      </c>
      <c r="D2339" s="16" t="n">
        <v>45868</v>
      </c>
      <c r="E2339" s="17" t="inlineStr">
        <is>
          <t>00002936</t>
        </is>
      </c>
      <c r="F2339" s="16" t="inlineStr">
        <is>
          <t>XK2507-34</t>
        </is>
      </c>
      <c r="G2339" s="16" t="n">
        <v>45868</v>
      </c>
      <c r="H2339" s="17" t="inlineStr">
        <is>
          <t>CÔNG TY CỔ PHẦN CÔNG NGHIỆP VÀ THƯƠNG MẠI CƯỜNG THỊNH</t>
        </is>
      </c>
      <c r="I2339" s="17" t="inlineStr">
        <is>
          <t>Bulong thường 4.6 ZP M12x80</t>
        </is>
      </c>
      <c r="J2339" s="17" t="inlineStr">
        <is>
          <t>Cái</t>
        </is>
      </c>
      <c r="K2339" s="19" t="n">
        <v>3040</v>
      </c>
      <c r="L2339" s="33" t="n"/>
      <c r="M2339" s="33" t="n"/>
      <c r="N2339" s="22" t="n">
        <v>47</v>
      </c>
      <c r="O2339" s="22" t="n">
        <v>142880</v>
      </c>
      <c r="P2339" s="22" t="n">
        <v>47</v>
      </c>
      <c r="Q2339" s="22" t="n">
        <v>142880</v>
      </c>
      <c r="R2339" s="42">
        <f>+L2339+N2339-P2339</f>
        <v/>
      </c>
      <c r="S2339" s="42">
        <f>+M2339+O2339-Q2339</f>
        <v/>
      </c>
    </row>
    <row r="2340" ht="30" customHeight="1">
      <c r="A2340" s="16" t="n">
        <v>45868</v>
      </c>
      <c r="B2340" s="17" t="inlineStr">
        <is>
          <t>MH2507-59</t>
        </is>
      </c>
      <c r="C2340" s="16" t="n">
        <v>45868</v>
      </c>
      <c r="D2340" s="16" t="n">
        <v>45868</v>
      </c>
      <c r="E2340" s="17" t="inlineStr">
        <is>
          <t>00002936</t>
        </is>
      </c>
      <c r="F2340" s="16" t="inlineStr">
        <is>
          <t>XK2507-34</t>
        </is>
      </c>
      <c r="G2340" s="16" t="n">
        <v>45868</v>
      </c>
      <c r="H2340" s="17" t="inlineStr">
        <is>
          <t>CÔNG TY CỔ PHẦN CÔNG NGHIỆP VÀ THƯƠNG MẠI CƯỜNG THỊNH</t>
        </is>
      </c>
      <c r="I2340" s="17" t="inlineStr">
        <is>
          <t>Đai ốc thường 4 ZP M12 (9mm)</t>
        </is>
      </c>
      <c r="J2340" s="17" t="inlineStr">
        <is>
          <t>Cái</t>
        </is>
      </c>
      <c r="K2340" s="19" t="n">
        <v>360</v>
      </c>
      <c r="L2340" s="33" t="n"/>
      <c r="M2340" s="33" t="n"/>
      <c r="N2340" s="22" t="n">
        <v>47</v>
      </c>
      <c r="O2340" s="22" t="n">
        <v>16920</v>
      </c>
      <c r="P2340" s="22" t="n">
        <v>47</v>
      </c>
      <c r="Q2340" s="22" t="n">
        <v>16920</v>
      </c>
      <c r="R2340" s="42">
        <f>+L2340+N2340-P2340</f>
        <v/>
      </c>
      <c r="S2340" s="42">
        <f>+M2340+O2340-Q2340</f>
        <v/>
      </c>
    </row>
    <row r="2341" ht="30" customHeight="1">
      <c r="A2341" s="16" t="n">
        <v>45868</v>
      </c>
      <c r="B2341" s="17" t="inlineStr">
        <is>
          <t>MH2507-59</t>
        </is>
      </c>
      <c r="C2341" s="16" t="n">
        <v>45868</v>
      </c>
      <c r="D2341" s="16" t="n">
        <v>45868</v>
      </c>
      <c r="E2341" s="17" t="inlineStr">
        <is>
          <t>00002936</t>
        </is>
      </c>
      <c r="F2341" s="16" t="inlineStr">
        <is>
          <t>XK2507-34</t>
        </is>
      </c>
      <c r="G2341" s="16" t="n">
        <v>45868</v>
      </c>
      <c r="H2341" s="17" t="inlineStr">
        <is>
          <t>CÔNG TY CỔ PHẦN CÔNG NGHIỆP VÀ THƯƠNG MẠI CƯỜNG THỊNH</t>
        </is>
      </c>
      <c r="I2341" s="17" t="inlineStr">
        <is>
          <t>Long đền thường ZP M12B23D1</t>
        </is>
      </c>
      <c r="J2341" s="17" t="inlineStr">
        <is>
          <t>Cái</t>
        </is>
      </c>
      <c r="K2341" s="19" t="n">
        <v>100</v>
      </c>
      <c r="L2341" s="33" t="n"/>
      <c r="M2341" s="33" t="n"/>
      <c r="N2341" s="22" t="n">
        <v>47</v>
      </c>
      <c r="O2341" s="22" t="n">
        <v>4700</v>
      </c>
      <c r="P2341" s="22" t="n">
        <v>47</v>
      </c>
      <c r="Q2341" s="22" t="n">
        <v>4700</v>
      </c>
      <c r="R2341" s="42">
        <f>+L2341+N2341-P2341</f>
        <v/>
      </c>
      <c r="S2341" s="42">
        <f>+M2341+O2341-Q2341</f>
        <v/>
      </c>
    </row>
    <row r="2342" ht="30" customHeight="1">
      <c r="A2342" s="16" t="n">
        <v>45868</v>
      </c>
      <c r="B2342" s="17" t="inlineStr">
        <is>
          <t>MH2507-59</t>
        </is>
      </c>
      <c r="C2342" s="16" t="n">
        <v>45868</v>
      </c>
      <c r="D2342" s="16" t="n">
        <v>45868</v>
      </c>
      <c r="E2342" s="17" t="inlineStr">
        <is>
          <t>00002936</t>
        </is>
      </c>
      <c r="F2342" s="16" t="inlineStr">
        <is>
          <t>XK2507-34</t>
        </is>
      </c>
      <c r="G2342" s="16" t="n">
        <v>45868</v>
      </c>
      <c r="H2342" s="17" t="inlineStr">
        <is>
          <t>CÔNG TY CỔ PHẦN CÔNG NGHIỆP VÀ THƯƠNG MẠI CƯỜNG THỊNH</t>
        </is>
      </c>
      <c r="I2342" s="17" t="inlineStr">
        <is>
          <t>Bulong thường ZP M8x30</t>
        </is>
      </c>
      <c r="J2342" s="17" t="inlineStr">
        <is>
          <t>Cái</t>
        </is>
      </c>
      <c r="K2342" s="19" t="n">
        <v>660</v>
      </c>
      <c r="L2342" s="33" t="n"/>
      <c r="M2342" s="33" t="n"/>
      <c r="N2342" s="22" t="n">
        <v>383</v>
      </c>
      <c r="O2342" s="22" t="n">
        <v>252780</v>
      </c>
      <c r="P2342" s="22" t="n">
        <v>383</v>
      </c>
      <c r="Q2342" s="22" t="n">
        <v>252780</v>
      </c>
      <c r="R2342" s="42">
        <f>+L2342+N2342-P2342</f>
        <v/>
      </c>
      <c r="S2342" s="42">
        <f>+M2342+O2342-Q2342</f>
        <v/>
      </c>
    </row>
    <row r="2343" ht="30" customHeight="1">
      <c r="A2343" s="16" t="n">
        <v>45868</v>
      </c>
      <c r="B2343" s="17" t="inlineStr">
        <is>
          <t>MH2507-59</t>
        </is>
      </c>
      <c r="C2343" s="16" t="n">
        <v>45868</v>
      </c>
      <c r="D2343" s="16" t="n">
        <v>45868</v>
      </c>
      <c r="E2343" s="17" t="inlineStr">
        <is>
          <t>00002936</t>
        </is>
      </c>
      <c r="F2343" s="16" t="inlineStr">
        <is>
          <t>XK2507-34</t>
        </is>
      </c>
      <c r="G2343" s="16" t="n">
        <v>45868</v>
      </c>
      <c r="H2343" s="17" t="inlineStr">
        <is>
          <t>CÔNG TY CỔ PHẦN CÔNG NGHIỆP VÀ THƯƠNG MẠI CƯỜNG THỊNH</t>
        </is>
      </c>
      <c r="I2343" s="17" t="inlineStr">
        <is>
          <t>Đai ốc thường ZP M8</t>
        </is>
      </c>
      <c r="J2343" s="17" t="inlineStr">
        <is>
          <t>Cái</t>
        </is>
      </c>
      <c r="K2343" s="19" t="n">
        <v>140</v>
      </c>
      <c r="L2343" s="33" t="n"/>
      <c r="M2343" s="33" t="n"/>
      <c r="N2343" s="22" t="n">
        <v>383</v>
      </c>
      <c r="O2343" s="22" t="n">
        <v>53620</v>
      </c>
      <c r="P2343" s="22" t="n">
        <v>383</v>
      </c>
      <c r="Q2343" s="22" t="n">
        <v>53620</v>
      </c>
      <c r="R2343" s="42">
        <f>+L2343+N2343-P2343</f>
        <v/>
      </c>
      <c r="S2343" s="42">
        <f>+M2343+O2343-Q2343</f>
        <v/>
      </c>
    </row>
    <row r="2344" ht="30" customHeight="1">
      <c r="A2344" s="16" t="n">
        <v>45868</v>
      </c>
      <c r="B2344" s="17" t="inlineStr">
        <is>
          <t>MH2507-59</t>
        </is>
      </c>
      <c r="C2344" s="16" t="n">
        <v>45868</v>
      </c>
      <c r="D2344" s="16" t="n">
        <v>45868</v>
      </c>
      <c r="E2344" s="17" t="inlineStr">
        <is>
          <t>00002936</t>
        </is>
      </c>
      <c r="F2344" s="16" t="inlineStr">
        <is>
          <t>XK2507-34</t>
        </is>
      </c>
      <c r="G2344" s="16" t="n">
        <v>45868</v>
      </c>
      <c r="H2344" s="17" t="inlineStr">
        <is>
          <t>CÔNG TY CỔ PHẦN CÔNG NGHIỆP VÀ THƯƠNG MẠI CƯỜNG THỊNH</t>
        </is>
      </c>
      <c r="I2344" s="17" t="inlineStr">
        <is>
          <t>Long đền thường ZP M8B19D1</t>
        </is>
      </c>
      <c r="J2344" s="17" t="inlineStr">
        <is>
          <t>Cái</t>
        </is>
      </c>
      <c r="K2344" s="19" t="n">
        <v>70</v>
      </c>
      <c r="L2344" s="33" t="n"/>
      <c r="M2344" s="33" t="n"/>
      <c r="N2344" s="22" t="n">
        <v>383</v>
      </c>
      <c r="O2344" s="22" t="n">
        <v>26810</v>
      </c>
      <c r="P2344" s="22" t="n">
        <v>383</v>
      </c>
      <c r="Q2344" s="22" t="n">
        <v>26810</v>
      </c>
      <c r="R2344" s="42">
        <f>+L2344+N2344-P2344</f>
        <v/>
      </c>
      <c r="S2344" s="42">
        <f>+M2344+O2344-Q2344</f>
        <v/>
      </c>
    </row>
    <row r="2345" ht="30" customHeight="1">
      <c r="A2345" s="16" t="n">
        <v>45868</v>
      </c>
      <c r="B2345" s="17" t="inlineStr">
        <is>
          <t>MH2507-59</t>
        </is>
      </c>
      <c r="C2345" s="16" t="n">
        <v>45868</v>
      </c>
      <c r="D2345" s="16" t="n">
        <v>45868</v>
      </c>
      <c r="E2345" s="17" t="inlineStr">
        <is>
          <t>00002936</t>
        </is>
      </c>
      <c r="F2345" s="16" t="inlineStr">
        <is>
          <t>XK2507-34</t>
        </is>
      </c>
      <c r="G2345" s="16" t="n">
        <v>45868</v>
      </c>
      <c r="H2345" s="17" t="inlineStr">
        <is>
          <t>CÔNG TY CỔ PHẦN CÔNG NGHIỆP VÀ THƯƠNG MẠI CƯỜNG THỊNH</t>
        </is>
      </c>
      <c r="I2345" s="17" t="inlineStr">
        <is>
          <t>Bulong thường 4.6 ZP M12x150</t>
        </is>
      </c>
      <c r="J2345" s="17" t="inlineStr">
        <is>
          <t>Cái</t>
        </is>
      </c>
      <c r="K2345" s="19" t="n">
        <v>6570</v>
      </c>
      <c r="L2345" s="33" t="n"/>
      <c r="M2345" s="33" t="n"/>
      <c r="N2345" s="22" t="n">
        <v>19</v>
      </c>
      <c r="O2345" s="22" t="n">
        <v>124830</v>
      </c>
      <c r="P2345" s="22" t="n">
        <v>19</v>
      </c>
      <c r="Q2345" s="22" t="n">
        <v>124830</v>
      </c>
      <c r="R2345" s="42">
        <f>+L2345+N2345-P2345</f>
        <v/>
      </c>
      <c r="S2345" s="42">
        <f>+M2345+O2345-Q2345</f>
        <v/>
      </c>
    </row>
    <row r="2346" ht="30" customHeight="1">
      <c r="A2346" s="16" t="n">
        <v>45868</v>
      </c>
      <c r="B2346" s="17" t="inlineStr">
        <is>
          <t>MH2507-59</t>
        </is>
      </c>
      <c r="C2346" s="16" t="n">
        <v>45868</v>
      </c>
      <c r="D2346" s="16" t="n">
        <v>45868</v>
      </c>
      <c r="E2346" s="17" t="inlineStr">
        <is>
          <t>00002936</t>
        </is>
      </c>
      <c r="F2346" s="16" t="inlineStr">
        <is>
          <t>XK2507-34</t>
        </is>
      </c>
      <c r="G2346" s="16" t="n">
        <v>45868</v>
      </c>
      <c r="H2346" s="17" t="inlineStr">
        <is>
          <t>CÔNG TY CỔ PHẦN CÔNG NGHIỆP VÀ THƯƠNG MẠI CƯỜNG THỊNH</t>
        </is>
      </c>
      <c r="I2346" s="17" t="inlineStr">
        <is>
          <t>Đai ốc thường 4 ZP M12 (9mm)</t>
        </is>
      </c>
      <c r="J2346" s="17" t="inlineStr">
        <is>
          <t>Cái</t>
        </is>
      </c>
      <c r="K2346" s="19" t="n">
        <v>360</v>
      </c>
      <c r="L2346" s="33" t="n"/>
      <c r="M2346" s="33" t="n"/>
      <c r="N2346" s="22" t="n">
        <v>19</v>
      </c>
      <c r="O2346" s="22" t="n">
        <v>6840</v>
      </c>
      <c r="P2346" s="22" t="n">
        <v>19</v>
      </c>
      <c r="Q2346" s="22" t="n">
        <v>6840</v>
      </c>
      <c r="R2346" s="42">
        <f>+L2346+N2346-P2346</f>
        <v/>
      </c>
      <c r="S2346" s="42">
        <f>+M2346+O2346-Q2346</f>
        <v/>
      </c>
    </row>
    <row r="2347" ht="30" customHeight="1">
      <c r="A2347" s="16" t="n">
        <v>45868</v>
      </c>
      <c r="B2347" s="17" t="inlineStr">
        <is>
          <t>MH2507-59</t>
        </is>
      </c>
      <c r="C2347" s="16" t="n">
        <v>45868</v>
      </c>
      <c r="D2347" s="16" t="n">
        <v>45868</v>
      </c>
      <c r="E2347" s="17" t="inlineStr">
        <is>
          <t>00002936</t>
        </is>
      </c>
      <c r="F2347" s="16" t="inlineStr">
        <is>
          <t>XK2507-34</t>
        </is>
      </c>
      <c r="G2347" s="16" t="n">
        <v>45868</v>
      </c>
      <c r="H2347" s="17" t="inlineStr">
        <is>
          <t>CÔNG TY CỔ PHẦN CÔNG NGHIỆP VÀ THƯƠNG MẠI CƯỜNG THỊNH</t>
        </is>
      </c>
      <c r="I2347" s="17" t="inlineStr">
        <is>
          <t>Long đền thường ZP M12B23D1</t>
        </is>
      </c>
      <c r="J2347" s="17" t="inlineStr">
        <is>
          <t>Cái</t>
        </is>
      </c>
      <c r="K2347" s="19" t="n">
        <v>100</v>
      </c>
      <c r="L2347" s="33" t="n"/>
      <c r="M2347" s="33" t="n"/>
      <c r="N2347" s="22" t="n">
        <v>19</v>
      </c>
      <c r="O2347" s="22" t="n">
        <v>1900</v>
      </c>
      <c r="P2347" s="22" t="n">
        <v>19</v>
      </c>
      <c r="Q2347" s="22" t="n">
        <v>1900</v>
      </c>
      <c r="R2347" s="42">
        <f>+L2347+N2347-P2347</f>
        <v/>
      </c>
      <c r="S2347" s="42">
        <f>+M2347+O2347-Q2347</f>
        <v/>
      </c>
    </row>
    <row r="2348" ht="30" customHeight="1">
      <c r="A2348" s="16" t="n">
        <v>45868</v>
      </c>
      <c r="B2348" s="17" t="inlineStr">
        <is>
          <t>MH2507-60</t>
        </is>
      </c>
      <c r="C2348" s="16" t="n">
        <v>45868</v>
      </c>
      <c r="D2348" s="16" t="n">
        <v>45868</v>
      </c>
      <c r="E2348" s="17" t="inlineStr">
        <is>
          <t>00002938</t>
        </is>
      </c>
      <c r="F2348" s="16" t="inlineStr">
        <is>
          <t>XK2507-34</t>
        </is>
      </c>
      <c r="G2348" s="16" t="n">
        <v>45868</v>
      </c>
      <c r="H2348" s="17" t="inlineStr">
        <is>
          <t>CÔNG TY CỔ PHẦN CÔNG NGHIỆP VÀ THƯƠNG MẠI CƯỜNG THỊNH</t>
        </is>
      </c>
      <c r="I2348" s="17" t="inlineStr">
        <is>
          <t>Bulong Din 933 8.8 ZP M20x60</t>
        </is>
      </c>
      <c r="J2348" s="17" t="inlineStr">
        <is>
          <t>Cái</t>
        </is>
      </c>
      <c r="K2348" s="19" t="n">
        <v>6360</v>
      </c>
      <c r="L2348" s="33" t="n"/>
      <c r="M2348" s="33" t="n"/>
      <c r="N2348" s="22" t="n">
        <v>1092</v>
      </c>
      <c r="O2348" s="22" t="n">
        <v>6945120</v>
      </c>
      <c r="P2348" s="22" t="n">
        <v>1092</v>
      </c>
      <c r="Q2348" s="22" t="n">
        <v>6945120</v>
      </c>
      <c r="R2348" s="42">
        <f>+L2348+N2348-P2348</f>
        <v/>
      </c>
      <c r="S2348" s="42">
        <f>+M2348+O2348-Q2348</f>
        <v/>
      </c>
    </row>
    <row r="2349" ht="30" customHeight="1">
      <c r="A2349" s="16" t="n">
        <v>45868</v>
      </c>
      <c r="B2349" s="17" t="inlineStr">
        <is>
          <t>MH2507-60</t>
        </is>
      </c>
      <c r="C2349" s="16" t="n">
        <v>45868</v>
      </c>
      <c r="D2349" s="16" t="n">
        <v>45868</v>
      </c>
      <c r="E2349" s="17" t="inlineStr">
        <is>
          <t>00002938</t>
        </is>
      </c>
      <c r="F2349" s="16" t="inlineStr">
        <is>
          <t>XK2507-34</t>
        </is>
      </c>
      <c r="G2349" s="16" t="n">
        <v>45868</v>
      </c>
      <c r="H2349" s="17" t="inlineStr">
        <is>
          <t>CÔNG TY CỔ PHẦN CÔNG NGHIỆP VÀ THƯƠNG MẠI CƯỜNG THỊNH</t>
        </is>
      </c>
      <c r="I2349" s="17" t="inlineStr">
        <is>
          <t>Đai ốc Din 934 8 ZP M20</t>
        </is>
      </c>
      <c r="J2349" s="17" t="inlineStr">
        <is>
          <t>Cái</t>
        </is>
      </c>
      <c r="K2349" s="19" t="n">
        <v>2030</v>
      </c>
      <c r="L2349" s="33" t="n"/>
      <c r="M2349" s="33" t="n"/>
      <c r="N2349" s="22" t="n">
        <v>1092</v>
      </c>
      <c r="O2349" s="22" t="n">
        <v>2216760</v>
      </c>
      <c r="P2349" s="22" t="n">
        <v>1092</v>
      </c>
      <c r="Q2349" s="22" t="n">
        <v>2216760</v>
      </c>
      <c r="R2349" s="42">
        <f>+L2349+N2349-P2349</f>
        <v/>
      </c>
      <c r="S2349" s="42">
        <f>+M2349+O2349-Q2349</f>
        <v/>
      </c>
    </row>
    <row r="2350" ht="30" customHeight="1">
      <c r="A2350" s="16" t="n">
        <v>45868</v>
      </c>
      <c r="B2350" s="17" t="inlineStr">
        <is>
          <t>MH2507-60</t>
        </is>
      </c>
      <c r="C2350" s="16" t="n">
        <v>45868</v>
      </c>
      <c r="D2350" s="16" t="n">
        <v>45868</v>
      </c>
      <c r="E2350" s="17" t="inlineStr">
        <is>
          <t>00002938</t>
        </is>
      </c>
      <c r="F2350" s="16" t="inlineStr">
        <is>
          <t>XK2507-34</t>
        </is>
      </c>
      <c r="G2350" s="16" t="n">
        <v>45868</v>
      </c>
      <c r="H2350" s="17" t="inlineStr">
        <is>
          <t>CÔNG TY CỔ PHẦN CÔNG NGHIỆP VÀ THƯƠNG MẠI CƯỜNG THỊNH</t>
        </is>
      </c>
      <c r="I2350" s="17" t="inlineStr">
        <is>
          <t>Long đền thường ZP M20B35D2</t>
        </is>
      </c>
      <c r="J2350" s="17" t="inlineStr">
        <is>
          <t>Cái</t>
        </is>
      </c>
      <c r="K2350" s="19" t="n">
        <v>350</v>
      </c>
      <c r="L2350" s="33" t="n"/>
      <c r="M2350" s="33" t="n"/>
      <c r="N2350" s="22" t="n">
        <v>1092</v>
      </c>
      <c r="O2350" s="22" t="n">
        <v>382200</v>
      </c>
      <c r="P2350" s="22" t="n">
        <v>1092</v>
      </c>
      <c r="Q2350" s="22" t="n">
        <v>382200</v>
      </c>
      <c r="R2350" s="42">
        <f>+L2350+N2350-P2350</f>
        <v/>
      </c>
      <c r="S2350" s="42">
        <f>+M2350+O2350-Q2350</f>
        <v/>
      </c>
    </row>
    <row r="2351" ht="30" customHeight="1">
      <c r="A2351" s="16" t="n">
        <v>45868</v>
      </c>
      <c r="B2351" s="17" t="inlineStr">
        <is>
          <t>MH2507-60</t>
        </is>
      </c>
      <c r="C2351" s="16" t="n">
        <v>45868</v>
      </c>
      <c r="D2351" s="16" t="n">
        <v>45868</v>
      </c>
      <c r="E2351" s="17" t="inlineStr">
        <is>
          <t>00002938</t>
        </is>
      </c>
      <c r="F2351" s="16" t="inlineStr">
        <is>
          <t>XK2507-34</t>
        </is>
      </c>
      <c r="G2351" s="16" t="n">
        <v>45868</v>
      </c>
      <c r="H2351" s="17" t="inlineStr">
        <is>
          <t>CÔNG TY CỔ PHẦN CÔNG NGHIỆP VÀ THƯƠNG MẠI CƯỜNG THỊNH</t>
        </is>
      </c>
      <c r="I2351" s="17" t="inlineStr">
        <is>
          <t>Vít B2 Dacromet 10-24x22 WAF (bake)</t>
        </is>
      </c>
      <c r="J2351" s="17" t="inlineStr">
        <is>
          <t>Cái</t>
        </is>
      </c>
      <c r="K2351" s="19" t="n">
        <v>380</v>
      </c>
      <c r="L2351" s="33" t="n"/>
      <c r="M2351" s="33" t="n"/>
      <c r="N2351" s="22" t="n">
        <v>1200</v>
      </c>
      <c r="O2351" s="22" t="n">
        <v>456000</v>
      </c>
      <c r="P2351" s="22" t="n">
        <v>1200</v>
      </c>
      <c r="Q2351" s="22" t="n">
        <v>456000</v>
      </c>
      <c r="R2351" s="42">
        <f>+L2351+N2351-P2351</f>
        <v/>
      </c>
      <c r="S2351" s="42">
        <f>+M2351+O2351-Q2351</f>
        <v/>
      </c>
    </row>
    <row r="2352" ht="30" customHeight="1">
      <c r="A2352" s="16" t="n">
        <v>45868</v>
      </c>
      <c r="B2352" s="17" t="inlineStr">
        <is>
          <t>MH2507-60</t>
        </is>
      </c>
      <c r="C2352" s="16" t="n">
        <v>45868</v>
      </c>
      <c r="D2352" s="16" t="n">
        <v>45868</v>
      </c>
      <c r="E2352" s="17" t="inlineStr">
        <is>
          <t>00002938</t>
        </is>
      </c>
      <c r="F2352" s="16" t="inlineStr">
        <is>
          <t>XK2507-34</t>
        </is>
      </c>
      <c r="G2352" s="16" t="n">
        <v>45868</v>
      </c>
      <c r="H2352" s="17" t="inlineStr">
        <is>
          <t>CÔNG TY CỔ PHẦN CÔNG NGHIỆP VÀ THƯƠNG MẠI CƯỜNG THỊNH</t>
        </is>
      </c>
      <c r="I2352" s="17" t="inlineStr">
        <is>
          <t>Bulong thường 4.6 ZP M12x50</t>
        </is>
      </c>
      <c r="J2352" s="17" t="inlineStr">
        <is>
          <t>Cái</t>
        </is>
      </c>
      <c r="K2352" s="19" t="n">
        <v>1300</v>
      </c>
      <c r="L2352" s="33" t="n"/>
      <c r="M2352" s="33" t="n"/>
      <c r="N2352" s="22" t="n">
        <v>412</v>
      </c>
      <c r="O2352" s="22" t="n">
        <v>535600</v>
      </c>
      <c r="P2352" s="22" t="n">
        <v>412</v>
      </c>
      <c r="Q2352" s="22" t="n">
        <v>535600</v>
      </c>
      <c r="R2352" s="42">
        <f>+L2352+N2352-P2352</f>
        <v/>
      </c>
      <c r="S2352" s="42">
        <f>+M2352+O2352-Q2352</f>
        <v/>
      </c>
    </row>
    <row r="2353" ht="30" customHeight="1">
      <c r="A2353" s="16" t="n">
        <v>45868</v>
      </c>
      <c r="B2353" s="17" t="inlineStr">
        <is>
          <t>MH2507-60</t>
        </is>
      </c>
      <c r="C2353" s="16" t="n">
        <v>45868</v>
      </c>
      <c r="D2353" s="16" t="n">
        <v>45868</v>
      </c>
      <c r="E2353" s="17" t="inlineStr">
        <is>
          <t>00002938</t>
        </is>
      </c>
      <c r="F2353" s="16" t="inlineStr">
        <is>
          <t>XK2507-34</t>
        </is>
      </c>
      <c r="G2353" s="16" t="n">
        <v>45868</v>
      </c>
      <c r="H2353" s="17" t="inlineStr">
        <is>
          <t>CÔNG TY CỔ PHẦN CÔNG NGHIỆP VÀ THƯƠNG MẠI CƯỜNG THỊNH</t>
        </is>
      </c>
      <c r="I2353" s="17" t="inlineStr">
        <is>
          <t>Đai ốc thường 4 ZP M12 (9mm)</t>
        </is>
      </c>
      <c r="J2353" s="17" t="inlineStr">
        <is>
          <t>Cái</t>
        </is>
      </c>
      <c r="K2353" s="19" t="n">
        <v>360</v>
      </c>
      <c r="L2353" s="33" t="n"/>
      <c r="M2353" s="33" t="n"/>
      <c r="N2353" s="22" t="n">
        <v>412</v>
      </c>
      <c r="O2353" s="22" t="n">
        <v>148320</v>
      </c>
      <c r="P2353" s="22" t="n">
        <v>412</v>
      </c>
      <c r="Q2353" s="22" t="n">
        <v>148320</v>
      </c>
      <c r="R2353" s="42">
        <f>+L2353+N2353-P2353</f>
        <v/>
      </c>
      <c r="S2353" s="42">
        <f>+M2353+O2353-Q2353</f>
        <v/>
      </c>
    </row>
    <row r="2354" ht="30" customHeight="1">
      <c r="A2354" s="16" t="n">
        <v>45868</v>
      </c>
      <c r="B2354" s="17" t="inlineStr">
        <is>
          <t>MH2507-60</t>
        </is>
      </c>
      <c r="C2354" s="16" t="n">
        <v>45868</v>
      </c>
      <c r="D2354" s="16" t="n">
        <v>45868</v>
      </c>
      <c r="E2354" s="17" t="inlineStr">
        <is>
          <t>00002938</t>
        </is>
      </c>
      <c r="F2354" s="16" t="inlineStr">
        <is>
          <t>XK2507-34</t>
        </is>
      </c>
      <c r="G2354" s="16" t="n">
        <v>45868</v>
      </c>
      <c r="H2354" s="17" t="inlineStr">
        <is>
          <t>CÔNG TY CỔ PHẦN CÔNG NGHIỆP VÀ THƯƠNG MẠI CƯỜNG THỊNH</t>
        </is>
      </c>
      <c r="I2354" s="17" t="inlineStr">
        <is>
          <t>Long đền thường ZP M12B23D1</t>
        </is>
      </c>
      <c r="J2354" s="17" t="inlineStr">
        <is>
          <t>Cái</t>
        </is>
      </c>
      <c r="K2354" s="19" t="n">
        <v>100</v>
      </c>
      <c r="L2354" s="33" t="n"/>
      <c r="M2354" s="33" t="n"/>
      <c r="N2354" s="22" t="n">
        <v>824</v>
      </c>
      <c r="O2354" s="22" t="n">
        <v>82400</v>
      </c>
      <c r="P2354" s="22" t="n">
        <v>824</v>
      </c>
      <c r="Q2354" s="22" t="n">
        <v>82400</v>
      </c>
      <c r="R2354" s="42">
        <f>+L2354+N2354-P2354</f>
        <v/>
      </c>
      <c r="S2354" s="42">
        <f>+M2354+O2354-Q2354</f>
        <v/>
      </c>
    </row>
    <row r="2355" ht="30" customHeight="1">
      <c r="A2355" s="16" t="n">
        <v>45868</v>
      </c>
      <c r="B2355" s="17" t="inlineStr">
        <is>
          <t>MH2507-60</t>
        </is>
      </c>
      <c r="C2355" s="16" t="n">
        <v>45868</v>
      </c>
      <c r="D2355" s="16" t="n">
        <v>45868</v>
      </c>
      <c r="E2355" s="17" t="inlineStr">
        <is>
          <t>00002938</t>
        </is>
      </c>
      <c r="F2355" s="16" t="inlineStr">
        <is>
          <t>XK2507-34</t>
        </is>
      </c>
      <c r="G2355" s="16" t="n">
        <v>45868</v>
      </c>
      <c r="H2355" s="17" t="inlineStr">
        <is>
          <t>CÔNG TY CỔ PHẦN CÔNG NGHIỆP VÀ THƯƠNG MẠI CƯỜNG THỊNH</t>
        </is>
      </c>
      <c r="I2355" s="17" t="inlineStr">
        <is>
          <t>Bulong thường 4.6 ZP M12x30</t>
        </is>
      </c>
      <c r="J2355" s="17" t="inlineStr">
        <is>
          <t>Cái</t>
        </is>
      </c>
      <c r="K2355" s="19" t="n">
        <v>950</v>
      </c>
      <c r="L2355" s="33" t="n"/>
      <c r="M2355" s="33" t="n"/>
      <c r="N2355" s="22" t="n">
        <v>3071</v>
      </c>
      <c r="O2355" s="22" t="n">
        <v>2917450</v>
      </c>
      <c r="P2355" s="22" t="n">
        <v>3071</v>
      </c>
      <c r="Q2355" s="22" t="n">
        <v>2917450</v>
      </c>
      <c r="R2355" s="42">
        <f>+L2355+N2355-P2355</f>
        <v/>
      </c>
      <c r="S2355" s="42">
        <f>+M2355+O2355-Q2355</f>
        <v/>
      </c>
    </row>
    <row r="2356" ht="30" customHeight="1">
      <c r="A2356" s="16" t="n">
        <v>45868</v>
      </c>
      <c r="B2356" s="17" t="inlineStr">
        <is>
          <t>MH2507-60</t>
        </is>
      </c>
      <c r="C2356" s="16" t="n">
        <v>45868</v>
      </c>
      <c r="D2356" s="16" t="n">
        <v>45868</v>
      </c>
      <c r="E2356" s="17" t="inlineStr">
        <is>
          <t>00002938</t>
        </is>
      </c>
      <c r="F2356" s="16" t="inlineStr">
        <is>
          <t>XK2507-34</t>
        </is>
      </c>
      <c r="G2356" s="16" t="n">
        <v>45868</v>
      </c>
      <c r="H2356" s="17" t="inlineStr">
        <is>
          <t>CÔNG TY CỔ PHẦN CÔNG NGHIỆP VÀ THƯƠNG MẠI CƯỜNG THỊNH</t>
        </is>
      </c>
      <c r="I2356" s="17" t="inlineStr">
        <is>
          <t>Đai ốc thường 4 ZP M12 (9mm)</t>
        </is>
      </c>
      <c r="J2356" s="17" t="inlineStr">
        <is>
          <t>Cái</t>
        </is>
      </c>
      <c r="K2356" s="19" t="n">
        <v>360</v>
      </c>
      <c r="L2356" s="33" t="n"/>
      <c r="M2356" s="33" t="n"/>
      <c r="N2356" s="22" t="n">
        <v>3071</v>
      </c>
      <c r="O2356" s="22" t="n">
        <v>1105560</v>
      </c>
      <c r="P2356" s="22" t="n">
        <v>3071</v>
      </c>
      <c r="Q2356" s="22" t="n">
        <v>1105560</v>
      </c>
      <c r="R2356" s="42">
        <f>+L2356+N2356-P2356</f>
        <v/>
      </c>
      <c r="S2356" s="42">
        <f>+M2356+O2356-Q2356</f>
        <v/>
      </c>
    </row>
    <row r="2357" ht="30" customHeight="1">
      <c r="A2357" s="16" t="n">
        <v>45868</v>
      </c>
      <c r="B2357" s="17" t="inlineStr">
        <is>
          <t>MH2507-60</t>
        </is>
      </c>
      <c r="C2357" s="16" t="n">
        <v>45868</v>
      </c>
      <c r="D2357" s="16" t="n">
        <v>45868</v>
      </c>
      <c r="E2357" s="17" t="inlineStr">
        <is>
          <t>00002938</t>
        </is>
      </c>
      <c r="F2357" s="16" t="inlineStr">
        <is>
          <t>XK2507-34</t>
        </is>
      </c>
      <c r="G2357" s="16" t="n">
        <v>45868</v>
      </c>
      <c r="H2357" s="17" t="inlineStr">
        <is>
          <t>CÔNG TY CỔ PHẦN CÔNG NGHIỆP VÀ THƯƠNG MẠI CƯỜNG THỊNH</t>
        </is>
      </c>
      <c r="I2357" s="17" t="inlineStr">
        <is>
          <t>Long đền thường ZP M12B23D1</t>
        </is>
      </c>
      <c r="J2357" s="17" t="inlineStr">
        <is>
          <t>Cái</t>
        </is>
      </c>
      <c r="K2357" s="19" t="n">
        <v>100</v>
      </c>
      <c r="L2357" s="33" t="n"/>
      <c r="M2357" s="33" t="n"/>
      <c r="N2357" s="22" t="n">
        <v>6142</v>
      </c>
      <c r="O2357" s="22" t="n">
        <v>614200</v>
      </c>
      <c r="P2357" s="22" t="n">
        <v>6142</v>
      </c>
      <c r="Q2357" s="22" t="n">
        <v>614200</v>
      </c>
      <c r="R2357" s="42">
        <f>+L2357+N2357-P2357</f>
        <v/>
      </c>
      <c r="S2357" s="42">
        <f>+M2357+O2357-Q2357</f>
        <v/>
      </c>
    </row>
    <row r="2358" ht="30" customHeight="1">
      <c r="A2358" s="16" t="n">
        <v>45868</v>
      </c>
      <c r="B2358" s="17" t="inlineStr">
        <is>
          <t>MH2507-60</t>
        </is>
      </c>
      <c r="C2358" s="16" t="n">
        <v>45868</v>
      </c>
      <c r="D2358" s="16" t="n">
        <v>45868</v>
      </c>
      <c r="E2358" s="17" t="inlineStr">
        <is>
          <t>00002938</t>
        </is>
      </c>
      <c r="F2358" s="16" t="inlineStr">
        <is>
          <t>XK2507-34</t>
        </is>
      </c>
      <c r="G2358" s="16" t="n">
        <v>45868</v>
      </c>
      <c r="H2358" s="17" t="inlineStr">
        <is>
          <t>CÔNG TY CỔ PHẦN CÔNG NGHIỆP VÀ THƯƠNG MẠI CƯỜNG THỊNH</t>
        </is>
      </c>
      <c r="I2358" s="17" t="inlineStr">
        <is>
          <t>Bulong Din 933 8.8 ZP M20x80</t>
        </is>
      </c>
      <c r="J2358" s="17" t="inlineStr">
        <is>
          <t>Cái</t>
        </is>
      </c>
      <c r="K2358" s="19" t="n">
        <v>7630</v>
      </c>
      <c r="L2358" s="33" t="n"/>
      <c r="M2358" s="33" t="n"/>
      <c r="N2358" s="22" t="n">
        <v>25</v>
      </c>
      <c r="O2358" s="22" t="n">
        <v>190750</v>
      </c>
      <c r="P2358" s="22" t="n">
        <v>25</v>
      </c>
      <c r="Q2358" s="22" t="n">
        <v>190750</v>
      </c>
      <c r="R2358" s="42">
        <f>+L2358+N2358-P2358</f>
        <v/>
      </c>
      <c r="S2358" s="42">
        <f>+M2358+O2358-Q2358</f>
        <v/>
      </c>
    </row>
    <row r="2359" ht="30" customHeight="1">
      <c r="A2359" s="16" t="n">
        <v>45868</v>
      </c>
      <c r="B2359" s="17" t="inlineStr">
        <is>
          <t>MH2507-60</t>
        </is>
      </c>
      <c r="C2359" s="16" t="n">
        <v>45868</v>
      </c>
      <c r="D2359" s="16" t="n">
        <v>45868</v>
      </c>
      <c r="E2359" s="17" t="inlineStr">
        <is>
          <t>00002938</t>
        </is>
      </c>
      <c r="F2359" s="16" t="inlineStr">
        <is>
          <t>XK2507-34</t>
        </is>
      </c>
      <c r="G2359" s="16" t="n">
        <v>45868</v>
      </c>
      <c r="H2359" s="17" t="inlineStr">
        <is>
          <t>CÔNG TY CỔ PHẦN CÔNG NGHIỆP VÀ THƯƠNG MẠI CƯỜNG THỊNH</t>
        </is>
      </c>
      <c r="I2359" s="17" t="inlineStr">
        <is>
          <t>Đai ốc Din 934 8 ZP M20</t>
        </is>
      </c>
      <c r="J2359" s="17" t="inlineStr">
        <is>
          <t>Cái</t>
        </is>
      </c>
      <c r="K2359" s="19" t="n">
        <v>2030</v>
      </c>
      <c r="L2359" s="33" t="n"/>
      <c r="M2359" s="33" t="n"/>
      <c r="N2359" s="22" t="n">
        <v>25</v>
      </c>
      <c r="O2359" s="22" t="n">
        <v>50750</v>
      </c>
      <c r="P2359" s="22" t="n">
        <v>25</v>
      </c>
      <c r="Q2359" s="22" t="n">
        <v>50750</v>
      </c>
      <c r="R2359" s="42">
        <f>+L2359+N2359-P2359</f>
        <v/>
      </c>
      <c r="S2359" s="42">
        <f>+M2359+O2359-Q2359</f>
        <v/>
      </c>
    </row>
    <row r="2360" ht="30" customHeight="1">
      <c r="A2360" s="16" t="n">
        <v>45868</v>
      </c>
      <c r="B2360" s="17" t="inlineStr">
        <is>
          <t>MH2507-60</t>
        </is>
      </c>
      <c r="C2360" s="16" t="n">
        <v>45868</v>
      </c>
      <c r="D2360" s="16" t="n">
        <v>45868</v>
      </c>
      <c r="E2360" s="17" t="inlineStr">
        <is>
          <t>00002938</t>
        </is>
      </c>
      <c r="F2360" s="16" t="inlineStr">
        <is>
          <t>XK2507-34</t>
        </is>
      </c>
      <c r="G2360" s="16" t="n">
        <v>45868</v>
      </c>
      <c r="H2360" s="17" t="inlineStr">
        <is>
          <t>CÔNG TY CỔ PHẦN CÔNG NGHIỆP VÀ THƯƠNG MẠI CƯỜNG THỊNH</t>
        </is>
      </c>
      <c r="I2360" s="17" t="inlineStr">
        <is>
          <t>Long đền thường ZP M20B35D2</t>
        </is>
      </c>
      <c r="J2360" s="17" t="inlineStr">
        <is>
          <t>Cái</t>
        </is>
      </c>
      <c r="K2360" s="19" t="n">
        <v>350</v>
      </c>
      <c r="L2360" s="33" t="n"/>
      <c r="M2360" s="33" t="n"/>
      <c r="N2360" s="22" t="n">
        <v>25</v>
      </c>
      <c r="O2360" s="22" t="n">
        <v>8750</v>
      </c>
      <c r="P2360" s="22" t="n">
        <v>25</v>
      </c>
      <c r="Q2360" s="22" t="n">
        <v>8750</v>
      </c>
      <c r="R2360" s="42">
        <f>+L2360+N2360-P2360</f>
        <v/>
      </c>
      <c r="S2360" s="42">
        <f>+M2360+O2360-Q2360</f>
        <v/>
      </c>
    </row>
    <row r="2361" ht="15" customHeight="1">
      <c r="A2361" s="16" t="n">
        <v>45868</v>
      </c>
      <c r="B2361" s="17" t="inlineStr">
        <is>
          <t>MH2507-61</t>
        </is>
      </c>
      <c r="C2361" s="16" t="n">
        <v>45868</v>
      </c>
      <c r="D2361" s="16" t="n">
        <v>45868</v>
      </c>
      <c r="E2361" s="17" t="inlineStr">
        <is>
          <t>00000295</t>
        </is>
      </c>
      <c r="F2361" s="16" t="inlineStr">
        <is>
          <t>XK2507-35</t>
        </is>
      </c>
      <c r="G2361" s="16" t="n">
        <v>45868</v>
      </c>
      <c r="H2361" s="17" t="inlineStr">
        <is>
          <t>CÔNG TY TNHH TÂN MỸ HẠNH</t>
        </is>
      </c>
      <c r="I2361" s="17" t="inlineStr">
        <is>
          <t>Thép dày mạ kẽm</t>
        </is>
      </c>
      <c r="J2361" s="17" t="inlineStr">
        <is>
          <t>kg</t>
        </is>
      </c>
      <c r="K2361" s="19" t="n">
        <v>22696</v>
      </c>
      <c r="L2361" s="33" t="n"/>
      <c r="M2361" s="33" t="n"/>
      <c r="N2361" s="22" t="n">
        <v>385.659</v>
      </c>
      <c r="O2361" s="22" t="n">
        <v>8752917</v>
      </c>
      <c r="P2361" s="22" t="n">
        <v>385.659</v>
      </c>
      <c r="Q2361" s="22" t="n">
        <v>8752917</v>
      </c>
      <c r="R2361" s="42">
        <f>+L2361+N2361-P2361</f>
        <v/>
      </c>
      <c r="S2361" s="42">
        <f>+M2361+O2361-Q2361</f>
        <v/>
      </c>
    </row>
    <row r="2362" ht="15" customHeight="1">
      <c r="A2362" s="16" t="n">
        <v>45868</v>
      </c>
      <c r="B2362" s="17" t="inlineStr">
        <is>
          <t>MH2507-61</t>
        </is>
      </c>
      <c r="C2362" s="16" t="n">
        <v>45868</v>
      </c>
      <c r="D2362" s="16" t="n">
        <v>45868</v>
      </c>
      <c r="E2362" s="17" t="inlineStr">
        <is>
          <t>00000295</t>
        </is>
      </c>
      <c r="F2362" s="16" t="inlineStr">
        <is>
          <t>XK2507-35</t>
        </is>
      </c>
      <c r="G2362" s="16" t="n">
        <v>45868</v>
      </c>
      <c r="H2362" s="17" t="inlineStr">
        <is>
          <t>CÔNG TY TNHH TÂN MỸ HẠNH</t>
        </is>
      </c>
      <c r="I2362" s="17" t="inlineStr">
        <is>
          <t>Xà gồ kẽm Z</t>
        </is>
      </c>
      <c r="J2362" s="17" t="inlineStr">
        <is>
          <t>kg</t>
        </is>
      </c>
      <c r="K2362" s="19" t="n">
        <v>18976</v>
      </c>
      <c r="L2362" s="33" t="n"/>
      <c r="M2362" s="33" t="n"/>
      <c r="N2362" s="22" t="n">
        <v>4752.512</v>
      </c>
      <c r="O2362" s="22" t="n">
        <v>90183668</v>
      </c>
      <c r="P2362" s="22" t="n">
        <v>4752.512</v>
      </c>
      <c r="Q2362" s="22" t="n">
        <v>90183668</v>
      </c>
      <c r="R2362" s="42">
        <f>+L2362+N2362-P2362</f>
        <v/>
      </c>
      <c r="S2362" s="42">
        <f>+M2362+O2362-Q2362</f>
        <v/>
      </c>
    </row>
    <row r="2363" ht="15" customHeight="1">
      <c r="A2363" s="16" t="n">
        <v>45868</v>
      </c>
      <c r="B2363" s="17" t="inlineStr">
        <is>
          <t>MH2507-61</t>
        </is>
      </c>
      <c r="C2363" s="16" t="n">
        <v>45868</v>
      </c>
      <c r="D2363" s="16" t="n">
        <v>45868</v>
      </c>
      <c r="E2363" s="17" t="inlineStr">
        <is>
          <t>00000295</t>
        </is>
      </c>
      <c r="F2363" s="16" t="inlineStr">
        <is>
          <t>XK2507-35</t>
        </is>
      </c>
      <c r="G2363" s="16" t="n">
        <v>45868</v>
      </c>
      <c r="H2363" s="17" t="inlineStr">
        <is>
          <t>CÔNG TY TNHH TÂN MỸ HẠNH</t>
        </is>
      </c>
      <c r="I2363" s="17" t="inlineStr">
        <is>
          <t>Xà gồ kẽm C</t>
        </is>
      </c>
      <c r="J2363" s="17" t="inlineStr">
        <is>
          <t>kg</t>
        </is>
      </c>
      <c r="K2363" s="19" t="n">
        <v>18971</v>
      </c>
      <c r="L2363" s="33" t="n"/>
      <c r="M2363" s="33" t="n"/>
      <c r="N2363" s="22" t="n">
        <v>3642.452</v>
      </c>
      <c r="O2363" s="22" t="n">
        <v>69100957</v>
      </c>
      <c r="P2363" s="22" t="n">
        <v>3642.452</v>
      </c>
      <c r="Q2363" s="22" t="n">
        <v>69100957</v>
      </c>
      <c r="R2363" s="42">
        <f>+L2363+N2363-P2363</f>
        <v/>
      </c>
      <c r="S2363" s="42">
        <f>+M2363+O2363-Q2363</f>
        <v/>
      </c>
    </row>
    <row r="2364" ht="15" customHeight="1">
      <c r="A2364" s="16" t="n">
        <v>45868</v>
      </c>
      <c r="B2364" s="17" t="inlineStr">
        <is>
          <t>MH2507-62</t>
        </is>
      </c>
      <c r="C2364" s="16" t="n">
        <v>45868</v>
      </c>
      <c r="D2364" s="16" t="n">
        <v>45868</v>
      </c>
      <c r="E2364" s="17" t="inlineStr">
        <is>
          <t>00000296</t>
        </is>
      </c>
      <c r="F2364" s="16" t="inlineStr">
        <is>
          <t>XK2507-36</t>
        </is>
      </c>
      <c r="G2364" s="16" t="n">
        <v>45868</v>
      </c>
      <c r="H2364" s="17" t="inlineStr">
        <is>
          <t>CÔNG TY TNHH TÂN MỸ HẠNH</t>
        </is>
      </c>
      <c r="I2364" s="17" t="inlineStr">
        <is>
          <t>Thép dày mạ kẽm</t>
        </is>
      </c>
      <c r="J2364" s="17" t="inlineStr">
        <is>
          <t>kg</t>
        </is>
      </c>
      <c r="K2364" s="19" t="n">
        <v>22696</v>
      </c>
      <c r="L2364" s="33" t="n"/>
      <c r="M2364" s="33" t="n"/>
      <c r="N2364" s="22" t="n">
        <v>917.4384</v>
      </c>
      <c r="O2364" s="22" t="n">
        <v>20822182</v>
      </c>
      <c r="P2364" s="22" t="n">
        <v>917.4384</v>
      </c>
      <c r="Q2364" s="22" t="n">
        <v>20822182</v>
      </c>
      <c r="R2364" s="42">
        <f>+L2364+N2364-P2364</f>
        <v/>
      </c>
      <c r="S2364" s="42">
        <f>+M2364+O2364-Q2364</f>
        <v/>
      </c>
    </row>
    <row r="2365" ht="30" customHeight="1">
      <c r="A2365" s="16" t="n">
        <v>45868</v>
      </c>
      <c r="B2365" s="17" t="inlineStr">
        <is>
          <t>MH2507-63</t>
        </is>
      </c>
      <c r="C2365" s="16" t="n">
        <v>45868</v>
      </c>
      <c r="D2365" s="16" t="n">
        <v>45868</v>
      </c>
      <c r="E2365" s="17" t="inlineStr">
        <is>
          <t>00002937</t>
        </is>
      </c>
      <c r="F2365" s="16" t="inlineStr">
        <is>
          <t>XK2507-37</t>
        </is>
      </c>
      <c r="G2365" s="16" t="n">
        <v>45868</v>
      </c>
      <c r="H2365" s="17" t="inlineStr">
        <is>
          <t>CÔNG TY CỔ PHẦN CÔNG NGHIỆP VÀ THƯƠNG MẠI CƯỜNG THỊNH</t>
        </is>
      </c>
      <c r="I2365" s="17" t="inlineStr">
        <is>
          <t>Ty giằng 2 đầu ren 5.6 ZP M24</t>
        </is>
      </c>
      <c r="J2365" s="17" t="inlineStr">
        <is>
          <t>Mét</t>
        </is>
      </c>
      <c r="K2365" s="19" t="n">
        <v>106000</v>
      </c>
      <c r="L2365" s="33" t="n"/>
      <c r="M2365" s="33" t="n"/>
      <c r="N2365" s="22" t="n">
        <v>32.5</v>
      </c>
      <c r="O2365" s="22" t="n">
        <v>3445000</v>
      </c>
      <c r="P2365" s="22" t="n">
        <v>32.5</v>
      </c>
      <c r="Q2365" s="22" t="n">
        <v>3445000</v>
      </c>
      <c r="R2365" s="42">
        <f>+L2365+N2365-P2365</f>
        <v/>
      </c>
      <c r="S2365" s="42">
        <f>+M2365+O2365-Q2365</f>
        <v/>
      </c>
    </row>
    <row r="2366" ht="30" customHeight="1">
      <c r="A2366" s="16" t="n">
        <v>45868</v>
      </c>
      <c r="B2366" s="17" t="inlineStr">
        <is>
          <t>MH2507-63</t>
        </is>
      </c>
      <c r="C2366" s="16" t="n">
        <v>45868</v>
      </c>
      <c r="D2366" s="16" t="n">
        <v>45868</v>
      </c>
      <c r="E2366" s="17" t="inlineStr">
        <is>
          <t>00002937</t>
        </is>
      </c>
      <c r="F2366" s="16" t="inlineStr">
        <is>
          <t>XK2507-37</t>
        </is>
      </c>
      <c r="G2366" s="16" t="n">
        <v>45868</v>
      </c>
      <c r="H2366" s="17" t="inlineStr">
        <is>
          <t>CÔNG TY CỔ PHẦN CÔNG NGHIỆP VÀ THƯƠNG MẠI CƯỜNG THỊNH</t>
        </is>
      </c>
      <c r="I2366" s="17" t="inlineStr">
        <is>
          <t>Đai ốc Din 934 5 ZP M24</t>
        </is>
      </c>
      <c r="J2366" s="17" t="inlineStr">
        <is>
          <t>Cái</t>
        </is>
      </c>
      <c r="K2366" s="19" t="n">
        <v>2930</v>
      </c>
      <c r="L2366" s="33" t="n"/>
      <c r="M2366" s="33" t="n"/>
      <c r="N2366" s="22" t="n">
        <v>8</v>
      </c>
      <c r="O2366" s="22" t="n">
        <v>23440</v>
      </c>
      <c r="P2366" s="22" t="n">
        <v>8</v>
      </c>
      <c r="Q2366" s="22" t="n">
        <v>23440</v>
      </c>
      <c r="R2366" s="42">
        <f>+L2366+N2366-P2366</f>
        <v/>
      </c>
      <c r="S2366" s="42">
        <f>+M2366+O2366-Q2366</f>
        <v/>
      </c>
    </row>
    <row r="2367" ht="30" customHeight="1">
      <c r="A2367" s="16" t="n">
        <v>45868</v>
      </c>
      <c r="B2367" s="17" t="inlineStr">
        <is>
          <t>MH2507-63</t>
        </is>
      </c>
      <c r="C2367" s="16" t="n">
        <v>45868</v>
      </c>
      <c r="D2367" s="16" t="n">
        <v>45868</v>
      </c>
      <c r="E2367" s="17" t="inlineStr">
        <is>
          <t>00002937</t>
        </is>
      </c>
      <c r="F2367" s="16" t="inlineStr">
        <is>
          <t>XK2507-37</t>
        </is>
      </c>
      <c r="G2367" s="16" t="n">
        <v>45868</v>
      </c>
      <c r="H2367" s="17" t="inlineStr">
        <is>
          <t>CÔNG TY CỔ PHẦN CÔNG NGHIỆP VÀ THƯƠNG MẠI CƯỜNG THỊNH</t>
        </is>
      </c>
      <c r="I2367" s="17" t="inlineStr">
        <is>
          <t>Long đền thường ZP M24B45D2</t>
        </is>
      </c>
      <c r="J2367" s="17" t="inlineStr">
        <is>
          <t>Cái</t>
        </is>
      </c>
      <c r="K2367" s="19" t="n">
        <v>770</v>
      </c>
      <c r="L2367" s="33" t="n"/>
      <c r="M2367" s="33" t="n"/>
      <c r="N2367" s="22" t="n">
        <v>8</v>
      </c>
      <c r="O2367" s="22" t="n">
        <v>6160</v>
      </c>
      <c r="P2367" s="22" t="n">
        <v>8</v>
      </c>
      <c r="Q2367" s="22" t="n">
        <v>6160</v>
      </c>
      <c r="R2367" s="42">
        <f>+L2367+N2367-P2367</f>
        <v/>
      </c>
      <c r="S2367" s="42">
        <f>+M2367+O2367-Q2367</f>
        <v/>
      </c>
    </row>
    <row r="2368" ht="30" customHeight="1">
      <c r="A2368" s="16" t="n">
        <v>45868</v>
      </c>
      <c r="B2368" s="17" t="inlineStr">
        <is>
          <t>MH2507-63</t>
        </is>
      </c>
      <c r="C2368" s="16" t="n">
        <v>45868</v>
      </c>
      <c r="D2368" s="16" t="n">
        <v>45868</v>
      </c>
      <c r="E2368" s="17" t="inlineStr">
        <is>
          <t>00002937</t>
        </is>
      </c>
      <c r="F2368" s="16" t="inlineStr">
        <is>
          <t>XK2507-37</t>
        </is>
      </c>
      <c r="G2368" s="16" t="n">
        <v>45868</v>
      </c>
      <c r="H2368" s="17" t="inlineStr">
        <is>
          <t>CÔNG TY CỔ PHẦN CÔNG NGHIỆP VÀ THƯƠNG MẠI CƯỜNG THỊNH</t>
        </is>
      </c>
      <c r="I2368" s="17" t="inlineStr">
        <is>
          <t>Long đền móng ngựa ZP M24</t>
        </is>
      </c>
      <c r="J2368" s="17" t="inlineStr">
        <is>
          <t>Cái</t>
        </is>
      </c>
      <c r="K2368" s="19" t="n">
        <v>21210</v>
      </c>
      <c r="L2368" s="33" t="n"/>
      <c r="M2368" s="33" t="n"/>
      <c r="N2368" s="22" t="n">
        <v>8</v>
      </c>
      <c r="O2368" s="22" t="n">
        <v>169680</v>
      </c>
      <c r="P2368" s="22" t="n">
        <v>8</v>
      </c>
      <c r="Q2368" s="22" t="n">
        <v>169680</v>
      </c>
      <c r="R2368" s="42">
        <f>+L2368+N2368-P2368</f>
        <v/>
      </c>
      <c r="S2368" s="42">
        <f>+M2368+O2368-Q2368</f>
        <v/>
      </c>
    </row>
    <row r="2369" ht="30" customHeight="1">
      <c r="A2369" s="16" t="n">
        <v>45868</v>
      </c>
      <c r="B2369" s="17" t="inlineStr">
        <is>
          <t>MH2507-63</t>
        </is>
      </c>
      <c r="C2369" s="16" t="n">
        <v>45868</v>
      </c>
      <c r="D2369" s="16" t="n">
        <v>45868</v>
      </c>
      <c r="E2369" s="17" t="inlineStr">
        <is>
          <t>00002937</t>
        </is>
      </c>
      <c r="F2369" s="16" t="inlineStr">
        <is>
          <t>XK2507-37</t>
        </is>
      </c>
      <c r="G2369" s="16" t="n">
        <v>45868</v>
      </c>
      <c r="H2369" s="17" t="inlineStr">
        <is>
          <t>CÔNG TY CỔ PHẦN CÔNG NGHIỆP VÀ THƯƠNG MẠI CƯỜNG THỊNH</t>
        </is>
      </c>
      <c r="I2369" s="17" t="inlineStr">
        <is>
          <t>Nối Ty ZP M24x100 (34mm)</t>
        </is>
      </c>
      <c r="J2369" s="17" t="inlineStr">
        <is>
          <t>Cái</t>
        </is>
      </c>
      <c r="K2369" s="19" t="n">
        <v>30860</v>
      </c>
      <c r="L2369" s="33" t="n"/>
      <c r="M2369" s="33" t="n"/>
      <c r="N2369" s="22" t="n">
        <v>4</v>
      </c>
      <c r="O2369" s="22" t="n">
        <v>123440</v>
      </c>
      <c r="P2369" s="22" t="n">
        <v>4</v>
      </c>
      <c r="Q2369" s="22" t="n">
        <v>123440</v>
      </c>
      <c r="R2369" s="42">
        <f>+L2369+N2369-P2369</f>
        <v/>
      </c>
      <c r="S2369" s="42">
        <f>+M2369+O2369-Q2369</f>
        <v/>
      </c>
    </row>
    <row r="2370" ht="30" customHeight="1">
      <c r="A2370" s="16" t="n">
        <v>45868</v>
      </c>
      <c r="B2370" s="17" t="inlineStr">
        <is>
          <t>MH2507-63</t>
        </is>
      </c>
      <c r="C2370" s="16" t="n">
        <v>45868</v>
      </c>
      <c r="D2370" s="16" t="n">
        <v>45868</v>
      </c>
      <c r="E2370" s="17" t="inlineStr">
        <is>
          <t>00002937</t>
        </is>
      </c>
      <c r="F2370" s="16" t="inlineStr">
        <is>
          <t>XK2507-37</t>
        </is>
      </c>
      <c r="G2370" s="16" t="n">
        <v>45868</v>
      </c>
      <c r="H2370" s="17" t="inlineStr">
        <is>
          <t>CÔNG TY CỔ PHẦN CÔNG NGHIỆP VÀ THƯƠNG MẠI CƯỜNG THỊNH</t>
        </is>
      </c>
      <c r="I2370" s="17" t="inlineStr">
        <is>
          <t>Ty giằng 2 đầu ren 4.6 Ф11.3-11.5mm ZP M12</t>
        </is>
      </c>
      <c r="J2370" s="17" t="inlineStr">
        <is>
          <t>Mét</t>
        </is>
      </c>
      <c r="K2370" s="19" t="n">
        <v>20500</v>
      </c>
      <c r="L2370" s="33" t="n"/>
      <c r="M2370" s="33" t="n"/>
      <c r="N2370" s="22" t="n">
        <v>655.6</v>
      </c>
      <c r="O2370" s="22" t="n">
        <v>13439800</v>
      </c>
      <c r="P2370" s="22" t="n">
        <v>655.6</v>
      </c>
      <c r="Q2370" s="22" t="n">
        <v>13439800</v>
      </c>
      <c r="R2370" s="42">
        <f>+L2370+N2370-P2370</f>
        <v/>
      </c>
      <c r="S2370" s="42">
        <f>+M2370+O2370-Q2370</f>
        <v/>
      </c>
    </row>
    <row r="2371" ht="30" customHeight="1">
      <c r="A2371" s="16" t="n">
        <v>45868</v>
      </c>
      <c r="B2371" s="17" t="inlineStr">
        <is>
          <t>MH2507-63</t>
        </is>
      </c>
      <c r="C2371" s="16" t="n">
        <v>45868</v>
      </c>
      <c r="D2371" s="16" t="n">
        <v>45868</v>
      </c>
      <c r="E2371" s="17" t="inlineStr">
        <is>
          <t>00002937</t>
        </is>
      </c>
      <c r="F2371" s="16" t="inlineStr">
        <is>
          <t>XK2507-37</t>
        </is>
      </c>
      <c r="G2371" s="16" t="n">
        <v>45868</v>
      </c>
      <c r="H2371" s="17" t="inlineStr">
        <is>
          <t>CÔNG TY CỔ PHẦN CÔNG NGHIỆP VÀ THƯƠNG MẠI CƯỜNG THỊNH</t>
        </is>
      </c>
      <c r="I2371" s="17" t="inlineStr">
        <is>
          <t>Đai ốc thường 4 ZP M12 (9mm)</t>
        </is>
      </c>
      <c r="J2371" s="17" t="inlineStr">
        <is>
          <t>Cái</t>
        </is>
      </c>
      <c r="K2371" s="19" t="n">
        <v>360</v>
      </c>
      <c r="L2371" s="33" t="n"/>
      <c r="M2371" s="33" t="n"/>
      <c r="N2371" s="22" t="n">
        <v>3192</v>
      </c>
      <c r="O2371" s="22" t="n">
        <v>1149120</v>
      </c>
      <c r="P2371" s="22" t="n">
        <v>3192</v>
      </c>
      <c r="Q2371" s="22" t="n">
        <v>1149120</v>
      </c>
      <c r="R2371" s="42">
        <f>+L2371+N2371-P2371</f>
        <v/>
      </c>
      <c r="S2371" s="42">
        <f>+M2371+O2371-Q2371</f>
        <v/>
      </c>
    </row>
    <row r="2372" ht="30" customHeight="1">
      <c r="A2372" s="16" t="n">
        <v>45868</v>
      </c>
      <c r="B2372" s="17" t="inlineStr">
        <is>
          <t>MH2507-63</t>
        </is>
      </c>
      <c r="C2372" s="16" t="n">
        <v>45868</v>
      </c>
      <c r="D2372" s="16" t="n">
        <v>45868</v>
      </c>
      <c r="E2372" s="17" t="inlineStr">
        <is>
          <t>00002937</t>
        </is>
      </c>
      <c r="F2372" s="16" t="inlineStr">
        <is>
          <t>XK2507-37</t>
        </is>
      </c>
      <c r="G2372" s="16" t="n">
        <v>45868</v>
      </c>
      <c r="H2372" s="17" t="inlineStr">
        <is>
          <t>CÔNG TY CỔ PHẦN CÔNG NGHIỆP VÀ THƯƠNG MẠI CƯỜNG THỊNH</t>
        </is>
      </c>
      <c r="I2372" s="17" t="inlineStr">
        <is>
          <t>Long đền thường ZP M12B26D1.5</t>
        </is>
      </c>
      <c r="J2372" s="17" t="inlineStr">
        <is>
          <t>Cái</t>
        </is>
      </c>
      <c r="K2372" s="19" t="n">
        <v>170</v>
      </c>
      <c r="L2372" s="33" t="n"/>
      <c r="M2372" s="33" t="n"/>
      <c r="N2372" s="22" t="n">
        <v>3192</v>
      </c>
      <c r="O2372" s="22" t="n">
        <v>542640</v>
      </c>
      <c r="P2372" s="22" t="n">
        <v>3192</v>
      </c>
      <c r="Q2372" s="22" t="n">
        <v>542640</v>
      </c>
      <c r="R2372" s="42">
        <f>+L2372+N2372-P2372</f>
        <v/>
      </c>
      <c r="S2372" s="42">
        <f>+M2372+O2372-Q2372</f>
        <v/>
      </c>
    </row>
    <row r="2373" ht="30" customHeight="1">
      <c r="A2373" s="16" t="n">
        <v>45868</v>
      </c>
      <c r="B2373" s="17" t="inlineStr">
        <is>
          <t>MH2507-63</t>
        </is>
      </c>
      <c r="C2373" s="16" t="n">
        <v>45868</v>
      </c>
      <c r="D2373" s="16" t="n">
        <v>45868</v>
      </c>
      <c r="E2373" s="17" t="inlineStr">
        <is>
          <t>00002937</t>
        </is>
      </c>
      <c r="F2373" s="16" t="inlineStr">
        <is>
          <t>XK2507-37</t>
        </is>
      </c>
      <c r="G2373" s="16" t="n">
        <v>45868</v>
      </c>
      <c r="H2373" s="17" t="inlineStr">
        <is>
          <t>CÔNG TY CỔ PHẦN CÔNG NGHIỆP VÀ THƯƠNG MẠI CƯỜNG THỊNH</t>
        </is>
      </c>
      <c r="I2373" s="17" t="inlineStr">
        <is>
          <t>Ty giằng 2 đầu ren 4.6 ZP M16</t>
        </is>
      </c>
      <c r="J2373" s="17" t="inlineStr">
        <is>
          <t>Mét</t>
        </is>
      </c>
      <c r="K2373" s="19" t="n">
        <v>48000</v>
      </c>
      <c r="L2373" s="33" t="n"/>
      <c r="M2373" s="33" t="n"/>
      <c r="N2373" s="22" t="n">
        <v>363.2</v>
      </c>
      <c r="O2373" s="22" t="n">
        <v>17433600</v>
      </c>
      <c r="P2373" s="22" t="n">
        <v>363.2</v>
      </c>
      <c r="Q2373" s="22" t="n">
        <v>17433600</v>
      </c>
      <c r="R2373" s="42">
        <f>+L2373+N2373-P2373</f>
        <v/>
      </c>
      <c r="S2373" s="42">
        <f>+M2373+O2373-Q2373</f>
        <v/>
      </c>
    </row>
    <row r="2374" ht="30" customHeight="1">
      <c r="A2374" s="16" t="n">
        <v>45868</v>
      </c>
      <c r="B2374" s="17" t="inlineStr">
        <is>
          <t>MH2507-63</t>
        </is>
      </c>
      <c r="C2374" s="16" t="n">
        <v>45868</v>
      </c>
      <c r="D2374" s="16" t="n">
        <v>45868</v>
      </c>
      <c r="E2374" s="17" t="inlineStr">
        <is>
          <t>00002937</t>
        </is>
      </c>
      <c r="F2374" s="16" t="inlineStr">
        <is>
          <t>XK2507-37</t>
        </is>
      </c>
      <c r="G2374" s="16" t="n">
        <v>45868</v>
      </c>
      <c r="H2374" s="17" t="inlineStr">
        <is>
          <t>CÔNG TY CỔ PHẦN CÔNG NGHIỆP VÀ THƯƠNG MẠI CƯỜNG THỊNH</t>
        </is>
      </c>
      <c r="I2374" s="17" t="inlineStr">
        <is>
          <t>Đai ốc Din 934 5 ZP M16</t>
        </is>
      </c>
      <c r="J2374" s="17" t="inlineStr">
        <is>
          <t>Cái</t>
        </is>
      </c>
      <c r="K2374" s="19" t="n">
        <v>990</v>
      </c>
      <c r="L2374" s="33" t="n"/>
      <c r="M2374" s="33" t="n"/>
      <c r="N2374" s="22" t="n">
        <v>92</v>
      </c>
      <c r="O2374" s="22" t="n">
        <v>91080</v>
      </c>
      <c r="P2374" s="22" t="n">
        <v>92</v>
      </c>
      <c r="Q2374" s="22" t="n">
        <v>91080</v>
      </c>
      <c r="R2374" s="42">
        <f>+L2374+N2374-P2374</f>
        <v/>
      </c>
      <c r="S2374" s="42">
        <f>+M2374+O2374-Q2374</f>
        <v/>
      </c>
    </row>
    <row r="2375" ht="30" customHeight="1">
      <c r="A2375" s="16" t="n">
        <v>45868</v>
      </c>
      <c r="B2375" s="17" t="inlineStr">
        <is>
          <t>MH2507-63</t>
        </is>
      </c>
      <c r="C2375" s="16" t="n">
        <v>45868</v>
      </c>
      <c r="D2375" s="16" t="n">
        <v>45868</v>
      </c>
      <c r="E2375" s="17" t="inlineStr">
        <is>
          <t>00002937</t>
        </is>
      </c>
      <c r="F2375" s="16" t="inlineStr">
        <is>
          <t>XK2507-37</t>
        </is>
      </c>
      <c r="G2375" s="16" t="n">
        <v>45868</v>
      </c>
      <c r="H2375" s="17" t="inlineStr">
        <is>
          <t>CÔNG TY CỔ PHẦN CÔNG NGHIỆP VÀ THƯƠNG MẠI CƯỜNG THỊNH</t>
        </is>
      </c>
      <c r="I2375" s="17" t="inlineStr">
        <is>
          <t>Long đền thường ZP M16B42D2</t>
        </is>
      </c>
      <c r="J2375" s="17" t="inlineStr">
        <is>
          <t>Cái</t>
        </is>
      </c>
      <c r="K2375" s="19" t="n">
        <v>700</v>
      </c>
      <c r="L2375" s="33" t="n"/>
      <c r="M2375" s="33" t="n"/>
      <c r="N2375" s="22" t="n">
        <v>92</v>
      </c>
      <c r="O2375" s="22" t="n">
        <v>64400</v>
      </c>
      <c r="P2375" s="22" t="n">
        <v>92</v>
      </c>
      <c r="Q2375" s="22" t="n">
        <v>64400</v>
      </c>
      <c r="R2375" s="42">
        <f>+L2375+N2375-P2375</f>
        <v/>
      </c>
      <c r="S2375" s="42">
        <f>+M2375+O2375-Q2375</f>
        <v/>
      </c>
    </row>
    <row r="2376" ht="30" customHeight="1">
      <c r="A2376" s="16" t="n">
        <v>45868</v>
      </c>
      <c r="B2376" s="17" t="inlineStr">
        <is>
          <t>MH2507-63</t>
        </is>
      </c>
      <c r="C2376" s="16" t="n">
        <v>45868</v>
      </c>
      <c r="D2376" s="16" t="n">
        <v>45868</v>
      </c>
      <c r="E2376" s="17" t="inlineStr">
        <is>
          <t>00002937</t>
        </is>
      </c>
      <c r="F2376" s="16" t="inlineStr">
        <is>
          <t>XK2507-37</t>
        </is>
      </c>
      <c r="G2376" s="16" t="n">
        <v>45868</v>
      </c>
      <c r="H2376" s="17" t="inlineStr">
        <is>
          <t>CÔNG TY CỔ PHẦN CÔNG NGHIỆP VÀ THƯƠNG MẠI CƯỜNG THỊNH</t>
        </is>
      </c>
      <c r="I2376" s="17" t="inlineStr">
        <is>
          <t>Long đền móng ngựa ZP M16</t>
        </is>
      </c>
      <c r="J2376" s="17" t="inlineStr">
        <is>
          <t>Cái</t>
        </is>
      </c>
      <c r="K2376" s="19" t="n">
        <v>14830</v>
      </c>
      <c r="L2376" s="33" t="n"/>
      <c r="M2376" s="33" t="n"/>
      <c r="N2376" s="22" t="n">
        <v>92</v>
      </c>
      <c r="O2376" s="22" t="n">
        <v>1364360</v>
      </c>
      <c r="P2376" s="22" t="n">
        <v>92</v>
      </c>
      <c r="Q2376" s="22" t="n">
        <v>1364360</v>
      </c>
      <c r="R2376" s="42">
        <f>+L2376+N2376-P2376</f>
        <v/>
      </c>
      <c r="S2376" s="42">
        <f>+M2376+O2376-Q2376</f>
        <v/>
      </c>
    </row>
    <row r="2377" ht="30" customHeight="1">
      <c r="A2377" s="16" t="n">
        <v>45868</v>
      </c>
      <c r="B2377" s="17" t="inlineStr">
        <is>
          <t>MH2507-63</t>
        </is>
      </c>
      <c r="C2377" s="16" t="n">
        <v>45868</v>
      </c>
      <c r="D2377" s="16" t="n">
        <v>45868</v>
      </c>
      <c r="E2377" s="17" t="inlineStr">
        <is>
          <t>00002937</t>
        </is>
      </c>
      <c r="F2377" s="16" t="inlineStr">
        <is>
          <t>XK2507-37</t>
        </is>
      </c>
      <c r="G2377" s="16" t="n">
        <v>45868</v>
      </c>
      <c r="H2377" s="17" t="inlineStr">
        <is>
          <t>CÔNG TY CỔ PHẦN CÔNG NGHIỆP VÀ THƯƠNG MẠI CƯỜNG THỊNH</t>
        </is>
      </c>
      <c r="I2377" s="17" t="inlineStr">
        <is>
          <t>Nối Ty ZP M16x100 (23mm)</t>
        </is>
      </c>
      <c r="J2377" s="17" t="inlineStr">
        <is>
          <t>Cái</t>
        </is>
      </c>
      <c r="K2377" s="19" t="n">
        <v>19960</v>
      </c>
      <c r="L2377" s="33" t="n"/>
      <c r="M2377" s="33" t="n"/>
      <c r="N2377" s="22" t="n">
        <v>38</v>
      </c>
      <c r="O2377" s="22" t="n">
        <v>758480</v>
      </c>
      <c r="P2377" s="22" t="n">
        <v>38</v>
      </c>
      <c r="Q2377" s="22" t="n">
        <v>758480</v>
      </c>
      <c r="R2377" s="42">
        <f>+L2377+N2377-P2377</f>
        <v/>
      </c>
      <c r="S2377" s="42">
        <f>+M2377+O2377-Q2377</f>
        <v/>
      </c>
    </row>
    <row r="2378" ht="15" customHeight="1">
      <c r="A2378" s="16" t="n">
        <v>45868</v>
      </c>
      <c r="B2378" s="17" t="inlineStr">
        <is>
          <t>MH2507-64</t>
        </is>
      </c>
      <c r="C2378" s="16" t="n">
        <v>45868</v>
      </c>
      <c r="D2378" s="16" t="n">
        <v>45868</v>
      </c>
      <c r="E2378" s="17" t="inlineStr">
        <is>
          <t>00000191</t>
        </is>
      </c>
      <c r="F2378" s="16" t="inlineStr">
        <is>
          <t>XK2507-38</t>
        </is>
      </c>
      <c r="G2378" s="16" t="n">
        <v>45868</v>
      </c>
      <c r="H2378" s="17" t="inlineStr">
        <is>
          <t>CÔNG TY TNHH CƠ KHÍ ĐỨC HIỆP</t>
        </is>
      </c>
      <c r="I2378" s="17" t="inlineStr">
        <is>
          <t>Bulong neo L 1"x1210, F1554, MKNN, Gr105 (3E+ 1P)</t>
        </is>
      </c>
      <c r="J2378" s="17" t="inlineStr">
        <is>
          <t>Cái</t>
        </is>
      </c>
      <c r="K2378" s="19" t="n">
        <v>332560</v>
      </c>
      <c r="L2378" s="33" t="n"/>
      <c r="M2378" s="33" t="n"/>
      <c r="N2378" s="22" t="n">
        <v>24</v>
      </c>
      <c r="O2378" s="22" t="n">
        <v>7981440</v>
      </c>
      <c r="P2378" s="22" t="n">
        <v>24</v>
      </c>
      <c r="Q2378" s="22" t="n">
        <v>7981440</v>
      </c>
      <c r="R2378" s="42">
        <f>+L2378+N2378-P2378</f>
        <v/>
      </c>
      <c r="S2378" s="42">
        <f>+M2378+O2378-Q2378</f>
        <v/>
      </c>
    </row>
    <row r="2379" ht="15" customHeight="1">
      <c r="A2379" s="16" t="n">
        <v>45868</v>
      </c>
      <c r="B2379" s="17" t="inlineStr">
        <is>
          <t>MH2507-64</t>
        </is>
      </c>
      <c r="C2379" s="16" t="n">
        <v>45868</v>
      </c>
      <c r="D2379" s="16" t="n">
        <v>45868</v>
      </c>
      <c r="E2379" s="17" t="inlineStr">
        <is>
          <t>00000191</t>
        </is>
      </c>
      <c r="F2379" s="16" t="inlineStr">
        <is>
          <t>XK2507-38</t>
        </is>
      </c>
      <c r="G2379" s="16" t="n">
        <v>45868</v>
      </c>
      <c r="H2379" s="17" t="inlineStr">
        <is>
          <t>CÔNG TY TNHH CƠ KHÍ ĐỨC HIỆP</t>
        </is>
      </c>
      <c r="I2379" s="17" t="inlineStr">
        <is>
          <t>Bulong neo L 1-1/8"x1140, F1554, MKNN, Gr105 (3E+ 1P)</t>
        </is>
      </c>
      <c r="J2379" s="17" t="inlineStr">
        <is>
          <t>Cái</t>
        </is>
      </c>
      <c r="K2379" s="19" t="n">
        <v>404100</v>
      </c>
      <c r="L2379" s="33" t="n"/>
      <c r="M2379" s="33" t="n"/>
      <c r="N2379" s="22" t="n">
        <v>36</v>
      </c>
      <c r="O2379" s="22" t="n">
        <v>14547600</v>
      </c>
      <c r="P2379" s="22" t="n">
        <v>36</v>
      </c>
      <c r="Q2379" s="22" t="n">
        <v>14547600</v>
      </c>
      <c r="R2379" s="42">
        <f>+L2379+N2379-P2379</f>
        <v/>
      </c>
      <c r="S2379" s="42">
        <f>+M2379+O2379-Q2379</f>
        <v/>
      </c>
    </row>
    <row r="2380" ht="15" customHeight="1">
      <c r="A2380" s="16" t="n">
        <v>45868</v>
      </c>
      <c r="B2380" s="17" t="inlineStr">
        <is>
          <t>MH2507-64</t>
        </is>
      </c>
      <c r="C2380" s="16" t="n">
        <v>45868</v>
      </c>
      <c r="D2380" s="16" t="n">
        <v>45868</v>
      </c>
      <c r="E2380" s="17" t="inlineStr">
        <is>
          <t>00000191</t>
        </is>
      </c>
      <c r="F2380" s="16" t="inlineStr">
        <is>
          <t>XK2507-38</t>
        </is>
      </c>
      <c r="G2380" s="16" t="n">
        <v>45868</v>
      </c>
      <c r="H2380" s="17" t="inlineStr">
        <is>
          <t>CÔNG TY TNHH CƠ KHÍ ĐỨC HIỆP</t>
        </is>
      </c>
      <c r="I2380" s="17" t="inlineStr">
        <is>
          <t>Bulong neo L 1-1/4"x1082, F1554, MKNN, Gr105 (3E+ 1P)</t>
        </is>
      </c>
      <c r="J2380" s="17" t="inlineStr">
        <is>
          <t>Cái</t>
        </is>
      </c>
      <c r="K2380" s="19" t="n">
        <v>482750</v>
      </c>
      <c r="L2380" s="33" t="n"/>
      <c r="M2380" s="33" t="n"/>
      <c r="N2380" s="22" t="n">
        <v>40</v>
      </c>
      <c r="O2380" s="22" t="n">
        <v>19310000</v>
      </c>
      <c r="P2380" s="22" t="n">
        <v>40</v>
      </c>
      <c r="Q2380" s="22" t="n">
        <v>19310000</v>
      </c>
      <c r="R2380" s="42">
        <f>+L2380+N2380-P2380</f>
        <v/>
      </c>
      <c r="S2380" s="42">
        <f>+M2380+O2380-Q2380</f>
        <v/>
      </c>
    </row>
    <row r="2381" ht="15" customHeight="1">
      <c r="A2381" s="16" t="n">
        <v>45868</v>
      </c>
      <c r="B2381" s="17" t="inlineStr">
        <is>
          <t>MH2507-65</t>
        </is>
      </c>
      <c r="C2381" s="16" t="n">
        <v>45868</v>
      </c>
      <c r="D2381" s="16" t="n">
        <v>45868</v>
      </c>
      <c r="E2381" s="17" t="inlineStr">
        <is>
          <t>00000192</t>
        </is>
      </c>
      <c r="F2381" s="16" t="inlineStr">
        <is>
          <t>XK2507-38</t>
        </is>
      </c>
      <c r="G2381" s="16" t="n">
        <v>45868</v>
      </c>
      <c r="H2381" s="17" t="inlineStr">
        <is>
          <t>CÔNG TY TNHH CƠ KHÍ ĐỨC HIỆP</t>
        </is>
      </c>
      <c r="I2381" s="17" t="inlineStr">
        <is>
          <t>Bulong neo M24x530, 8.8, MKĐP (4E+ 1P)</t>
        </is>
      </c>
      <c r="J2381" s="17" t="inlineStr">
        <is>
          <t>Cái</t>
        </is>
      </c>
      <c r="K2381" s="19" t="n">
        <v>80300</v>
      </c>
      <c r="L2381" s="33" t="n"/>
      <c r="M2381" s="33" t="n"/>
      <c r="N2381" s="22" t="n">
        <v>501</v>
      </c>
      <c r="O2381" s="22" t="n">
        <v>40230300</v>
      </c>
      <c r="P2381" s="22" t="n">
        <v>501</v>
      </c>
      <c r="Q2381" s="22" t="n">
        <v>40230300</v>
      </c>
      <c r="R2381" s="42">
        <f>+L2381+N2381-P2381</f>
        <v/>
      </c>
      <c r="S2381" s="42">
        <f>+M2381+O2381-Q2381</f>
        <v/>
      </c>
    </row>
    <row r="2382" ht="15" customHeight="1">
      <c r="A2382" s="16" t="n">
        <v>45868</v>
      </c>
      <c r="B2382" s="17" t="inlineStr">
        <is>
          <t>MH2507-65</t>
        </is>
      </c>
      <c r="C2382" s="16" t="n">
        <v>45868</v>
      </c>
      <c r="D2382" s="16" t="n">
        <v>45868</v>
      </c>
      <c r="E2382" s="17" t="inlineStr">
        <is>
          <t>00000192</t>
        </is>
      </c>
      <c r="F2382" s="16" t="inlineStr">
        <is>
          <t>XK2507-38</t>
        </is>
      </c>
      <c r="G2382" s="16" t="n">
        <v>45868</v>
      </c>
      <c r="H2382" s="17" t="inlineStr">
        <is>
          <t>CÔNG TY TNHH CƠ KHÍ ĐỨC HIỆP</t>
        </is>
      </c>
      <c r="I2382" s="17" t="inlineStr">
        <is>
          <t>Bulong neo M30x645, 8.8, MKĐP (4E+ 1P)</t>
        </is>
      </c>
      <c r="J2382" s="17" t="inlineStr">
        <is>
          <t>Cái</t>
        </is>
      </c>
      <c r="K2382" s="19" t="n">
        <v>156950</v>
      </c>
      <c r="L2382" s="33" t="n"/>
      <c r="M2382" s="33" t="n"/>
      <c r="N2382" s="22" t="n">
        <v>701</v>
      </c>
      <c r="O2382" s="22" t="n">
        <v>110021950</v>
      </c>
      <c r="P2382" s="22" t="n">
        <v>701</v>
      </c>
      <c r="Q2382" s="22" t="n">
        <v>110021950</v>
      </c>
      <c r="R2382" s="42">
        <f>+L2382+N2382-P2382</f>
        <v/>
      </c>
      <c r="S2382" s="42">
        <f>+M2382+O2382-Q2382</f>
        <v/>
      </c>
    </row>
    <row r="2383" ht="15" customHeight="1">
      <c r="A2383" s="16" t="n">
        <v>45868</v>
      </c>
      <c r="B2383" s="17" t="inlineStr">
        <is>
          <t>MH2507-65</t>
        </is>
      </c>
      <c r="C2383" s="16" t="n">
        <v>45868</v>
      </c>
      <c r="D2383" s="16" t="n">
        <v>45868</v>
      </c>
      <c r="E2383" s="17" t="inlineStr">
        <is>
          <t>00000192</t>
        </is>
      </c>
      <c r="F2383" s="16" t="inlineStr">
        <is>
          <t>XK2507-38</t>
        </is>
      </c>
      <c r="G2383" s="16" t="n">
        <v>45868</v>
      </c>
      <c r="H2383" s="17" t="inlineStr">
        <is>
          <t>CÔNG TY TNHH CƠ KHÍ ĐỨC HIỆP</t>
        </is>
      </c>
      <c r="I2383" s="17" t="inlineStr">
        <is>
          <t>Bulong neo M36x730, 8.8, MKĐP (4E+ 1P)</t>
        </is>
      </c>
      <c r="J2383" s="17" t="inlineStr">
        <is>
          <t>Cái</t>
        </is>
      </c>
      <c r="K2383" s="19" t="n">
        <v>266450</v>
      </c>
      <c r="L2383" s="33" t="n"/>
      <c r="M2383" s="33" t="n"/>
      <c r="N2383" s="22" t="n">
        <v>401</v>
      </c>
      <c r="O2383" s="22" t="n">
        <v>106846450</v>
      </c>
      <c r="P2383" s="22" t="n">
        <v>401</v>
      </c>
      <c r="Q2383" s="22" t="n">
        <v>106846450</v>
      </c>
      <c r="R2383" s="42">
        <f>+L2383+N2383-P2383</f>
        <v/>
      </c>
      <c r="S2383" s="42">
        <f>+M2383+O2383-Q2383</f>
        <v/>
      </c>
    </row>
    <row r="2384" ht="30" customHeight="1">
      <c r="A2384" s="16" t="n">
        <v>45869</v>
      </c>
      <c r="B2384" s="17" t="inlineStr">
        <is>
          <t>MH2507-66</t>
        </is>
      </c>
      <c r="C2384" s="16" t="n">
        <v>45869</v>
      </c>
      <c r="D2384" s="16" t="n">
        <v>45869</v>
      </c>
      <c r="E2384" s="17" t="inlineStr">
        <is>
          <t>00002947</t>
        </is>
      </c>
      <c r="F2384" s="16" t="inlineStr">
        <is>
          <t>XK2507-39</t>
        </is>
      </c>
      <c r="G2384" s="16" t="n">
        <v>45869</v>
      </c>
      <c r="H2384" s="17" t="inlineStr">
        <is>
          <t>CÔNG TY CỔ PHẦN CÔNG NGHIỆP VÀ THƯƠNG MẠI CƯỜNG THỊNH</t>
        </is>
      </c>
      <c r="I2384" s="17" t="inlineStr">
        <is>
          <t>Cùm treo ZP D90</t>
        </is>
      </c>
      <c r="J2384" s="17" t="inlineStr">
        <is>
          <t>Cái</t>
        </is>
      </c>
      <c r="K2384" s="19" t="n">
        <v>9000</v>
      </c>
      <c r="L2384" s="33" t="n"/>
      <c r="M2384" s="33" t="n"/>
      <c r="N2384" s="22" t="n">
        <v>64</v>
      </c>
      <c r="O2384" s="22" t="n">
        <v>576000</v>
      </c>
      <c r="P2384" s="22" t="n">
        <v>64</v>
      </c>
      <c r="Q2384" s="22" t="n">
        <v>576000</v>
      </c>
      <c r="R2384" s="42">
        <f>+L2384+N2384-P2384</f>
        <v/>
      </c>
      <c r="S2384" s="42">
        <f>+M2384+O2384-Q2384</f>
        <v/>
      </c>
    </row>
    <row r="2385" ht="30" customHeight="1">
      <c r="A2385" s="16" t="n">
        <v>45869</v>
      </c>
      <c r="B2385" s="17" t="inlineStr">
        <is>
          <t>MH2507-66</t>
        </is>
      </c>
      <c r="C2385" s="16" t="n">
        <v>45869</v>
      </c>
      <c r="D2385" s="16" t="n">
        <v>45869</v>
      </c>
      <c r="E2385" s="17" t="inlineStr">
        <is>
          <t>00002947</t>
        </is>
      </c>
      <c r="F2385" s="16" t="inlineStr">
        <is>
          <t>XK2507-39</t>
        </is>
      </c>
      <c r="G2385" s="16" t="n">
        <v>45869</v>
      </c>
      <c r="H2385" s="17" t="inlineStr">
        <is>
          <t>CÔNG TY CỔ PHẦN CÔNG NGHIỆP VÀ THƯƠNG MẠI CƯỜNG THỊNH</t>
        </is>
      </c>
      <c r="I2385" s="17" t="inlineStr">
        <is>
          <t>Bulong thường ZP M8x20</t>
        </is>
      </c>
      <c r="J2385" s="17" t="inlineStr">
        <is>
          <t>Cái</t>
        </is>
      </c>
      <c r="K2385" s="19" t="n">
        <v>500</v>
      </c>
      <c r="L2385" s="33" t="n"/>
      <c r="M2385" s="33" t="n"/>
      <c r="N2385" s="22" t="n">
        <v>64</v>
      </c>
      <c r="O2385" s="22" t="n">
        <v>32000</v>
      </c>
      <c r="P2385" s="22" t="n">
        <v>64</v>
      </c>
      <c r="Q2385" s="22" t="n">
        <v>32000</v>
      </c>
      <c r="R2385" s="42">
        <f>+L2385+N2385-P2385</f>
        <v/>
      </c>
      <c r="S2385" s="42">
        <f>+M2385+O2385-Q2385</f>
        <v/>
      </c>
    </row>
    <row r="2386" ht="30" customHeight="1">
      <c r="A2386" s="16" t="n">
        <v>45869</v>
      </c>
      <c r="B2386" s="17" t="inlineStr">
        <is>
          <t>MH2507-66</t>
        </is>
      </c>
      <c r="C2386" s="16" t="n">
        <v>45869</v>
      </c>
      <c r="D2386" s="16" t="n">
        <v>45869</v>
      </c>
      <c r="E2386" s="17" t="inlineStr">
        <is>
          <t>00002947</t>
        </is>
      </c>
      <c r="F2386" s="16" t="inlineStr">
        <is>
          <t>XK2507-39</t>
        </is>
      </c>
      <c r="G2386" s="16" t="n">
        <v>45869</v>
      </c>
      <c r="H2386" s="17" t="inlineStr">
        <is>
          <t>CÔNG TY CỔ PHẦN CÔNG NGHIỆP VÀ THƯƠNG MẠI CƯỜNG THỊNH</t>
        </is>
      </c>
      <c r="I2386" s="17" t="inlineStr">
        <is>
          <t>Đai ốc thường ZP M8</t>
        </is>
      </c>
      <c r="J2386" s="17" t="inlineStr">
        <is>
          <t>Cái</t>
        </is>
      </c>
      <c r="K2386" s="19" t="n">
        <v>140</v>
      </c>
      <c r="L2386" s="33" t="n"/>
      <c r="M2386" s="33" t="n"/>
      <c r="N2386" s="22" t="n">
        <v>64</v>
      </c>
      <c r="O2386" s="22" t="n">
        <v>8960</v>
      </c>
      <c r="P2386" s="22" t="n">
        <v>64</v>
      </c>
      <c r="Q2386" s="22" t="n">
        <v>8960</v>
      </c>
      <c r="R2386" s="42">
        <f>+L2386+N2386-P2386</f>
        <v/>
      </c>
      <c r="S2386" s="42">
        <f>+M2386+O2386-Q2386</f>
        <v/>
      </c>
    </row>
    <row r="2387" ht="30" customHeight="1">
      <c r="A2387" s="16" t="n">
        <v>45869</v>
      </c>
      <c r="B2387" s="17" t="inlineStr">
        <is>
          <t>MH2507-67</t>
        </is>
      </c>
      <c r="C2387" s="16" t="n">
        <v>45869</v>
      </c>
      <c r="D2387" s="16" t="n">
        <v>45869</v>
      </c>
      <c r="E2387" s="17" t="inlineStr">
        <is>
          <t>1659</t>
        </is>
      </c>
      <c r="F2387" s="16" t="inlineStr">
        <is>
          <t>XK2507-40</t>
        </is>
      </c>
      <c r="G2387" s="16" t="n">
        <v>45869</v>
      </c>
      <c r="H2387" s="17" t="inlineStr">
        <is>
          <t>CÔNG TY TNHH KỸ THUẬT VÀ THƯƠNG MẠI B.F.C</t>
        </is>
      </c>
      <c r="I2387" s="17" t="inlineStr">
        <is>
          <t>Vít B2stek 12-14x20 HWFS</t>
        </is>
      </c>
      <c r="J2387" s="17" t="inlineStr">
        <is>
          <t>Cái</t>
        </is>
      </c>
      <c r="K2387" s="19" t="n">
        <v>550</v>
      </c>
      <c r="L2387" s="33" t="n"/>
      <c r="M2387" s="33" t="n"/>
      <c r="N2387" s="22" t="n">
        <v>2807</v>
      </c>
      <c r="O2387" s="22" t="n">
        <v>1543850</v>
      </c>
      <c r="P2387" s="22" t="n">
        <v>2807</v>
      </c>
      <c r="Q2387" s="22" t="n">
        <v>1543850</v>
      </c>
      <c r="R2387" s="42">
        <f>+L2387+N2387-P2387</f>
        <v/>
      </c>
      <c r="S2387" s="42">
        <f>+M2387+O2387-Q2387</f>
        <v/>
      </c>
    </row>
    <row r="2388" ht="30" customHeight="1">
      <c r="A2388" s="16" t="n">
        <v>45869</v>
      </c>
      <c r="B2388" s="17" t="inlineStr">
        <is>
          <t>MH2507-67</t>
        </is>
      </c>
      <c r="C2388" s="16" t="n">
        <v>45869</v>
      </c>
      <c r="D2388" s="16" t="n">
        <v>45869</v>
      </c>
      <c r="E2388" s="17" t="inlineStr">
        <is>
          <t>1659</t>
        </is>
      </c>
      <c r="F2388" s="16" t="inlineStr">
        <is>
          <t>XK2507-40</t>
        </is>
      </c>
      <c r="G2388" s="16" t="n">
        <v>45869</v>
      </c>
      <c r="H2388" s="17" t="inlineStr">
        <is>
          <t>CÔNG TY TNHH KỸ THUẬT VÀ THƯƠNG MẠI B.F.C</t>
        </is>
      </c>
      <c r="I2388" s="17" t="inlineStr">
        <is>
          <t>Vít B2stek 12-14x30 HWFS</t>
        </is>
      </c>
      <c r="J2388" s="17" t="inlineStr">
        <is>
          <t>Cái</t>
        </is>
      </c>
      <c r="K2388" s="19" t="n">
        <v>695</v>
      </c>
      <c r="L2388" s="33" t="n"/>
      <c r="M2388" s="33" t="n"/>
      <c r="N2388" s="22" t="n">
        <v>206</v>
      </c>
      <c r="O2388" s="22" t="n">
        <v>143170</v>
      </c>
      <c r="P2388" s="22" t="n">
        <v>206</v>
      </c>
      <c r="Q2388" s="22" t="n">
        <v>143170</v>
      </c>
      <c r="R2388" s="42">
        <f>+L2388+N2388-P2388</f>
        <v/>
      </c>
      <c r="S2388" s="42">
        <f>+M2388+O2388-Q2388</f>
        <v/>
      </c>
    </row>
    <row r="2389" ht="30" customHeight="1">
      <c r="A2389" s="16" t="n">
        <v>45869</v>
      </c>
      <c r="B2389" s="17" t="inlineStr">
        <is>
          <t>MH2507-67</t>
        </is>
      </c>
      <c r="C2389" s="16" t="n">
        <v>45869</v>
      </c>
      <c r="D2389" s="16" t="n">
        <v>45869</v>
      </c>
      <c r="E2389" s="17" t="inlineStr">
        <is>
          <t>1659</t>
        </is>
      </c>
      <c r="F2389" s="16" t="inlineStr">
        <is>
          <t>XK2507-40</t>
        </is>
      </c>
      <c r="G2389" s="16" t="n">
        <v>45869</v>
      </c>
      <c r="H2389" s="17" t="inlineStr">
        <is>
          <t>CÔNG TY TNHH KỸ THUẬT VÀ THƯƠNG MẠI B.F.C</t>
        </is>
      </c>
      <c r="I2389" s="17" t="inlineStr">
        <is>
          <t>Vít B2stek 12-14x55 HWB</t>
        </is>
      </c>
      <c r="J2389" s="17" t="inlineStr">
        <is>
          <t>Cái</t>
        </is>
      </c>
      <c r="K2389" s="19" t="n">
        <v>1376</v>
      </c>
      <c r="L2389" s="33" t="n"/>
      <c r="M2389" s="33" t="n"/>
      <c r="N2389" s="22" t="n">
        <v>11487</v>
      </c>
      <c r="O2389" s="22" t="n">
        <v>15806112</v>
      </c>
      <c r="P2389" s="22" t="n">
        <v>11487</v>
      </c>
      <c r="Q2389" s="22" t="n">
        <v>15806112</v>
      </c>
      <c r="R2389" s="42">
        <f>+L2389+N2389-P2389</f>
        <v/>
      </c>
      <c r="S2389" s="42">
        <f>+M2389+O2389-Q2389</f>
        <v/>
      </c>
    </row>
    <row r="2390" ht="30" customHeight="1">
      <c r="A2390" s="16" t="n">
        <v>45869</v>
      </c>
      <c r="B2390" s="17" t="inlineStr">
        <is>
          <t>MH2507-67</t>
        </is>
      </c>
      <c r="C2390" s="16" t="n">
        <v>45869</v>
      </c>
      <c r="D2390" s="16" t="n">
        <v>45869</v>
      </c>
      <c r="E2390" s="17" t="inlineStr">
        <is>
          <t>1659</t>
        </is>
      </c>
      <c r="F2390" s="16" t="inlineStr">
        <is>
          <t>XK2507-40</t>
        </is>
      </c>
      <c r="G2390" s="16" t="n">
        <v>45869</v>
      </c>
      <c r="H2390" s="17" t="inlineStr">
        <is>
          <t>CÔNG TY TNHH KỸ THUẬT VÀ THƯƠNG MẠI B.F.C</t>
        </is>
      </c>
      <c r="I2390" s="17" t="inlineStr">
        <is>
          <t>Vít B3stek 12-14x75 HGS</t>
        </is>
      </c>
      <c r="J2390" s="17" t="inlineStr">
        <is>
          <t>Cái</t>
        </is>
      </c>
      <c r="K2390" s="19" t="n">
        <v>1390</v>
      </c>
      <c r="L2390" s="33" t="n"/>
      <c r="M2390" s="33" t="n"/>
      <c r="N2390" s="22" t="n">
        <v>451</v>
      </c>
      <c r="O2390" s="22" t="n">
        <v>626890</v>
      </c>
      <c r="P2390" s="22" t="n">
        <v>451</v>
      </c>
      <c r="Q2390" s="22" t="n">
        <v>626890</v>
      </c>
      <c r="R2390" s="42">
        <f>+L2390+N2390-P2390</f>
        <v/>
      </c>
      <c r="S2390" s="42">
        <f>+M2390+O2390-Q2390</f>
        <v/>
      </c>
    </row>
    <row r="2391" ht="30" customHeight="1">
      <c r="A2391" s="16" t="n">
        <v>45869</v>
      </c>
      <c r="B2391" s="17" t="inlineStr">
        <is>
          <t>MH2507-67</t>
        </is>
      </c>
      <c r="C2391" s="16" t="n">
        <v>45869</v>
      </c>
      <c r="D2391" s="16" t="n">
        <v>45869</v>
      </c>
      <c r="E2391" s="17" t="inlineStr">
        <is>
          <t>1659</t>
        </is>
      </c>
      <c r="F2391" s="16" t="inlineStr">
        <is>
          <t>XK2507-40</t>
        </is>
      </c>
      <c r="G2391" s="16" t="n">
        <v>45869</v>
      </c>
      <c r="H2391" s="17" t="inlineStr">
        <is>
          <t>CÔNG TY TNHH KỸ THUẬT VÀ THƯƠNG MẠI B.F.C</t>
        </is>
      </c>
      <c r="I2391" s="17" t="inlineStr">
        <is>
          <t>Vít B3stek 10-24x22 WAF</t>
        </is>
      </c>
      <c r="J2391" s="17" t="inlineStr">
        <is>
          <t>Cái</t>
        </is>
      </c>
      <c r="K2391" s="19" t="n">
        <v>295</v>
      </c>
      <c r="L2391" s="33" t="n"/>
      <c r="M2391" s="33" t="n"/>
      <c r="N2391" s="22" t="n">
        <v>3152</v>
      </c>
      <c r="O2391" s="22" t="n">
        <v>929840</v>
      </c>
      <c r="P2391" s="22" t="n">
        <v>3152</v>
      </c>
      <c r="Q2391" s="22" t="n">
        <v>929840</v>
      </c>
      <c r="R2391" s="42">
        <f>+L2391+N2391-P2391</f>
        <v/>
      </c>
      <c r="S2391" s="42">
        <f>+M2391+O2391-Q2391</f>
        <v/>
      </c>
    </row>
    <row r="2392" ht="30" customHeight="1">
      <c r="A2392" s="16" t="n">
        <v>45869</v>
      </c>
      <c r="B2392" s="17" t="inlineStr">
        <is>
          <t>MH2507-67</t>
        </is>
      </c>
      <c r="C2392" s="16" t="n">
        <v>45869</v>
      </c>
      <c r="D2392" s="16" t="n">
        <v>45869</v>
      </c>
      <c r="E2392" s="17" t="inlineStr">
        <is>
          <t>1659</t>
        </is>
      </c>
      <c r="F2392" s="16" t="inlineStr">
        <is>
          <t>XK2507-40</t>
        </is>
      </c>
      <c r="G2392" s="16" t="n">
        <v>45869</v>
      </c>
      <c r="H2392" s="17" t="inlineStr">
        <is>
          <t>CÔNG TY TNHH KỸ THUẬT VÀ THƯƠNG MẠI B.F.C</t>
        </is>
      </c>
      <c r="I2392" s="17" t="inlineStr">
        <is>
          <t>Vít B2smtek 15-15x20 HWFS</t>
        </is>
      </c>
      <c r="J2392" s="17" t="inlineStr">
        <is>
          <t>Cái</t>
        </is>
      </c>
      <c r="K2392" s="19" t="n">
        <v>670</v>
      </c>
      <c r="L2392" s="33" t="n"/>
      <c r="M2392" s="33" t="n"/>
      <c r="N2392" s="22" t="n">
        <v>308</v>
      </c>
      <c r="O2392" s="22" t="n">
        <v>206360</v>
      </c>
      <c r="P2392" s="22" t="n">
        <v>308</v>
      </c>
      <c r="Q2392" s="22" t="n">
        <v>206360</v>
      </c>
      <c r="R2392" s="42">
        <f>+L2392+N2392-P2392</f>
        <v/>
      </c>
      <c r="S2392" s="42">
        <f>+M2392+O2392-Q2392</f>
        <v/>
      </c>
    </row>
    <row r="2393" ht="30" customHeight="1">
      <c r="A2393" s="16" t="n">
        <v>45869</v>
      </c>
      <c r="B2393" s="17" t="inlineStr">
        <is>
          <t>MH2507-67</t>
        </is>
      </c>
      <c r="C2393" s="16" t="n">
        <v>45869</v>
      </c>
      <c r="D2393" s="16" t="n">
        <v>45869</v>
      </c>
      <c r="E2393" s="17" t="inlineStr">
        <is>
          <t>1659</t>
        </is>
      </c>
      <c r="F2393" s="16" t="inlineStr">
        <is>
          <t>XK2507-40</t>
        </is>
      </c>
      <c r="G2393" s="16" t="n">
        <v>45869</v>
      </c>
      <c r="H2393" s="17" t="inlineStr">
        <is>
          <t>CÔNG TY TNHH KỸ THUẬT VÀ THƯƠNG MẠI B.F.C</t>
        </is>
      </c>
      <c r="I2393" s="17" t="inlineStr">
        <is>
          <t>Vít B3stek 12-14x130 HWB</t>
        </is>
      </c>
      <c r="J2393" s="17" t="inlineStr">
        <is>
          <t>Cái</t>
        </is>
      </c>
      <c r="K2393" s="19" t="n">
        <v>3210</v>
      </c>
      <c r="L2393" s="33" t="n"/>
      <c r="M2393" s="33" t="n"/>
      <c r="N2393" s="22" t="n">
        <v>32</v>
      </c>
      <c r="O2393" s="22" t="n">
        <v>102720</v>
      </c>
      <c r="P2393" s="22" t="n">
        <v>32</v>
      </c>
      <c r="Q2393" s="22" t="n">
        <v>102720</v>
      </c>
      <c r="R2393" s="42">
        <f>+L2393+N2393-P2393</f>
        <v/>
      </c>
      <c r="S2393" s="42">
        <f>+M2393+O2393-Q2393</f>
        <v/>
      </c>
    </row>
    <row r="2394" ht="30" customHeight="1">
      <c r="A2394" s="16" t="n">
        <v>45869</v>
      </c>
      <c r="B2394" s="17" t="inlineStr">
        <is>
          <t>MH2507-67</t>
        </is>
      </c>
      <c r="C2394" s="16" t="n">
        <v>45869</v>
      </c>
      <c r="D2394" s="16" t="n">
        <v>45869</v>
      </c>
      <c r="E2394" s="17" t="inlineStr">
        <is>
          <t>1659</t>
        </is>
      </c>
      <c r="F2394" s="16" t="inlineStr">
        <is>
          <t>XK2507-40</t>
        </is>
      </c>
      <c r="G2394" s="16" t="n">
        <v>45869</v>
      </c>
      <c r="H2394" s="17" t="inlineStr">
        <is>
          <t>CÔNG TY TNHH KỸ THUẬT VÀ THƯƠNG MẠI B.F.C</t>
        </is>
      </c>
      <c r="I2394" s="17" t="inlineStr">
        <is>
          <t>Rive 4x 10</t>
        </is>
      </c>
      <c r="J2394" s="17" t="inlineStr">
        <is>
          <t>Cái</t>
        </is>
      </c>
      <c r="K2394" s="19" t="n">
        <v>140</v>
      </c>
      <c r="L2394" s="33" t="n"/>
      <c r="M2394" s="33" t="n"/>
      <c r="N2394" s="22" t="n">
        <v>4996</v>
      </c>
      <c r="O2394" s="22" t="n">
        <v>699440</v>
      </c>
      <c r="P2394" s="22" t="n">
        <v>4996</v>
      </c>
      <c r="Q2394" s="22" t="n">
        <v>699440</v>
      </c>
      <c r="R2394" s="42">
        <f>+L2394+N2394-P2394</f>
        <v/>
      </c>
      <c r="S2394" s="42">
        <f>+M2394+O2394-Q2394</f>
        <v/>
      </c>
    </row>
    <row r="2395" ht="30" customHeight="1">
      <c r="A2395" s="16" t="n">
        <v>45869</v>
      </c>
      <c r="B2395" s="17" t="inlineStr">
        <is>
          <t>MH2507-67</t>
        </is>
      </c>
      <c r="C2395" s="16" t="n">
        <v>45869</v>
      </c>
      <c r="D2395" s="16" t="n">
        <v>45869</v>
      </c>
      <c r="E2395" s="17" t="inlineStr">
        <is>
          <t>1659</t>
        </is>
      </c>
      <c r="F2395" s="16" t="inlineStr">
        <is>
          <t>XK2507-40</t>
        </is>
      </c>
      <c r="G2395" s="16" t="n">
        <v>45869</v>
      </c>
      <c r="H2395" s="17" t="inlineStr">
        <is>
          <t>CÔNG TY TNHH KỸ THUẬT VÀ THƯƠNG MẠI B.F.C</t>
        </is>
      </c>
      <c r="I2395" s="17" t="inlineStr">
        <is>
          <t>Tắc kê M10x50</t>
        </is>
      </c>
      <c r="J2395" s="17" t="inlineStr">
        <is>
          <t>Con</t>
        </is>
      </c>
      <c r="K2395" s="19" t="n">
        <v>498</v>
      </c>
      <c r="L2395" s="33" t="n"/>
      <c r="M2395" s="33" t="n"/>
      <c r="N2395" s="22" t="n">
        <v>60</v>
      </c>
      <c r="O2395" s="22" t="n">
        <v>29880</v>
      </c>
      <c r="P2395" s="22" t="n">
        <v>60</v>
      </c>
      <c r="Q2395" s="22" t="n">
        <v>29880</v>
      </c>
      <c r="R2395" s="42">
        <f>+L2395+N2395-P2395</f>
        <v/>
      </c>
      <c r="S2395" s="42">
        <f>+M2395+O2395-Q2395</f>
        <v/>
      </c>
    </row>
    <row r="2396" ht="30" customHeight="1">
      <c r="A2396" s="16" t="n">
        <v>45869</v>
      </c>
      <c r="B2396" s="17" t="inlineStr">
        <is>
          <t>MH2507-67</t>
        </is>
      </c>
      <c r="C2396" s="16" t="n">
        <v>45869</v>
      </c>
      <c r="D2396" s="16" t="n">
        <v>45869</v>
      </c>
      <c r="E2396" s="17" t="inlineStr">
        <is>
          <t>1659</t>
        </is>
      </c>
      <c r="F2396" s="16" t="inlineStr">
        <is>
          <t>XK2507-40</t>
        </is>
      </c>
      <c r="G2396" s="16" t="n">
        <v>45869</v>
      </c>
      <c r="H2396" s="17" t="inlineStr">
        <is>
          <t>CÔNG TY TNHH KỸ THUẬT VÀ THƯƠNG MẠI B.F.C</t>
        </is>
      </c>
      <c r="I2396" s="17" t="inlineStr">
        <is>
          <t>Vít B2stek17 12-11x50 HGS</t>
        </is>
      </c>
      <c r="J2396" s="17" t="inlineStr">
        <is>
          <t>Cái</t>
        </is>
      </c>
      <c r="K2396" s="19" t="n">
        <v>950</v>
      </c>
      <c r="L2396" s="33" t="n"/>
      <c r="M2396" s="33" t="n"/>
      <c r="N2396" s="22" t="n">
        <v>60</v>
      </c>
      <c r="O2396" s="22" t="n">
        <v>57000</v>
      </c>
      <c r="P2396" s="22" t="n">
        <v>60</v>
      </c>
      <c r="Q2396" s="22" t="n">
        <v>57000</v>
      </c>
      <c r="R2396" s="42">
        <f>+L2396+N2396-P2396</f>
        <v/>
      </c>
      <c r="S2396" s="42">
        <f>+M2396+O2396-Q2396</f>
        <v/>
      </c>
    </row>
    <row r="2397" ht="30" customHeight="1">
      <c r="A2397" s="16" t="n">
        <v>45869</v>
      </c>
      <c r="B2397" s="17" t="inlineStr">
        <is>
          <t>MH2507-67</t>
        </is>
      </c>
      <c r="C2397" s="16" t="n">
        <v>45869</v>
      </c>
      <c r="D2397" s="16" t="n">
        <v>45869</v>
      </c>
      <c r="E2397" s="17" t="inlineStr">
        <is>
          <t>1659</t>
        </is>
      </c>
      <c r="F2397" s="16" t="inlineStr">
        <is>
          <t>XK2507-40</t>
        </is>
      </c>
      <c r="G2397" s="16" t="n">
        <v>45869</v>
      </c>
      <c r="H2397" s="17" t="inlineStr">
        <is>
          <t>CÔNG TY TNHH KỸ THUẬT VÀ THƯƠNG MẠI B.F.C</t>
        </is>
      </c>
      <c r="I2397" s="17" t="inlineStr">
        <is>
          <t>Màng PE Foam 5 Sóng</t>
        </is>
      </c>
      <c r="J2397" s="17" t="inlineStr">
        <is>
          <t>Cái</t>
        </is>
      </c>
      <c r="K2397" s="19" t="n">
        <v>11200</v>
      </c>
      <c r="L2397" s="33" t="n"/>
      <c r="M2397" s="33" t="n"/>
      <c r="N2397" s="22" t="n">
        <v>293</v>
      </c>
      <c r="O2397" s="22" t="n">
        <v>3281600</v>
      </c>
      <c r="P2397" s="22" t="n">
        <v>293</v>
      </c>
      <c r="Q2397" s="22" t="n">
        <v>3281600</v>
      </c>
      <c r="R2397" s="42">
        <f>+L2397+N2397-P2397</f>
        <v/>
      </c>
      <c r="S2397" s="42">
        <f>+M2397+O2397-Q2397</f>
        <v/>
      </c>
    </row>
    <row r="2398" ht="30" customHeight="1">
      <c r="A2398" s="16" t="n">
        <v>45869</v>
      </c>
      <c r="B2398" s="17" t="inlineStr">
        <is>
          <t>MH2507-67</t>
        </is>
      </c>
      <c r="C2398" s="16" t="n">
        <v>45869</v>
      </c>
      <c r="D2398" s="16" t="n">
        <v>45869</v>
      </c>
      <c r="E2398" s="17" t="inlineStr">
        <is>
          <t>1659</t>
        </is>
      </c>
      <c r="F2398" s="16" t="inlineStr">
        <is>
          <t>XK2507-40</t>
        </is>
      </c>
      <c r="G2398" s="16" t="n">
        <v>45869</v>
      </c>
      <c r="H2398" s="17" t="inlineStr">
        <is>
          <t>CÔNG TY TNHH KỸ THUẬT VÀ THƯƠNG MẠI B.F.C</t>
        </is>
      </c>
      <c r="I2398" s="17" t="inlineStr">
        <is>
          <t>Keo Silicon Sealant NNH T</t>
        </is>
      </c>
      <c r="J2398" s="17" t="inlineStr">
        <is>
          <t>Cái</t>
        </is>
      </c>
      <c r="K2398" s="19" t="n">
        <v>63000</v>
      </c>
      <c r="L2398" s="33" t="n"/>
      <c r="M2398" s="33" t="n"/>
      <c r="N2398" s="22" t="n">
        <v>28</v>
      </c>
      <c r="O2398" s="22" t="n">
        <v>1764000</v>
      </c>
      <c r="P2398" s="22" t="n">
        <v>28</v>
      </c>
      <c r="Q2398" s="22" t="n">
        <v>1764000</v>
      </c>
      <c r="R2398" s="42">
        <f>+L2398+N2398-P2398</f>
        <v/>
      </c>
      <c r="S2398" s="42">
        <f>+M2398+O2398-Q2398</f>
        <v/>
      </c>
    </row>
    <row r="2399" ht="30" customHeight="1">
      <c r="A2399" s="16" t="n">
        <v>45869</v>
      </c>
      <c r="B2399" s="17" t="inlineStr">
        <is>
          <t>MH2507-67</t>
        </is>
      </c>
      <c r="C2399" s="16" t="n">
        <v>45869</v>
      </c>
      <c r="D2399" s="16" t="n">
        <v>45869</v>
      </c>
      <c r="E2399" s="17" t="inlineStr">
        <is>
          <t>1659</t>
        </is>
      </c>
      <c r="F2399" s="16" t="inlineStr">
        <is>
          <t>XK2507-40</t>
        </is>
      </c>
      <c r="G2399" s="16" t="n">
        <v>45869</v>
      </c>
      <c r="H2399" s="17" t="inlineStr">
        <is>
          <t>CÔNG TY TNHH KỸ THUẬT VÀ THƯƠNG MẠI B.F.C</t>
        </is>
      </c>
      <c r="I2399" s="17" t="inlineStr">
        <is>
          <t>Keo cuộn Selant Tape IBF 6797</t>
        </is>
      </c>
      <c r="J2399" s="17" t="inlineStr">
        <is>
          <t>Cái</t>
        </is>
      </c>
      <c r="K2399" s="19" t="n">
        <v>83000</v>
      </c>
      <c r="L2399" s="33" t="n"/>
      <c r="M2399" s="33" t="n"/>
      <c r="N2399" s="22" t="n">
        <v>20</v>
      </c>
      <c r="O2399" s="22" t="n">
        <v>1660000</v>
      </c>
      <c r="P2399" s="22" t="n">
        <v>20</v>
      </c>
      <c r="Q2399" s="22" t="n">
        <v>1660000</v>
      </c>
      <c r="R2399" s="42">
        <f>+L2399+N2399-P2399</f>
        <v/>
      </c>
      <c r="S2399" s="42">
        <f>+M2399+O2399-Q2399</f>
        <v/>
      </c>
    </row>
    <row r="2400" ht="30" customHeight="1">
      <c r="A2400" s="16" t="n">
        <v>45869</v>
      </c>
      <c r="B2400" s="17" t="inlineStr">
        <is>
          <t>MH2507-68</t>
        </is>
      </c>
      <c r="C2400" s="16" t="n">
        <v>45869</v>
      </c>
      <c r="D2400" s="16" t="n">
        <v>45869</v>
      </c>
      <c r="E2400" s="17" t="inlineStr">
        <is>
          <t>00000161</t>
        </is>
      </c>
      <c r="F2400" s="16" t="inlineStr">
        <is>
          <t>XK2507-41</t>
        </is>
      </c>
      <c r="G2400" s="16" t="n">
        <v>45869</v>
      </c>
      <c r="H2400" s="17" t="inlineStr">
        <is>
          <t>CÔNG TY CỔ PHẦN SẢN XUẤT VẬT LIỆU CÁCH ÂM - CÁCH NHIỆT CÁT TƯỜNG</t>
        </is>
      </c>
      <c r="I2400" s="17" t="inlineStr">
        <is>
          <t>Băng keo 02 mặt</t>
        </is>
      </c>
      <c r="J2400" s="17" t="inlineStr">
        <is>
          <t>cuộn</t>
        </is>
      </c>
      <c r="K2400" s="19" t="n">
        <v>34545</v>
      </c>
      <c r="L2400" s="33" t="n"/>
      <c r="M2400" s="33" t="n"/>
      <c r="N2400" s="22" t="n">
        <v>91</v>
      </c>
      <c r="O2400" s="22" t="n">
        <v>3143595</v>
      </c>
      <c r="P2400" s="22" t="n">
        <v>91</v>
      </c>
      <c r="Q2400" s="22" t="n">
        <v>3143595</v>
      </c>
      <c r="R2400" s="42">
        <f>+L2400+N2400-P2400</f>
        <v/>
      </c>
      <c r="S2400" s="42">
        <f>+M2400+O2400-Q2400</f>
        <v/>
      </c>
    </row>
    <row r="2401" ht="30" customHeight="1">
      <c r="A2401" s="16" t="n">
        <v>45869</v>
      </c>
      <c r="B2401" s="17" t="inlineStr">
        <is>
          <t>MH2507-68</t>
        </is>
      </c>
      <c r="C2401" s="16" t="n">
        <v>45869</v>
      </c>
      <c r="D2401" s="16" t="n">
        <v>45869</v>
      </c>
      <c r="E2401" s="17" t="inlineStr">
        <is>
          <t>00000161</t>
        </is>
      </c>
      <c r="F2401" s="16" t="inlineStr">
        <is>
          <t>XK2507-41</t>
        </is>
      </c>
      <c r="G2401" s="16" t="n">
        <v>45869</v>
      </c>
      <c r="H2401" s="17" t="inlineStr">
        <is>
          <t>CÔNG TY CỔ PHẦN SẢN XUẤT VẬT LIỆU CÁCH ÂM - CÁCH NHIỆT CÁT TƯỜNG</t>
        </is>
      </c>
      <c r="I2401" s="17" t="inlineStr">
        <is>
          <t>Thép lá mạ kẽm</t>
        </is>
      </c>
      <c r="J2401" s="17" t="inlineStr">
        <is>
          <t>m</t>
        </is>
      </c>
      <c r="K2401" s="19" t="n">
        <v>4091</v>
      </c>
      <c r="L2401" s="33" t="n"/>
      <c r="M2401" s="33" t="n"/>
      <c r="N2401" s="22" t="n">
        <v>1360</v>
      </c>
      <c r="O2401" s="22" t="n">
        <v>5563760</v>
      </c>
      <c r="P2401" s="22" t="n">
        <v>1360</v>
      </c>
      <c r="Q2401" s="22" t="n">
        <v>5563760</v>
      </c>
      <c r="R2401" s="42">
        <f>+L2401+N2401-P2401</f>
        <v/>
      </c>
      <c r="S2401" s="42">
        <f>+M2401+O2401-Q2401</f>
        <v/>
      </c>
    </row>
    <row r="2402" ht="30" customHeight="1">
      <c r="A2402" s="16" t="n">
        <v>45869</v>
      </c>
      <c r="B2402" s="17" t="inlineStr">
        <is>
          <t>MH2507-68</t>
        </is>
      </c>
      <c r="C2402" s="16" t="n">
        <v>45869</v>
      </c>
      <c r="D2402" s="16" t="n">
        <v>45869</v>
      </c>
      <c r="E2402" s="17" t="inlineStr">
        <is>
          <t>00000161</t>
        </is>
      </c>
      <c r="F2402" s="16" t="inlineStr">
        <is>
          <t>XK2507-41</t>
        </is>
      </c>
      <c r="G2402" s="16" t="n">
        <v>45869</v>
      </c>
      <c r="H2402" s="17" t="inlineStr">
        <is>
          <t>CÔNG TY CỔ PHẦN SẢN XUẤT VẬT LIỆU CÁCH ÂM - CÁCH NHIỆT CÁT TƯỜNG</t>
        </is>
      </c>
      <c r="I2402" s="17" t="inlineStr">
        <is>
          <t>Tấm cách nhiệt A2-Double Cát Tường.</t>
        </is>
      </c>
      <c r="J2402" s="17" t="inlineStr">
        <is>
          <t>m2</t>
        </is>
      </c>
      <c r="K2402" s="19" t="n">
        <v>38000</v>
      </c>
      <c r="L2402" s="33" t="n"/>
      <c r="M2402" s="33" t="n"/>
      <c r="N2402" s="22" t="n">
        <v>2139</v>
      </c>
      <c r="O2402" s="22" t="n">
        <v>81282000</v>
      </c>
      <c r="P2402" s="22" t="n">
        <v>2139</v>
      </c>
      <c r="Q2402" s="22" t="n">
        <v>81282000</v>
      </c>
      <c r="R2402" s="42">
        <f>+L2402+N2402-P2402</f>
        <v/>
      </c>
      <c r="S2402" s="42">
        <f>+M2402+O2402-Q2402</f>
        <v/>
      </c>
    </row>
    <row r="2403" ht="30" customHeight="1">
      <c r="A2403" s="16" t="n">
        <v>45869</v>
      </c>
      <c r="B2403" s="17" t="inlineStr">
        <is>
          <t>MH2507-68</t>
        </is>
      </c>
      <c r="C2403" s="16" t="n">
        <v>45869</v>
      </c>
      <c r="D2403" s="16" t="n">
        <v>45869</v>
      </c>
      <c r="E2403" s="17" t="inlineStr">
        <is>
          <t>00000161</t>
        </is>
      </c>
      <c r="F2403" s="16" t="inlineStr">
        <is>
          <t>XK2507-41</t>
        </is>
      </c>
      <c r="G2403" s="16" t="n">
        <v>45869</v>
      </c>
      <c r="H2403" s="17" t="inlineStr">
        <is>
          <t>CÔNG TY CỔ PHẦN SẢN XUẤT VẬT LIỆU CÁCH ÂM - CÁCH NHIỆT CÁT TƯỜNG</t>
        </is>
      </c>
      <c r="I2403" s="17" t="inlineStr">
        <is>
          <t>Tấm cách nhiệt A2 Cát Tường</t>
        </is>
      </c>
      <c r="J2403" s="17" t="inlineStr">
        <is>
          <t>m2</t>
        </is>
      </c>
      <c r="K2403" s="19" t="n">
        <v>26000</v>
      </c>
      <c r="L2403" s="33" t="n"/>
      <c r="M2403" s="33" t="n"/>
      <c r="N2403" s="22" t="n">
        <v>2232</v>
      </c>
      <c r="O2403" s="22" t="n">
        <v>58032000</v>
      </c>
      <c r="P2403" s="22" t="n">
        <v>2232</v>
      </c>
      <c r="Q2403" s="22" t="n">
        <v>58032000</v>
      </c>
      <c r="R2403" s="42">
        <f>+L2403+N2403-P2403</f>
        <v/>
      </c>
      <c r="S2403" s="42">
        <f>+M2403+O2403-Q2403</f>
        <v/>
      </c>
    </row>
    <row r="2404" ht="30" customHeight="1">
      <c r="A2404" s="16" t="n">
        <v>45869</v>
      </c>
      <c r="B2404" s="17" t="inlineStr">
        <is>
          <t>MH2507-70</t>
        </is>
      </c>
      <c r="C2404" s="16" t="n">
        <v>45869</v>
      </c>
      <c r="D2404" s="16" t="n">
        <v>45869</v>
      </c>
      <c r="E2404" s="17" t="inlineStr">
        <is>
          <t>587</t>
        </is>
      </c>
      <c r="F2404" s="16" t="inlineStr">
        <is>
          <t>XK2507-42</t>
        </is>
      </c>
      <c r="G2404" s="16" t="n">
        <v>45869</v>
      </c>
      <c r="H2404" s="17" t="inlineStr">
        <is>
          <t>CÔNG TY TNHH SẢN XUẤT THƯƠNG MẠI PHÁT TRIỂN TIẾN THÀNH</t>
        </is>
      </c>
      <c r="I2404" s="17" t="inlineStr">
        <is>
          <t>Chếch uPVC 90M-hệ inch</t>
        </is>
      </c>
      <c r="J2404" s="17" t="inlineStr">
        <is>
          <t>Bộ</t>
        </is>
      </c>
      <c r="K2404" s="19" t="n">
        <v>13440</v>
      </c>
      <c r="L2404" s="33" t="n"/>
      <c r="M2404" s="33" t="n"/>
      <c r="N2404" s="22" t="n">
        <v>32</v>
      </c>
      <c r="O2404" s="22" t="n">
        <v>430080</v>
      </c>
      <c r="P2404" s="22" t="n">
        <v>32</v>
      </c>
      <c r="Q2404" s="22" t="n">
        <v>430080</v>
      </c>
      <c r="R2404" s="42">
        <f>+L2404+N2404-P2404</f>
        <v/>
      </c>
      <c r="S2404" s="42">
        <f>+M2404+O2404-Q2404</f>
        <v/>
      </c>
    </row>
    <row r="2405" ht="30" customHeight="1">
      <c r="A2405" s="16" t="n">
        <v>45869</v>
      </c>
      <c r="B2405" s="17" t="inlineStr">
        <is>
          <t>MH2507-70</t>
        </is>
      </c>
      <c r="C2405" s="16" t="n">
        <v>45869</v>
      </c>
      <c r="D2405" s="16" t="n">
        <v>45869</v>
      </c>
      <c r="E2405" s="17" t="inlineStr">
        <is>
          <t>587</t>
        </is>
      </c>
      <c r="F2405" s="16" t="inlineStr">
        <is>
          <t>XK2507-42</t>
        </is>
      </c>
      <c r="G2405" s="16" t="n">
        <v>45869</v>
      </c>
      <c r="H2405" s="17" t="inlineStr">
        <is>
          <t>CÔNG TY TNHH SẢN XUẤT THƯƠNG MẠI PHÁT TRIỂN TIẾN THÀNH</t>
        </is>
      </c>
      <c r="I2405" s="17" t="inlineStr">
        <is>
          <t>Co PVC-U 140 mỏng</t>
        </is>
      </c>
      <c r="J2405" s="17" t="inlineStr">
        <is>
          <t>Bộ</t>
        </is>
      </c>
      <c r="K2405" s="19" t="n">
        <v>87850</v>
      </c>
      <c r="L2405" s="33" t="n"/>
      <c r="M2405" s="33" t="n"/>
      <c r="N2405" s="22" t="n">
        <v>6</v>
      </c>
      <c r="O2405" s="22" t="n">
        <v>527100</v>
      </c>
      <c r="P2405" s="22" t="n">
        <v>6</v>
      </c>
      <c r="Q2405" s="22" t="n">
        <v>527100</v>
      </c>
      <c r="R2405" s="42">
        <f>+L2405+N2405-P2405</f>
        <v/>
      </c>
      <c r="S2405" s="42">
        <f>+M2405+O2405-Q2405</f>
        <v/>
      </c>
    </row>
    <row r="2406" ht="30" customHeight="1">
      <c r="A2406" s="16" t="n">
        <v>45869</v>
      </c>
      <c r="B2406" s="17" t="inlineStr">
        <is>
          <t>MH2507-70</t>
        </is>
      </c>
      <c r="C2406" s="16" t="n">
        <v>45869</v>
      </c>
      <c r="D2406" s="16" t="n">
        <v>45869</v>
      </c>
      <c r="E2406" s="17" t="inlineStr">
        <is>
          <t>587</t>
        </is>
      </c>
      <c r="F2406" s="16" t="inlineStr">
        <is>
          <t>XK2507-42</t>
        </is>
      </c>
      <c r="G2406" s="16" t="n">
        <v>45869</v>
      </c>
      <c r="H2406" s="17" t="inlineStr">
        <is>
          <t>CÔNG TY TNHH SẢN XUẤT THƯƠNG MẠI PHÁT TRIỂN TIẾN THÀNH</t>
        </is>
      </c>
      <c r="I2406" s="17" t="inlineStr">
        <is>
          <t>Cút uPVC 90M-hệ inch</t>
        </is>
      </c>
      <c r="J2406" s="17" t="inlineStr">
        <is>
          <t>Bộ</t>
        </is>
      </c>
      <c r="K2406" s="19" t="n">
        <v>16080</v>
      </c>
      <c r="L2406" s="33" t="n"/>
      <c r="M2406" s="33" t="n"/>
      <c r="N2406" s="22" t="n">
        <v>50</v>
      </c>
      <c r="O2406" s="22" t="n">
        <v>804000</v>
      </c>
      <c r="P2406" s="22" t="n">
        <v>50</v>
      </c>
      <c r="Q2406" s="22" t="n">
        <v>804000</v>
      </c>
      <c r="R2406" s="42">
        <f>+L2406+N2406-P2406</f>
        <v/>
      </c>
      <c r="S2406" s="42">
        <f>+M2406+O2406-Q2406</f>
        <v/>
      </c>
    </row>
    <row r="2407" ht="30" customHeight="1">
      <c r="A2407" s="16" t="n">
        <v>45869</v>
      </c>
      <c r="B2407" s="17" t="inlineStr">
        <is>
          <t>MH2507-70</t>
        </is>
      </c>
      <c r="C2407" s="16" t="n">
        <v>45869</v>
      </c>
      <c r="D2407" s="16" t="n">
        <v>45869</v>
      </c>
      <c r="E2407" s="17" t="inlineStr">
        <is>
          <t>587</t>
        </is>
      </c>
      <c r="F2407" s="16" t="inlineStr">
        <is>
          <t>XK2507-42</t>
        </is>
      </c>
      <c r="G2407" s="16" t="n">
        <v>45869</v>
      </c>
      <c r="H2407" s="17" t="inlineStr">
        <is>
          <t>CÔNG TY TNHH SẢN XUẤT THƯƠNG MẠI PHÁT TRIỂN TIẾN THÀNH</t>
        </is>
      </c>
      <c r="I2407" s="17" t="inlineStr">
        <is>
          <t>Keo dán ống nhựa UPVC loại 1000g</t>
        </is>
      </c>
      <c r="J2407" s="17" t="inlineStr">
        <is>
          <t>Bộ</t>
        </is>
      </c>
      <c r="K2407" s="19" t="n">
        <v>85500</v>
      </c>
      <c r="L2407" s="33" t="n"/>
      <c r="M2407" s="33" t="n"/>
      <c r="N2407" s="22" t="n">
        <v>3</v>
      </c>
      <c r="O2407" s="22" t="n">
        <v>256500</v>
      </c>
      <c r="P2407" s="22" t="n">
        <v>3</v>
      </c>
      <c r="Q2407" s="22" t="n">
        <v>256500</v>
      </c>
      <c r="R2407" s="42">
        <f>+L2407+N2407-P2407</f>
        <v/>
      </c>
      <c r="S2407" s="42">
        <f>+M2407+O2407-Q2407</f>
        <v/>
      </c>
    </row>
    <row r="2408" ht="30" customHeight="1">
      <c r="A2408" s="16" t="n">
        <v>45869</v>
      </c>
      <c r="B2408" s="17" t="inlineStr">
        <is>
          <t>MH2507-70</t>
        </is>
      </c>
      <c r="C2408" s="16" t="n">
        <v>45869</v>
      </c>
      <c r="D2408" s="16" t="n">
        <v>45869</v>
      </c>
      <c r="E2408" s="17" t="inlineStr">
        <is>
          <t>587</t>
        </is>
      </c>
      <c r="F2408" s="16" t="inlineStr">
        <is>
          <t>XK2507-42</t>
        </is>
      </c>
      <c r="G2408" s="16" t="n">
        <v>45869</v>
      </c>
      <c r="H2408" s="17" t="inlineStr">
        <is>
          <t>CÔNG TY TNHH SẢN XUẤT THƯƠNG MẠI PHÁT TRIỂN TIẾN THÀNH</t>
        </is>
      </c>
      <c r="I2408" s="17" t="inlineStr">
        <is>
          <t>Măng sông uPVC 90M-hệ inch</t>
        </is>
      </c>
      <c r="J2408" s="17" t="inlineStr">
        <is>
          <t>Bộ</t>
        </is>
      </c>
      <c r="K2408" s="19" t="n">
        <v>9480</v>
      </c>
      <c r="L2408" s="33" t="n"/>
      <c r="M2408" s="33" t="n"/>
      <c r="N2408" s="22" t="n">
        <v>9</v>
      </c>
      <c r="O2408" s="22" t="n">
        <v>85320</v>
      </c>
      <c r="P2408" s="22" t="n">
        <v>9</v>
      </c>
      <c r="Q2408" s="22" t="n">
        <v>85320</v>
      </c>
      <c r="R2408" s="42">
        <f>+L2408+N2408-P2408</f>
        <v/>
      </c>
      <c r="S2408" s="42">
        <f>+M2408+O2408-Q2408</f>
        <v/>
      </c>
    </row>
    <row r="2409" ht="30" customHeight="1">
      <c r="A2409" s="16" t="n">
        <v>45869</v>
      </c>
      <c r="B2409" s="17" t="inlineStr">
        <is>
          <t>MH2507-70</t>
        </is>
      </c>
      <c r="C2409" s="16" t="n">
        <v>45869</v>
      </c>
      <c r="D2409" s="16" t="n">
        <v>45869</v>
      </c>
      <c r="E2409" s="17" t="inlineStr">
        <is>
          <t>587</t>
        </is>
      </c>
      <c r="F2409" s="16" t="inlineStr">
        <is>
          <t>XK2507-42</t>
        </is>
      </c>
      <c r="G2409" s="16" t="n">
        <v>45869</v>
      </c>
      <c r="H2409" s="17" t="inlineStr">
        <is>
          <t>CÔNG TY TNHH SẢN XUẤT THƯƠNG MẠI PHÁT TRIỂN TIẾN THÀNH</t>
        </is>
      </c>
      <c r="I2409" s="17" t="inlineStr">
        <is>
          <t>Cầu chắn rác inox 304 D90</t>
        </is>
      </c>
      <c r="J2409" s="17" t="inlineStr">
        <is>
          <t>Bộ</t>
        </is>
      </c>
      <c r="K2409" s="19" t="n">
        <v>90000</v>
      </c>
      <c r="L2409" s="33" t="n"/>
      <c r="M2409" s="33" t="n"/>
      <c r="N2409" s="22" t="n">
        <v>24</v>
      </c>
      <c r="O2409" s="22" t="n">
        <v>2160000</v>
      </c>
      <c r="P2409" s="22" t="n">
        <v>24</v>
      </c>
      <c r="Q2409" s="22" t="n">
        <v>2160000</v>
      </c>
      <c r="R2409" s="42">
        <f>+L2409+N2409-P2409</f>
        <v/>
      </c>
      <c r="S2409" s="42">
        <f>+M2409+O2409-Q2409</f>
        <v/>
      </c>
    </row>
    <row r="2410" ht="30" customHeight="1">
      <c r="A2410" s="16" t="n">
        <v>45869</v>
      </c>
      <c r="B2410" s="17" t="inlineStr">
        <is>
          <t>MH2507-70</t>
        </is>
      </c>
      <c r="C2410" s="16" t="n">
        <v>45869</v>
      </c>
      <c r="D2410" s="16" t="n">
        <v>45869</v>
      </c>
      <c r="E2410" s="17" t="inlineStr">
        <is>
          <t>587</t>
        </is>
      </c>
      <c r="F2410" s="16" t="inlineStr">
        <is>
          <t>XK2507-42</t>
        </is>
      </c>
      <c r="G2410" s="16" t="n">
        <v>45869</v>
      </c>
      <c r="H2410" s="17" t="inlineStr">
        <is>
          <t>CÔNG TY TNHH SẢN XUẤT THƯƠNG MẠI PHÁT TRIỂN TIẾN THÀNH</t>
        </is>
      </c>
      <c r="I2410" s="17" t="inlineStr">
        <is>
          <t>Cầu chắn rác inox 304 D140</t>
        </is>
      </c>
      <c r="J2410" s="17" t="inlineStr">
        <is>
          <t>Bộ</t>
        </is>
      </c>
      <c r="K2410" s="19" t="n">
        <v>145000</v>
      </c>
      <c r="L2410" s="33" t="n"/>
      <c r="M2410" s="33" t="n"/>
      <c r="N2410" s="22" t="n">
        <v>15</v>
      </c>
      <c r="O2410" s="22" t="n">
        <v>2175000</v>
      </c>
      <c r="P2410" s="22" t="n">
        <v>15</v>
      </c>
      <c r="Q2410" s="22" t="n">
        <v>2175000</v>
      </c>
      <c r="R2410" s="42">
        <f>+L2410+N2410-P2410</f>
        <v/>
      </c>
      <c r="S2410" s="42">
        <f>+M2410+O2410-Q2410</f>
        <v/>
      </c>
    </row>
    <row r="2411" ht="30" customHeight="1">
      <c r="A2411" s="16" t="n">
        <v>45869</v>
      </c>
      <c r="B2411" s="17" t="inlineStr">
        <is>
          <t>MH2507-70</t>
        </is>
      </c>
      <c r="C2411" s="16" t="n">
        <v>45869</v>
      </c>
      <c r="D2411" s="16" t="n">
        <v>45869</v>
      </c>
      <c r="E2411" s="17" t="inlineStr">
        <is>
          <t>587</t>
        </is>
      </c>
      <c r="F2411" s="16" t="inlineStr">
        <is>
          <t>XK2507-42</t>
        </is>
      </c>
      <c r="G2411" s="16" t="n">
        <v>45869</v>
      </c>
      <c r="H2411" s="17" t="inlineStr">
        <is>
          <t>CÔNG TY TNHH SẢN XUẤT THƯƠNG MẠI PHÁT TRIỂN TIẾN THÀNH</t>
        </is>
      </c>
      <c r="I2411" s="17" t="inlineStr">
        <is>
          <t>Ống uPVC C2 D140 (140x4.1mm)</t>
        </is>
      </c>
      <c r="J2411" s="17" t="inlineStr">
        <is>
          <t>Bộ</t>
        </is>
      </c>
      <c r="K2411" s="19" t="n">
        <v>98400</v>
      </c>
      <c r="L2411" s="33" t="n"/>
      <c r="M2411" s="33" t="n"/>
      <c r="N2411" s="22" t="n">
        <v>248</v>
      </c>
      <c r="O2411" s="22" t="n">
        <v>24403200</v>
      </c>
      <c r="P2411" s="22" t="n">
        <v>248</v>
      </c>
      <c r="Q2411" s="22" t="n">
        <v>24403200</v>
      </c>
      <c r="R2411" s="42">
        <f>+L2411+N2411-P2411</f>
        <v/>
      </c>
      <c r="S2411" s="42">
        <f>+M2411+O2411-Q2411</f>
        <v/>
      </c>
    </row>
    <row r="2412" ht="30" customHeight="1">
      <c r="A2412" s="16" t="n">
        <v>45869</v>
      </c>
      <c r="B2412" s="17" t="inlineStr">
        <is>
          <t>MH2507-70</t>
        </is>
      </c>
      <c r="C2412" s="16" t="n">
        <v>45869</v>
      </c>
      <c r="D2412" s="16" t="n">
        <v>45869</v>
      </c>
      <c r="E2412" s="17" t="inlineStr">
        <is>
          <t>587</t>
        </is>
      </c>
      <c r="F2412" s="16" t="inlineStr">
        <is>
          <t>XK2507-42</t>
        </is>
      </c>
      <c r="G2412" s="16" t="n">
        <v>45869</v>
      </c>
      <c r="H2412" s="17" t="inlineStr">
        <is>
          <t>CÔNG TY TNHH SẢN XUẤT THƯƠNG MẠI PHÁT TRIỂN TIẾN THÀNH</t>
        </is>
      </c>
      <c r="I2412" s="17" t="inlineStr">
        <is>
          <t>Ống uPVC D90x2.9 mm (hệ inch)</t>
        </is>
      </c>
      <c r="J2412" s="17" t="inlineStr">
        <is>
          <t>Bộ</t>
        </is>
      </c>
      <c r="K2412" s="19" t="n">
        <v>41340</v>
      </c>
      <c r="L2412" s="33" t="n"/>
      <c r="M2412" s="33" t="n"/>
      <c r="N2412" s="22" t="n">
        <v>272</v>
      </c>
      <c r="O2412" s="22" t="n">
        <v>11244480</v>
      </c>
      <c r="P2412" s="22" t="n">
        <v>272</v>
      </c>
      <c r="Q2412" s="22" t="n">
        <v>11244480</v>
      </c>
      <c r="R2412" s="42">
        <f>+L2412+N2412-P2412</f>
        <v/>
      </c>
      <c r="S2412" s="42">
        <f>+M2412+O2412-Q2412</f>
        <v/>
      </c>
    </row>
    <row r="2413" ht="30" customHeight="1">
      <c r="A2413" s="16" t="n">
        <v>45869</v>
      </c>
      <c r="B2413" s="17" t="inlineStr">
        <is>
          <t>MH2507-70</t>
        </is>
      </c>
      <c r="C2413" s="16" t="n">
        <v>45869</v>
      </c>
      <c r="D2413" s="16" t="n">
        <v>45869</v>
      </c>
      <c r="E2413" s="17" t="inlineStr">
        <is>
          <t>587</t>
        </is>
      </c>
      <c r="F2413" s="16" t="inlineStr">
        <is>
          <t>XK2507-42</t>
        </is>
      </c>
      <c r="G2413" s="16" t="n">
        <v>45869</v>
      </c>
      <c r="H2413" s="17" t="inlineStr">
        <is>
          <t>CÔNG TY TNHH SẢN XUẤT THƯƠNG MẠI PHÁT TRIỂN TIẾN THÀNH</t>
        </is>
      </c>
      <c r="I2413" s="17" t="inlineStr">
        <is>
          <t>Co 45 PVC-U dn140-PN6</t>
        </is>
      </c>
      <c r="J2413" s="17" t="inlineStr">
        <is>
          <t>Bộ</t>
        </is>
      </c>
      <c r="K2413" s="19" t="n">
        <v>64750</v>
      </c>
      <c r="L2413" s="33" t="n"/>
      <c r="M2413" s="33" t="n"/>
      <c r="N2413" s="22" t="n">
        <v>3</v>
      </c>
      <c r="O2413" s="22" t="n">
        <v>194250</v>
      </c>
      <c r="P2413" s="22" t="n">
        <v>3</v>
      </c>
      <c r="Q2413" s="22" t="n">
        <v>194250</v>
      </c>
      <c r="R2413" s="42">
        <f>+L2413+N2413-P2413</f>
        <v/>
      </c>
      <c r="S2413" s="42">
        <f>+M2413+O2413-Q2413</f>
        <v/>
      </c>
    </row>
    <row r="2414" ht="21.6" customHeight="1">
      <c r="A2414" s="16" t="n">
        <v>45870</v>
      </c>
      <c r="B2414" s="17" t="inlineStr">
        <is>
          <t>MH2508-01</t>
        </is>
      </c>
      <c r="C2414" s="16" t="n">
        <v>45870</v>
      </c>
      <c r="D2414" s="17" t="inlineStr">
        <is>
          <t>00000337</t>
        </is>
      </c>
      <c r="E2414" s="16" t="n">
        <v>45870</v>
      </c>
      <c r="F2414" s="16" t="inlineStr">
        <is>
          <t>XK2508-01</t>
        </is>
      </c>
      <c r="G2414" s="16" t="n">
        <v>45870</v>
      </c>
      <c r="H2414" s="18" t="inlineStr">
        <is>
          <t>CÔNG TY TNHH TÂN MỸ HẠNH</t>
        </is>
      </c>
      <c r="I2414" s="18" t="inlineStr">
        <is>
          <t>Thép dày mạ kẽm</t>
        </is>
      </c>
      <c r="J2414" s="18" t="inlineStr">
        <is>
          <t>kg</t>
        </is>
      </c>
      <c r="K2414" s="19" t="n">
        <v>22696</v>
      </c>
      <c r="L2414" s="20" t="n"/>
      <c r="M2414" s="20" t="n"/>
      <c r="N2414" s="22" t="n">
        <v>44.4627</v>
      </c>
      <c r="O2414" s="22" t="n">
        <v>1009125</v>
      </c>
      <c r="P2414" s="22" t="n">
        <v>44.4627</v>
      </c>
      <c r="Q2414" s="22" t="n">
        <v>1009125</v>
      </c>
      <c r="R2414" s="42">
        <f>+L2414+N2414-P2414</f>
        <v/>
      </c>
      <c r="S2414" s="42">
        <f>+M2414+O2414-Q2414</f>
        <v/>
      </c>
    </row>
    <row r="2415" ht="15" customHeight="1">
      <c r="A2415" s="16" t="n">
        <v>45870</v>
      </c>
      <c r="B2415" s="17" t="inlineStr">
        <is>
          <t>MH2508-01</t>
        </is>
      </c>
      <c r="C2415" s="16" t="n">
        <v>45870</v>
      </c>
      <c r="D2415" s="17" t="inlineStr">
        <is>
          <t>00000337</t>
        </is>
      </c>
      <c r="E2415" s="16" t="n">
        <v>45870</v>
      </c>
      <c r="F2415" s="16" t="inlineStr">
        <is>
          <t>XK2508-01</t>
        </is>
      </c>
      <c r="G2415" s="16" t="n">
        <v>45870</v>
      </c>
      <c r="H2415" s="18" t="inlineStr">
        <is>
          <t>CÔNG TY TNHH TÂN MỸ HẠNH</t>
        </is>
      </c>
      <c r="I2415" s="18" t="inlineStr">
        <is>
          <t>Xà gồ kẽm C</t>
        </is>
      </c>
      <c r="J2415" s="18" t="inlineStr">
        <is>
          <t>kg</t>
        </is>
      </c>
      <c r="K2415" s="19" t="n">
        <v>18971</v>
      </c>
      <c r="L2415" s="20" t="n"/>
      <c r="M2415" s="20" t="n"/>
      <c r="N2415" s="22" t="n">
        <v>43.32</v>
      </c>
      <c r="O2415" s="22" t="n">
        <v>821824</v>
      </c>
      <c r="P2415" s="22" t="n">
        <v>43.32</v>
      </c>
      <c r="Q2415" s="22" t="n">
        <v>821824</v>
      </c>
      <c r="R2415" s="42">
        <f>+L2415+N2415-P2415</f>
        <v/>
      </c>
      <c r="S2415" s="42">
        <f>+M2415+O2415-Q2415</f>
        <v/>
      </c>
    </row>
    <row r="2416" ht="30" customHeight="1">
      <c r="A2416" s="16" t="n">
        <v>45870</v>
      </c>
      <c r="B2416" s="17" t="inlineStr">
        <is>
          <t>MH2508-02</t>
        </is>
      </c>
      <c r="C2416" s="16" t="n">
        <v>45870</v>
      </c>
      <c r="D2416" s="17" t="inlineStr">
        <is>
          <t>266</t>
        </is>
      </c>
      <c r="E2416" s="16" t="n">
        <v>45870</v>
      </c>
      <c r="F2416" s="16" t="inlineStr">
        <is>
          <t>XK2508-02</t>
        </is>
      </c>
      <c r="G2416" s="16" t="n">
        <v>45870</v>
      </c>
      <c r="H2416" s="18" t="inlineStr">
        <is>
          <t>CÔNG TY TNHH VẬT LIỆU XÂY DỰNG THÉP SÔNG HỒNG HÀ</t>
        </is>
      </c>
      <c r="I2416" s="18" t="inlineStr">
        <is>
          <t>Tôn nhựa 5 sóng ASA 2.5mm</t>
        </is>
      </c>
      <c r="J2416" s="18" t="inlineStr">
        <is>
          <t>Bộ</t>
        </is>
      </c>
      <c r="K2416" s="19" t="n">
        <v>76999.3</v>
      </c>
      <c r="L2416" s="20" t="n"/>
      <c r="M2416" s="20" t="n"/>
      <c r="N2416" s="22" t="n">
        <v>258.39</v>
      </c>
      <c r="O2416" s="22" t="n">
        <v>19895849</v>
      </c>
      <c r="P2416" s="22" t="n">
        <v>258.39</v>
      </c>
      <c r="Q2416" s="22" t="n">
        <v>19895849</v>
      </c>
      <c r="R2416" s="42">
        <f>+L2416+N2416-P2416</f>
        <v/>
      </c>
      <c r="S2416" s="42">
        <f>+M2416+O2416-Q2416</f>
        <v/>
      </c>
    </row>
    <row r="2417" ht="15" customHeight="1">
      <c r="A2417" s="16" t="n">
        <v>45871</v>
      </c>
      <c r="B2417" s="17" t="inlineStr">
        <is>
          <t>MH2508-03</t>
        </is>
      </c>
      <c r="C2417" s="16" t="n">
        <v>45871</v>
      </c>
      <c r="D2417" s="17" t="inlineStr">
        <is>
          <t>962</t>
        </is>
      </c>
      <c r="E2417" s="16" t="n">
        <v>45871</v>
      </c>
      <c r="F2417" s="16" t="inlineStr">
        <is>
          <t>XK2508-03</t>
        </is>
      </c>
      <c r="G2417" s="16" t="n">
        <v>45871</v>
      </c>
      <c r="H2417" s="18" t="inlineStr">
        <is>
          <t>CÔNG TY CỔ PHẦN QH PLUS</t>
        </is>
      </c>
      <c r="I2417" s="18" t="inlineStr">
        <is>
          <t>Thép tấm cán nóng 16x2000x12000</t>
        </is>
      </c>
      <c r="J2417" s="18" t="inlineStr">
        <is>
          <t>kg</t>
        </is>
      </c>
      <c r="K2417" s="19" t="n">
        <v>14391</v>
      </c>
      <c r="L2417" s="20" t="n"/>
      <c r="M2417" s="20" t="n"/>
      <c r="N2417" s="22" t="n">
        <v>30144</v>
      </c>
      <c r="O2417" s="22" t="n">
        <v>433802304</v>
      </c>
      <c r="P2417" s="22" t="n">
        <v>30144</v>
      </c>
      <c r="Q2417" s="22" t="n">
        <v>433802304</v>
      </c>
      <c r="R2417" s="42">
        <f>+L2417+N2417-P2417</f>
        <v/>
      </c>
      <c r="S2417" s="42">
        <f>+M2417+O2417-Q2417</f>
        <v/>
      </c>
    </row>
    <row r="2418" ht="15" customHeight="1">
      <c r="A2418" s="16" t="n">
        <v>45871</v>
      </c>
      <c r="B2418" s="17" t="inlineStr">
        <is>
          <t>MH2508-03</t>
        </is>
      </c>
      <c r="C2418" s="16" t="n">
        <v>45871</v>
      </c>
      <c r="D2418" s="17" t="inlineStr">
        <is>
          <t>962</t>
        </is>
      </c>
      <c r="E2418" s="16" t="n">
        <v>45871</v>
      </c>
      <c r="F2418" s="16" t="inlineStr">
        <is>
          <t>XK2508-03</t>
        </is>
      </c>
      <c r="G2418" s="16" t="n">
        <v>45871</v>
      </c>
      <c r="H2418" s="18" t="inlineStr">
        <is>
          <t>CÔNG TY CỔ PHẦN QH PLUS</t>
        </is>
      </c>
      <c r="I2418" s="18" t="inlineStr">
        <is>
          <t>Thép tấm cán nóng 16x2000x12000</t>
        </is>
      </c>
      <c r="J2418" s="18" t="inlineStr">
        <is>
          <t>kg</t>
        </is>
      </c>
      <c r="K2418" s="19" t="n">
        <v>14391</v>
      </c>
      <c r="L2418" s="20" t="n"/>
      <c r="M2418" s="20" t="n"/>
      <c r="N2418" s="22" t="n">
        <v>30144</v>
      </c>
      <c r="O2418" s="22" t="n">
        <v>433802304</v>
      </c>
      <c r="P2418" s="22" t="n">
        <v>30144</v>
      </c>
      <c r="Q2418" s="22" t="n">
        <v>433802304</v>
      </c>
      <c r="R2418" s="42">
        <f>+L2418+N2418-P2418</f>
        <v/>
      </c>
      <c r="S2418" s="42">
        <f>+M2418+O2418-Q2418</f>
        <v/>
      </c>
    </row>
    <row r="2419" ht="15" customHeight="1">
      <c r="A2419" s="16" t="n">
        <v>45873</v>
      </c>
      <c r="B2419" s="17" t="inlineStr">
        <is>
          <t>MH2508-04</t>
        </is>
      </c>
      <c r="C2419" s="16" t="n">
        <v>45873</v>
      </c>
      <c r="D2419" s="17" t="inlineStr">
        <is>
          <t>00000354</t>
        </is>
      </c>
      <c r="E2419" s="16" t="n">
        <v>45873</v>
      </c>
      <c r="F2419" s="16" t="inlineStr">
        <is>
          <t>XK2508-04</t>
        </is>
      </c>
      <c r="G2419" s="16" t="n">
        <v>45873</v>
      </c>
      <c r="H2419" s="18" t="inlineStr">
        <is>
          <t>CÔNG TY TNHH NIPPOVINA</t>
        </is>
      </c>
      <c r="I2419" s="18" t="inlineStr">
        <is>
          <t>Thép lá mạ màu PN TWhite 6 0,48 x 580mm AZ150</t>
        </is>
      </c>
      <c r="J2419" s="18" t="inlineStr">
        <is>
          <t>Bộ</t>
        </is>
      </c>
      <c r="K2419" s="19" t="n">
        <v>88000</v>
      </c>
      <c r="L2419" s="20" t="n"/>
      <c r="M2419" s="20" t="n"/>
      <c r="N2419" s="22" t="n">
        <v>3.7</v>
      </c>
      <c r="O2419" s="22" t="n">
        <v>325600</v>
      </c>
      <c r="P2419" s="22" t="n">
        <v>3.7</v>
      </c>
      <c r="Q2419" s="22" t="n">
        <v>325600</v>
      </c>
      <c r="R2419" s="42">
        <f>+L2419+N2419-P2419</f>
        <v/>
      </c>
      <c r="S2419" s="42">
        <f>+M2419+O2419-Q2419</f>
        <v/>
      </c>
    </row>
    <row r="2420" ht="15" customHeight="1">
      <c r="A2420" s="16" t="n">
        <v>45873</v>
      </c>
      <c r="B2420" s="17" t="inlineStr">
        <is>
          <t>MH2508-04</t>
        </is>
      </c>
      <c r="C2420" s="16" t="n">
        <v>45873</v>
      </c>
      <c r="D2420" s="17" t="inlineStr">
        <is>
          <t>00000354</t>
        </is>
      </c>
      <c r="E2420" s="16" t="n">
        <v>45873</v>
      </c>
      <c r="F2420" s="16" t="inlineStr">
        <is>
          <t>XK2508-04</t>
        </is>
      </c>
      <c r="G2420" s="16" t="n">
        <v>45873</v>
      </c>
      <c r="H2420" s="18" t="inlineStr">
        <is>
          <t>CÔNG TY TNHH NIPPOVINA</t>
        </is>
      </c>
      <c r="I2420" s="18" t="inlineStr">
        <is>
          <t>Thép lá mạ màu PN TWhite 6 0,48 x 630mm AZ150</t>
        </is>
      </c>
      <c r="J2420" s="18" t="inlineStr">
        <is>
          <t>Bộ</t>
        </is>
      </c>
      <c r="K2420" s="19" t="n">
        <v>88000</v>
      </c>
      <c r="L2420" s="20" t="n"/>
      <c r="M2420" s="20" t="n"/>
      <c r="N2420" s="22" t="n">
        <v>3.7</v>
      </c>
      <c r="O2420" s="22" t="n">
        <v>325600</v>
      </c>
      <c r="P2420" s="22" t="n">
        <v>3.7</v>
      </c>
      <c r="Q2420" s="22" t="n">
        <v>325600</v>
      </c>
      <c r="R2420" s="42">
        <f>+L2420+N2420-P2420</f>
        <v/>
      </c>
      <c r="S2420" s="42">
        <f>+M2420+O2420-Q2420</f>
        <v/>
      </c>
    </row>
    <row r="2421" ht="15" customHeight="1">
      <c r="A2421" s="16" t="n">
        <v>45873</v>
      </c>
      <c r="B2421" s="17" t="inlineStr">
        <is>
          <t>MH2508-04</t>
        </is>
      </c>
      <c r="C2421" s="16" t="n">
        <v>45873</v>
      </c>
      <c r="D2421" s="17" t="inlineStr">
        <is>
          <t>00000354</t>
        </is>
      </c>
      <c r="E2421" s="16" t="n">
        <v>45873</v>
      </c>
      <c r="F2421" s="16" t="inlineStr">
        <is>
          <t>XK2508-04</t>
        </is>
      </c>
      <c r="G2421" s="16" t="n">
        <v>45873</v>
      </c>
      <c r="H2421" s="18" t="inlineStr">
        <is>
          <t>CÔNG TY TNHH NIPPOVINA</t>
        </is>
      </c>
      <c r="I2421" s="18" t="inlineStr">
        <is>
          <t>Thép lá mạ màu PN TWhite 6 0,48 x 500mm AZ150</t>
        </is>
      </c>
      <c r="J2421" s="18" t="inlineStr">
        <is>
          <t>Bộ</t>
        </is>
      </c>
      <c r="K2421" s="19" t="n">
        <v>76000</v>
      </c>
      <c r="L2421" s="20" t="n"/>
      <c r="M2421" s="20" t="n"/>
      <c r="N2421" s="22" t="n">
        <v>84</v>
      </c>
      <c r="O2421" s="22" t="n">
        <v>6384000</v>
      </c>
      <c r="P2421" s="22" t="n">
        <v>84</v>
      </c>
      <c r="Q2421" s="22" t="n">
        <v>6384000</v>
      </c>
      <c r="R2421" s="42">
        <f>+L2421+N2421-P2421</f>
        <v/>
      </c>
      <c r="S2421" s="42">
        <f>+M2421+O2421-Q2421</f>
        <v/>
      </c>
    </row>
    <row r="2422" ht="15" customHeight="1">
      <c r="A2422" s="16" t="n">
        <v>45873</v>
      </c>
      <c r="B2422" s="17" t="inlineStr">
        <is>
          <t>MH2508-04</t>
        </is>
      </c>
      <c r="C2422" s="16" t="n">
        <v>45873</v>
      </c>
      <c r="D2422" s="17" t="inlineStr">
        <is>
          <t>00000354</t>
        </is>
      </c>
      <c r="E2422" s="16" t="n">
        <v>45873</v>
      </c>
      <c r="F2422" s="16" t="inlineStr">
        <is>
          <t>XK2508-04</t>
        </is>
      </c>
      <c r="G2422" s="16" t="n">
        <v>45873</v>
      </c>
      <c r="H2422" s="18" t="inlineStr">
        <is>
          <t>CÔNG TY TNHH NIPPOVINA</t>
        </is>
      </c>
      <c r="I2422" s="18" t="inlineStr">
        <is>
          <t>Thép lá mạ màu PN TWhite 6 0,48 x 600mm AZ150</t>
        </is>
      </c>
      <c r="J2422" s="18" t="inlineStr">
        <is>
          <t>Bộ</t>
        </is>
      </c>
      <c r="K2422" s="19" t="n">
        <v>91000</v>
      </c>
      <c r="L2422" s="20" t="n"/>
      <c r="M2422" s="20" t="n"/>
      <c r="N2422" s="22" t="n">
        <v>9</v>
      </c>
      <c r="O2422" s="22" t="n">
        <v>819000</v>
      </c>
      <c r="P2422" s="22" t="n">
        <v>9</v>
      </c>
      <c r="Q2422" s="22" t="n">
        <v>819000</v>
      </c>
      <c r="R2422" s="42">
        <f>+L2422+N2422-P2422</f>
        <v/>
      </c>
      <c r="S2422" s="42">
        <f>+M2422+O2422-Q2422</f>
        <v/>
      </c>
    </row>
    <row r="2423" ht="15" customHeight="1">
      <c r="A2423" s="16" t="n">
        <v>45873</v>
      </c>
      <c r="B2423" s="17" t="inlineStr">
        <is>
          <t>MH2508-04</t>
        </is>
      </c>
      <c r="C2423" s="16" t="n">
        <v>45873</v>
      </c>
      <c r="D2423" s="17" t="inlineStr">
        <is>
          <t>00000354</t>
        </is>
      </c>
      <c r="E2423" s="16" t="n">
        <v>45873</v>
      </c>
      <c r="F2423" s="16" t="inlineStr">
        <is>
          <t>XK2508-04</t>
        </is>
      </c>
      <c r="G2423" s="16" t="n">
        <v>45873</v>
      </c>
      <c r="H2423" s="18" t="inlineStr">
        <is>
          <t>CÔNG TY TNHH NIPPOVINA</t>
        </is>
      </c>
      <c r="I2423" s="18" t="inlineStr">
        <is>
          <t>Thép lá mạ màu PN TWhite 6 0,48 x 650mm AZ150</t>
        </is>
      </c>
      <c r="J2423" s="18" t="inlineStr">
        <is>
          <t>Bộ</t>
        </is>
      </c>
      <c r="K2423" s="19" t="n">
        <v>135000</v>
      </c>
      <c r="L2423" s="20" t="n"/>
      <c r="M2423" s="20" t="n"/>
      <c r="N2423" s="22" t="n">
        <v>9</v>
      </c>
      <c r="O2423" s="22" t="n">
        <v>1215000</v>
      </c>
      <c r="P2423" s="22" t="n">
        <v>9</v>
      </c>
      <c r="Q2423" s="22" t="n">
        <v>1215000</v>
      </c>
      <c r="R2423" s="42">
        <f>+L2423+N2423-P2423</f>
        <v/>
      </c>
      <c r="S2423" s="42">
        <f>+M2423+O2423-Q2423</f>
        <v/>
      </c>
    </row>
    <row r="2424" ht="15" customHeight="1">
      <c r="A2424" s="16" t="n">
        <v>45873</v>
      </c>
      <c r="B2424" s="17" t="inlineStr">
        <is>
          <t>MH2508-04</t>
        </is>
      </c>
      <c r="C2424" s="16" t="n">
        <v>45873</v>
      </c>
      <c r="D2424" s="17" t="inlineStr">
        <is>
          <t>00000354</t>
        </is>
      </c>
      <c r="E2424" s="16" t="n">
        <v>45873</v>
      </c>
      <c r="F2424" s="16" t="inlineStr">
        <is>
          <t>XK2508-04</t>
        </is>
      </c>
      <c r="G2424" s="16" t="n">
        <v>45873</v>
      </c>
      <c r="H2424" s="18" t="inlineStr">
        <is>
          <t>CÔNG TY TNHH NIPPOVINA</t>
        </is>
      </c>
      <c r="I2424" s="18" t="inlineStr">
        <is>
          <t>Thép lá mạ màu PN TWhite 6 0,48 x 515mm AZ150</t>
        </is>
      </c>
      <c r="J2424" s="18" t="inlineStr">
        <is>
          <t>Bộ</t>
        </is>
      </c>
      <c r="K2424" s="19" t="n">
        <v>82000</v>
      </c>
      <c r="L2424" s="20" t="n"/>
      <c r="M2424" s="20" t="n"/>
      <c r="N2424" s="22" t="n">
        <v>3.5</v>
      </c>
      <c r="O2424" s="22" t="n">
        <v>287000</v>
      </c>
      <c r="P2424" s="22" t="n">
        <v>3.5</v>
      </c>
      <c r="Q2424" s="22" t="n">
        <v>287000</v>
      </c>
      <c r="R2424" s="42">
        <f>+L2424+N2424-P2424</f>
        <v/>
      </c>
      <c r="S2424" s="42">
        <f>+M2424+O2424-Q2424</f>
        <v/>
      </c>
    </row>
    <row r="2425" ht="15" customHeight="1">
      <c r="A2425" s="16" t="n">
        <v>45873</v>
      </c>
      <c r="B2425" s="17" t="inlineStr">
        <is>
          <t>MH2508-04</t>
        </is>
      </c>
      <c r="C2425" s="16" t="n">
        <v>45873</v>
      </c>
      <c r="D2425" s="17" t="inlineStr">
        <is>
          <t>00000354</t>
        </is>
      </c>
      <c r="E2425" s="16" t="n">
        <v>45873</v>
      </c>
      <c r="F2425" s="16" t="inlineStr">
        <is>
          <t>XK2508-04</t>
        </is>
      </c>
      <c r="G2425" s="16" t="n">
        <v>45873</v>
      </c>
      <c r="H2425" s="18" t="inlineStr">
        <is>
          <t>CÔNG TY TNHH NIPPOVINA</t>
        </is>
      </c>
      <c r="I2425" s="18" t="inlineStr">
        <is>
          <t>Thép lá mạ màu PN TWhite 6 0,48 x 320mm AZ150</t>
        </is>
      </c>
      <c r="J2425" s="18" t="inlineStr">
        <is>
          <t>Bộ</t>
        </is>
      </c>
      <c r="K2425" s="19" t="n">
        <v>54700</v>
      </c>
      <c r="L2425" s="20" t="n"/>
      <c r="M2425" s="20" t="n"/>
      <c r="N2425" s="22" t="n">
        <v>2.3</v>
      </c>
      <c r="O2425" s="22" t="n">
        <v>125810</v>
      </c>
      <c r="P2425" s="22" t="n">
        <v>2.3</v>
      </c>
      <c r="Q2425" s="22" t="n">
        <v>125810</v>
      </c>
      <c r="R2425" s="42">
        <f>+L2425+N2425-P2425</f>
        <v/>
      </c>
      <c r="S2425" s="42">
        <f>+M2425+O2425-Q2425</f>
        <v/>
      </c>
    </row>
    <row r="2426" ht="15" customHeight="1">
      <c r="A2426" s="16" t="n">
        <v>45873</v>
      </c>
      <c r="B2426" s="17" t="inlineStr">
        <is>
          <t>MH2508-04</t>
        </is>
      </c>
      <c r="C2426" s="16" t="n">
        <v>45873</v>
      </c>
      <c r="D2426" s="17" t="inlineStr">
        <is>
          <t>00000354</t>
        </is>
      </c>
      <c r="E2426" s="16" t="n">
        <v>45873</v>
      </c>
      <c r="F2426" s="16" t="inlineStr">
        <is>
          <t>XK2508-04</t>
        </is>
      </c>
      <c r="G2426" s="16" t="n">
        <v>45873</v>
      </c>
      <c r="H2426" s="18" t="inlineStr">
        <is>
          <t>CÔNG TY TNHH NIPPOVINA</t>
        </is>
      </c>
      <c r="I2426" s="18" t="inlineStr">
        <is>
          <t>Thép lá mạ màu PN TWhite 6 0,48 x 500mm AZ150</t>
        </is>
      </c>
      <c r="J2426" s="18" t="inlineStr">
        <is>
          <t>Bộ</t>
        </is>
      </c>
      <c r="K2426" s="19" t="n">
        <v>85000</v>
      </c>
      <c r="L2426" s="20" t="n"/>
      <c r="M2426" s="20" t="n"/>
      <c r="N2426" s="22" t="n">
        <v>2</v>
      </c>
      <c r="O2426" s="22" t="n">
        <v>170000</v>
      </c>
      <c r="P2426" s="22" t="n">
        <v>2</v>
      </c>
      <c r="Q2426" s="22" t="n">
        <v>170000</v>
      </c>
      <c r="R2426" s="42">
        <f>+L2426+N2426-P2426</f>
        <v/>
      </c>
      <c r="S2426" s="42">
        <f>+M2426+O2426-Q2426</f>
        <v/>
      </c>
    </row>
    <row r="2427" ht="15" customHeight="1">
      <c r="A2427" s="16" t="n">
        <v>45873</v>
      </c>
      <c r="B2427" s="17" t="inlineStr">
        <is>
          <t>MH2508-04</t>
        </is>
      </c>
      <c r="C2427" s="16" t="n">
        <v>45873</v>
      </c>
      <c r="D2427" s="17" t="inlineStr">
        <is>
          <t>00000354</t>
        </is>
      </c>
      <c r="E2427" s="16" t="n">
        <v>45873</v>
      </c>
      <c r="F2427" s="16" t="inlineStr">
        <is>
          <t>XK2508-04</t>
        </is>
      </c>
      <c r="G2427" s="16" t="n">
        <v>45873</v>
      </c>
      <c r="H2427" s="18" t="inlineStr">
        <is>
          <t>CÔNG TY TNHH NIPPOVINA</t>
        </is>
      </c>
      <c r="I2427" s="18" t="inlineStr">
        <is>
          <t>Thép lá mạ màu PN TWhite 6 0,48 x 580mm AZ150</t>
        </is>
      </c>
      <c r="J2427" s="18" t="inlineStr">
        <is>
          <t>Bộ</t>
        </is>
      </c>
      <c r="K2427" s="19" t="n">
        <v>73000</v>
      </c>
      <c r="L2427" s="20" t="n"/>
      <c r="M2427" s="20" t="n"/>
      <c r="N2427" s="22" t="n">
        <v>3.5</v>
      </c>
      <c r="O2427" s="22" t="n">
        <v>255500</v>
      </c>
      <c r="P2427" s="22" t="n">
        <v>3.5</v>
      </c>
      <c r="Q2427" s="22" t="n">
        <v>255500</v>
      </c>
      <c r="R2427" s="42">
        <f>+L2427+N2427-P2427</f>
        <v/>
      </c>
      <c r="S2427" s="42">
        <f>+M2427+O2427-Q2427</f>
        <v/>
      </c>
    </row>
    <row r="2428" ht="15" customHeight="1">
      <c r="A2428" s="16" t="n">
        <v>45873</v>
      </c>
      <c r="B2428" s="17" t="inlineStr">
        <is>
          <t>MH2508-04</t>
        </is>
      </c>
      <c r="C2428" s="16" t="n">
        <v>45873</v>
      </c>
      <c r="D2428" s="17" t="inlineStr">
        <is>
          <t>00000354</t>
        </is>
      </c>
      <c r="E2428" s="16" t="n">
        <v>45873</v>
      </c>
      <c r="F2428" s="16" t="inlineStr">
        <is>
          <t>XK2508-04</t>
        </is>
      </c>
      <c r="G2428" s="16" t="n">
        <v>45873</v>
      </c>
      <c r="H2428" s="18" t="inlineStr">
        <is>
          <t>CÔNG TY TNHH NIPPOVINA</t>
        </is>
      </c>
      <c r="I2428" s="18" t="inlineStr">
        <is>
          <t>Thép lá mạ màu PN TWhite 6 0,48 x 310mm AZ150</t>
        </is>
      </c>
      <c r="J2428" s="18" t="inlineStr">
        <is>
          <t>Bộ</t>
        </is>
      </c>
      <c r="K2428" s="19" t="n">
        <v>80000</v>
      </c>
      <c r="L2428" s="20" t="n"/>
      <c r="M2428" s="20" t="n"/>
      <c r="N2428" s="22" t="n">
        <v>1</v>
      </c>
      <c r="O2428" s="22" t="n">
        <v>80000</v>
      </c>
      <c r="P2428" s="22" t="n">
        <v>1</v>
      </c>
      <c r="Q2428" s="22" t="n">
        <v>80000</v>
      </c>
      <c r="R2428" s="42">
        <f>+L2428+N2428-P2428</f>
        <v/>
      </c>
      <c r="S2428" s="42">
        <f>+M2428+O2428-Q2428</f>
        <v/>
      </c>
    </row>
    <row r="2429" ht="15" customHeight="1">
      <c r="A2429" s="16" t="n">
        <v>45873</v>
      </c>
      <c r="B2429" s="17" t="inlineStr">
        <is>
          <t>MH2508-04</t>
        </is>
      </c>
      <c r="C2429" s="16" t="n">
        <v>45873</v>
      </c>
      <c r="D2429" s="17" t="inlineStr">
        <is>
          <t>00000354</t>
        </is>
      </c>
      <c r="E2429" s="16" t="n">
        <v>45873</v>
      </c>
      <c r="F2429" s="16" t="inlineStr">
        <is>
          <t>XK2508-04</t>
        </is>
      </c>
      <c r="G2429" s="16" t="n">
        <v>45873</v>
      </c>
      <c r="H2429" s="18" t="inlineStr">
        <is>
          <t>CÔNG TY TNHH NIPPOVINA</t>
        </is>
      </c>
      <c r="I2429" s="18" t="inlineStr">
        <is>
          <t>Thép lá mạ màu PN TWhite 6 0,48 x 310mm AZ150</t>
        </is>
      </c>
      <c r="J2429" s="18" t="inlineStr">
        <is>
          <t>Bộ</t>
        </is>
      </c>
      <c r="K2429" s="19" t="n">
        <v>80000</v>
      </c>
      <c r="L2429" s="20" t="n"/>
      <c r="M2429" s="20" t="n"/>
      <c r="N2429" s="22" t="n">
        <v>1</v>
      </c>
      <c r="O2429" s="22" t="n">
        <v>80000</v>
      </c>
      <c r="P2429" s="22" t="n">
        <v>1</v>
      </c>
      <c r="Q2429" s="22" t="n">
        <v>80000</v>
      </c>
      <c r="R2429" s="42">
        <f>+L2429+N2429-P2429</f>
        <v/>
      </c>
      <c r="S2429" s="42">
        <f>+M2429+O2429-Q2429</f>
        <v/>
      </c>
    </row>
    <row r="2430" ht="15" customHeight="1">
      <c r="A2430" s="16" t="n">
        <v>45873</v>
      </c>
      <c r="B2430" s="17" t="inlineStr">
        <is>
          <t>MH2508-04</t>
        </is>
      </c>
      <c r="C2430" s="16" t="n">
        <v>45873</v>
      </c>
      <c r="D2430" s="17" t="inlineStr">
        <is>
          <t>00000354</t>
        </is>
      </c>
      <c r="E2430" s="16" t="n">
        <v>45873</v>
      </c>
      <c r="F2430" s="16" t="inlineStr">
        <is>
          <t>XK2508-04</t>
        </is>
      </c>
      <c r="G2430" s="16" t="n">
        <v>45873</v>
      </c>
      <c r="H2430" s="18" t="inlineStr">
        <is>
          <t>CÔNG TY TNHH NIPPOVINA</t>
        </is>
      </c>
      <c r="I2430" s="18" t="inlineStr">
        <is>
          <t>Thép lá mạ màu PN TWhite 6 0,48 x 800mm AZ150</t>
        </is>
      </c>
      <c r="J2430" s="18" t="inlineStr">
        <is>
          <t>Bộ</t>
        </is>
      </c>
      <c r="K2430" s="19" t="n">
        <v>145000</v>
      </c>
      <c r="L2430" s="20" t="n"/>
      <c r="M2430" s="20" t="n"/>
      <c r="N2430" s="22" t="n">
        <v>84</v>
      </c>
      <c r="O2430" s="22" t="n">
        <v>12180000</v>
      </c>
      <c r="P2430" s="22" t="n">
        <v>84</v>
      </c>
      <c r="Q2430" s="22" t="n">
        <v>12180000</v>
      </c>
      <c r="R2430" s="42">
        <f>+L2430+N2430-P2430</f>
        <v/>
      </c>
      <c r="S2430" s="42">
        <f>+M2430+O2430-Q2430</f>
        <v/>
      </c>
    </row>
    <row r="2431" ht="15" customHeight="1">
      <c r="A2431" s="16" t="n">
        <v>45873</v>
      </c>
      <c r="B2431" s="17" t="inlineStr">
        <is>
          <t>MH2508-04</t>
        </is>
      </c>
      <c r="C2431" s="16" t="n">
        <v>45873</v>
      </c>
      <c r="D2431" s="17" t="inlineStr">
        <is>
          <t>00000354</t>
        </is>
      </c>
      <c r="E2431" s="16" t="n">
        <v>45873</v>
      </c>
      <c r="F2431" s="16" t="inlineStr">
        <is>
          <t>XK2508-04</t>
        </is>
      </c>
      <c r="G2431" s="16" t="n">
        <v>45873</v>
      </c>
      <c r="H2431" s="18" t="inlineStr">
        <is>
          <t>CÔNG TY TNHH NIPPOVINA</t>
        </is>
      </c>
      <c r="I2431" s="18" t="inlineStr">
        <is>
          <t>Thép lá mạ màu PN TWhite 6 0,48 x 260mm AZ150</t>
        </is>
      </c>
      <c r="J2431" s="18" t="inlineStr">
        <is>
          <t>Bộ</t>
        </is>
      </c>
      <c r="K2431" s="19" t="n">
        <v>80000</v>
      </c>
      <c r="L2431" s="20" t="n"/>
      <c r="M2431" s="20" t="n"/>
      <c r="N2431" s="22" t="n">
        <v>1</v>
      </c>
      <c r="O2431" s="22" t="n">
        <v>80000</v>
      </c>
      <c r="P2431" s="22" t="n">
        <v>1</v>
      </c>
      <c r="Q2431" s="22" t="n">
        <v>80000</v>
      </c>
      <c r="R2431" s="42">
        <f>+L2431+N2431-P2431</f>
        <v/>
      </c>
      <c r="S2431" s="42">
        <f>+M2431+O2431-Q2431</f>
        <v/>
      </c>
    </row>
    <row r="2432" ht="15" customHeight="1">
      <c r="A2432" s="16" t="n">
        <v>45873</v>
      </c>
      <c r="B2432" s="17" t="inlineStr">
        <is>
          <t>MH2508-04</t>
        </is>
      </c>
      <c r="C2432" s="16" t="n">
        <v>45873</v>
      </c>
      <c r="D2432" s="17" t="inlineStr">
        <is>
          <t>00000354</t>
        </is>
      </c>
      <c r="E2432" s="16" t="n">
        <v>45873</v>
      </c>
      <c r="F2432" s="16" t="inlineStr">
        <is>
          <t>XK2508-04</t>
        </is>
      </c>
      <c r="G2432" s="16" t="n">
        <v>45873</v>
      </c>
      <c r="H2432" s="18" t="inlineStr">
        <is>
          <t>CÔNG TY TNHH NIPPOVINA</t>
        </is>
      </c>
      <c r="I2432" s="18" t="inlineStr">
        <is>
          <t>Thép lá mạ màu PN TWhite 6 0,48 x 600mm AZ150</t>
        </is>
      </c>
      <c r="J2432" s="18" t="inlineStr">
        <is>
          <t>Bộ</t>
        </is>
      </c>
      <c r="K2432" s="19" t="n">
        <v>85000</v>
      </c>
      <c r="L2432" s="20" t="n"/>
      <c r="M2432" s="20" t="n"/>
      <c r="N2432" s="22" t="n">
        <v>35.35</v>
      </c>
      <c r="O2432" s="22" t="n">
        <v>3004750</v>
      </c>
      <c r="P2432" s="22" t="n">
        <v>35.35</v>
      </c>
      <c r="Q2432" s="22" t="n">
        <v>3004750</v>
      </c>
      <c r="R2432" s="42">
        <f>+L2432+N2432-P2432</f>
        <v/>
      </c>
      <c r="S2432" s="42">
        <f>+M2432+O2432-Q2432</f>
        <v/>
      </c>
    </row>
    <row r="2433" ht="15" customHeight="1">
      <c r="A2433" s="16" t="n">
        <v>45873</v>
      </c>
      <c r="B2433" s="17" t="inlineStr">
        <is>
          <t>MH2508-04</t>
        </is>
      </c>
      <c r="C2433" s="16" t="n">
        <v>45873</v>
      </c>
      <c r="D2433" s="17" t="inlineStr">
        <is>
          <t>00000354</t>
        </is>
      </c>
      <c r="E2433" s="16" t="n">
        <v>45873</v>
      </c>
      <c r="F2433" s="16" t="inlineStr">
        <is>
          <t>XK2508-04</t>
        </is>
      </c>
      <c r="G2433" s="16" t="n">
        <v>45873</v>
      </c>
      <c r="H2433" s="18" t="inlineStr">
        <is>
          <t>CÔNG TY TNHH NIPPOVINA</t>
        </is>
      </c>
      <c r="I2433" s="18" t="inlineStr">
        <is>
          <t>Thép lá mạ màu PN TWhite 6 0,48 x 260mm AZ150</t>
        </is>
      </c>
      <c r="J2433" s="18" t="inlineStr">
        <is>
          <t>Bộ</t>
        </is>
      </c>
      <c r="K2433" s="19" t="n">
        <v>80000</v>
      </c>
      <c r="L2433" s="20" t="n"/>
      <c r="M2433" s="20" t="n"/>
      <c r="N2433" s="22" t="n">
        <v>1</v>
      </c>
      <c r="O2433" s="22" t="n">
        <v>80000</v>
      </c>
      <c r="P2433" s="22" t="n">
        <v>1</v>
      </c>
      <c r="Q2433" s="22" t="n">
        <v>80000</v>
      </c>
      <c r="R2433" s="42">
        <f>+L2433+N2433-P2433</f>
        <v/>
      </c>
      <c r="S2433" s="42">
        <f>+M2433+O2433-Q2433</f>
        <v/>
      </c>
    </row>
    <row r="2434" ht="15" customHeight="1">
      <c r="A2434" s="16" t="n">
        <v>45873</v>
      </c>
      <c r="B2434" s="17" t="inlineStr">
        <is>
          <t>MH2508-04</t>
        </is>
      </c>
      <c r="C2434" s="16" t="n">
        <v>45873</v>
      </c>
      <c r="D2434" s="17" t="inlineStr">
        <is>
          <t>00000354</t>
        </is>
      </c>
      <c r="E2434" s="16" t="n">
        <v>45873</v>
      </c>
      <c r="F2434" s="16" t="inlineStr">
        <is>
          <t>XK2508-04</t>
        </is>
      </c>
      <c r="G2434" s="16" t="n">
        <v>45873</v>
      </c>
      <c r="H2434" s="18" t="inlineStr">
        <is>
          <t>CÔNG TY TNHH NIPPOVINA</t>
        </is>
      </c>
      <c r="I2434" s="18" t="inlineStr">
        <is>
          <t>Thép lá mạ màu PN Tropi Red 1 0,50 x 600mm</t>
        </is>
      </c>
      <c r="J2434" s="18" t="inlineStr">
        <is>
          <t>Bộ</t>
        </is>
      </c>
      <c r="K2434" s="19" t="n">
        <v>92700</v>
      </c>
      <c r="L2434" s="20" t="n"/>
      <c r="M2434" s="20" t="n"/>
      <c r="N2434" s="22" t="n">
        <v>20.4</v>
      </c>
      <c r="O2434" s="22" t="n">
        <v>1891080</v>
      </c>
      <c r="P2434" s="22" t="n">
        <v>20.4</v>
      </c>
      <c r="Q2434" s="22" t="n">
        <v>1891080</v>
      </c>
      <c r="R2434" s="42">
        <f>+L2434+N2434-P2434</f>
        <v/>
      </c>
      <c r="S2434" s="42">
        <f>+M2434+O2434-Q2434</f>
        <v/>
      </c>
    </row>
    <row r="2435" ht="15" customHeight="1">
      <c r="A2435" s="16" t="n">
        <v>45873</v>
      </c>
      <c r="B2435" s="17" t="inlineStr">
        <is>
          <t>MH2508-04</t>
        </is>
      </c>
      <c r="C2435" s="16" t="n">
        <v>45873</v>
      </c>
      <c r="D2435" s="17" t="inlineStr">
        <is>
          <t>00000354</t>
        </is>
      </c>
      <c r="E2435" s="16" t="n">
        <v>45873</v>
      </c>
      <c r="F2435" s="16" t="inlineStr">
        <is>
          <t>XK2508-04</t>
        </is>
      </c>
      <c r="G2435" s="16" t="n">
        <v>45873</v>
      </c>
      <c r="H2435" s="18" t="inlineStr">
        <is>
          <t>CÔNG TY TNHH NIPPOVINA</t>
        </is>
      </c>
      <c r="I2435" s="18" t="inlineStr">
        <is>
          <t>Thép lá mạ màu PN Tropi Red 1 0,50 x 600mm</t>
        </is>
      </c>
      <c r="J2435" s="18" t="inlineStr">
        <is>
          <t>Bộ</t>
        </is>
      </c>
      <c r="K2435" s="19" t="n">
        <v>92700</v>
      </c>
      <c r="L2435" s="20" t="n"/>
      <c r="M2435" s="20" t="n"/>
      <c r="N2435" s="22" t="n">
        <v>95.40000000000001</v>
      </c>
      <c r="O2435" s="22" t="n">
        <v>8843580</v>
      </c>
      <c r="P2435" s="22" t="n">
        <v>95.40000000000001</v>
      </c>
      <c r="Q2435" s="22" t="n">
        <v>8843580</v>
      </c>
      <c r="R2435" s="42">
        <f>+L2435+N2435-P2435</f>
        <v/>
      </c>
      <c r="S2435" s="42">
        <f>+M2435+O2435-Q2435</f>
        <v/>
      </c>
    </row>
    <row r="2436" ht="15" customHeight="1">
      <c r="A2436" s="16" t="n">
        <v>45873</v>
      </c>
      <c r="B2436" s="17" t="inlineStr">
        <is>
          <t>MH2508-04</t>
        </is>
      </c>
      <c r="C2436" s="16" t="n">
        <v>45873</v>
      </c>
      <c r="D2436" s="17" t="inlineStr">
        <is>
          <t>00000354</t>
        </is>
      </c>
      <c r="E2436" s="16" t="n">
        <v>45873</v>
      </c>
      <c r="F2436" s="16" t="inlineStr">
        <is>
          <t>XK2508-04</t>
        </is>
      </c>
      <c r="G2436" s="16" t="n">
        <v>45873</v>
      </c>
      <c r="H2436" s="18" t="inlineStr">
        <is>
          <t>CÔNG TY TNHH NIPPOVINA</t>
        </is>
      </c>
      <c r="I2436" s="18" t="inlineStr">
        <is>
          <t>Thép lá mạ màu PN Tropi Red 1 0,50 x 600mm</t>
        </is>
      </c>
      <c r="J2436" s="18" t="inlineStr">
        <is>
          <t>Bộ</t>
        </is>
      </c>
      <c r="K2436" s="19" t="n">
        <v>92700</v>
      </c>
      <c r="L2436" s="20" t="n"/>
      <c r="M2436" s="20" t="n"/>
      <c r="N2436" s="22" t="n">
        <v>30.6</v>
      </c>
      <c r="O2436" s="22" t="n">
        <v>2836620</v>
      </c>
      <c r="P2436" s="22" t="n">
        <v>30.6</v>
      </c>
      <c r="Q2436" s="22" t="n">
        <v>2836620</v>
      </c>
      <c r="R2436" s="42">
        <f>+L2436+N2436-P2436</f>
        <v/>
      </c>
      <c r="S2436" s="42">
        <f>+M2436+O2436-Q2436</f>
        <v/>
      </c>
    </row>
    <row r="2437" ht="15" customHeight="1">
      <c r="A2437" s="16" t="n">
        <v>45873</v>
      </c>
      <c r="B2437" s="17" t="inlineStr">
        <is>
          <t>MH2508-04</t>
        </is>
      </c>
      <c r="C2437" s="16" t="n">
        <v>45873</v>
      </c>
      <c r="D2437" s="17" t="inlineStr">
        <is>
          <t>00000354</t>
        </is>
      </c>
      <c r="E2437" s="16" t="n">
        <v>45873</v>
      </c>
      <c r="F2437" s="16" t="inlineStr">
        <is>
          <t>XK2508-04</t>
        </is>
      </c>
      <c r="G2437" s="16" t="n">
        <v>45873</v>
      </c>
      <c r="H2437" s="18" t="inlineStr">
        <is>
          <t>CÔNG TY TNHH NIPPOVINA</t>
        </is>
      </c>
      <c r="I2437" s="18" t="inlineStr">
        <is>
          <t>Thép lá mạ màu PN Tropi Red 1 0,50 x 300mm</t>
        </is>
      </c>
      <c r="J2437" s="18" t="inlineStr">
        <is>
          <t>Bộ</t>
        </is>
      </c>
      <c r="K2437" s="19" t="n">
        <v>44900</v>
      </c>
      <c r="L2437" s="20" t="n"/>
      <c r="M2437" s="20" t="n"/>
      <c r="N2437" s="22" t="n">
        <v>84</v>
      </c>
      <c r="O2437" s="22" t="n">
        <v>3771600</v>
      </c>
      <c r="P2437" s="22" t="n">
        <v>84</v>
      </c>
      <c r="Q2437" s="22" t="n">
        <v>3771600</v>
      </c>
      <c r="R2437" s="42">
        <f>+L2437+N2437-P2437</f>
        <v/>
      </c>
      <c r="S2437" s="42">
        <f>+M2437+O2437-Q2437</f>
        <v/>
      </c>
    </row>
    <row r="2438" ht="15" customHeight="1">
      <c r="A2438" s="16" t="n">
        <v>45873</v>
      </c>
      <c r="B2438" s="17" t="inlineStr">
        <is>
          <t>MH2508-04</t>
        </is>
      </c>
      <c r="C2438" s="16" t="n">
        <v>45873</v>
      </c>
      <c r="D2438" s="17" t="inlineStr">
        <is>
          <t>00000354</t>
        </is>
      </c>
      <c r="E2438" s="16" t="n">
        <v>45873</v>
      </c>
      <c r="F2438" s="16" t="inlineStr">
        <is>
          <t>XK2508-04</t>
        </is>
      </c>
      <c r="G2438" s="16" t="n">
        <v>45873</v>
      </c>
      <c r="H2438" s="18" t="inlineStr">
        <is>
          <t>CÔNG TY TNHH NIPPOVINA</t>
        </is>
      </c>
      <c r="I2438" s="18" t="inlineStr">
        <is>
          <t>Thép lá mạ màu PN Tropi Red 1 0,50 x 800mm</t>
        </is>
      </c>
      <c r="J2438" s="18" t="inlineStr">
        <is>
          <t>Bộ</t>
        </is>
      </c>
      <c r="K2438" s="19" t="n">
        <v>155000</v>
      </c>
      <c r="L2438" s="20" t="n"/>
      <c r="M2438" s="20" t="n"/>
      <c r="N2438" s="22" t="n">
        <v>84</v>
      </c>
      <c r="O2438" s="22" t="n">
        <v>13020000</v>
      </c>
      <c r="P2438" s="22" t="n">
        <v>84</v>
      </c>
      <c r="Q2438" s="22" t="n">
        <v>13020000</v>
      </c>
      <c r="R2438" s="42">
        <f>+L2438+N2438-P2438</f>
        <v/>
      </c>
      <c r="S2438" s="42">
        <f>+M2438+O2438-Q2438</f>
        <v/>
      </c>
    </row>
    <row r="2439" ht="15" customHeight="1">
      <c r="A2439" s="16" t="n">
        <v>45873</v>
      </c>
      <c r="B2439" s="17" t="inlineStr">
        <is>
          <t>MH2508-04</t>
        </is>
      </c>
      <c r="C2439" s="16" t="n">
        <v>45873</v>
      </c>
      <c r="D2439" s="17" t="inlineStr">
        <is>
          <t>00000354</t>
        </is>
      </c>
      <c r="E2439" s="16" t="n">
        <v>45873</v>
      </c>
      <c r="F2439" s="16" t="inlineStr">
        <is>
          <t>XK2508-04</t>
        </is>
      </c>
      <c r="G2439" s="16" t="n">
        <v>45873</v>
      </c>
      <c r="H2439" s="18" t="inlineStr">
        <is>
          <t>CÔNG TY TNHH NIPPOVINA</t>
        </is>
      </c>
      <c r="I2439" s="18" t="inlineStr">
        <is>
          <t>Thép lá mạ màu PN Tropi Red 1 0,50 x 310mm</t>
        </is>
      </c>
      <c r="J2439" s="18" t="inlineStr">
        <is>
          <t>Bộ</t>
        </is>
      </c>
      <c r="K2439" s="19" t="n">
        <v>80000</v>
      </c>
      <c r="L2439" s="20" t="n"/>
      <c r="M2439" s="20" t="n"/>
      <c r="N2439" s="22" t="n">
        <v>1</v>
      </c>
      <c r="O2439" s="22" t="n">
        <v>80000</v>
      </c>
      <c r="P2439" s="22" t="n">
        <v>1</v>
      </c>
      <c r="Q2439" s="22" t="n">
        <v>80000</v>
      </c>
      <c r="R2439" s="42">
        <f>+L2439+N2439-P2439</f>
        <v/>
      </c>
      <c r="S2439" s="42">
        <f>+M2439+O2439-Q2439</f>
        <v/>
      </c>
    </row>
    <row r="2440" ht="15" customHeight="1">
      <c r="A2440" s="16" t="n">
        <v>45873</v>
      </c>
      <c r="B2440" s="17" t="inlineStr">
        <is>
          <t>MH2508-04</t>
        </is>
      </c>
      <c r="C2440" s="16" t="n">
        <v>45873</v>
      </c>
      <c r="D2440" s="17" t="inlineStr">
        <is>
          <t>00000354</t>
        </is>
      </c>
      <c r="E2440" s="16" t="n">
        <v>45873</v>
      </c>
      <c r="F2440" s="16" t="inlineStr">
        <is>
          <t>XK2508-04</t>
        </is>
      </c>
      <c r="G2440" s="16" t="n">
        <v>45873</v>
      </c>
      <c r="H2440" s="18" t="inlineStr">
        <is>
          <t>CÔNG TY TNHH NIPPOVINA</t>
        </is>
      </c>
      <c r="I2440" s="18" t="inlineStr">
        <is>
          <t>Thép lá mạ màu PN Tropi Red 1 0,50 x 310mm</t>
        </is>
      </c>
      <c r="J2440" s="18" t="inlineStr">
        <is>
          <t>Bộ</t>
        </is>
      </c>
      <c r="K2440" s="19" t="n">
        <v>80000</v>
      </c>
      <c r="L2440" s="20" t="n"/>
      <c r="M2440" s="20" t="n"/>
      <c r="N2440" s="22" t="n">
        <v>1</v>
      </c>
      <c r="O2440" s="22" t="n">
        <v>80000</v>
      </c>
      <c r="P2440" s="22" t="n">
        <v>1</v>
      </c>
      <c r="Q2440" s="22" t="n">
        <v>80000</v>
      </c>
      <c r="R2440" s="42">
        <f>+L2440+N2440-P2440</f>
        <v/>
      </c>
      <c r="S2440" s="42">
        <f>+M2440+O2440-Q2440</f>
        <v/>
      </c>
    </row>
    <row r="2441" ht="15" customHeight="1">
      <c r="A2441" s="16" t="n">
        <v>45873</v>
      </c>
      <c r="B2441" s="17" t="inlineStr">
        <is>
          <t>MH2508-04</t>
        </is>
      </c>
      <c r="C2441" s="16" t="n">
        <v>45873</v>
      </c>
      <c r="D2441" s="17" t="inlineStr">
        <is>
          <t>00000354</t>
        </is>
      </c>
      <c r="E2441" s="16" t="n">
        <v>45873</v>
      </c>
      <c r="F2441" s="16" t="inlineStr">
        <is>
          <t>XK2508-04</t>
        </is>
      </c>
      <c r="G2441" s="16" t="n">
        <v>45873</v>
      </c>
      <c r="H2441" s="18" t="inlineStr">
        <is>
          <t>CÔNG TY TNHH NIPPOVINA</t>
        </is>
      </c>
      <c r="I2441" s="18" t="inlineStr">
        <is>
          <t>Thép lá mạ màu PN Blue 3 0,50 x 1000mm AZ150</t>
        </is>
      </c>
      <c r="J2441" s="18" t="inlineStr">
        <is>
          <t>Bộ</t>
        </is>
      </c>
      <c r="K2441" s="19" t="n">
        <v>116000</v>
      </c>
      <c r="L2441" s="20" t="n"/>
      <c r="M2441" s="20" t="n"/>
      <c r="N2441" s="22" t="n">
        <v>2140.96</v>
      </c>
      <c r="O2441" s="22" t="n">
        <v>248351360</v>
      </c>
      <c r="P2441" s="22" t="n">
        <v>2140.96</v>
      </c>
      <c r="Q2441" s="22" t="n">
        <v>248351360</v>
      </c>
      <c r="R2441" s="42">
        <f>+L2441+N2441-P2441</f>
        <v/>
      </c>
      <c r="S2441" s="42">
        <f>+M2441+O2441-Q2441</f>
        <v/>
      </c>
    </row>
    <row r="2442" ht="15" customHeight="1">
      <c r="A2442" s="16" t="n">
        <v>45873</v>
      </c>
      <c r="B2442" s="17" t="inlineStr">
        <is>
          <t>MH2508-04</t>
        </is>
      </c>
      <c r="C2442" s="16" t="n">
        <v>45873</v>
      </c>
      <c r="D2442" s="17" t="inlineStr">
        <is>
          <t>00000354</t>
        </is>
      </c>
      <c r="E2442" s="16" t="n">
        <v>45873</v>
      </c>
      <c r="F2442" s="16" t="inlineStr">
        <is>
          <t>XK2508-04</t>
        </is>
      </c>
      <c r="G2442" s="16" t="n">
        <v>45873</v>
      </c>
      <c r="H2442" s="18" t="inlineStr">
        <is>
          <t>CÔNG TY TNHH NIPPOVINA</t>
        </is>
      </c>
      <c r="I2442" s="18" t="inlineStr">
        <is>
          <t>Thép lá mạ màu PN Blue 3 0,50 x 1000mm AZ150</t>
        </is>
      </c>
      <c r="J2442" s="18" t="inlineStr">
        <is>
          <t>Bộ</t>
        </is>
      </c>
      <c r="K2442" s="19" t="n">
        <v>119000</v>
      </c>
      <c r="L2442" s="20" t="n"/>
      <c r="M2442" s="20" t="n"/>
      <c r="N2442" s="22" t="n">
        <v>132.915</v>
      </c>
      <c r="O2442" s="22" t="n">
        <v>15816885</v>
      </c>
      <c r="P2442" s="22" t="n">
        <v>132.915</v>
      </c>
      <c r="Q2442" s="22" t="n">
        <v>15816885</v>
      </c>
      <c r="R2442" s="42">
        <f>+L2442+N2442-P2442</f>
        <v/>
      </c>
      <c r="S2442" s="42">
        <f>+M2442+O2442-Q2442</f>
        <v/>
      </c>
    </row>
    <row r="2443" ht="15" customHeight="1">
      <c r="A2443" s="16" t="n">
        <v>45873</v>
      </c>
      <c r="B2443" s="17" t="inlineStr">
        <is>
          <t>MH2508-04</t>
        </is>
      </c>
      <c r="C2443" s="16" t="n">
        <v>45873</v>
      </c>
      <c r="D2443" s="17" t="inlineStr">
        <is>
          <t>00000354</t>
        </is>
      </c>
      <c r="E2443" s="16" t="n">
        <v>45873</v>
      </c>
      <c r="F2443" s="16" t="inlineStr">
        <is>
          <t>XK2508-04</t>
        </is>
      </c>
      <c r="G2443" s="16" t="n">
        <v>45873</v>
      </c>
      <c r="H2443" s="18" t="inlineStr">
        <is>
          <t>CÔNG TY TNHH NIPPOVINA</t>
        </is>
      </c>
      <c r="I2443" s="18" t="inlineStr">
        <is>
          <t>Thép lá mạ màu PN Blue 3 0,50 x 400mm AZ150</t>
        </is>
      </c>
      <c r="J2443" s="18" t="inlineStr">
        <is>
          <t>Bộ</t>
        </is>
      </c>
      <c r="K2443" s="19" t="n">
        <v>51700</v>
      </c>
      <c r="L2443" s="20" t="n"/>
      <c r="M2443" s="20" t="n"/>
      <c r="N2443" s="22" t="n">
        <v>33.6</v>
      </c>
      <c r="O2443" s="22" t="n">
        <v>1737120</v>
      </c>
      <c r="P2443" s="22" t="n">
        <v>33.6</v>
      </c>
      <c r="Q2443" s="22" t="n">
        <v>1737120</v>
      </c>
      <c r="R2443" s="42">
        <f>+L2443+N2443-P2443</f>
        <v/>
      </c>
      <c r="S2443" s="42">
        <f>+M2443+O2443-Q2443</f>
        <v/>
      </c>
    </row>
    <row r="2444" ht="15" customHeight="1">
      <c r="A2444" s="16" t="n">
        <v>45873</v>
      </c>
      <c r="B2444" s="17" t="inlineStr">
        <is>
          <t>MH2508-04</t>
        </is>
      </c>
      <c r="C2444" s="16" t="n">
        <v>45873</v>
      </c>
      <c r="D2444" s="17" t="inlineStr">
        <is>
          <t>00000354</t>
        </is>
      </c>
      <c r="E2444" s="16" t="n">
        <v>45873</v>
      </c>
      <c r="F2444" s="16" t="inlineStr">
        <is>
          <t>XK2508-04</t>
        </is>
      </c>
      <c r="G2444" s="16" t="n">
        <v>45873</v>
      </c>
      <c r="H2444" s="18" t="inlineStr">
        <is>
          <t>CÔNG TY TNHH NIPPOVINA</t>
        </is>
      </c>
      <c r="I2444" s="18" t="inlineStr">
        <is>
          <t>Thép lá mạ màu PN Blue 3 0,50 x 400mm AZ150</t>
        </is>
      </c>
      <c r="J2444" s="18" t="inlineStr">
        <is>
          <t>Bộ</t>
        </is>
      </c>
      <c r="K2444" s="19" t="n">
        <v>51700</v>
      </c>
      <c r="L2444" s="20" t="n"/>
      <c r="M2444" s="20" t="n"/>
      <c r="N2444" s="22" t="n">
        <v>95.40000000000001</v>
      </c>
      <c r="O2444" s="22" t="n">
        <v>4932180</v>
      </c>
      <c r="P2444" s="22" t="n">
        <v>95.40000000000001</v>
      </c>
      <c r="Q2444" s="22" t="n">
        <v>4932180</v>
      </c>
      <c r="R2444" s="42">
        <f>+L2444+N2444-P2444</f>
        <v/>
      </c>
      <c r="S2444" s="42">
        <f>+M2444+O2444-Q2444</f>
        <v/>
      </c>
    </row>
    <row r="2445" ht="15" customHeight="1">
      <c r="A2445" s="16" t="n">
        <v>45873</v>
      </c>
      <c r="B2445" s="17" t="inlineStr">
        <is>
          <t>MH2508-04</t>
        </is>
      </c>
      <c r="C2445" s="16" t="n">
        <v>45873</v>
      </c>
      <c r="D2445" s="17" t="inlineStr">
        <is>
          <t>00000354</t>
        </is>
      </c>
      <c r="E2445" s="16" t="n">
        <v>45873</v>
      </c>
      <c r="F2445" s="16" t="inlineStr">
        <is>
          <t>XK2508-04</t>
        </is>
      </c>
      <c r="G2445" s="16" t="n">
        <v>45873</v>
      </c>
      <c r="H2445" s="18" t="inlineStr">
        <is>
          <t>CÔNG TY TNHH NIPPOVINA</t>
        </is>
      </c>
      <c r="I2445" s="18" t="inlineStr">
        <is>
          <t>Thép lá mạ màu PN Blue 3 0,50 x 300mm AZ150</t>
        </is>
      </c>
      <c r="J2445" s="18" t="inlineStr">
        <is>
          <t>Bộ</t>
        </is>
      </c>
      <c r="K2445" s="19" t="n">
        <v>41000</v>
      </c>
      <c r="L2445" s="20" t="n"/>
      <c r="M2445" s="20" t="n"/>
      <c r="N2445" s="22" t="n">
        <v>18</v>
      </c>
      <c r="O2445" s="22" t="n">
        <v>738000</v>
      </c>
      <c r="P2445" s="22" t="n">
        <v>18</v>
      </c>
      <c r="Q2445" s="22" t="n">
        <v>738000</v>
      </c>
      <c r="R2445" s="42">
        <f>+L2445+N2445-P2445</f>
        <v/>
      </c>
      <c r="S2445" s="42">
        <f>+M2445+O2445-Q2445</f>
        <v/>
      </c>
    </row>
    <row r="2446" ht="15" customHeight="1">
      <c r="A2446" s="16" t="n">
        <v>45873</v>
      </c>
      <c r="B2446" s="17" t="inlineStr">
        <is>
          <t>MH2508-04</t>
        </is>
      </c>
      <c r="C2446" s="16" t="n">
        <v>45873</v>
      </c>
      <c r="D2446" s="17" t="inlineStr">
        <is>
          <t>00000354</t>
        </is>
      </c>
      <c r="E2446" s="16" t="n">
        <v>45873</v>
      </c>
      <c r="F2446" s="16" t="inlineStr">
        <is>
          <t>XK2508-04</t>
        </is>
      </c>
      <c r="G2446" s="16" t="n">
        <v>45873</v>
      </c>
      <c r="H2446" s="18" t="inlineStr">
        <is>
          <t>CÔNG TY TNHH NIPPOVINA</t>
        </is>
      </c>
      <c r="I2446" s="18" t="inlineStr">
        <is>
          <t>Thép lá mạ màu PN Blue 3 0,50 x 215mm AZ150</t>
        </is>
      </c>
      <c r="J2446" s="18" t="inlineStr">
        <is>
          <t>Bộ</t>
        </is>
      </c>
      <c r="K2446" s="19" t="n">
        <v>44000</v>
      </c>
      <c r="L2446" s="20" t="n"/>
      <c r="M2446" s="20" t="n"/>
      <c r="N2446" s="22" t="n">
        <v>13.5</v>
      </c>
      <c r="O2446" s="22" t="n">
        <v>594000</v>
      </c>
      <c r="P2446" s="22" t="n">
        <v>13.5</v>
      </c>
      <c r="Q2446" s="22" t="n">
        <v>594000</v>
      </c>
      <c r="R2446" s="42">
        <f>+L2446+N2446-P2446</f>
        <v/>
      </c>
      <c r="S2446" s="42">
        <f>+M2446+O2446-Q2446</f>
        <v/>
      </c>
    </row>
    <row r="2447" ht="15" customHeight="1">
      <c r="A2447" s="16" t="n">
        <v>45873</v>
      </c>
      <c r="B2447" s="17" t="inlineStr">
        <is>
          <t>MH2508-04</t>
        </is>
      </c>
      <c r="C2447" s="16" t="n">
        <v>45873</v>
      </c>
      <c r="D2447" s="17" t="inlineStr">
        <is>
          <t>00000354</t>
        </is>
      </c>
      <c r="E2447" s="16" t="n">
        <v>45873</v>
      </c>
      <c r="F2447" s="16" t="inlineStr">
        <is>
          <t>XK2508-04</t>
        </is>
      </c>
      <c r="G2447" s="16" t="n">
        <v>45873</v>
      </c>
      <c r="H2447" s="18" t="inlineStr">
        <is>
          <t>CÔNG TY TNHH NIPPOVINA</t>
        </is>
      </c>
      <c r="I2447" s="18" t="inlineStr">
        <is>
          <t>Thép lá mạ màu PN Blue 3 0,50 x 215mm AZ150</t>
        </is>
      </c>
      <c r="J2447" s="18" t="inlineStr">
        <is>
          <t>Bộ</t>
        </is>
      </c>
      <c r="K2447" s="19" t="n">
        <v>47000</v>
      </c>
      <c r="L2447" s="20" t="n"/>
      <c r="M2447" s="20" t="n"/>
      <c r="N2447" s="22" t="n">
        <v>13.5</v>
      </c>
      <c r="O2447" s="22" t="n">
        <v>634500</v>
      </c>
      <c r="P2447" s="22" t="n">
        <v>13.5</v>
      </c>
      <c r="Q2447" s="22" t="n">
        <v>634500</v>
      </c>
      <c r="R2447" s="42">
        <f>+L2447+N2447-P2447</f>
        <v/>
      </c>
      <c r="S2447" s="42">
        <f>+M2447+O2447-Q2447</f>
        <v/>
      </c>
    </row>
    <row r="2448" ht="15" customHeight="1">
      <c r="A2448" s="16" t="n">
        <v>45873</v>
      </c>
      <c r="B2448" s="17" t="inlineStr">
        <is>
          <t>MH2508-04</t>
        </is>
      </c>
      <c r="C2448" s="16" t="n">
        <v>45873</v>
      </c>
      <c r="D2448" s="17" t="inlineStr">
        <is>
          <t>00000354</t>
        </is>
      </c>
      <c r="E2448" s="16" t="n">
        <v>45873</v>
      </c>
      <c r="F2448" s="16" t="inlineStr">
        <is>
          <t>XK2508-04</t>
        </is>
      </c>
      <c r="G2448" s="16" t="n">
        <v>45873</v>
      </c>
      <c r="H2448" s="18" t="inlineStr">
        <is>
          <t>CÔNG TY TNHH NIPPOVINA</t>
        </is>
      </c>
      <c r="I2448" s="18" t="inlineStr">
        <is>
          <t>Thép lá mạ màu PN Red 1 0,60 x Phễu ø90</t>
        </is>
      </c>
      <c r="J2448" s="18" t="inlineStr">
        <is>
          <t>Bộ</t>
        </is>
      </c>
      <c r="K2448" s="19" t="n">
        <v>80000</v>
      </c>
      <c r="L2448" s="20" t="n"/>
      <c r="M2448" s="20" t="n"/>
      <c r="N2448" s="22" t="n">
        <v>24</v>
      </c>
      <c r="O2448" s="22" t="n">
        <v>1920000</v>
      </c>
      <c r="P2448" s="22" t="n">
        <v>24</v>
      </c>
      <c r="Q2448" s="22" t="n">
        <v>1920000</v>
      </c>
      <c r="R2448" s="42">
        <f>+L2448+N2448-P2448</f>
        <v/>
      </c>
      <c r="S2448" s="42">
        <f>+M2448+O2448-Q2448</f>
        <v/>
      </c>
    </row>
    <row r="2449" ht="15" customHeight="1">
      <c r="A2449" s="16" t="n">
        <v>45873</v>
      </c>
      <c r="B2449" s="17" t="inlineStr">
        <is>
          <t>MH2508-04</t>
        </is>
      </c>
      <c r="C2449" s="16" t="n">
        <v>45873</v>
      </c>
      <c r="D2449" s="17" t="inlineStr">
        <is>
          <t>00000354</t>
        </is>
      </c>
      <c r="E2449" s="16" t="n">
        <v>45873</v>
      </c>
      <c r="F2449" s="16" t="inlineStr">
        <is>
          <t>XK2508-04</t>
        </is>
      </c>
      <c r="G2449" s="16" t="n">
        <v>45873</v>
      </c>
      <c r="H2449" s="18" t="inlineStr">
        <is>
          <t>CÔNG TY TNHH NIPPOVINA</t>
        </is>
      </c>
      <c r="I2449" s="18" t="inlineStr">
        <is>
          <t>Thép lá mạ màu PN Red 1 0,60 x Phễu ø140</t>
        </is>
      </c>
      <c r="J2449" s="18" t="inlineStr">
        <is>
          <t>Bộ</t>
        </is>
      </c>
      <c r="K2449" s="19" t="n">
        <v>95000</v>
      </c>
      <c r="L2449" s="20" t="n"/>
      <c r="M2449" s="20" t="n"/>
      <c r="N2449" s="22" t="n">
        <v>15</v>
      </c>
      <c r="O2449" s="22" t="n">
        <v>1425000</v>
      </c>
      <c r="P2449" s="22" t="n">
        <v>15</v>
      </c>
      <c r="Q2449" s="22" t="n">
        <v>1425000</v>
      </c>
      <c r="R2449" s="42">
        <f>+L2449+N2449-P2449</f>
        <v/>
      </c>
      <c r="S2449" s="42">
        <f>+M2449+O2449-Q2449</f>
        <v/>
      </c>
    </row>
    <row r="2450" ht="30" customHeight="1">
      <c r="A2450" s="16" t="n">
        <v>45873</v>
      </c>
      <c r="B2450" s="17" t="inlineStr">
        <is>
          <t>MH2508-05</t>
        </is>
      </c>
      <c r="C2450" s="16" t="n">
        <v>45873</v>
      </c>
      <c r="D2450" s="17" t="inlineStr">
        <is>
          <t>00001475</t>
        </is>
      </c>
      <c r="E2450" s="16" t="n">
        <v>45873</v>
      </c>
      <c r="F2450" s="16" t="inlineStr">
        <is>
          <t>XK2508-05</t>
        </is>
      </c>
      <c r="G2450" s="16" t="n">
        <v>45873</v>
      </c>
      <c r="H2450" s="18" t="inlineStr">
        <is>
          <t>CÔNG TY TNHH DỊCH VỤ - THƯƠNG MẠI THÉP THIÊN LONG</t>
        </is>
      </c>
      <c r="I2450" s="18" t="inlineStr">
        <is>
          <t>Thép góc V50</t>
        </is>
      </c>
      <c r="J2450" s="18" t="inlineStr">
        <is>
          <t>kg</t>
        </is>
      </c>
      <c r="K2450" s="19" t="n">
        <v>14090.9</v>
      </c>
      <c r="L2450" s="20" t="n"/>
      <c r="M2450" s="20" t="n"/>
      <c r="N2450" s="22" t="n">
        <v>3194.64</v>
      </c>
      <c r="O2450" s="22" t="n">
        <v>45015382</v>
      </c>
      <c r="P2450" s="22" t="n">
        <v>3194.64</v>
      </c>
      <c r="Q2450" s="22" t="n">
        <v>45015382</v>
      </c>
      <c r="R2450" s="42">
        <f>+L2450+N2450-P2450</f>
        <v/>
      </c>
      <c r="S2450" s="42">
        <f>+M2450+O2450-Q2450</f>
        <v/>
      </c>
    </row>
    <row r="2451" ht="30" customHeight="1">
      <c r="A2451" s="16" t="n">
        <v>45873</v>
      </c>
      <c r="B2451" s="17" t="inlineStr">
        <is>
          <t>MH2508-06</t>
        </is>
      </c>
      <c r="C2451" s="16" t="n">
        <v>45873</v>
      </c>
      <c r="D2451" s="17" t="inlineStr">
        <is>
          <t>00001476</t>
        </is>
      </c>
      <c r="E2451" s="16" t="n">
        <v>45873</v>
      </c>
      <c r="F2451" s="16" t="inlineStr">
        <is>
          <t>XK2508-06</t>
        </is>
      </c>
      <c r="G2451" s="16" t="n">
        <v>45873</v>
      </c>
      <c r="H2451" s="18" t="inlineStr">
        <is>
          <t>CÔNG TY TNHH DỊCH VỤ - THƯƠNG MẠI THÉP THIÊN LONG</t>
        </is>
      </c>
      <c r="I2451" s="18" t="inlineStr">
        <is>
          <t>Thép phi gân 20</t>
        </is>
      </c>
      <c r="J2451" s="18" t="inlineStr">
        <is>
          <t>kg</t>
        </is>
      </c>
      <c r="K2451" s="19" t="n">
        <v>17727.27</v>
      </c>
      <c r="L2451" s="20" t="n"/>
      <c r="M2451" s="20" t="n"/>
      <c r="N2451" s="22" t="n">
        <v>69.3</v>
      </c>
      <c r="O2451" s="22" t="n">
        <v>1228500</v>
      </c>
      <c r="P2451" s="22" t="n">
        <v>69.3</v>
      </c>
      <c r="Q2451" s="22" t="n">
        <v>1228500</v>
      </c>
      <c r="R2451" s="42">
        <f>+L2451+N2451-P2451</f>
        <v/>
      </c>
      <c r="S2451" s="42">
        <f>+M2451+O2451-Q2451</f>
        <v/>
      </c>
    </row>
    <row r="2452" ht="30" customHeight="1">
      <c r="A2452" s="16" t="n">
        <v>45873</v>
      </c>
      <c r="B2452" s="17" t="inlineStr">
        <is>
          <t>MH2508-07</t>
        </is>
      </c>
      <c r="C2452" s="16" t="n">
        <v>45873</v>
      </c>
      <c r="D2452" s="17" t="inlineStr">
        <is>
          <t>00001477</t>
        </is>
      </c>
      <c r="E2452" s="16" t="n">
        <v>45873</v>
      </c>
      <c r="F2452" s="16" t="inlineStr">
        <is>
          <t>XK2508-07</t>
        </is>
      </c>
      <c r="G2452" s="16" t="n">
        <v>45873</v>
      </c>
      <c r="H2452" s="18" t="inlineStr">
        <is>
          <t>CÔNG TY TNHH DỊCH VỤ - THƯƠNG MẠI THÉP THIÊN LONG</t>
        </is>
      </c>
      <c r="I2452" s="18" t="inlineStr">
        <is>
          <t>Thép hình I120</t>
        </is>
      </c>
      <c r="J2452" s="18" t="inlineStr">
        <is>
          <t>kg</t>
        </is>
      </c>
      <c r="K2452" s="19" t="n">
        <v>15545.45</v>
      </c>
      <c r="L2452" s="20" t="n"/>
      <c r="M2452" s="20" t="n"/>
      <c r="N2452" s="22" t="n">
        <v>486</v>
      </c>
      <c r="O2452" s="22" t="n">
        <v>7555089</v>
      </c>
      <c r="P2452" s="22" t="n">
        <v>486</v>
      </c>
      <c r="Q2452" s="22" t="n">
        <v>7555089</v>
      </c>
      <c r="R2452" s="42">
        <f>+L2452+N2452-P2452</f>
        <v/>
      </c>
      <c r="S2452" s="42">
        <f>+M2452+O2452-Q2452</f>
        <v/>
      </c>
    </row>
    <row r="2453" ht="30" customHeight="1">
      <c r="A2453" s="16" t="n">
        <v>45873</v>
      </c>
      <c r="B2453" s="17" t="inlineStr">
        <is>
          <t>MH2508-07</t>
        </is>
      </c>
      <c r="C2453" s="16" t="n">
        <v>45873</v>
      </c>
      <c r="D2453" s="17" t="inlineStr">
        <is>
          <t>00001477</t>
        </is>
      </c>
      <c r="E2453" s="16" t="n">
        <v>45873</v>
      </c>
      <c r="F2453" s="16" t="inlineStr">
        <is>
          <t>XK2508-07</t>
        </is>
      </c>
      <c r="G2453" s="16" t="n">
        <v>45873</v>
      </c>
      <c r="H2453" s="18" t="inlineStr">
        <is>
          <t>CÔNG TY TNHH DỊCH VỤ - THƯƠNG MẠI THÉP THIÊN LONG</t>
        </is>
      </c>
      <c r="I2453" s="18" t="inlineStr">
        <is>
          <t>Thép hộp 100x150x2.5x6m</t>
        </is>
      </c>
      <c r="J2453" s="18" t="inlineStr">
        <is>
          <t>kg</t>
        </is>
      </c>
      <c r="K2453" s="19" t="n">
        <v>16363.63</v>
      </c>
      <c r="L2453" s="20" t="n"/>
      <c r="M2453" s="20" t="n"/>
      <c r="N2453" s="22" t="n">
        <v>1551.42</v>
      </c>
      <c r="O2453" s="22" t="n">
        <v>25386878</v>
      </c>
      <c r="P2453" s="22" t="n">
        <v>1551.42</v>
      </c>
      <c r="Q2453" s="22" t="n">
        <v>25386878</v>
      </c>
      <c r="R2453" s="42">
        <f>+L2453+N2453-P2453</f>
        <v/>
      </c>
      <c r="S2453" s="42">
        <f>+M2453+O2453-Q2453</f>
        <v/>
      </c>
    </row>
    <row r="2454" ht="30" customHeight="1">
      <c r="A2454" s="16" t="n">
        <v>45873</v>
      </c>
      <c r="B2454" s="17" t="inlineStr">
        <is>
          <t>MH2508-07</t>
        </is>
      </c>
      <c r="C2454" s="16" t="n">
        <v>45873</v>
      </c>
      <c r="D2454" s="17" t="inlineStr">
        <is>
          <t>00001477</t>
        </is>
      </c>
      <c r="E2454" s="16" t="n">
        <v>45873</v>
      </c>
      <c r="F2454" s="16" t="inlineStr">
        <is>
          <t>XK2508-07</t>
        </is>
      </c>
      <c r="G2454" s="16" t="n">
        <v>45873</v>
      </c>
      <c r="H2454" s="18" t="inlineStr">
        <is>
          <t>CÔNG TY TNHH DỊCH VỤ - THƯƠNG MẠI THÉP THIÊN LONG</t>
        </is>
      </c>
      <c r="I2454" s="18" t="inlineStr">
        <is>
          <t>Thép hộp 100x150x3x6m</t>
        </is>
      </c>
      <c r="J2454" s="18" t="inlineStr">
        <is>
          <t>kg</t>
        </is>
      </c>
      <c r="K2454" s="19" t="n">
        <v>16363.63</v>
      </c>
      <c r="L2454" s="20" t="n"/>
      <c r="M2454" s="20" t="n"/>
      <c r="N2454" s="22" t="n">
        <v>548.96</v>
      </c>
      <c r="O2454" s="22" t="n">
        <v>8982978</v>
      </c>
      <c r="P2454" s="22" t="n">
        <v>548.96</v>
      </c>
      <c r="Q2454" s="22" t="n">
        <v>8982978</v>
      </c>
      <c r="R2454" s="42">
        <f>+L2454+N2454-P2454</f>
        <v/>
      </c>
      <c r="S2454" s="42">
        <f>+M2454+O2454-Q2454</f>
        <v/>
      </c>
    </row>
    <row r="2455" ht="30" customHeight="1">
      <c r="A2455" s="16" t="n">
        <v>45873</v>
      </c>
      <c r="B2455" s="17" t="inlineStr">
        <is>
          <t>MH2508-08</t>
        </is>
      </c>
      <c r="C2455" s="16" t="n">
        <v>45873</v>
      </c>
      <c r="D2455" s="17" t="inlineStr">
        <is>
          <t>00001478</t>
        </is>
      </c>
      <c r="E2455" s="16" t="n">
        <v>45873</v>
      </c>
      <c r="F2455" s="16" t="inlineStr">
        <is>
          <t>XK2508-08</t>
        </is>
      </c>
      <c r="G2455" s="16" t="n">
        <v>45873</v>
      </c>
      <c r="H2455" s="18" t="inlineStr">
        <is>
          <t>CÔNG TY TNHH DỊCH VỤ - THƯƠNG MẠI THÉP THIÊN LONG</t>
        </is>
      </c>
      <c r="I2455" s="18" t="inlineStr">
        <is>
          <t>Thép góc V50</t>
        </is>
      </c>
      <c r="J2455" s="18" t="inlineStr">
        <is>
          <t>kg</t>
        </is>
      </c>
      <c r="K2455" s="19" t="n">
        <v>14090.9</v>
      </c>
      <c r="L2455" s="20" t="n"/>
      <c r="M2455" s="20" t="n"/>
      <c r="N2455" s="22" t="n">
        <v>1836</v>
      </c>
      <c r="O2455" s="22" t="n">
        <v>25870892</v>
      </c>
      <c r="P2455" s="22" t="n">
        <v>1836</v>
      </c>
      <c r="Q2455" s="22" t="n">
        <v>25870892</v>
      </c>
      <c r="R2455" s="42">
        <f>+L2455+N2455-P2455</f>
        <v/>
      </c>
      <c r="S2455" s="42">
        <f>+M2455+O2455-Q2455</f>
        <v/>
      </c>
    </row>
    <row r="2456" ht="30" customHeight="1">
      <c r="A2456" s="16" t="n">
        <v>45873</v>
      </c>
      <c r="B2456" s="17" t="inlineStr">
        <is>
          <t>MH2508-08</t>
        </is>
      </c>
      <c r="C2456" s="16" t="n">
        <v>45873</v>
      </c>
      <c r="D2456" s="17" t="inlineStr">
        <is>
          <t>00001478</t>
        </is>
      </c>
      <c r="E2456" s="16" t="n">
        <v>45873</v>
      </c>
      <c r="F2456" s="16" t="inlineStr">
        <is>
          <t>XK2508-08</t>
        </is>
      </c>
      <c r="G2456" s="16" t="n">
        <v>45873</v>
      </c>
      <c r="H2456" s="18" t="inlineStr">
        <is>
          <t>CÔNG TY TNHH DỊCH VỤ - THƯƠNG MẠI THÉP THIÊN LONG</t>
        </is>
      </c>
      <c r="I2456" s="18" t="inlineStr">
        <is>
          <t>Thép ống đen 26.65</t>
        </is>
      </c>
      <c r="J2456" s="18" t="inlineStr">
        <is>
          <t>kg</t>
        </is>
      </c>
      <c r="K2456" s="19" t="n">
        <v>16090.9</v>
      </c>
      <c r="L2456" s="20" t="n"/>
      <c r="M2456" s="20" t="n"/>
      <c r="N2456" s="22" t="n">
        <v>364.5</v>
      </c>
      <c r="O2456" s="22" t="n">
        <v>5865133</v>
      </c>
      <c r="P2456" s="22" t="n">
        <v>364.5</v>
      </c>
      <c r="Q2456" s="22" t="n">
        <v>5865133</v>
      </c>
      <c r="R2456" s="42">
        <f>+L2456+N2456-P2456</f>
        <v/>
      </c>
      <c r="S2456" s="42">
        <f>+M2456+O2456-Q2456</f>
        <v/>
      </c>
    </row>
    <row r="2457" ht="30" customHeight="1">
      <c r="A2457" s="16" t="n">
        <v>45873</v>
      </c>
      <c r="B2457" s="17" t="inlineStr">
        <is>
          <t>MH2508-08</t>
        </is>
      </c>
      <c r="C2457" s="16" t="n">
        <v>45873</v>
      </c>
      <c r="D2457" s="17" t="inlineStr">
        <is>
          <t>00001478</t>
        </is>
      </c>
      <c r="E2457" s="16" t="n">
        <v>45873</v>
      </c>
      <c r="F2457" s="16" t="inlineStr">
        <is>
          <t>XK2508-08</t>
        </is>
      </c>
      <c r="G2457" s="16" t="n">
        <v>45873</v>
      </c>
      <c r="H2457" s="18" t="inlineStr">
        <is>
          <t>CÔNG TY TNHH DỊCH VỤ - THƯƠNG MẠI THÉP THIÊN LONG</t>
        </is>
      </c>
      <c r="I2457" s="18" t="inlineStr">
        <is>
          <t>Thép ống đen 42.2</t>
        </is>
      </c>
      <c r="J2457" s="18" t="inlineStr">
        <is>
          <t>kg</t>
        </is>
      </c>
      <c r="K2457" s="19" t="n">
        <v>16090.9</v>
      </c>
      <c r="L2457" s="20" t="n"/>
      <c r="M2457" s="20" t="n"/>
      <c r="N2457" s="22" t="n">
        <v>870</v>
      </c>
      <c r="O2457" s="22" t="n">
        <v>13999083</v>
      </c>
      <c r="P2457" s="22" t="n">
        <v>870</v>
      </c>
      <c r="Q2457" s="22" t="n">
        <v>13999083</v>
      </c>
      <c r="R2457" s="42">
        <f>+L2457+N2457-P2457</f>
        <v/>
      </c>
      <c r="S2457" s="42">
        <f>+M2457+O2457-Q2457</f>
        <v/>
      </c>
    </row>
    <row r="2458" ht="30" customHeight="1">
      <c r="A2458" s="16" t="n">
        <v>45873</v>
      </c>
      <c r="B2458" s="17" t="inlineStr">
        <is>
          <t>MH2508-08</t>
        </is>
      </c>
      <c r="C2458" s="16" t="n">
        <v>45873</v>
      </c>
      <c r="D2458" s="17" t="inlineStr">
        <is>
          <t>00001478</t>
        </is>
      </c>
      <c r="E2458" s="16" t="n">
        <v>45873</v>
      </c>
      <c r="F2458" s="16" t="inlineStr">
        <is>
          <t>XK2508-08</t>
        </is>
      </c>
      <c r="G2458" s="16" t="n">
        <v>45873</v>
      </c>
      <c r="H2458" s="18" t="inlineStr">
        <is>
          <t>CÔNG TY TNHH DỊCH VỤ - THƯƠNG MẠI THÉP THIÊN LONG</t>
        </is>
      </c>
      <c r="I2458" s="18" t="inlineStr">
        <is>
          <t>Thép phi gân 20</t>
        </is>
      </c>
      <c r="J2458" s="18" t="inlineStr">
        <is>
          <t>kg</t>
        </is>
      </c>
      <c r="K2458" s="19" t="n">
        <v>17727.27</v>
      </c>
      <c r="L2458" s="20" t="n"/>
      <c r="M2458" s="20" t="n"/>
      <c r="N2458" s="22" t="n">
        <v>207.9</v>
      </c>
      <c r="O2458" s="22" t="n">
        <v>3685499</v>
      </c>
      <c r="P2458" s="22" t="n">
        <v>207.9</v>
      </c>
      <c r="Q2458" s="22" t="n">
        <v>3685499</v>
      </c>
      <c r="R2458" s="42">
        <f>+L2458+N2458-P2458</f>
        <v/>
      </c>
      <c r="S2458" s="42">
        <f>+M2458+O2458-Q2458</f>
        <v/>
      </c>
    </row>
    <row r="2459" ht="30" customHeight="1">
      <c r="A2459" s="16" t="n">
        <v>45873</v>
      </c>
      <c r="B2459" s="17" t="inlineStr">
        <is>
          <t>MH2508-09</t>
        </is>
      </c>
      <c r="C2459" s="16" t="n">
        <v>45873</v>
      </c>
      <c r="D2459" s="17" t="inlineStr">
        <is>
          <t>00001479</t>
        </is>
      </c>
      <c r="E2459" s="16" t="n">
        <v>45873</v>
      </c>
      <c r="F2459" s="16" t="inlineStr">
        <is>
          <t>XK2508-09</t>
        </is>
      </c>
      <c r="G2459" s="16" t="n">
        <v>45873</v>
      </c>
      <c r="H2459" s="18" t="inlineStr">
        <is>
          <t>CÔNG TY TNHH DỊCH VỤ - THƯƠNG MẠI THÉP THIÊN LONG</t>
        </is>
      </c>
      <c r="I2459" s="18" t="inlineStr">
        <is>
          <t>Thép góc V50</t>
        </is>
      </c>
      <c r="J2459" s="18" t="inlineStr">
        <is>
          <t>kg</t>
        </is>
      </c>
      <c r="K2459" s="19" t="n">
        <v>14090.9</v>
      </c>
      <c r="L2459" s="20" t="n"/>
      <c r="M2459" s="20" t="n"/>
      <c r="N2459" s="22" t="n">
        <v>5508</v>
      </c>
      <c r="O2459" s="22" t="n">
        <v>77612677</v>
      </c>
      <c r="P2459" s="22" t="n">
        <v>5508</v>
      </c>
      <c r="Q2459" s="22" t="n">
        <v>77612677</v>
      </c>
      <c r="R2459" s="42">
        <f>+L2459+N2459-P2459</f>
        <v/>
      </c>
      <c r="S2459" s="42">
        <f>+M2459+O2459-Q2459</f>
        <v/>
      </c>
    </row>
    <row r="2460" ht="30" customHeight="1">
      <c r="A2460" s="16" t="n">
        <v>45873</v>
      </c>
      <c r="B2460" s="17" t="inlineStr">
        <is>
          <t>MH2508-09</t>
        </is>
      </c>
      <c r="C2460" s="16" t="n">
        <v>45873</v>
      </c>
      <c r="D2460" s="17" t="inlineStr">
        <is>
          <t>00001479</t>
        </is>
      </c>
      <c r="E2460" s="16" t="n">
        <v>45873</v>
      </c>
      <c r="F2460" s="16" t="inlineStr">
        <is>
          <t>XK2508-09</t>
        </is>
      </c>
      <c r="G2460" s="16" t="n">
        <v>45873</v>
      </c>
      <c r="H2460" s="18" t="inlineStr">
        <is>
          <t>CÔNG TY TNHH DỊCH VỤ - THƯƠNG MẠI THÉP THIÊN LONG</t>
        </is>
      </c>
      <c r="I2460" s="18" t="inlineStr">
        <is>
          <t>Thép hộp 50x100</t>
        </is>
      </c>
      <c r="J2460" s="18" t="inlineStr">
        <is>
          <t>kg</t>
        </is>
      </c>
      <c r="K2460" s="19" t="n">
        <v>16000</v>
      </c>
      <c r="L2460" s="20" t="n"/>
      <c r="M2460" s="20" t="n"/>
      <c r="N2460" s="22" t="n">
        <v>22176</v>
      </c>
      <c r="O2460" s="22" t="n">
        <v>354816050</v>
      </c>
      <c r="P2460" s="22" t="n">
        <v>22176</v>
      </c>
      <c r="Q2460" s="22" t="n">
        <v>354816050</v>
      </c>
      <c r="R2460" s="42">
        <f>+L2460+N2460-P2460</f>
        <v/>
      </c>
      <c r="S2460" s="42">
        <f>+M2460+O2460-Q2460</f>
        <v/>
      </c>
    </row>
    <row r="2461" ht="15" customHeight="1">
      <c r="A2461" s="16" t="n">
        <v>45873</v>
      </c>
      <c r="B2461" s="17" t="inlineStr">
        <is>
          <t>MH2508-10</t>
        </is>
      </c>
      <c r="C2461" s="16" t="n">
        <v>45873</v>
      </c>
      <c r="D2461" s="17" t="inlineStr">
        <is>
          <t>963</t>
        </is>
      </c>
      <c r="E2461" s="16" t="n">
        <v>45873</v>
      </c>
      <c r="F2461" s="16" t="inlineStr">
        <is>
          <t>XK2508-10</t>
        </is>
      </c>
      <c r="G2461" s="16" t="n">
        <v>45873</v>
      </c>
      <c r="H2461" s="18" t="inlineStr">
        <is>
          <t>CÔNG TY CỔ PHẦN QH PLUS</t>
        </is>
      </c>
      <c r="I2461" s="18" t="inlineStr">
        <is>
          <t>Thép tấm cán nóng 16x2000x12000</t>
        </is>
      </c>
      <c r="J2461" s="18" t="inlineStr">
        <is>
          <t>kg</t>
        </is>
      </c>
      <c r="K2461" s="19" t="n">
        <v>14391</v>
      </c>
      <c r="L2461" s="20" t="n"/>
      <c r="M2461" s="20" t="n"/>
      <c r="N2461" s="22" t="n">
        <v>30144</v>
      </c>
      <c r="O2461" s="22" t="n">
        <v>433802304</v>
      </c>
      <c r="P2461" s="22" t="n">
        <v>30144</v>
      </c>
      <c r="Q2461" s="22" t="n">
        <v>433802304</v>
      </c>
      <c r="R2461" s="42">
        <f>+L2461+N2461-P2461</f>
        <v/>
      </c>
      <c r="S2461" s="42">
        <f>+M2461+O2461-Q2461</f>
        <v/>
      </c>
    </row>
    <row r="2462" ht="15" customHeight="1">
      <c r="A2462" s="16" t="n">
        <v>45873</v>
      </c>
      <c r="B2462" s="17" t="inlineStr">
        <is>
          <t>MH2508-10</t>
        </is>
      </c>
      <c r="C2462" s="16" t="n">
        <v>45873</v>
      </c>
      <c r="D2462" s="17" t="inlineStr">
        <is>
          <t>963</t>
        </is>
      </c>
      <c r="E2462" s="16" t="n">
        <v>45873</v>
      </c>
      <c r="F2462" s="16" t="inlineStr">
        <is>
          <t>XK2508-10</t>
        </is>
      </c>
      <c r="G2462" s="16" t="n">
        <v>45873</v>
      </c>
      <c r="H2462" s="18" t="inlineStr">
        <is>
          <t>CÔNG TY CỔ PHẦN QH PLUS</t>
        </is>
      </c>
      <c r="I2462" s="18" t="inlineStr">
        <is>
          <t>Thép tấm cán nóng 16x2000x12000</t>
        </is>
      </c>
      <c r="J2462" s="18" t="inlineStr">
        <is>
          <t>kg</t>
        </is>
      </c>
      <c r="K2462" s="19" t="n">
        <v>14391</v>
      </c>
      <c r="L2462" s="20" t="n"/>
      <c r="M2462" s="20" t="n"/>
      <c r="N2462" s="22" t="n">
        <v>30144</v>
      </c>
      <c r="O2462" s="22" t="n">
        <v>433802304</v>
      </c>
      <c r="P2462" s="22" t="n">
        <v>30144</v>
      </c>
      <c r="Q2462" s="22" t="n">
        <v>433802304</v>
      </c>
      <c r="R2462" s="42">
        <f>+L2462+N2462-P2462</f>
        <v/>
      </c>
      <c r="S2462" s="42">
        <f>+M2462+O2462-Q2462</f>
        <v/>
      </c>
    </row>
    <row r="2463" ht="15" customHeight="1">
      <c r="A2463" s="16" t="n">
        <v>45873</v>
      </c>
      <c r="B2463" s="17" t="inlineStr">
        <is>
          <t>MH2508-11</t>
        </is>
      </c>
      <c r="C2463" s="16" t="n">
        <v>45873</v>
      </c>
      <c r="D2463" s="17" t="inlineStr">
        <is>
          <t>966</t>
        </is>
      </c>
      <c r="E2463" s="16" t="n">
        <v>45873</v>
      </c>
      <c r="F2463" s="16" t="inlineStr">
        <is>
          <t>XK2508-11</t>
        </is>
      </c>
      <c r="G2463" s="16" t="n">
        <v>45873</v>
      </c>
      <c r="H2463" s="18" t="inlineStr">
        <is>
          <t>CÔNG TY CỔ PHẦN QH PLUS</t>
        </is>
      </c>
      <c r="I2463" s="18" t="inlineStr">
        <is>
          <t>Thép tấm cán nóng 16x2000x12000</t>
        </is>
      </c>
      <c r="J2463" s="18" t="inlineStr">
        <is>
          <t>kg</t>
        </is>
      </c>
      <c r="K2463" s="19" t="n">
        <v>14391</v>
      </c>
      <c r="L2463" s="20" t="n"/>
      <c r="M2463" s="20" t="n"/>
      <c r="N2463" s="22" t="n">
        <v>27129.6</v>
      </c>
      <c r="O2463" s="22" t="n">
        <v>390422074</v>
      </c>
      <c r="P2463" s="22" t="n">
        <v>27129.6</v>
      </c>
      <c r="Q2463" s="22" t="n">
        <v>390422074</v>
      </c>
      <c r="R2463" s="42">
        <f>+L2463+N2463-P2463</f>
        <v/>
      </c>
      <c r="S2463" s="42">
        <f>+M2463+O2463-Q2463</f>
        <v/>
      </c>
    </row>
    <row r="2464" ht="30" customHeight="1">
      <c r="A2464" s="16" t="n">
        <v>45874</v>
      </c>
      <c r="B2464" s="17" t="inlineStr">
        <is>
          <t>MH2508-13</t>
        </is>
      </c>
      <c r="C2464" s="16" t="n">
        <v>45874</v>
      </c>
      <c r="D2464" s="17" t="inlineStr">
        <is>
          <t>00003018</t>
        </is>
      </c>
      <c r="E2464" s="16" t="n">
        <v>45874</v>
      </c>
      <c r="F2464" s="16" t="inlineStr">
        <is>
          <t>XK2508-12</t>
        </is>
      </c>
      <c r="G2464" s="16" t="n">
        <v>45874</v>
      </c>
      <c r="H2464" s="18" t="inlineStr">
        <is>
          <t>CÔNG TY CỔ PHẦN CÔNG NGHIỆP VÀ THƯƠNG MẠI CƯỜNG THỊNH</t>
        </is>
      </c>
      <c r="I2464" s="18" t="inlineStr">
        <is>
          <t>Bulong nở 4.6 HDG M16x180</t>
        </is>
      </c>
      <c r="J2464" s="18" t="inlineStr">
        <is>
          <t>Cái</t>
        </is>
      </c>
      <c r="K2464" s="19" t="n">
        <v>9920</v>
      </c>
      <c r="L2464" s="20" t="n"/>
      <c r="M2464" s="20" t="n"/>
      <c r="N2464" s="22" t="n">
        <v>5</v>
      </c>
      <c r="O2464" s="22" t="n">
        <v>49600</v>
      </c>
      <c r="P2464" s="22" t="n">
        <v>5</v>
      </c>
      <c r="Q2464" s="22" t="n">
        <v>49600</v>
      </c>
      <c r="R2464" s="42">
        <f>+L2464+N2464-P2464</f>
        <v/>
      </c>
      <c r="S2464" s="42">
        <f>+M2464+O2464-Q2464</f>
        <v/>
      </c>
    </row>
    <row r="2465" ht="30" customHeight="1">
      <c r="A2465" s="16" t="n">
        <v>45874</v>
      </c>
      <c r="B2465" s="17" t="inlineStr">
        <is>
          <t>MH2508-13</t>
        </is>
      </c>
      <c r="C2465" s="16" t="n">
        <v>45874</v>
      </c>
      <c r="D2465" s="17" t="inlineStr">
        <is>
          <t>00003018</t>
        </is>
      </c>
      <c r="E2465" s="16" t="n">
        <v>45874</v>
      </c>
      <c r="F2465" s="16" t="inlineStr">
        <is>
          <t>XK2508-12</t>
        </is>
      </c>
      <c r="G2465" s="16" t="n">
        <v>45874</v>
      </c>
      <c r="H2465" s="18" t="inlineStr">
        <is>
          <t>CÔNG TY CỔ PHẦN CÔNG NGHIỆP VÀ THƯƠNG MẠI CƯỜNG THỊNH</t>
        </is>
      </c>
      <c r="I2465" s="18" t="inlineStr">
        <is>
          <t>Bulong nở 4.6 HDG M12x100</t>
        </is>
      </c>
      <c r="J2465" s="18" t="inlineStr">
        <is>
          <t>Bộ</t>
        </is>
      </c>
      <c r="K2465" s="19" t="n">
        <v>12160</v>
      </c>
      <c r="L2465" s="20" t="n"/>
      <c r="M2465" s="20" t="n"/>
      <c r="N2465" s="22" t="n">
        <v>5</v>
      </c>
      <c r="O2465" s="22" t="n">
        <v>60800</v>
      </c>
      <c r="P2465" s="22" t="n">
        <v>5</v>
      </c>
      <c r="Q2465" s="22" t="n">
        <v>60800</v>
      </c>
      <c r="R2465" s="42">
        <f>+L2465+N2465-P2465</f>
        <v/>
      </c>
      <c r="S2465" s="42">
        <f>+M2465+O2465-Q2465</f>
        <v/>
      </c>
    </row>
    <row r="2466" ht="30" customHeight="1">
      <c r="A2466" s="16" t="n">
        <v>45874</v>
      </c>
      <c r="B2466" s="17" t="inlineStr">
        <is>
          <t>MH2508-13</t>
        </is>
      </c>
      <c r="C2466" s="16" t="n">
        <v>45874</v>
      </c>
      <c r="D2466" s="17" t="inlineStr">
        <is>
          <t>00003018</t>
        </is>
      </c>
      <c r="E2466" s="16" t="n">
        <v>45874</v>
      </c>
      <c r="F2466" s="16" t="inlineStr">
        <is>
          <t>XK2508-12</t>
        </is>
      </c>
      <c r="G2466" s="16" t="n">
        <v>45874</v>
      </c>
      <c r="H2466" s="18" t="inlineStr">
        <is>
          <t>CÔNG TY CỔ PHẦN CÔNG NGHIỆP VÀ THƯƠNG MẠI CƯỜNG THỊNH</t>
        </is>
      </c>
      <c r="I2466" s="18" t="inlineStr">
        <is>
          <t>Bulong thường 4.6 HDG M12x30</t>
        </is>
      </c>
      <c r="J2466" s="18" t="inlineStr">
        <is>
          <t>Cái</t>
        </is>
      </c>
      <c r="K2466" s="19" t="n">
        <v>1530</v>
      </c>
      <c r="L2466" s="20" t="n"/>
      <c r="M2466" s="20" t="n"/>
      <c r="N2466" s="22" t="n">
        <v>25</v>
      </c>
      <c r="O2466" s="22" t="n">
        <v>38250</v>
      </c>
      <c r="P2466" s="22" t="n">
        <v>25</v>
      </c>
      <c r="Q2466" s="22" t="n">
        <v>38250</v>
      </c>
      <c r="R2466" s="42">
        <f>+L2466+N2466-P2466</f>
        <v/>
      </c>
      <c r="S2466" s="42">
        <f>+M2466+O2466-Q2466</f>
        <v/>
      </c>
    </row>
    <row r="2467" ht="30" customHeight="1">
      <c r="A2467" s="16" t="n">
        <v>45874</v>
      </c>
      <c r="B2467" s="17" t="inlineStr">
        <is>
          <t>MH2508-13</t>
        </is>
      </c>
      <c r="C2467" s="16" t="n">
        <v>45874</v>
      </c>
      <c r="D2467" s="17" t="inlineStr">
        <is>
          <t>00003018</t>
        </is>
      </c>
      <c r="E2467" s="16" t="n">
        <v>45874</v>
      </c>
      <c r="F2467" s="16" t="inlineStr">
        <is>
          <t>XK2508-12</t>
        </is>
      </c>
      <c r="G2467" s="16" t="n">
        <v>45874</v>
      </c>
      <c r="H2467" s="18" t="inlineStr">
        <is>
          <t>CÔNG TY CỔ PHẦN CÔNG NGHIỆP VÀ THƯƠNG MẠI CƯỜNG THỊNH</t>
        </is>
      </c>
      <c r="I2467" s="18" t="inlineStr">
        <is>
          <t>Đai ốc thường 4 HDG M12</t>
        </is>
      </c>
      <c r="J2467" s="18" t="inlineStr">
        <is>
          <t>Cái</t>
        </is>
      </c>
      <c r="K2467" s="19" t="n">
        <v>650</v>
      </c>
      <c r="L2467" s="20" t="n"/>
      <c r="M2467" s="20" t="n"/>
      <c r="N2467" s="22" t="n">
        <v>25</v>
      </c>
      <c r="O2467" s="22" t="n">
        <v>16250</v>
      </c>
      <c r="P2467" s="22" t="n">
        <v>25</v>
      </c>
      <c r="Q2467" s="22" t="n">
        <v>16250</v>
      </c>
      <c r="R2467" s="42">
        <f>+L2467+N2467-P2467</f>
        <v/>
      </c>
      <c r="S2467" s="42">
        <f>+M2467+O2467-Q2467</f>
        <v/>
      </c>
    </row>
    <row r="2468" ht="30" customHeight="1">
      <c r="A2468" s="16" t="n">
        <v>45874</v>
      </c>
      <c r="B2468" s="17" t="inlineStr">
        <is>
          <t>MH2508-13</t>
        </is>
      </c>
      <c r="C2468" s="16" t="n">
        <v>45874</v>
      </c>
      <c r="D2468" s="17" t="inlineStr">
        <is>
          <t>00003018</t>
        </is>
      </c>
      <c r="E2468" s="16" t="n">
        <v>45874</v>
      </c>
      <c r="F2468" s="16" t="inlineStr">
        <is>
          <t>XK2508-12</t>
        </is>
      </c>
      <c r="G2468" s="16" t="n">
        <v>45874</v>
      </c>
      <c r="H2468" s="18" t="inlineStr">
        <is>
          <t>CÔNG TY CỔ PHẦN CÔNG NGHIỆP VÀ THƯƠNG MẠI CƯỜNG THỊNH</t>
        </is>
      </c>
      <c r="I2468" s="18" t="inlineStr">
        <is>
          <t>Long đền thường HDG M12B23D1</t>
        </is>
      </c>
      <c r="J2468" s="18" t="inlineStr">
        <is>
          <t>Cái</t>
        </is>
      </c>
      <c r="K2468" s="19" t="n">
        <v>240</v>
      </c>
      <c r="L2468" s="20" t="n"/>
      <c r="M2468" s="20" t="n"/>
      <c r="N2468" s="22" t="n">
        <v>50</v>
      </c>
      <c r="O2468" s="22" t="n">
        <v>12000</v>
      </c>
      <c r="P2468" s="22" t="n">
        <v>50</v>
      </c>
      <c r="Q2468" s="22" t="n">
        <v>12000</v>
      </c>
      <c r="R2468" s="42">
        <f>+L2468+N2468-P2468</f>
        <v/>
      </c>
      <c r="S2468" s="42">
        <f>+M2468+O2468-Q2468</f>
        <v/>
      </c>
    </row>
    <row r="2469" ht="30" customHeight="1">
      <c r="A2469" s="16" t="n">
        <v>45874</v>
      </c>
      <c r="B2469" s="17" t="inlineStr">
        <is>
          <t>MH2508-13</t>
        </is>
      </c>
      <c r="C2469" s="16" t="n">
        <v>45874</v>
      </c>
      <c r="D2469" s="17" t="inlineStr">
        <is>
          <t>00003018</t>
        </is>
      </c>
      <c r="E2469" s="16" t="n">
        <v>45874</v>
      </c>
      <c r="F2469" s="16" t="inlineStr">
        <is>
          <t>XK2508-12</t>
        </is>
      </c>
      <c r="G2469" s="16" t="n">
        <v>45874</v>
      </c>
      <c r="H2469" s="18" t="inlineStr">
        <is>
          <t>CÔNG TY CỔ PHẦN CÔNG NGHIỆP VÀ THƯƠNG MẠI CƯỜNG THỊNH</t>
        </is>
      </c>
      <c r="I2469" s="18" t="inlineStr">
        <is>
          <t>Bulong thường 4.6 HDG M12x40</t>
        </is>
      </c>
      <c r="J2469" s="18" t="inlineStr">
        <is>
          <t>Cái</t>
        </is>
      </c>
      <c r="K2469" s="19" t="n">
        <v>2608</v>
      </c>
      <c r="L2469" s="20" t="n"/>
      <c r="M2469" s="20" t="n"/>
      <c r="N2469" s="22" t="n">
        <v>137</v>
      </c>
      <c r="O2469" s="22" t="n">
        <v>357296</v>
      </c>
      <c r="P2469" s="22" t="n">
        <v>137</v>
      </c>
      <c r="Q2469" s="22" t="n">
        <v>357296</v>
      </c>
      <c r="R2469" s="42">
        <f>+L2469+N2469-P2469</f>
        <v/>
      </c>
      <c r="S2469" s="42">
        <f>+M2469+O2469-Q2469</f>
        <v/>
      </c>
    </row>
    <row r="2470" ht="30" customHeight="1">
      <c r="A2470" s="16" t="n">
        <v>45874</v>
      </c>
      <c r="B2470" s="17" t="inlineStr">
        <is>
          <t>MH2508-13</t>
        </is>
      </c>
      <c r="C2470" s="16" t="n">
        <v>45874</v>
      </c>
      <c r="D2470" s="17" t="inlineStr">
        <is>
          <t>00003018</t>
        </is>
      </c>
      <c r="E2470" s="16" t="n">
        <v>45874</v>
      </c>
      <c r="F2470" s="16" t="inlineStr">
        <is>
          <t>XK2508-12</t>
        </is>
      </c>
      <c r="G2470" s="16" t="n">
        <v>45874</v>
      </c>
      <c r="H2470" s="18" t="inlineStr">
        <is>
          <t>CÔNG TY CỔ PHẦN CÔNG NGHIỆP VÀ THƯƠNG MẠI CƯỜNG THỊNH</t>
        </is>
      </c>
      <c r="I2470" s="18" t="inlineStr">
        <is>
          <t>Đai ốc thường 4 HDG M12</t>
        </is>
      </c>
      <c r="J2470" s="18" t="inlineStr">
        <is>
          <t>Cái</t>
        </is>
      </c>
      <c r="K2470" s="19" t="n">
        <v>1448</v>
      </c>
      <c r="L2470" s="20" t="n"/>
      <c r="M2470" s="20" t="n"/>
      <c r="N2470" s="22" t="n">
        <v>137</v>
      </c>
      <c r="O2470" s="22" t="n">
        <v>198376</v>
      </c>
      <c r="P2470" s="22" t="n">
        <v>137</v>
      </c>
      <c r="Q2470" s="22" t="n">
        <v>198376</v>
      </c>
      <c r="R2470" s="42">
        <f>+L2470+N2470-P2470</f>
        <v/>
      </c>
      <c r="S2470" s="42">
        <f>+M2470+O2470-Q2470</f>
        <v/>
      </c>
    </row>
    <row r="2471" ht="30" customHeight="1">
      <c r="A2471" s="16" t="n">
        <v>45874</v>
      </c>
      <c r="B2471" s="17" t="inlineStr">
        <is>
          <t>MH2508-13</t>
        </is>
      </c>
      <c r="C2471" s="16" t="n">
        <v>45874</v>
      </c>
      <c r="D2471" s="17" t="inlineStr">
        <is>
          <t>00003018</t>
        </is>
      </c>
      <c r="E2471" s="16" t="n">
        <v>45874</v>
      </c>
      <c r="F2471" s="16" t="inlineStr">
        <is>
          <t>XK2508-12</t>
        </is>
      </c>
      <c r="G2471" s="16" t="n">
        <v>45874</v>
      </c>
      <c r="H2471" s="18" t="inlineStr">
        <is>
          <t>CÔNG TY CỔ PHẦN CÔNG NGHIỆP VÀ THƯƠNG MẠI CƯỜNG THỊNH</t>
        </is>
      </c>
      <c r="I2471" s="18" t="inlineStr">
        <is>
          <t>Long đền thường HDG M12B23D1</t>
        </is>
      </c>
      <c r="J2471" s="18" t="inlineStr">
        <is>
          <t>Cái</t>
        </is>
      </c>
      <c r="K2471" s="19" t="n">
        <v>1038</v>
      </c>
      <c r="L2471" s="20" t="n"/>
      <c r="M2471" s="20" t="n"/>
      <c r="N2471" s="22" t="n">
        <v>274</v>
      </c>
      <c r="O2471" s="22" t="n">
        <v>284412</v>
      </c>
      <c r="P2471" s="22" t="n">
        <v>274</v>
      </c>
      <c r="Q2471" s="22" t="n">
        <v>284412</v>
      </c>
      <c r="R2471" s="42">
        <f>+L2471+N2471-P2471</f>
        <v/>
      </c>
      <c r="S2471" s="42">
        <f>+M2471+O2471-Q2471</f>
        <v/>
      </c>
    </row>
    <row r="2472" ht="30" customHeight="1">
      <c r="A2472" s="16" t="n">
        <v>45874</v>
      </c>
      <c r="B2472" s="17" t="inlineStr">
        <is>
          <t>MH2508-13</t>
        </is>
      </c>
      <c r="C2472" s="16" t="n">
        <v>45874</v>
      </c>
      <c r="D2472" s="17" t="inlineStr">
        <is>
          <t>00003018</t>
        </is>
      </c>
      <c r="E2472" s="16" t="n">
        <v>45874</v>
      </c>
      <c r="F2472" s="16" t="inlineStr">
        <is>
          <t>XK2508-12</t>
        </is>
      </c>
      <c r="G2472" s="16" t="n">
        <v>45874</v>
      </c>
      <c r="H2472" s="18" t="inlineStr">
        <is>
          <t>CÔNG TY CỔ PHẦN CÔNG NGHIỆP VÀ THƯƠNG MẠI CƯỜNG THỊNH</t>
        </is>
      </c>
      <c r="I2472" s="18" t="inlineStr">
        <is>
          <t>Bulong Din 933 8.8 HDG M16x50</t>
        </is>
      </c>
      <c r="J2472" s="18" t="inlineStr">
        <is>
          <t>Cái</t>
        </is>
      </c>
      <c r="K2472" s="19" t="n">
        <v>5378</v>
      </c>
      <c r="L2472" s="20" t="n"/>
      <c r="M2472" s="20" t="n"/>
      <c r="N2472" s="22" t="n">
        <v>23</v>
      </c>
      <c r="O2472" s="22" t="n">
        <v>123694</v>
      </c>
      <c r="P2472" s="22" t="n">
        <v>23</v>
      </c>
      <c r="Q2472" s="22" t="n">
        <v>123694</v>
      </c>
      <c r="R2472" s="42">
        <f>+L2472+N2472-P2472</f>
        <v/>
      </c>
      <c r="S2472" s="42">
        <f>+M2472+O2472-Q2472</f>
        <v/>
      </c>
    </row>
    <row r="2473" ht="30" customHeight="1">
      <c r="A2473" s="16" t="n">
        <v>45874</v>
      </c>
      <c r="B2473" s="17" t="inlineStr">
        <is>
          <t>MH2508-13</t>
        </is>
      </c>
      <c r="C2473" s="16" t="n">
        <v>45874</v>
      </c>
      <c r="D2473" s="17" t="inlineStr">
        <is>
          <t>00003018</t>
        </is>
      </c>
      <c r="E2473" s="16" t="n">
        <v>45874</v>
      </c>
      <c r="F2473" s="16" t="inlineStr">
        <is>
          <t>XK2508-12</t>
        </is>
      </c>
      <c r="G2473" s="16" t="n">
        <v>45874</v>
      </c>
      <c r="H2473" s="18" t="inlineStr">
        <is>
          <t>CÔNG TY CỔ PHẦN CÔNG NGHIỆP VÀ THƯƠNG MẠI CƯỜNG THỊNH</t>
        </is>
      </c>
      <c r="I2473" s="18" t="inlineStr">
        <is>
          <t>Đai ốc ISO 4032 8 HDG M16</t>
        </is>
      </c>
      <c r="J2473" s="18" t="inlineStr">
        <is>
          <t>Cái</t>
        </is>
      </c>
      <c r="K2473" s="19" t="n">
        <v>2578</v>
      </c>
      <c r="L2473" s="20" t="n"/>
      <c r="M2473" s="20" t="n"/>
      <c r="N2473" s="22" t="n">
        <v>23</v>
      </c>
      <c r="O2473" s="22" t="n">
        <v>59294</v>
      </c>
      <c r="P2473" s="22" t="n">
        <v>23</v>
      </c>
      <c r="Q2473" s="22" t="n">
        <v>59294</v>
      </c>
      <c r="R2473" s="42">
        <f>+L2473+N2473-P2473</f>
        <v/>
      </c>
      <c r="S2473" s="42">
        <f>+M2473+O2473-Q2473</f>
        <v/>
      </c>
    </row>
    <row r="2474" ht="30" customHeight="1">
      <c r="A2474" s="16" t="n">
        <v>45874</v>
      </c>
      <c r="B2474" s="17" t="inlineStr">
        <is>
          <t>MH2508-13</t>
        </is>
      </c>
      <c r="C2474" s="16" t="n">
        <v>45874</v>
      </c>
      <c r="D2474" s="17" t="inlineStr">
        <is>
          <t>00003018</t>
        </is>
      </c>
      <c r="E2474" s="16" t="n">
        <v>45874</v>
      </c>
      <c r="F2474" s="16" t="inlineStr">
        <is>
          <t>XK2508-12</t>
        </is>
      </c>
      <c r="G2474" s="16" t="n">
        <v>45874</v>
      </c>
      <c r="H2474" s="18" t="inlineStr">
        <is>
          <t>CÔNG TY CỔ PHẦN CÔNG NGHIỆP VÀ THƯƠNG MẠI CƯỜNG THỊNH</t>
        </is>
      </c>
      <c r="I2474" s="18" t="inlineStr">
        <is>
          <t>Long đền thường HDG M16B30D2</t>
        </is>
      </c>
      <c r="J2474" s="18" t="inlineStr">
        <is>
          <t>Cái</t>
        </is>
      </c>
      <c r="K2474" s="19" t="n">
        <v>1248</v>
      </c>
      <c r="L2474" s="20" t="n"/>
      <c r="M2474" s="20" t="n"/>
      <c r="N2474" s="22" t="n">
        <v>23</v>
      </c>
      <c r="O2474" s="22" t="n">
        <v>28704</v>
      </c>
      <c r="P2474" s="22" t="n">
        <v>23</v>
      </c>
      <c r="Q2474" s="22" t="n">
        <v>28704</v>
      </c>
      <c r="R2474" s="42">
        <f>+L2474+N2474-P2474</f>
        <v/>
      </c>
      <c r="S2474" s="42">
        <f>+M2474+O2474-Q2474</f>
        <v/>
      </c>
    </row>
    <row r="2475" ht="30" customHeight="1">
      <c r="A2475" s="16" t="n">
        <v>45874</v>
      </c>
      <c r="B2475" s="17" t="inlineStr">
        <is>
          <t>MH2508-13</t>
        </is>
      </c>
      <c r="C2475" s="16" t="n">
        <v>45874</v>
      </c>
      <c r="D2475" s="17" t="inlineStr">
        <is>
          <t>00003018</t>
        </is>
      </c>
      <c r="E2475" s="16" t="n">
        <v>45874</v>
      </c>
      <c r="F2475" s="16" t="inlineStr">
        <is>
          <t>XK2508-12</t>
        </is>
      </c>
      <c r="G2475" s="16" t="n">
        <v>45874</v>
      </c>
      <c r="H2475" s="18" t="inlineStr">
        <is>
          <t>CÔNG TY CỔ PHẦN CÔNG NGHIỆP VÀ THƯƠNG MẠI CƯỜNG THỊNH</t>
        </is>
      </c>
      <c r="I2475" s="18" t="inlineStr">
        <is>
          <t>Bulong Din 933 8.8 HDG M20x50</t>
        </is>
      </c>
      <c r="J2475" s="18" t="inlineStr">
        <is>
          <t>Cái</t>
        </is>
      </c>
      <c r="K2475" s="19" t="n">
        <v>8218.67</v>
      </c>
      <c r="L2475" s="20" t="n"/>
      <c r="M2475" s="20" t="n"/>
      <c r="N2475" s="22" t="n">
        <v>3</v>
      </c>
      <c r="O2475" s="22" t="n">
        <v>24656</v>
      </c>
      <c r="P2475" s="22" t="n">
        <v>3</v>
      </c>
      <c r="Q2475" s="22" t="n">
        <v>24656</v>
      </c>
      <c r="R2475" s="42">
        <f>+L2475+N2475-P2475</f>
        <v/>
      </c>
      <c r="S2475" s="42">
        <f>+M2475+O2475-Q2475</f>
        <v/>
      </c>
    </row>
    <row r="2476" ht="30" customHeight="1">
      <c r="A2476" s="16" t="n">
        <v>45874</v>
      </c>
      <c r="B2476" s="17" t="inlineStr">
        <is>
          <t>MH2508-13</t>
        </is>
      </c>
      <c r="C2476" s="16" t="n">
        <v>45874</v>
      </c>
      <c r="D2476" s="17" t="inlineStr">
        <is>
          <t>00003018</t>
        </is>
      </c>
      <c r="E2476" s="16" t="n">
        <v>45874</v>
      </c>
      <c r="F2476" s="16" t="inlineStr">
        <is>
          <t>XK2508-12</t>
        </is>
      </c>
      <c r="G2476" s="16" t="n">
        <v>45874</v>
      </c>
      <c r="H2476" s="18" t="inlineStr">
        <is>
          <t>CÔNG TY CỔ PHẦN CÔNG NGHIỆP VÀ THƯƠNG MẠI CƯỜNG THỊNH</t>
        </is>
      </c>
      <c r="I2476" s="18" t="inlineStr">
        <is>
          <t>Đai ốc ISO 4032 8 HDG M20</t>
        </is>
      </c>
      <c r="J2476" s="18" t="inlineStr">
        <is>
          <t>Cái</t>
        </is>
      </c>
      <c r="K2476" s="19" t="n">
        <v>4138</v>
      </c>
      <c r="L2476" s="20" t="n"/>
      <c r="M2476" s="20" t="n"/>
      <c r="N2476" s="22" t="n">
        <v>3</v>
      </c>
      <c r="O2476" s="22" t="n">
        <v>12414</v>
      </c>
      <c r="P2476" s="22" t="n">
        <v>3</v>
      </c>
      <c r="Q2476" s="22" t="n">
        <v>12414</v>
      </c>
      <c r="R2476" s="42">
        <f>+L2476+N2476-P2476</f>
        <v/>
      </c>
      <c r="S2476" s="42">
        <f>+M2476+O2476-Q2476</f>
        <v/>
      </c>
    </row>
    <row r="2477" ht="30" customHeight="1">
      <c r="A2477" s="16" t="n">
        <v>45874</v>
      </c>
      <c r="B2477" s="17" t="inlineStr">
        <is>
          <t>MH2508-13</t>
        </is>
      </c>
      <c r="C2477" s="16" t="n">
        <v>45874</v>
      </c>
      <c r="D2477" s="17" t="inlineStr">
        <is>
          <t>00003018</t>
        </is>
      </c>
      <c r="E2477" s="16" t="n">
        <v>45874</v>
      </c>
      <c r="F2477" s="16" t="inlineStr">
        <is>
          <t>XK2508-12</t>
        </is>
      </c>
      <c r="G2477" s="16" t="n">
        <v>45874</v>
      </c>
      <c r="H2477" s="18" t="inlineStr">
        <is>
          <t>CÔNG TY CỔ PHẦN CÔNG NGHIỆP VÀ THƯƠNG MẠI CƯỜNG THỊNH</t>
        </is>
      </c>
      <c r="I2477" s="18" t="inlineStr">
        <is>
          <t>Long đền thường HDG M20B35D2</t>
        </is>
      </c>
      <c r="J2477" s="18" t="inlineStr">
        <is>
          <t>Cái</t>
        </is>
      </c>
      <c r="K2477" s="19" t="n">
        <v>1368</v>
      </c>
      <c r="L2477" s="20" t="n"/>
      <c r="M2477" s="20" t="n"/>
      <c r="N2477" s="22" t="n">
        <v>3</v>
      </c>
      <c r="O2477" s="22" t="n">
        <v>4104</v>
      </c>
      <c r="P2477" s="22" t="n">
        <v>3</v>
      </c>
      <c r="Q2477" s="22" t="n">
        <v>4104</v>
      </c>
      <c r="R2477" s="42">
        <f>+L2477+N2477-P2477</f>
        <v/>
      </c>
      <c r="S2477" s="42">
        <f>+M2477+O2477-Q2477</f>
        <v/>
      </c>
    </row>
    <row r="2478" ht="30" customHeight="1">
      <c r="A2478" s="16" t="n">
        <v>45877</v>
      </c>
      <c r="B2478" s="17" t="inlineStr">
        <is>
          <t>MH2508-16</t>
        </is>
      </c>
      <c r="C2478" s="16" t="n">
        <v>45877</v>
      </c>
      <c r="D2478" s="17" t="inlineStr">
        <is>
          <t>00001532</t>
        </is>
      </c>
      <c r="E2478" s="16" t="n">
        <v>45877</v>
      </c>
      <c r="F2478" s="16" t="inlineStr">
        <is>
          <t>XK2508-13</t>
        </is>
      </c>
      <c r="G2478" s="16" t="n">
        <v>45877</v>
      </c>
      <c r="H2478" s="18" t="inlineStr">
        <is>
          <t>CÔNG TY TNHH DỊCH VỤ - THƯƠNG MẠI THÉP THIÊN LONG</t>
        </is>
      </c>
      <c r="I2478" s="18" t="inlineStr">
        <is>
          <t>Thép góc V100</t>
        </is>
      </c>
      <c r="J2478" s="18" t="inlineStr">
        <is>
          <t>kg</t>
        </is>
      </c>
      <c r="K2478" s="19" t="n">
        <v>14727.27</v>
      </c>
      <c r="L2478" s="20" t="n"/>
      <c r="M2478" s="20" t="n"/>
      <c r="N2478" s="22" t="n">
        <v>1095</v>
      </c>
      <c r="O2478" s="22" t="n">
        <v>16126361</v>
      </c>
      <c r="P2478" s="22" t="n">
        <v>1095</v>
      </c>
      <c r="Q2478" s="22" t="n">
        <v>16126361</v>
      </c>
      <c r="R2478" s="42">
        <f>+L2478+N2478-P2478</f>
        <v/>
      </c>
      <c r="S2478" s="42">
        <f>+M2478+O2478-Q2478</f>
        <v/>
      </c>
    </row>
    <row r="2479" ht="30" customHeight="1">
      <c r="A2479" s="16" t="n">
        <v>45877</v>
      </c>
      <c r="B2479" s="17" t="inlineStr">
        <is>
          <t>MH2508-16</t>
        </is>
      </c>
      <c r="C2479" s="16" t="n">
        <v>45877</v>
      </c>
      <c r="D2479" s="17" t="inlineStr">
        <is>
          <t>00001532</t>
        </is>
      </c>
      <c r="E2479" s="16" t="n">
        <v>45877</v>
      </c>
      <c r="F2479" s="16" t="inlineStr">
        <is>
          <t>XK2508-13</t>
        </is>
      </c>
      <c r="G2479" s="16" t="n">
        <v>45877</v>
      </c>
      <c r="H2479" s="18" t="inlineStr">
        <is>
          <t>CÔNG TY TNHH DỊCH VỤ - THƯƠNG MẠI THÉP THIÊN LONG</t>
        </is>
      </c>
      <c r="I2479" s="18" t="inlineStr">
        <is>
          <t>Thép góc V80</t>
        </is>
      </c>
      <c r="J2479" s="18" t="inlineStr">
        <is>
          <t>kg</t>
        </is>
      </c>
      <c r="K2479" s="19" t="n">
        <v>14545.45</v>
      </c>
      <c r="L2479" s="20" t="n"/>
      <c r="M2479" s="20" t="n"/>
      <c r="N2479" s="22" t="n">
        <v>1161</v>
      </c>
      <c r="O2479" s="22" t="n">
        <v>16887267</v>
      </c>
      <c r="P2479" s="22" t="n">
        <v>1161</v>
      </c>
      <c r="Q2479" s="22" t="n">
        <v>16887267</v>
      </c>
      <c r="R2479" s="42">
        <f>+L2479+N2479-P2479</f>
        <v/>
      </c>
      <c r="S2479" s="42">
        <f>+M2479+O2479-Q2479</f>
        <v/>
      </c>
    </row>
    <row r="2480" ht="30" customHeight="1">
      <c r="A2480" s="16" t="n">
        <v>45877</v>
      </c>
      <c r="B2480" s="17" t="inlineStr">
        <is>
          <t>MH2508-16</t>
        </is>
      </c>
      <c r="C2480" s="16" t="n">
        <v>45877</v>
      </c>
      <c r="D2480" s="17" t="inlineStr">
        <is>
          <t>00001532</t>
        </is>
      </c>
      <c r="E2480" s="16" t="n">
        <v>45877</v>
      </c>
      <c r="F2480" s="16" t="inlineStr">
        <is>
          <t>XK2508-13</t>
        </is>
      </c>
      <c r="G2480" s="16" t="n">
        <v>45877</v>
      </c>
      <c r="H2480" s="18" t="inlineStr">
        <is>
          <t>CÔNG TY TNHH DỊCH VỤ - THƯƠNG MẠI THÉP THIÊN LONG</t>
        </is>
      </c>
      <c r="I2480" s="18" t="inlineStr">
        <is>
          <t>Thép ống đen 114</t>
        </is>
      </c>
      <c r="J2480" s="18" t="inlineStr">
        <is>
          <t>kg</t>
        </is>
      </c>
      <c r="K2480" s="19" t="n">
        <v>16181.81</v>
      </c>
      <c r="L2480" s="20" t="n"/>
      <c r="M2480" s="20" t="n"/>
      <c r="N2480" s="22" t="n">
        <v>2734.06</v>
      </c>
      <c r="O2480" s="22" t="n">
        <v>44242039</v>
      </c>
      <c r="P2480" s="22" t="n">
        <v>2734.06</v>
      </c>
      <c r="Q2480" s="22" t="n">
        <v>44242039</v>
      </c>
      <c r="R2480" s="42">
        <f>+L2480+N2480-P2480</f>
        <v/>
      </c>
      <c r="S2480" s="42">
        <f>+M2480+O2480-Q2480</f>
        <v/>
      </c>
    </row>
    <row r="2481" ht="30" customHeight="1">
      <c r="A2481" s="16" t="n">
        <v>45877</v>
      </c>
      <c r="B2481" s="17" t="inlineStr">
        <is>
          <t>MH2508-16</t>
        </is>
      </c>
      <c r="C2481" s="16" t="n">
        <v>45877</v>
      </c>
      <c r="D2481" s="17" t="inlineStr">
        <is>
          <t>00001532</t>
        </is>
      </c>
      <c r="E2481" s="16" t="n">
        <v>45877</v>
      </c>
      <c r="F2481" s="16" t="inlineStr">
        <is>
          <t>XK2508-13</t>
        </is>
      </c>
      <c r="G2481" s="16" t="n">
        <v>45877</v>
      </c>
      <c r="H2481" s="18" t="inlineStr">
        <is>
          <t>CÔNG TY TNHH DỊCH VỤ - THƯƠNG MẠI THÉP THIÊN LONG</t>
        </is>
      </c>
      <c r="I2481" s="18" t="inlineStr">
        <is>
          <t>Thép ống đen 141</t>
        </is>
      </c>
      <c r="J2481" s="18" t="inlineStr">
        <is>
          <t>kg</t>
        </is>
      </c>
      <c r="K2481" s="19" t="n">
        <v>16181.81</v>
      </c>
      <c r="L2481" s="20" t="n"/>
      <c r="M2481" s="20" t="n"/>
      <c r="N2481" s="22" t="n">
        <v>7626.66</v>
      </c>
      <c r="O2481" s="22" t="n">
        <v>123413163</v>
      </c>
      <c r="P2481" s="22" t="n">
        <v>7626.66</v>
      </c>
      <c r="Q2481" s="22" t="n">
        <v>123413163</v>
      </c>
      <c r="R2481" s="42">
        <f>+L2481+N2481-P2481</f>
        <v/>
      </c>
      <c r="S2481" s="42">
        <f>+M2481+O2481-Q2481</f>
        <v/>
      </c>
    </row>
    <row r="2482" ht="30" customHeight="1">
      <c r="A2482" s="16" t="n">
        <v>45877</v>
      </c>
      <c r="B2482" s="17" t="inlineStr">
        <is>
          <t>MH2508-16</t>
        </is>
      </c>
      <c r="C2482" s="16" t="n">
        <v>45877</v>
      </c>
      <c r="D2482" s="17" t="inlineStr">
        <is>
          <t>00001532</t>
        </is>
      </c>
      <c r="E2482" s="16" t="n">
        <v>45877</v>
      </c>
      <c r="F2482" s="16" t="inlineStr">
        <is>
          <t>XK2508-13</t>
        </is>
      </c>
      <c r="G2482" s="16" t="n">
        <v>45877</v>
      </c>
      <c r="H2482" s="18" t="inlineStr">
        <is>
          <t>CÔNG TY TNHH DỊCH VỤ - THƯƠNG MẠI THÉP THIÊN LONG</t>
        </is>
      </c>
      <c r="I2482" s="18" t="inlineStr">
        <is>
          <t>Thép ống đen 219</t>
        </is>
      </c>
      <c r="J2482" s="18" t="inlineStr">
        <is>
          <t>kg</t>
        </is>
      </c>
      <c r="K2482" s="19" t="n">
        <v>16363.63</v>
      </c>
      <c r="L2482" s="20" t="n"/>
      <c r="M2482" s="20" t="n"/>
      <c r="N2482" s="22" t="n">
        <v>3182.76</v>
      </c>
      <c r="O2482" s="22" t="n">
        <v>52081599</v>
      </c>
      <c r="P2482" s="22" t="n">
        <v>3182.76</v>
      </c>
      <c r="Q2482" s="22" t="n">
        <v>52081599</v>
      </c>
      <c r="R2482" s="42">
        <f>+L2482+N2482-P2482</f>
        <v/>
      </c>
      <c r="S2482" s="42">
        <f>+M2482+O2482-Q2482</f>
        <v/>
      </c>
    </row>
    <row r="2483" ht="30" customHeight="1">
      <c r="A2483" s="16" t="n">
        <v>45877</v>
      </c>
      <c r="B2483" s="17" t="inlineStr">
        <is>
          <t>MH2508-16</t>
        </is>
      </c>
      <c r="C2483" s="16" t="n">
        <v>45877</v>
      </c>
      <c r="D2483" s="17" t="inlineStr">
        <is>
          <t>00001532</t>
        </is>
      </c>
      <c r="E2483" s="16" t="n">
        <v>45877</v>
      </c>
      <c r="F2483" s="16" t="inlineStr">
        <is>
          <t>XK2508-13</t>
        </is>
      </c>
      <c r="G2483" s="16" t="n">
        <v>45877</v>
      </c>
      <c r="H2483" s="18" t="inlineStr">
        <is>
          <t>CÔNG TY TNHH DỊCH VỤ - THƯƠNG MẠI THÉP THIÊN LONG</t>
        </is>
      </c>
      <c r="I2483" s="18" t="inlineStr">
        <is>
          <t>Thép vuông 150</t>
        </is>
      </c>
      <c r="J2483" s="18" t="inlineStr">
        <is>
          <t>kg</t>
        </is>
      </c>
      <c r="K2483" s="19" t="n">
        <v>16181.81</v>
      </c>
      <c r="L2483" s="20" t="n"/>
      <c r="M2483" s="20" t="n"/>
      <c r="N2483" s="22" t="n">
        <v>961.4</v>
      </c>
      <c r="O2483" s="22" t="n">
        <v>15557192</v>
      </c>
      <c r="P2483" s="22" t="n">
        <v>961.4</v>
      </c>
      <c r="Q2483" s="22" t="n">
        <v>15557192</v>
      </c>
      <c r="R2483" s="42">
        <f>+L2483+N2483-P2483</f>
        <v/>
      </c>
      <c r="S2483" s="42">
        <f>+M2483+O2483-Q2483</f>
        <v/>
      </c>
    </row>
    <row r="2484" ht="30" customHeight="1">
      <c r="A2484" s="16" t="n">
        <v>45877</v>
      </c>
      <c r="B2484" s="17" t="inlineStr">
        <is>
          <t>MH2508-16</t>
        </is>
      </c>
      <c r="C2484" s="16" t="n">
        <v>45877</v>
      </c>
      <c r="D2484" s="17" t="inlineStr">
        <is>
          <t>00001532</t>
        </is>
      </c>
      <c r="E2484" s="16" t="n">
        <v>45877</v>
      </c>
      <c r="F2484" s="16" t="inlineStr">
        <is>
          <t>XK2508-13</t>
        </is>
      </c>
      <c r="G2484" s="16" t="n">
        <v>45877</v>
      </c>
      <c r="H2484" s="18" t="inlineStr">
        <is>
          <t>CÔNG TY TNHH DỊCH VỤ - THƯƠNG MẠI THÉP THIÊN LONG</t>
        </is>
      </c>
      <c r="I2484" s="18" t="inlineStr">
        <is>
          <t>Thép tấm 50ly</t>
        </is>
      </c>
      <c r="J2484" s="18" t="inlineStr">
        <is>
          <t>kg</t>
        </is>
      </c>
      <c r="K2484" s="19" t="n">
        <v>15636.36</v>
      </c>
      <c r="L2484" s="20" t="n"/>
      <c r="M2484" s="20" t="n"/>
      <c r="N2484" s="22" t="n">
        <v>9420</v>
      </c>
      <c r="O2484" s="22" t="n">
        <v>147294511</v>
      </c>
      <c r="P2484" s="22" t="n">
        <v>9420</v>
      </c>
      <c r="Q2484" s="22" t="n">
        <v>147294511</v>
      </c>
      <c r="R2484" s="42">
        <f>+L2484+N2484-P2484</f>
        <v/>
      </c>
      <c r="S2484" s="42">
        <f>+M2484+O2484-Q2484</f>
        <v/>
      </c>
    </row>
    <row r="2485" ht="30" customHeight="1">
      <c r="A2485" s="16" t="n">
        <v>45877</v>
      </c>
      <c r="B2485" s="17" t="inlineStr">
        <is>
          <t>MH2508-17</t>
        </is>
      </c>
      <c r="C2485" s="16" t="n">
        <v>45877</v>
      </c>
      <c r="D2485" s="17" t="inlineStr">
        <is>
          <t>00000626</t>
        </is>
      </c>
      <c r="E2485" s="16" t="n">
        <v>45877</v>
      </c>
      <c r="F2485" s="16" t="inlineStr">
        <is>
          <t>XK2508-14</t>
        </is>
      </c>
      <c r="G2485" s="16" t="n">
        <v>45877</v>
      </c>
      <c r="H2485" s="18" t="inlineStr">
        <is>
          <t>CHI NHÁNH MIỀN NAM - CÔNG TY TNHH SƠN KANSAI VIỆT NAM</t>
        </is>
      </c>
      <c r="I2485" s="18" t="inlineStr">
        <is>
          <t>Sơn lót Alkyd RAD Light Grey Primer PL02-200B-LIGHTGREY/20L</t>
        </is>
      </c>
      <c r="J2485" s="18" t="inlineStr">
        <is>
          <t>Thùng</t>
        </is>
      </c>
      <c r="K2485" s="19" t="n">
        <v>1660000</v>
      </c>
      <c r="L2485" s="20" t="n"/>
      <c r="M2485" s="20" t="n"/>
      <c r="N2485" s="22" t="n">
        <v>33</v>
      </c>
      <c r="O2485" s="22" t="n">
        <v>54780000</v>
      </c>
      <c r="P2485" s="22" t="n">
        <v>33</v>
      </c>
      <c r="Q2485" s="22" t="n">
        <v>54780000</v>
      </c>
      <c r="R2485" s="42">
        <f>+L2485+N2485-P2485</f>
        <v/>
      </c>
      <c r="S2485" s="42">
        <f>+M2485+O2485-Q2485</f>
        <v/>
      </c>
    </row>
    <row r="2486" ht="30" customHeight="1">
      <c r="A2486" s="16" t="n">
        <v>45877</v>
      </c>
      <c r="B2486" s="17" t="inlineStr">
        <is>
          <t>MH2508-17</t>
        </is>
      </c>
      <c r="C2486" s="16" t="n">
        <v>45877</v>
      </c>
      <c r="D2486" s="17" t="inlineStr">
        <is>
          <t>00000626</t>
        </is>
      </c>
      <c r="E2486" s="16" t="n">
        <v>45877</v>
      </c>
      <c r="F2486" s="16" t="inlineStr">
        <is>
          <t>XK2508-14</t>
        </is>
      </c>
      <c r="G2486" s="16" t="n">
        <v>45877</v>
      </c>
      <c r="H2486" s="18" t="inlineStr">
        <is>
          <t>CHI NHÁNH MIỀN NAM - CÔNG TY TNHH SƠN KANSAI VIỆT NAM</t>
        </is>
      </c>
      <c r="I2486" s="18" t="inlineStr">
        <is>
          <t>Sơn phủ Alkyd RAD Hi-Gloss PP02-RAL7037/20L</t>
        </is>
      </c>
      <c r="J2486" s="18" t="inlineStr">
        <is>
          <t>Thùng</t>
        </is>
      </c>
      <c r="K2486" s="19" t="n">
        <v>2222000</v>
      </c>
      <c r="L2486" s="20" t="n"/>
      <c r="M2486" s="20" t="n"/>
      <c r="N2486" s="22" t="n">
        <v>42</v>
      </c>
      <c r="O2486" s="22" t="n">
        <v>93324000</v>
      </c>
      <c r="P2486" s="22" t="n">
        <v>42</v>
      </c>
      <c r="Q2486" s="22" t="n">
        <v>93324000</v>
      </c>
      <c r="R2486" s="42">
        <f>+L2486+N2486-P2486</f>
        <v/>
      </c>
      <c r="S2486" s="42">
        <f>+M2486+O2486-Q2486</f>
        <v/>
      </c>
    </row>
    <row r="2487" ht="30" customHeight="1">
      <c r="A2487" s="16" t="n">
        <v>45877</v>
      </c>
      <c r="B2487" s="17" t="inlineStr">
        <is>
          <t>MH2508-17</t>
        </is>
      </c>
      <c r="C2487" s="16" t="n">
        <v>45877</v>
      </c>
      <c r="D2487" s="17" t="inlineStr">
        <is>
          <t>00000626</t>
        </is>
      </c>
      <c r="E2487" s="16" t="n">
        <v>45877</v>
      </c>
      <c r="F2487" s="16" t="inlineStr">
        <is>
          <t>XK2508-14</t>
        </is>
      </c>
      <c r="G2487" s="16" t="n">
        <v>45877</v>
      </c>
      <c r="H2487" s="18" t="inlineStr">
        <is>
          <t>CHI NHÁNH MIỀN NAM - CÔNG TY TNHH SƠN KANSAI VIỆT NAM</t>
        </is>
      </c>
      <c r="I2487" s="18" t="inlineStr">
        <is>
          <t>Dung môi Thinner No.72 KT72/18L</t>
        </is>
      </c>
      <c r="J2487" s="18" t="inlineStr">
        <is>
          <t>Thùng</t>
        </is>
      </c>
      <c r="K2487" s="19" t="n">
        <v>1200000</v>
      </c>
      <c r="L2487" s="20" t="n"/>
      <c r="M2487" s="20" t="n"/>
      <c r="N2487" s="22" t="n">
        <v>3</v>
      </c>
      <c r="O2487" s="22" t="n">
        <v>3600000</v>
      </c>
      <c r="P2487" s="22" t="n">
        <v>3</v>
      </c>
      <c r="Q2487" s="22" t="n">
        <v>3600000</v>
      </c>
      <c r="R2487" s="42">
        <f>+L2487+N2487-P2487</f>
        <v/>
      </c>
      <c r="S2487" s="42">
        <f>+M2487+O2487-Q2487</f>
        <v/>
      </c>
    </row>
    <row r="2488" ht="30" customHeight="1">
      <c r="A2488" s="16" t="n">
        <v>45877</v>
      </c>
      <c r="B2488" s="17" t="inlineStr">
        <is>
          <t>MH2508-17</t>
        </is>
      </c>
      <c r="C2488" s="16" t="n">
        <v>45877</v>
      </c>
      <c r="D2488" s="17" t="inlineStr">
        <is>
          <t>00000626</t>
        </is>
      </c>
      <c r="E2488" s="16" t="n">
        <v>45877</v>
      </c>
      <c r="F2488" s="16" t="inlineStr">
        <is>
          <t>XK2508-14</t>
        </is>
      </c>
      <c r="G2488" s="16" t="n">
        <v>45877</v>
      </c>
      <c r="H2488" s="18" t="inlineStr">
        <is>
          <t>CHI NHÁNH MIỀN NAM - CÔNG TY TNHH SƠN KANSAI VIỆT NAM</t>
        </is>
      </c>
      <c r="I2488" s="18" t="inlineStr">
        <is>
          <t>Dung môi Thinner No.2 KT02/18L</t>
        </is>
      </c>
      <c r="J2488" s="18" t="inlineStr">
        <is>
          <t>Thùng</t>
        </is>
      </c>
      <c r="K2488" s="19" t="n">
        <v>1200000</v>
      </c>
      <c r="L2488" s="20" t="n"/>
      <c r="M2488" s="20" t="n"/>
      <c r="N2488" s="22" t="n">
        <v>5</v>
      </c>
      <c r="O2488" s="22" t="n">
        <v>6000000</v>
      </c>
      <c r="P2488" s="22" t="n">
        <v>5</v>
      </c>
      <c r="Q2488" s="22" t="n">
        <v>6000000</v>
      </c>
      <c r="R2488" s="42">
        <f>+L2488+N2488-P2488</f>
        <v/>
      </c>
      <c r="S2488" s="42">
        <f>+M2488+O2488-Q2488</f>
        <v/>
      </c>
    </row>
    <row r="2489" ht="30" customHeight="1">
      <c r="A2489" s="16" t="n">
        <v>45878</v>
      </c>
      <c r="B2489" s="17" t="inlineStr">
        <is>
          <t>MH2508-18</t>
        </is>
      </c>
      <c r="C2489" s="16" t="n">
        <v>45878</v>
      </c>
      <c r="D2489" s="17" t="inlineStr">
        <is>
          <t>00001538</t>
        </is>
      </c>
      <c r="E2489" s="16" t="n">
        <v>45878</v>
      </c>
      <c r="F2489" s="16" t="inlineStr">
        <is>
          <t>XK2508-15</t>
        </is>
      </c>
      <c r="G2489" s="16" t="n">
        <v>45878</v>
      </c>
      <c r="H2489" s="18" t="inlineStr">
        <is>
          <t>CÔNG TY TNHH DỊCH VỤ - THƯƠNG MẠI THÉP THIÊN LONG</t>
        </is>
      </c>
      <c r="I2489" s="18" t="inlineStr">
        <is>
          <t>Thép vuông 40</t>
        </is>
      </c>
      <c r="J2489" s="18" t="inlineStr">
        <is>
          <t>kg</t>
        </is>
      </c>
      <c r="K2489" s="19" t="n">
        <v>17181.81</v>
      </c>
      <c r="L2489" s="20" t="n"/>
      <c r="M2489" s="20" t="n"/>
      <c r="N2489" s="22" t="n">
        <v>577.4</v>
      </c>
      <c r="O2489" s="22" t="n">
        <v>9919923</v>
      </c>
      <c r="P2489" s="22" t="n">
        <v>577.4</v>
      </c>
      <c r="Q2489" s="22" t="n">
        <v>9919923</v>
      </c>
      <c r="R2489" s="42">
        <f>+L2489+N2489-P2489</f>
        <v/>
      </c>
      <c r="S2489" s="42">
        <f>+M2489+O2489-Q2489</f>
        <v/>
      </c>
    </row>
    <row r="2490" ht="15" customHeight="1">
      <c r="A2490" s="16" t="n">
        <v>45880</v>
      </c>
      <c r="B2490" s="17" t="inlineStr">
        <is>
          <t>MH2508-19</t>
        </is>
      </c>
      <c r="C2490" s="16" t="n">
        <v>45880</v>
      </c>
      <c r="D2490" s="17" t="inlineStr">
        <is>
          <t>989</t>
        </is>
      </c>
      <c r="E2490" s="16" t="n">
        <v>45880</v>
      </c>
      <c r="F2490" s="16" t="inlineStr">
        <is>
          <t>XK2508-16</t>
        </is>
      </c>
      <c r="G2490" s="16" t="n">
        <v>45880</v>
      </c>
      <c r="H2490" s="18" t="inlineStr">
        <is>
          <t>CÔNG TY CỔ PHẦN QH PLUS</t>
        </is>
      </c>
      <c r="I2490" s="18" t="inlineStr">
        <is>
          <t>Thép tấm cán nóng 10x2000x12000</t>
        </is>
      </c>
      <c r="J2490" s="18" t="inlineStr">
        <is>
          <t>kg</t>
        </is>
      </c>
      <c r="K2490" s="19" t="n">
        <v>13455</v>
      </c>
      <c r="L2490" s="20" t="n"/>
      <c r="M2490" s="20" t="n"/>
      <c r="N2490" s="22" t="n">
        <v>1884</v>
      </c>
      <c r="O2490" s="22" t="n">
        <v>25349220</v>
      </c>
      <c r="P2490" s="22" t="n">
        <v>1884</v>
      </c>
      <c r="Q2490" s="22" t="n">
        <v>25349220</v>
      </c>
      <c r="R2490" s="42">
        <f>+L2490+N2490-P2490</f>
        <v/>
      </c>
      <c r="S2490" s="42">
        <f>+M2490+O2490-Q2490</f>
        <v/>
      </c>
    </row>
    <row r="2491" ht="15" customHeight="1">
      <c r="A2491" s="16" t="n">
        <v>45880</v>
      </c>
      <c r="B2491" s="17" t="inlineStr">
        <is>
          <t>MH2508-19</t>
        </is>
      </c>
      <c r="C2491" s="16" t="n">
        <v>45880</v>
      </c>
      <c r="D2491" s="17" t="inlineStr">
        <is>
          <t>989</t>
        </is>
      </c>
      <c r="E2491" s="16" t="n">
        <v>45880</v>
      </c>
      <c r="F2491" s="16" t="inlineStr">
        <is>
          <t>XK2508-16</t>
        </is>
      </c>
      <c r="G2491" s="16" t="n">
        <v>45880</v>
      </c>
      <c r="H2491" s="18" t="inlineStr">
        <is>
          <t>CÔNG TY CỔ PHẦN QH PLUS</t>
        </is>
      </c>
      <c r="I2491" s="18" t="inlineStr">
        <is>
          <t>Thép tấm cán nóng 12x2000x12000</t>
        </is>
      </c>
      <c r="J2491" s="18" t="inlineStr">
        <is>
          <t>kg</t>
        </is>
      </c>
      <c r="K2491" s="19" t="n">
        <v>13455</v>
      </c>
      <c r="L2491" s="20" t="n"/>
      <c r="M2491" s="20" t="n"/>
      <c r="N2491" s="22" t="n">
        <v>33912</v>
      </c>
      <c r="O2491" s="22" t="n">
        <v>456285960</v>
      </c>
      <c r="P2491" s="22" t="n">
        <v>33912</v>
      </c>
      <c r="Q2491" s="22" t="n">
        <v>456285960</v>
      </c>
      <c r="R2491" s="42">
        <f>+L2491+N2491-P2491</f>
        <v/>
      </c>
      <c r="S2491" s="42">
        <f>+M2491+O2491-Q2491</f>
        <v/>
      </c>
    </row>
    <row r="2492" ht="15" customHeight="1">
      <c r="A2492" s="16" t="n">
        <v>45880</v>
      </c>
      <c r="B2492" s="17" t="inlineStr">
        <is>
          <t>MH2508-19</t>
        </is>
      </c>
      <c r="C2492" s="16" t="n">
        <v>45880</v>
      </c>
      <c r="D2492" s="17" t="inlineStr">
        <is>
          <t>989</t>
        </is>
      </c>
      <c r="E2492" s="16" t="n">
        <v>45880</v>
      </c>
      <c r="F2492" s="16" t="inlineStr">
        <is>
          <t>XK2508-16</t>
        </is>
      </c>
      <c r="G2492" s="16" t="n">
        <v>45880</v>
      </c>
      <c r="H2492" s="18" t="inlineStr">
        <is>
          <t>CÔNG TY CỔ PHẦN QH PLUS</t>
        </is>
      </c>
      <c r="I2492" s="18" t="inlineStr">
        <is>
          <t>Thép tấm cán nóng 16x2000x12000</t>
        </is>
      </c>
      <c r="J2492" s="18" t="inlineStr">
        <is>
          <t>kg</t>
        </is>
      </c>
      <c r="K2492" s="19" t="n">
        <v>14391</v>
      </c>
      <c r="L2492" s="20" t="n"/>
      <c r="M2492" s="20" t="n"/>
      <c r="N2492" s="22" t="n">
        <v>3014.4</v>
      </c>
      <c r="O2492" s="22" t="n">
        <v>43380230</v>
      </c>
      <c r="P2492" s="22" t="n">
        <v>3014.4</v>
      </c>
      <c r="Q2492" s="22" t="n">
        <v>43380230</v>
      </c>
      <c r="R2492" s="42">
        <f>+L2492+N2492-P2492</f>
        <v/>
      </c>
      <c r="S2492" s="42">
        <f>+M2492+O2492-Q2492</f>
        <v/>
      </c>
    </row>
    <row r="2493" ht="15" customHeight="1">
      <c r="A2493" s="16" t="n">
        <v>45880</v>
      </c>
      <c r="B2493" s="17" t="inlineStr">
        <is>
          <t>MH2508-20</t>
        </is>
      </c>
      <c r="C2493" s="16" t="n">
        <v>45880</v>
      </c>
      <c r="D2493" s="17" t="inlineStr">
        <is>
          <t>990</t>
        </is>
      </c>
      <c r="E2493" s="16" t="n">
        <v>45880</v>
      </c>
      <c r="F2493" s="16" t="inlineStr">
        <is>
          <t>XK2508-17</t>
        </is>
      </c>
      <c r="G2493" s="16" t="n">
        <v>45880</v>
      </c>
      <c r="H2493" s="18" t="inlineStr">
        <is>
          <t>CÔNG TY CỔ PHẦN QH PLUS</t>
        </is>
      </c>
      <c r="I2493" s="18" t="inlineStr">
        <is>
          <t>Thép tấm cán nóng 12x2000x12000</t>
        </is>
      </c>
      <c r="J2493" s="18" t="inlineStr">
        <is>
          <t>kg</t>
        </is>
      </c>
      <c r="K2493" s="19" t="n">
        <v>13455</v>
      </c>
      <c r="L2493" s="20" t="n"/>
      <c r="M2493" s="20" t="n"/>
      <c r="N2493" s="22" t="n">
        <v>33912</v>
      </c>
      <c r="O2493" s="22" t="n">
        <v>456285960</v>
      </c>
      <c r="P2493" s="22" t="n">
        <v>33912</v>
      </c>
      <c r="Q2493" s="22" t="n">
        <v>456285960</v>
      </c>
      <c r="R2493" s="42">
        <f>+L2493+N2493-P2493</f>
        <v/>
      </c>
      <c r="S2493" s="42">
        <f>+M2493+O2493-Q2493</f>
        <v/>
      </c>
    </row>
    <row r="2494" ht="15" customHeight="1">
      <c r="A2494" s="16" t="n">
        <v>45880</v>
      </c>
      <c r="B2494" s="17" t="inlineStr">
        <is>
          <t>MH2508-21</t>
        </is>
      </c>
      <c r="C2494" s="16" t="n">
        <v>45880</v>
      </c>
      <c r="D2494" s="17" t="inlineStr">
        <is>
          <t>991</t>
        </is>
      </c>
      <c r="E2494" s="16" t="n">
        <v>45880</v>
      </c>
      <c r="F2494" s="16" t="inlineStr">
        <is>
          <t>XK2508-18</t>
        </is>
      </c>
      <c r="G2494" s="16" t="n">
        <v>45880</v>
      </c>
      <c r="H2494" s="18" t="inlineStr">
        <is>
          <t>CÔNG TY CỔ PHẦN QH PLUS</t>
        </is>
      </c>
      <c r="I2494" s="18" t="inlineStr">
        <is>
          <t>Thép tấm cán nóng 14x2000x12000</t>
        </is>
      </c>
      <c r="J2494" s="18" t="inlineStr">
        <is>
          <t>kg</t>
        </is>
      </c>
      <c r="K2494" s="19" t="n">
        <v>14391</v>
      </c>
      <c r="L2494" s="20" t="n"/>
      <c r="M2494" s="20" t="n"/>
      <c r="N2494" s="22" t="n">
        <v>31651.2</v>
      </c>
      <c r="O2494" s="22" t="n">
        <v>455492419</v>
      </c>
      <c r="P2494" s="22" t="n">
        <v>31651.2</v>
      </c>
      <c r="Q2494" s="22" t="n">
        <v>455492419</v>
      </c>
      <c r="R2494" s="42">
        <f>+L2494+N2494-P2494</f>
        <v/>
      </c>
      <c r="S2494" s="42">
        <f>+M2494+O2494-Q2494</f>
        <v/>
      </c>
    </row>
    <row r="2495" ht="15" customHeight="1">
      <c r="A2495" s="16" t="n">
        <v>45880</v>
      </c>
      <c r="B2495" s="17" t="inlineStr">
        <is>
          <t>MH2508-22</t>
        </is>
      </c>
      <c r="C2495" s="16" t="n">
        <v>45880</v>
      </c>
      <c r="D2495" s="17" t="inlineStr">
        <is>
          <t>993</t>
        </is>
      </c>
      <c r="E2495" s="16" t="n">
        <v>45880</v>
      </c>
      <c r="F2495" s="16" t="inlineStr">
        <is>
          <t>XK2508-19</t>
        </is>
      </c>
      <c r="G2495" s="16" t="n">
        <v>45880</v>
      </c>
      <c r="H2495" s="18" t="inlineStr">
        <is>
          <t>CÔNG TY CỔ PHẦN QH PLUS</t>
        </is>
      </c>
      <c r="I2495" s="18" t="inlineStr">
        <is>
          <t>Thép tấm cán nóng 14x2000x12000</t>
        </is>
      </c>
      <c r="J2495" s="18" t="inlineStr">
        <is>
          <t>kg</t>
        </is>
      </c>
      <c r="K2495" s="19" t="n">
        <v>14391</v>
      </c>
      <c r="L2495" s="20" t="n"/>
      <c r="M2495" s="20" t="n"/>
      <c r="N2495" s="22" t="n">
        <v>31651.2</v>
      </c>
      <c r="O2495" s="22" t="n">
        <v>455492419</v>
      </c>
      <c r="P2495" s="22" t="n">
        <v>31651.2</v>
      </c>
      <c r="Q2495" s="22" t="n">
        <v>455492419</v>
      </c>
      <c r="R2495" s="42">
        <f>+L2495+N2495-P2495</f>
        <v/>
      </c>
      <c r="S2495" s="42">
        <f>+M2495+O2495-Q2495</f>
        <v/>
      </c>
    </row>
    <row r="2496" ht="15" customHeight="1">
      <c r="A2496" s="16" t="n">
        <v>45880</v>
      </c>
      <c r="B2496" s="17" t="inlineStr">
        <is>
          <t>MH2508-23</t>
        </is>
      </c>
      <c r="C2496" s="16" t="n">
        <v>45880</v>
      </c>
      <c r="D2496" s="17" t="inlineStr">
        <is>
          <t>994</t>
        </is>
      </c>
      <c r="E2496" s="16" t="n">
        <v>45880</v>
      </c>
      <c r="F2496" s="16" t="inlineStr">
        <is>
          <t>XK2508-20</t>
        </is>
      </c>
      <c r="G2496" s="16" t="n">
        <v>45880</v>
      </c>
      <c r="H2496" s="18" t="inlineStr">
        <is>
          <t>CÔNG TY CỔ PHẦN QH PLUS</t>
        </is>
      </c>
      <c r="I2496" s="18" t="inlineStr">
        <is>
          <t>Thép tấm cán nóng 14x2000x12000</t>
        </is>
      </c>
      <c r="J2496" s="18" t="inlineStr">
        <is>
          <t>kg</t>
        </is>
      </c>
      <c r="K2496" s="19" t="n">
        <v>14391</v>
      </c>
      <c r="L2496" s="20" t="n"/>
      <c r="M2496" s="20" t="n"/>
      <c r="N2496" s="22" t="n">
        <v>31651.2</v>
      </c>
      <c r="O2496" s="22" t="n">
        <v>455492419</v>
      </c>
      <c r="P2496" s="22" t="n">
        <v>31651.2</v>
      </c>
      <c r="Q2496" s="22" t="n">
        <v>455492419</v>
      </c>
      <c r="R2496" s="42">
        <f>+L2496+N2496-P2496</f>
        <v/>
      </c>
      <c r="S2496" s="42">
        <f>+M2496+O2496-Q2496</f>
        <v/>
      </c>
    </row>
    <row r="2497" ht="15" customHeight="1">
      <c r="A2497" s="16" t="n">
        <v>45880</v>
      </c>
      <c r="B2497" s="17" t="inlineStr">
        <is>
          <t>MH2508-24</t>
        </is>
      </c>
      <c r="C2497" s="16" t="n">
        <v>45880</v>
      </c>
      <c r="D2497" s="17" t="inlineStr">
        <is>
          <t>995</t>
        </is>
      </c>
      <c r="E2497" s="16" t="n">
        <v>45880</v>
      </c>
      <c r="F2497" s="16" t="inlineStr">
        <is>
          <t>XK2508-21</t>
        </is>
      </c>
      <c r="G2497" s="16" t="n">
        <v>45880</v>
      </c>
      <c r="H2497" s="18" t="inlineStr">
        <is>
          <t>CÔNG TY CỔ PHẦN QH PLUS</t>
        </is>
      </c>
      <c r="I2497" s="18" t="inlineStr">
        <is>
          <t>Thép tấm cán nóng 14x2000x12000</t>
        </is>
      </c>
      <c r="J2497" s="18" t="inlineStr">
        <is>
          <t>kg</t>
        </is>
      </c>
      <c r="K2497" s="19" t="n">
        <v>14391</v>
      </c>
      <c r="L2497" s="20" t="n"/>
      <c r="M2497" s="20" t="n"/>
      <c r="N2497" s="22" t="n">
        <v>29013.6</v>
      </c>
      <c r="O2497" s="22" t="n">
        <v>417534718</v>
      </c>
      <c r="P2497" s="22" t="n">
        <v>29013.6</v>
      </c>
      <c r="Q2497" s="22" t="n">
        <v>417534718</v>
      </c>
      <c r="R2497" s="42">
        <f>+L2497+N2497-P2497</f>
        <v/>
      </c>
      <c r="S2497" s="42">
        <f>+M2497+O2497-Q2497</f>
        <v/>
      </c>
    </row>
    <row r="2498" ht="15" customHeight="1">
      <c r="A2498" s="16" t="n">
        <v>45882</v>
      </c>
      <c r="B2498" s="17" t="inlineStr">
        <is>
          <t>MH2508-28</t>
        </is>
      </c>
      <c r="C2498" s="16" t="n">
        <v>45882</v>
      </c>
      <c r="D2498" s="17" t="inlineStr">
        <is>
          <t>00007460</t>
        </is>
      </c>
      <c r="E2498" s="16" t="n">
        <v>45882</v>
      </c>
      <c r="F2498" s="16" t="inlineStr">
        <is>
          <t>XK2508-22</t>
        </is>
      </c>
      <c r="G2498" s="16" t="n">
        <v>45882</v>
      </c>
      <c r="H2498" s="18" t="inlineStr">
        <is>
          <t>CÔNG TY TNHH SƠN JOTUN VIỆT NAM</t>
        </is>
      </c>
      <c r="I2498" s="18" t="inlineStr">
        <is>
          <t>SƠN JOTAMASTIC 70 GREY 18L</t>
        </is>
      </c>
      <c r="J2498" s="18" t="inlineStr">
        <is>
          <t>Lít</t>
        </is>
      </c>
      <c r="K2498" s="19" t="n">
        <v>90000</v>
      </c>
      <c r="L2498" s="20" t="n"/>
      <c r="M2498" s="20" t="n"/>
      <c r="N2498" s="22" t="n">
        <v>144</v>
      </c>
      <c r="O2498" s="22" t="n">
        <v>12960000</v>
      </c>
      <c r="P2498" s="22" t="n">
        <v>144</v>
      </c>
      <c r="Q2498" s="22" t="n">
        <v>12960000</v>
      </c>
      <c r="R2498" s="42">
        <f>+L2498+N2498-P2498</f>
        <v/>
      </c>
      <c r="S2498" s="42">
        <f>+M2498+O2498-Q2498</f>
        <v/>
      </c>
    </row>
    <row r="2499" ht="15" customHeight="1">
      <c r="A2499" s="16" t="n">
        <v>45882</v>
      </c>
      <c r="B2499" s="17" t="inlineStr">
        <is>
          <t>MH2508-28</t>
        </is>
      </c>
      <c r="C2499" s="16" t="n">
        <v>45882</v>
      </c>
      <c r="D2499" s="17" t="inlineStr">
        <is>
          <t>00007460</t>
        </is>
      </c>
      <c r="E2499" s="16" t="n">
        <v>45882</v>
      </c>
      <c r="F2499" s="16" t="inlineStr">
        <is>
          <t>XK2508-22</t>
        </is>
      </c>
      <c r="G2499" s="16" t="n">
        <v>45882</v>
      </c>
      <c r="H2499" s="18" t="inlineStr">
        <is>
          <t>CÔNG TY TNHH SƠN JOTUN VIỆT NAM</t>
        </is>
      </c>
      <c r="I2499" s="18" t="inlineStr">
        <is>
          <t>SƠN FUTURA CLASSIC STD 0403 18.32L</t>
        </is>
      </c>
      <c r="J2499" s="18" t="inlineStr">
        <is>
          <t>Lít</t>
        </is>
      </c>
      <c r="K2499" s="19" t="n">
        <v>155000</v>
      </c>
      <c r="L2499" s="20" t="n"/>
      <c r="M2499" s="20" t="n"/>
      <c r="N2499" s="22" t="n">
        <v>109.92</v>
      </c>
      <c r="O2499" s="22" t="n">
        <v>17037600</v>
      </c>
      <c r="P2499" s="22" t="n">
        <v>109.92</v>
      </c>
      <c r="Q2499" s="22" t="n">
        <v>17037600</v>
      </c>
      <c r="R2499" s="42">
        <f>+L2499+N2499-P2499</f>
        <v/>
      </c>
      <c r="S2499" s="42">
        <f>+M2499+O2499-Q2499</f>
        <v/>
      </c>
    </row>
    <row r="2500" ht="15" customHeight="1">
      <c r="A2500" s="16" t="n">
        <v>45882</v>
      </c>
      <c r="B2500" s="17" t="inlineStr">
        <is>
          <t>MH2508-28</t>
        </is>
      </c>
      <c r="C2500" s="16" t="n">
        <v>45882</v>
      </c>
      <c r="D2500" s="17" t="inlineStr">
        <is>
          <t>00007460</t>
        </is>
      </c>
      <c r="E2500" s="16" t="n">
        <v>45882</v>
      </c>
      <c r="F2500" s="16" t="inlineStr">
        <is>
          <t>XK2508-22</t>
        </is>
      </c>
      <c r="G2500" s="16" t="n">
        <v>45882</v>
      </c>
      <c r="H2500" s="18" t="inlineStr">
        <is>
          <t>CÔNG TY TNHH SƠN JOTUN VIỆT NAM</t>
        </is>
      </c>
      <c r="I2500" s="18" t="inlineStr">
        <is>
          <t>SƠN FUTURA CLASSIC STD 0403 4.58L</t>
        </is>
      </c>
      <c r="J2500" s="18" t="inlineStr">
        <is>
          <t>Lít</t>
        </is>
      </c>
      <c r="K2500" s="19" t="n">
        <v>155000</v>
      </c>
      <c r="L2500" s="20" t="n"/>
      <c r="M2500" s="20" t="n"/>
      <c r="N2500" s="22" t="n">
        <v>22.9</v>
      </c>
      <c r="O2500" s="22" t="n">
        <v>3549500</v>
      </c>
      <c r="P2500" s="22" t="n">
        <v>22.9</v>
      </c>
      <c r="Q2500" s="22" t="n">
        <v>3549500</v>
      </c>
      <c r="R2500" s="42">
        <f>+L2500+N2500-P2500</f>
        <v/>
      </c>
      <c r="S2500" s="42">
        <f>+M2500+O2500-Q2500</f>
        <v/>
      </c>
    </row>
    <row r="2501" ht="15" customHeight="1">
      <c r="A2501" s="16" t="n">
        <v>45882</v>
      </c>
      <c r="B2501" s="17" t="inlineStr">
        <is>
          <t>MH2508-28</t>
        </is>
      </c>
      <c r="C2501" s="16" t="n">
        <v>45882</v>
      </c>
      <c r="D2501" s="17" t="inlineStr">
        <is>
          <t>00007460</t>
        </is>
      </c>
      <c r="E2501" s="16" t="n">
        <v>45882</v>
      </c>
      <c r="F2501" s="16" t="inlineStr">
        <is>
          <t>XK2508-22</t>
        </is>
      </c>
      <c r="G2501" s="16" t="n">
        <v>45882</v>
      </c>
      <c r="H2501" s="18" t="inlineStr">
        <is>
          <t>CÔNG TY TNHH SƠN JOTUN VIỆT NAM</t>
        </is>
      </c>
      <c r="I2501" s="18" t="inlineStr">
        <is>
          <t>DUNG MÔI JOTUN THINNER NO. 17 20L</t>
        </is>
      </c>
      <c r="J2501" s="18" t="inlineStr">
        <is>
          <t>Lít</t>
        </is>
      </c>
      <c r="K2501" s="19" t="n">
        <v>60000</v>
      </c>
      <c r="L2501" s="20" t="n"/>
      <c r="M2501" s="20" t="n"/>
      <c r="N2501" s="22" t="n">
        <v>20</v>
      </c>
      <c r="O2501" s="22" t="n">
        <v>1200000</v>
      </c>
      <c r="P2501" s="22" t="n">
        <v>20</v>
      </c>
      <c r="Q2501" s="22" t="n">
        <v>1200000</v>
      </c>
      <c r="R2501" s="42">
        <f>+L2501+N2501-P2501</f>
        <v/>
      </c>
      <c r="S2501" s="42">
        <f>+M2501+O2501-Q2501</f>
        <v/>
      </c>
    </row>
    <row r="2502" ht="15" customHeight="1">
      <c r="A2502" s="16" t="n">
        <v>45882</v>
      </c>
      <c r="B2502" s="17" t="inlineStr">
        <is>
          <t>MH2508-28</t>
        </is>
      </c>
      <c r="C2502" s="16" t="n">
        <v>45882</v>
      </c>
      <c r="D2502" s="17" t="inlineStr">
        <is>
          <t>00007460</t>
        </is>
      </c>
      <c r="E2502" s="16" t="n">
        <v>45882</v>
      </c>
      <c r="F2502" s="16" t="inlineStr">
        <is>
          <t>XK2508-22</t>
        </is>
      </c>
      <c r="G2502" s="16" t="n">
        <v>45882</v>
      </c>
      <c r="H2502" s="18" t="inlineStr">
        <is>
          <t>CÔNG TY TNHH SƠN JOTUN VIỆT NAM</t>
        </is>
      </c>
      <c r="I2502" s="18" t="inlineStr">
        <is>
          <t>DUNG MÔI JOTUN THINNER NO. 10 20L</t>
        </is>
      </c>
      <c r="J2502" s="18" t="inlineStr">
        <is>
          <t>Lít</t>
        </is>
      </c>
      <c r="K2502" s="19" t="n">
        <v>60000</v>
      </c>
      <c r="L2502" s="20" t="n"/>
      <c r="M2502" s="20" t="n"/>
      <c r="N2502" s="22" t="n">
        <v>20</v>
      </c>
      <c r="O2502" s="22" t="n">
        <v>1200000</v>
      </c>
      <c r="P2502" s="22" t="n">
        <v>20</v>
      </c>
      <c r="Q2502" s="22" t="n">
        <v>1200000</v>
      </c>
      <c r="R2502" s="42">
        <f>+L2502+N2502-P2502</f>
        <v/>
      </c>
      <c r="S2502" s="42">
        <f>+M2502+O2502-Q2502</f>
        <v/>
      </c>
    </row>
    <row r="2503" ht="15" customHeight="1">
      <c r="A2503" s="16" t="n">
        <v>45883</v>
      </c>
      <c r="B2503" s="17" t="inlineStr">
        <is>
          <t>MH2508-29</t>
        </is>
      </c>
      <c r="C2503" s="16" t="n">
        <v>45883</v>
      </c>
      <c r="D2503" s="17" t="inlineStr">
        <is>
          <t>00007513</t>
        </is>
      </c>
      <c r="E2503" s="16" t="n">
        <v>45883</v>
      </c>
      <c r="F2503" s="16" t="inlineStr">
        <is>
          <t>XK2508-23</t>
        </is>
      </c>
      <c r="G2503" s="16" t="n">
        <v>45883</v>
      </c>
      <c r="H2503" s="18" t="inlineStr">
        <is>
          <t>CÔNG TY TNHH SƠN JOTUN VIỆT NAM</t>
        </is>
      </c>
      <c r="I2503" s="18" t="inlineStr">
        <is>
          <t>SƠN JOTAMASTIC 70 GREY 18L</t>
        </is>
      </c>
      <c r="J2503" s="18" t="inlineStr">
        <is>
          <t>Lít</t>
        </is>
      </c>
      <c r="K2503" s="19" t="n">
        <v>90000</v>
      </c>
      <c r="L2503" s="20" t="n"/>
      <c r="M2503" s="20" t="n"/>
      <c r="N2503" s="22" t="n">
        <v>324</v>
      </c>
      <c r="O2503" s="22" t="n">
        <v>29160000</v>
      </c>
      <c r="P2503" s="22" t="n">
        <v>324</v>
      </c>
      <c r="Q2503" s="22" t="n">
        <v>29160000</v>
      </c>
      <c r="R2503" s="42">
        <f>+L2503+N2503-P2503</f>
        <v/>
      </c>
      <c r="S2503" s="42">
        <f>+M2503+O2503-Q2503</f>
        <v/>
      </c>
    </row>
    <row r="2504" ht="15" customHeight="1">
      <c r="A2504" s="16" t="n">
        <v>45883</v>
      </c>
      <c r="B2504" s="17" t="inlineStr">
        <is>
          <t>MH2508-29</t>
        </is>
      </c>
      <c r="C2504" s="16" t="n">
        <v>45883</v>
      </c>
      <c r="D2504" s="17" t="inlineStr">
        <is>
          <t>00007513</t>
        </is>
      </c>
      <c r="E2504" s="16" t="n">
        <v>45883</v>
      </c>
      <c r="F2504" s="16" t="inlineStr">
        <is>
          <t>XK2508-23</t>
        </is>
      </c>
      <c r="G2504" s="16" t="n">
        <v>45883</v>
      </c>
      <c r="H2504" s="18" t="inlineStr">
        <is>
          <t>CÔNG TY TNHH SƠN JOTUN VIỆT NAM</t>
        </is>
      </c>
      <c r="I2504" s="18" t="inlineStr">
        <is>
          <t>SƠN FUTURA CLASSIC RAL 7037 20L</t>
        </is>
      </c>
      <c r="J2504" s="18" t="inlineStr">
        <is>
          <t>Lít</t>
        </is>
      </c>
      <c r="K2504" s="19" t="n">
        <v>155000</v>
      </c>
      <c r="L2504" s="20" t="n"/>
      <c r="M2504" s="20" t="n"/>
      <c r="N2504" s="22" t="n">
        <v>300</v>
      </c>
      <c r="O2504" s="22" t="n">
        <v>46500000</v>
      </c>
      <c r="P2504" s="22" t="n">
        <v>300</v>
      </c>
      <c r="Q2504" s="22" t="n">
        <v>46500000</v>
      </c>
      <c r="R2504" s="42">
        <f>+L2504+N2504-P2504</f>
        <v/>
      </c>
      <c r="S2504" s="42">
        <f>+M2504+O2504-Q2504</f>
        <v/>
      </c>
    </row>
    <row r="2505" ht="15" customHeight="1">
      <c r="A2505" s="16" t="n">
        <v>45883</v>
      </c>
      <c r="B2505" s="17" t="inlineStr">
        <is>
          <t>MH2508-29</t>
        </is>
      </c>
      <c r="C2505" s="16" t="n">
        <v>45883</v>
      </c>
      <c r="D2505" s="17" t="inlineStr">
        <is>
          <t>00007513</t>
        </is>
      </c>
      <c r="E2505" s="16" t="n">
        <v>45883</v>
      </c>
      <c r="F2505" s="16" t="inlineStr">
        <is>
          <t>XK2508-23</t>
        </is>
      </c>
      <c r="G2505" s="16" t="n">
        <v>45883</v>
      </c>
      <c r="H2505" s="18" t="inlineStr">
        <is>
          <t>CÔNG TY TNHH SƠN JOTUN VIỆT NAM</t>
        </is>
      </c>
      <c r="I2505" s="18" t="inlineStr">
        <is>
          <t>SƠN FUTURA CLASSIC RAL 7037 4.76L</t>
        </is>
      </c>
      <c r="J2505" s="18" t="inlineStr">
        <is>
          <t>Lít</t>
        </is>
      </c>
      <c r="K2505" s="19" t="n">
        <v>155000</v>
      </c>
      <c r="L2505" s="20" t="n"/>
      <c r="M2505" s="20" t="n"/>
      <c r="N2505" s="22" t="n">
        <v>9.52</v>
      </c>
      <c r="O2505" s="22" t="n">
        <v>1475600</v>
      </c>
      <c r="P2505" s="22" t="n">
        <v>9.52</v>
      </c>
      <c r="Q2505" s="22" t="n">
        <v>1475600</v>
      </c>
      <c r="R2505" s="42">
        <f>+L2505+N2505-P2505</f>
        <v/>
      </c>
      <c r="S2505" s="42">
        <f>+M2505+O2505-Q2505</f>
        <v/>
      </c>
    </row>
    <row r="2506" ht="15" customHeight="1">
      <c r="A2506" s="16" t="n">
        <v>45883</v>
      </c>
      <c r="B2506" s="17" t="inlineStr">
        <is>
          <t>MH2508-29</t>
        </is>
      </c>
      <c r="C2506" s="16" t="n">
        <v>45883</v>
      </c>
      <c r="D2506" s="17" t="inlineStr">
        <is>
          <t>00007513</t>
        </is>
      </c>
      <c r="E2506" s="16" t="n">
        <v>45883</v>
      </c>
      <c r="F2506" s="16" t="inlineStr">
        <is>
          <t>XK2508-23</t>
        </is>
      </c>
      <c r="G2506" s="16" t="n">
        <v>45883</v>
      </c>
      <c r="H2506" s="18" t="inlineStr">
        <is>
          <t>CÔNG TY TNHH SƠN JOTUN VIỆT NAM</t>
        </is>
      </c>
      <c r="I2506" s="18" t="inlineStr">
        <is>
          <t>DUNG MÔI JOTUN THINNER NO. 17 20L</t>
        </is>
      </c>
      <c r="J2506" s="18" t="inlineStr">
        <is>
          <t>Lít</t>
        </is>
      </c>
      <c r="K2506" s="19" t="n">
        <v>60000</v>
      </c>
      <c r="L2506" s="20" t="n"/>
      <c r="M2506" s="20" t="n"/>
      <c r="N2506" s="22" t="n">
        <v>40</v>
      </c>
      <c r="O2506" s="22" t="n">
        <v>2400000</v>
      </c>
      <c r="P2506" s="22" t="n">
        <v>40</v>
      </c>
      <c r="Q2506" s="22" t="n">
        <v>2400000</v>
      </c>
      <c r="R2506" s="42">
        <f>+L2506+N2506-P2506</f>
        <v/>
      </c>
      <c r="S2506" s="42">
        <f>+M2506+O2506-Q2506</f>
        <v/>
      </c>
    </row>
    <row r="2507" ht="15" customHeight="1">
      <c r="A2507" s="16" t="n">
        <v>45883</v>
      </c>
      <c r="B2507" s="17" t="inlineStr">
        <is>
          <t>MH2508-29</t>
        </is>
      </c>
      <c r="C2507" s="16" t="n">
        <v>45883</v>
      </c>
      <c r="D2507" s="17" t="inlineStr">
        <is>
          <t>00007513</t>
        </is>
      </c>
      <c r="E2507" s="16" t="n">
        <v>45883</v>
      </c>
      <c r="F2507" s="16" t="inlineStr">
        <is>
          <t>XK2508-23</t>
        </is>
      </c>
      <c r="G2507" s="16" t="n">
        <v>45883</v>
      </c>
      <c r="H2507" s="18" t="inlineStr">
        <is>
          <t>CÔNG TY TNHH SƠN JOTUN VIỆT NAM</t>
        </is>
      </c>
      <c r="I2507" s="18" t="inlineStr">
        <is>
          <t>DUNG MÔI JOTUN THINNER NO. 17 5L</t>
        </is>
      </c>
      <c r="J2507" s="18" t="inlineStr">
        <is>
          <t>Lít</t>
        </is>
      </c>
      <c r="K2507" s="19" t="n">
        <v>60000</v>
      </c>
      <c r="L2507" s="20" t="n"/>
      <c r="M2507" s="20" t="n"/>
      <c r="N2507" s="22" t="n">
        <v>10</v>
      </c>
      <c r="O2507" s="22" t="n">
        <v>600000</v>
      </c>
      <c r="P2507" s="22" t="n">
        <v>10</v>
      </c>
      <c r="Q2507" s="22" t="n">
        <v>600000</v>
      </c>
      <c r="R2507" s="42">
        <f>+L2507+N2507-P2507</f>
        <v/>
      </c>
      <c r="S2507" s="42">
        <f>+M2507+O2507-Q2507</f>
        <v/>
      </c>
    </row>
    <row r="2508" ht="15" customHeight="1">
      <c r="A2508" s="16" t="n">
        <v>45883</v>
      </c>
      <c r="B2508" s="17" t="inlineStr">
        <is>
          <t>MH2508-29</t>
        </is>
      </c>
      <c r="C2508" s="16" t="n">
        <v>45883</v>
      </c>
      <c r="D2508" s="17" t="inlineStr">
        <is>
          <t>00007513</t>
        </is>
      </c>
      <c r="E2508" s="16" t="n">
        <v>45883</v>
      </c>
      <c r="F2508" s="16" t="inlineStr">
        <is>
          <t>XK2508-23</t>
        </is>
      </c>
      <c r="G2508" s="16" t="n">
        <v>45883</v>
      </c>
      <c r="H2508" s="18" t="inlineStr">
        <is>
          <t>CÔNG TY TNHH SƠN JOTUN VIỆT NAM</t>
        </is>
      </c>
      <c r="I2508" s="18" t="inlineStr">
        <is>
          <t>DUNG MÔI JOTUN THINNER NO. 10 20L</t>
        </is>
      </c>
      <c r="J2508" s="18" t="inlineStr">
        <is>
          <t>Lít</t>
        </is>
      </c>
      <c r="K2508" s="19" t="n">
        <v>60000</v>
      </c>
      <c r="L2508" s="20" t="n"/>
      <c r="M2508" s="20" t="n"/>
      <c r="N2508" s="22" t="n">
        <v>40</v>
      </c>
      <c r="O2508" s="22" t="n">
        <v>2400000</v>
      </c>
      <c r="P2508" s="22" t="n">
        <v>40</v>
      </c>
      <c r="Q2508" s="22" t="n">
        <v>2400000</v>
      </c>
      <c r="R2508" s="42">
        <f>+L2508+N2508-P2508</f>
        <v/>
      </c>
      <c r="S2508" s="42">
        <f>+M2508+O2508-Q2508</f>
        <v/>
      </c>
    </row>
    <row r="2509" ht="15" customHeight="1">
      <c r="A2509" s="16" t="n">
        <v>45883</v>
      </c>
      <c r="B2509" s="17" t="inlineStr">
        <is>
          <t>MH2508-29</t>
        </is>
      </c>
      <c r="C2509" s="16" t="n">
        <v>45883</v>
      </c>
      <c r="D2509" s="17" t="inlineStr">
        <is>
          <t>00007513</t>
        </is>
      </c>
      <c r="E2509" s="16" t="n">
        <v>45883</v>
      </c>
      <c r="F2509" s="16" t="inlineStr">
        <is>
          <t>XK2508-23</t>
        </is>
      </c>
      <c r="G2509" s="16" t="n">
        <v>45883</v>
      </c>
      <c r="H2509" s="18" t="inlineStr">
        <is>
          <t>CÔNG TY TNHH SƠN JOTUN VIỆT NAM</t>
        </is>
      </c>
      <c r="I2509" s="18" t="inlineStr">
        <is>
          <t>DUNG MÔI JOTUN THINNER NO. 10 5L</t>
        </is>
      </c>
      <c r="J2509" s="18" t="inlineStr">
        <is>
          <t>Lít</t>
        </is>
      </c>
      <c r="K2509" s="19" t="n">
        <v>60000</v>
      </c>
      <c r="L2509" s="20" t="n"/>
      <c r="M2509" s="20" t="n"/>
      <c r="N2509" s="22" t="n">
        <v>10</v>
      </c>
      <c r="O2509" s="22" t="n">
        <v>600000</v>
      </c>
      <c r="P2509" s="22" t="n">
        <v>10</v>
      </c>
      <c r="Q2509" s="22" t="n">
        <v>600000</v>
      </c>
      <c r="R2509" s="42">
        <f>+L2509+N2509-P2509</f>
        <v/>
      </c>
      <c r="S2509" s="42">
        <f>+M2509+O2509-Q2509</f>
        <v/>
      </c>
    </row>
    <row r="2510" ht="15" customHeight="1">
      <c r="A2510" s="16" t="n">
        <v>45884</v>
      </c>
      <c r="B2510" s="17" t="inlineStr">
        <is>
          <t>MH2508-30</t>
        </is>
      </c>
      <c r="C2510" s="16" t="n">
        <v>45884</v>
      </c>
      <c r="D2510" s="17" t="inlineStr">
        <is>
          <t>00007575</t>
        </is>
      </c>
      <c r="E2510" s="16" t="n">
        <v>45884</v>
      </c>
      <c r="F2510" s="16" t="inlineStr">
        <is>
          <t>XK2508-24</t>
        </is>
      </c>
      <c r="G2510" s="16" t="n">
        <v>45884</v>
      </c>
      <c r="H2510" s="18" t="inlineStr">
        <is>
          <t>CÔNG TY TNHH SƠN JOTUN VIỆT NAM</t>
        </is>
      </c>
      <c r="I2510" s="18" t="inlineStr">
        <is>
          <t>SƠN JOTAMASTIC 70 RED 18L</t>
        </is>
      </c>
      <c r="J2510" s="18" t="inlineStr">
        <is>
          <t>Lít</t>
        </is>
      </c>
      <c r="K2510" s="19" t="n">
        <v>90000</v>
      </c>
      <c r="L2510" s="20" t="n"/>
      <c r="M2510" s="20" t="n"/>
      <c r="N2510" s="22" t="n">
        <v>126</v>
      </c>
      <c r="O2510" s="22" t="n">
        <v>11340000</v>
      </c>
      <c r="P2510" s="22" t="n">
        <v>126</v>
      </c>
      <c r="Q2510" s="22" t="n">
        <v>11340000</v>
      </c>
      <c r="R2510" s="42">
        <f>+L2510+N2510-P2510</f>
        <v/>
      </c>
      <c r="S2510" s="42">
        <f>+M2510+O2510-Q2510</f>
        <v/>
      </c>
    </row>
    <row r="2511" ht="15" customHeight="1">
      <c r="A2511" s="16" t="n">
        <v>45884</v>
      </c>
      <c r="B2511" s="17" t="inlineStr">
        <is>
          <t>MH2508-30</t>
        </is>
      </c>
      <c r="C2511" s="16" t="n">
        <v>45884</v>
      </c>
      <c r="D2511" s="17" t="inlineStr">
        <is>
          <t>00007575</t>
        </is>
      </c>
      <c r="E2511" s="16" t="n">
        <v>45884</v>
      </c>
      <c r="F2511" s="16" t="inlineStr">
        <is>
          <t>XK2508-24</t>
        </is>
      </c>
      <c r="G2511" s="16" t="n">
        <v>45884</v>
      </c>
      <c r="H2511" s="18" t="inlineStr">
        <is>
          <t>CÔNG TY TNHH SƠN JOTUN VIỆT NAM</t>
        </is>
      </c>
      <c r="I2511" s="18" t="inlineStr">
        <is>
          <t>DUNG MÔI JOTUN THINNER NO. 17 20L</t>
        </is>
      </c>
      <c r="J2511" s="18" t="inlineStr">
        <is>
          <t>Lít</t>
        </is>
      </c>
      <c r="K2511" s="19" t="n">
        <v>60000</v>
      </c>
      <c r="L2511" s="20" t="n"/>
      <c r="M2511" s="20" t="n"/>
      <c r="N2511" s="22" t="n">
        <v>20</v>
      </c>
      <c r="O2511" s="22" t="n">
        <v>1200000</v>
      </c>
      <c r="P2511" s="22" t="n">
        <v>20</v>
      </c>
      <c r="Q2511" s="22" t="n">
        <v>1200000</v>
      </c>
      <c r="R2511" s="42">
        <f>+L2511+N2511-P2511</f>
        <v/>
      </c>
      <c r="S2511" s="42">
        <f>+M2511+O2511-Q2511</f>
        <v/>
      </c>
    </row>
    <row r="2512" ht="15" customHeight="1">
      <c r="A2512" s="16" t="n">
        <v>45884</v>
      </c>
      <c r="B2512" s="17" t="inlineStr">
        <is>
          <t>MH2508-31</t>
        </is>
      </c>
      <c r="C2512" s="16" t="n">
        <v>45884</v>
      </c>
      <c r="D2512" s="17" t="inlineStr">
        <is>
          <t>00007576</t>
        </is>
      </c>
      <c r="E2512" s="16" t="n">
        <v>45884</v>
      </c>
      <c r="F2512" s="16" t="inlineStr">
        <is>
          <t>XK2508-25</t>
        </is>
      </c>
      <c r="G2512" s="16" t="n">
        <v>45884</v>
      </c>
      <c r="H2512" s="18" t="inlineStr">
        <is>
          <t>CÔNG TY TNHH SƠN JOTUN VIỆT NAM</t>
        </is>
      </c>
      <c r="I2512" s="18" t="inlineStr">
        <is>
          <t>SƠN JOTAMASTIC 70 RED 18L</t>
        </is>
      </c>
      <c r="J2512" s="18" t="inlineStr">
        <is>
          <t>Lít</t>
        </is>
      </c>
      <c r="K2512" s="19" t="n">
        <v>90000</v>
      </c>
      <c r="L2512" s="20" t="n"/>
      <c r="M2512" s="20" t="n"/>
      <c r="N2512" s="22" t="n">
        <v>432</v>
      </c>
      <c r="O2512" s="22" t="n">
        <v>38880000</v>
      </c>
      <c r="P2512" s="22" t="n">
        <v>432</v>
      </c>
      <c r="Q2512" s="22" t="n">
        <v>38880000</v>
      </c>
      <c r="R2512" s="42">
        <f>+L2512+N2512-P2512</f>
        <v/>
      </c>
      <c r="S2512" s="42">
        <f>+M2512+O2512-Q2512</f>
        <v/>
      </c>
    </row>
    <row r="2513" ht="15" customHeight="1">
      <c r="A2513" s="16" t="n">
        <v>45884</v>
      </c>
      <c r="B2513" s="17" t="inlineStr">
        <is>
          <t>MH2508-31</t>
        </is>
      </c>
      <c r="C2513" s="16" t="n">
        <v>45884</v>
      </c>
      <c r="D2513" s="17" t="inlineStr">
        <is>
          <t>00007576</t>
        </is>
      </c>
      <c r="E2513" s="16" t="n">
        <v>45884</v>
      </c>
      <c r="F2513" s="16" t="inlineStr">
        <is>
          <t>XK2508-25</t>
        </is>
      </c>
      <c r="G2513" s="16" t="n">
        <v>45884</v>
      </c>
      <c r="H2513" s="18" t="inlineStr">
        <is>
          <t>CÔNG TY TNHH SƠN JOTUN VIỆT NAM</t>
        </is>
      </c>
      <c r="I2513" s="18" t="inlineStr">
        <is>
          <t>SƠN JOTAMASTIC 70 RED 18L</t>
        </is>
      </c>
      <c r="J2513" s="18" t="inlineStr">
        <is>
          <t>Lít</t>
        </is>
      </c>
      <c r="K2513" s="19" t="n">
        <v>90000</v>
      </c>
      <c r="L2513" s="20" t="n"/>
      <c r="M2513" s="20" t="n"/>
      <c r="N2513" s="22" t="n">
        <v>126</v>
      </c>
      <c r="O2513" s="22" t="n">
        <v>11340000</v>
      </c>
      <c r="P2513" s="22" t="n">
        <v>126</v>
      </c>
      <c r="Q2513" s="22" t="n">
        <v>11340000</v>
      </c>
      <c r="R2513" s="42">
        <f>+L2513+N2513-P2513</f>
        <v/>
      </c>
      <c r="S2513" s="42">
        <f>+M2513+O2513-Q2513</f>
        <v/>
      </c>
    </row>
    <row r="2514" ht="15" customHeight="1">
      <c r="A2514" s="16" t="n">
        <v>45884</v>
      </c>
      <c r="B2514" s="17" t="inlineStr">
        <is>
          <t>MH2508-31</t>
        </is>
      </c>
      <c r="C2514" s="16" t="n">
        <v>45884</v>
      </c>
      <c r="D2514" s="17" t="inlineStr">
        <is>
          <t>00007576</t>
        </is>
      </c>
      <c r="E2514" s="16" t="n">
        <v>45884</v>
      </c>
      <c r="F2514" s="16" t="inlineStr">
        <is>
          <t>XK2508-25</t>
        </is>
      </c>
      <c r="G2514" s="16" t="n">
        <v>45884</v>
      </c>
      <c r="H2514" s="18" t="inlineStr">
        <is>
          <t>CÔNG TY TNHH SƠN JOTUN VIỆT NAM</t>
        </is>
      </c>
      <c r="I2514" s="18" t="inlineStr">
        <is>
          <t>DUNG MÔI JOTUN THINNER NO. 17 20L</t>
        </is>
      </c>
      <c r="J2514" s="18" t="inlineStr">
        <is>
          <t>Lít</t>
        </is>
      </c>
      <c r="K2514" s="19" t="n">
        <v>60000</v>
      </c>
      <c r="L2514" s="20" t="n"/>
      <c r="M2514" s="20" t="n"/>
      <c r="N2514" s="22" t="n">
        <v>80</v>
      </c>
      <c r="O2514" s="22" t="n">
        <v>4800000</v>
      </c>
      <c r="P2514" s="22" t="n">
        <v>80</v>
      </c>
      <c r="Q2514" s="22" t="n">
        <v>4800000</v>
      </c>
      <c r="R2514" s="42">
        <f>+L2514+N2514-P2514</f>
        <v/>
      </c>
      <c r="S2514" s="42">
        <f>+M2514+O2514-Q2514</f>
        <v/>
      </c>
    </row>
    <row r="2515" ht="15" customHeight="1">
      <c r="A2515" s="16" t="n">
        <v>45884</v>
      </c>
      <c r="B2515" s="17" t="inlineStr">
        <is>
          <t>MH2508-31</t>
        </is>
      </c>
      <c r="C2515" s="16" t="n">
        <v>45884</v>
      </c>
      <c r="D2515" s="17" t="inlineStr">
        <is>
          <t>00007576</t>
        </is>
      </c>
      <c r="E2515" s="16" t="n">
        <v>45884</v>
      </c>
      <c r="F2515" s="16" t="inlineStr">
        <is>
          <t>XK2508-25</t>
        </is>
      </c>
      <c r="G2515" s="16" t="n">
        <v>45884</v>
      </c>
      <c r="H2515" s="18" t="inlineStr">
        <is>
          <t>CÔNG TY TNHH SƠN JOTUN VIỆT NAM</t>
        </is>
      </c>
      <c r="I2515" s="18" t="inlineStr">
        <is>
          <t>DUNG MÔI JOTUN THINNER NO. 17 5L</t>
        </is>
      </c>
      <c r="J2515" s="18" t="inlineStr">
        <is>
          <t>Lít</t>
        </is>
      </c>
      <c r="K2515" s="19" t="n">
        <v>60000</v>
      </c>
      <c r="L2515" s="20" t="n"/>
      <c r="M2515" s="20" t="n"/>
      <c r="N2515" s="22" t="n">
        <v>5</v>
      </c>
      <c r="O2515" s="22" t="n">
        <v>300000</v>
      </c>
      <c r="P2515" s="22" t="n">
        <v>5</v>
      </c>
      <c r="Q2515" s="22" t="n">
        <v>300000</v>
      </c>
      <c r="R2515" s="42">
        <f>+L2515+N2515-P2515</f>
        <v/>
      </c>
      <c r="S2515" s="42">
        <f>+M2515+O2515-Q2515</f>
        <v/>
      </c>
    </row>
    <row r="2516" ht="30" customHeight="1">
      <c r="A2516" s="16" t="n">
        <v>45885</v>
      </c>
      <c r="B2516" s="17" t="inlineStr">
        <is>
          <t>MH2508-33</t>
        </is>
      </c>
      <c r="C2516" s="16" t="n">
        <v>45885</v>
      </c>
      <c r="D2516" s="17" t="inlineStr">
        <is>
          <t>00004625</t>
        </is>
      </c>
      <c r="E2516" s="16" t="n">
        <v>45885</v>
      </c>
      <c r="F2516" s="16" t="inlineStr">
        <is>
          <t>XK2508-26</t>
        </is>
      </c>
      <c r="G2516" s="16" t="n">
        <v>45885</v>
      </c>
      <c r="H2516" s="18" t="inlineStr">
        <is>
          <t>CÔNG TY TNHH MTV SẢN XUẤT THƯƠNG MẠI DỊCH VỤ THANH HUYỀN</t>
        </is>
      </c>
      <c r="I2516" s="18" t="inlineStr">
        <is>
          <t>Thép mạ kẽm chấn</t>
        </is>
      </c>
      <c r="J2516" s="18" t="inlineStr">
        <is>
          <t>kg</t>
        </is>
      </c>
      <c r="K2516" s="19" t="n">
        <v>21771.39</v>
      </c>
      <c r="L2516" s="20" t="n"/>
      <c r="M2516" s="20" t="n"/>
      <c r="N2516" s="22" t="n">
        <v>542</v>
      </c>
      <c r="O2516" s="22" t="n">
        <v>11800093</v>
      </c>
      <c r="P2516" s="22" t="n">
        <v>542</v>
      </c>
      <c r="Q2516" s="22" t="n">
        <v>11800093</v>
      </c>
      <c r="R2516" s="42">
        <f>+L2516+N2516-P2516</f>
        <v/>
      </c>
      <c r="S2516" s="42">
        <f>+M2516+O2516-Q2516</f>
        <v/>
      </c>
    </row>
    <row r="2517" ht="30" customHeight="1">
      <c r="A2517" s="16" t="n">
        <v>45885</v>
      </c>
      <c r="B2517" s="17" t="inlineStr">
        <is>
          <t>MH2508-33</t>
        </is>
      </c>
      <c r="C2517" s="16" t="n">
        <v>45885</v>
      </c>
      <c r="D2517" s="17" t="inlineStr">
        <is>
          <t>00004625</t>
        </is>
      </c>
      <c r="E2517" s="16" t="n">
        <v>45885</v>
      </c>
      <c r="F2517" s="16" t="inlineStr">
        <is>
          <t>XK2508-26</t>
        </is>
      </c>
      <c r="G2517" s="16" t="n">
        <v>45885</v>
      </c>
      <c r="H2517" s="18" t="inlineStr">
        <is>
          <t>CÔNG TY TNHH MTV SẢN XUẤT THƯƠNG MẠI DỊCH VỤ THANH HUYỀN</t>
        </is>
      </c>
      <c r="I2517" s="18" t="inlineStr">
        <is>
          <t>Xà gồ mạ kẽm</t>
        </is>
      </c>
      <c r="J2517" s="18" t="inlineStr">
        <is>
          <t>kg</t>
        </is>
      </c>
      <c r="K2517" s="19" t="n">
        <v>17902.27</v>
      </c>
      <c r="L2517" s="20" t="n"/>
      <c r="M2517" s="20" t="n"/>
      <c r="N2517" s="22" t="n">
        <v>9668</v>
      </c>
      <c r="O2517" s="22" t="n">
        <v>173079156</v>
      </c>
      <c r="P2517" s="22" t="n">
        <v>9668</v>
      </c>
      <c r="Q2517" s="22" t="n">
        <v>173079156</v>
      </c>
      <c r="R2517" s="42">
        <f>+L2517+N2517-P2517</f>
        <v/>
      </c>
      <c r="S2517" s="42">
        <f>+M2517+O2517-Q2517</f>
        <v/>
      </c>
    </row>
    <row r="2518" ht="30" customHeight="1">
      <c r="A2518" s="16" t="n">
        <v>45885</v>
      </c>
      <c r="B2518" s="17" t="inlineStr">
        <is>
          <t>MH2508-34</t>
        </is>
      </c>
      <c r="C2518" s="16" t="n">
        <v>45885</v>
      </c>
      <c r="D2518" s="17" t="inlineStr">
        <is>
          <t>00001611</t>
        </is>
      </c>
      <c r="E2518" s="16" t="n">
        <v>45885</v>
      </c>
      <c r="F2518" s="16" t="inlineStr">
        <is>
          <t>XK2508-27</t>
        </is>
      </c>
      <c r="G2518" s="16" t="n">
        <v>45885</v>
      </c>
      <c r="H2518" s="18" t="inlineStr">
        <is>
          <t>CÔNG TY TNHH DỊCH VỤ - THƯƠNG MẠI THÉP THIÊN LONG</t>
        </is>
      </c>
      <c r="I2518" s="18" t="inlineStr">
        <is>
          <t>Thép tấm 18ly</t>
        </is>
      </c>
      <c r="J2518" s="18" t="inlineStr">
        <is>
          <t>kg</t>
        </is>
      </c>
      <c r="K2518" s="19" t="n">
        <v>14818.18</v>
      </c>
      <c r="L2518" s="20" t="n"/>
      <c r="M2518" s="20" t="n"/>
      <c r="N2518" s="22" t="n">
        <v>13564.8</v>
      </c>
      <c r="O2518" s="22" t="n">
        <v>201005648</v>
      </c>
      <c r="P2518" s="22" t="n">
        <v>13564.8</v>
      </c>
      <c r="Q2518" s="22" t="n">
        <v>201005648</v>
      </c>
      <c r="R2518" s="42">
        <f>+L2518+N2518-P2518</f>
        <v/>
      </c>
      <c r="S2518" s="42">
        <f>+M2518+O2518-Q2518</f>
        <v/>
      </c>
    </row>
    <row r="2519" ht="30" customHeight="1">
      <c r="A2519" s="16" t="n">
        <v>45885</v>
      </c>
      <c r="B2519" s="17" t="inlineStr">
        <is>
          <t>MH2508-34</t>
        </is>
      </c>
      <c r="C2519" s="16" t="n">
        <v>45885</v>
      </c>
      <c r="D2519" s="17" t="inlineStr">
        <is>
          <t>00001611</t>
        </is>
      </c>
      <c r="E2519" s="16" t="n">
        <v>45885</v>
      </c>
      <c r="F2519" s="16" t="inlineStr">
        <is>
          <t>XK2508-27</t>
        </is>
      </c>
      <c r="G2519" s="16" t="n">
        <v>45885</v>
      </c>
      <c r="H2519" s="18" t="inlineStr">
        <is>
          <t>CÔNG TY TNHH DỊCH VỤ - THƯƠNG MẠI THÉP THIÊN LONG</t>
        </is>
      </c>
      <c r="I2519" s="18" t="inlineStr">
        <is>
          <t>Thép tấm 30ly</t>
        </is>
      </c>
      <c r="J2519" s="18" t="inlineStr">
        <is>
          <t>kg</t>
        </is>
      </c>
      <c r="K2519" s="19" t="n">
        <v>14818.18</v>
      </c>
      <c r="L2519" s="20" t="n"/>
      <c r="M2519" s="20" t="n"/>
      <c r="N2519" s="22" t="n">
        <v>5652</v>
      </c>
      <c r="O2519" s="22" t="n">
        <v>83752353</v>
      </c>
      <c r="P2519" s="22" t="n">
        <v>5652</v>
      </c>
      <c r="Q2519" s="22" t="n">
        <v>83752353</v>
      </c>
      <c r="R2519" s="42">
        <f>+L2519+N2519-P2519</f>
        <v/>
      </c>
      <c r="S2519" s="42">
        <f>+M2519+O2519-Q2519</f>
        <v/>
      </c>
    </row>
    <row r="2520" ht="30" customHeight="1">
      <c r="A2520" s="16" t="n">
        <v>45888</v>
      </c>
      <c r="B2520" s="17" t="inlineStr">
        <is>
          <t>MH2508-36</t>
        </is>
      </c>
      <c r="C2520" s="16" t="n">
        <v>45888</v>
      </c>
      <c r="D2520" s="17" t="inlineStr">
        <is>
          <t>00003237</t>
        </is>
      </c>
      <c r="E2520" s="16" t="n">
        <v>45888</v>
      </c>
      <c r="F2520" s="16" t="inlineStr">
        <is>
          <t>XK2508-28</t>
        </is>
      </c>
      <c r="G2520" s="16" t="n">
        <v>45888</v>
      </c>
      <c r="H2520" s="18" t="inlineStr">
        <is>
          <t>CÔNG TY CỔ PHẦN CÔNG NGHIỆP VÀ THƯƠNG MẠI CƯỜNG THỊNH</t>
        </is>
      </c>
      <c r="I2520" s="18" t="inlineStr">
        <is>
          <t>Bulong Din 933 8.8 ZP M16x40</t>
        </is>
      </c>
      <c r="J2520" s="18" t="inlineStr">
        <is>
          <t>Cái</t>
        </is>
      </c>
      <c r="K2520" s="19" t="n">
        <v>3030</v>
      </c>
      <c r="L2520" s="20" t="n"/>
      <c r="M2520" s="20" t="n"/>
      <c r="N2520" s="22" t="n">
        <v>24</v>
      </c>
      <c r="O2520" s="22" t="n">
        <v>72720</v>
      </c>
      <c r="P2520" s="22" t="n">
        <v>24</v>
      </c>
      <c r="Q2520" s="22" t="n">
        <v>72720</v>
      </c>
      <c r="R2520" s="42">
        <f>+L2520+N2520-P2520</f>
        <v/>
      </c>
      <c r="S2520" s="42">
        <f>+M2520+O2520-Q2520</f>
        <v/>
      </c>
    </row>
    <row r="2521" ht="30" customHeight="1">
      <c r="A2521" s="16" t="n">
        <v>45888</v>
      </c>
      <c r="B2521" s="17" t="inlineStr">
        <is>
          <t>MH2508-36</t>
        </is>
      </c>
      <c r="C2521" s="16" t="n">
        <v>45888</v>
      </c>
      <c r="D2521" s="17" t="inlineStr">
        <is>
          <t>00003237</t>
        </is>
      </c>
      <c r="E2521" s="16" t="n">
        <v>45888</v>
      </c>
      <c r="F2521" s="16" t="inlineStr">
        <is>
          <t>XK2508-28</t>
        </is>
      </c>
      <c r="G2521" s="16" t="n">
        <v>45888</v>
      </c>
      <c r="H2521" s="18" t="inlineStr">
        <is>
          <t>CÔNG TY CỔ PHẦN CÔNG NGHIỆP VÀ THƯƠNG MẠI CƯỜNG THỊNH</t>
        </is>
      </c>
      <c r="I2521" s="18" t="inlineStr">
        <is>
          <t>Đai ốc Din 934 8 ZP M16</t>
        </is>
      </c>
      <c r="J2521" s="18" t="inlineStr">
        <is>
          <t>Cái</t>
        </is>
      </c>
      <c r="K2521" s="19" t="n">
        <v>1090</v>
      </c>
      <c r="L2521" s="20" t="n"/>
      <c r="M2521" s="20" t="n"/>
      <c r="N2521" s="22" t="n">
        <v>24</v>
      </c>
      <c r="O2521" s="22" t="n">
        <v>26160</v>
      </c>
      <c r="P2521" s="22" t="n">
        <v>24</v>
      </c>
      <c r="Q2521" s="22" t="n">
        <v>26160</v>
      </c>
      <c r="R2521" s="42">
        <f>+L2521+N2521-P2521</f>
        <v/>
      </c>
      <c r="S2521" s="42">
        <f>+M2521+O2521-Q2521</f>
        <v/>
      </c>
    </row>
    <row r="2522" ht="30" customHeight="1">
      <c r="A2522" s="16" t="n">
        <v>45888</v>
      </c>
      <c r="B2522" s="17" t="inlineStr">
        <is>
          <t>MH2508-36</t>
        </is>
      </c>
      <c r="C2522" s="16" t="n">
        <v>45888</v>
      </c>
      <c r="D2522" s="17" t="inlineStr">
        <is>
          <t>00003237</t>
        </is>
      </c>
      <c r="E2522" s="16" t="n">
        <v>45888</v>
      </c>
      <c r="F2522" s="16" t="inlineStr">
        <is>
          <t>XK2508-28</t>
        </is>
      </c>
      <c r="G2522" s="16" t="n">
        <v>45888</v>
      </c>
      <c r="H2522" s="18" t="inlineStr">
        <is>
          <t>CÔNG TY CỔ PHẦN CÔNG NGHIỆP VÀ THƯƠNG MẠI CƯỜNG THỊNH</t>
        </is>
      </c>
      <c r="I2522" s="18" t="inlineStr">
        <is>
          <t>Long đền thường ZP M16B30D2</t>
        </is>
      </c>
      <c r="J2522" s="18" t="inlineStr">
        <is>
          <t>Cái</t>
        </is>
      </c>
      <c r="K2522" s="19" t="n">
        <v>330</v>
      </c>
      <c r="L2522" s="20" t="n"/>
      <c r="M2522" s="20" t="n"/>
      <c r="N2522" s="22" t="n">
        <v>24</v>
      </c>
      <c r="O2522" s="22" t="n">
        <v>7920</v>
      </c>
      <c r="P2522" s="22" t="n">
        <v>24</v>
      </c>
      <c r="Q2522" s="22" t="n">
        <v>7920</v>
      </c>
      <c r="R2522" s="42">
        <f>+L2522+N2522-P2522</f>
        <v/>
      </c>
      <c r="S2522" s="42">
        <f>+M2522+O2522-Q2522</f>
        <v/>
      </c>
    </row>
    <row r="2523" ht="30" customHeight="1">
      <c r="A2523" s="16" t="n">
        <v>45888</v>
      </c>
      <c r="B2523" s="17" t="inlineStr">
        <is>
          <t>MH2508-36</t>
        </is>
      </c>
      <c r="C2523" s="16" t="n">
        <v>45888</v>
      </c>
      <c r="D2523" s="17" t="inlineStr">
        <is>
          <t>00003237</t>
        </is>
      </c>
      <c r="E2523" s="16" t="n">
        <v>45888</v>
      </c>
      <c r="F2523" s="16" t="inlineStr">
        <is>
          <t>XK2508-28</t>
        </is>
      </c>
      <c r="G2523" s="16" t="n">
        <v>45888</v>
      </c>
      <c r="H2523" s="18" t="inlineStr">
        <is>
          <t>CÔNG TY CỔ PHẦN CÔNG NGHIỆP VÀ THƯƠNG MẠI CƯỜNG THỊNH</t>
        </is>
      </c>
      <c r="I2523" s="18" t="inlineStr">
        <is>
          <t>Bulong Din 933 8.8 ZP M16x50</t>
        </is>
      </c>
      <c r="J2523" s="18" t="inlineStr">
        <is>
          <t>Cái</t>
        </is>
      </c>
      <c r="K2523" s="19" t="n">
        <v>3470</v>
      </c>
      <c r="L2523" s="20" t="n"/>
      <c r="M2523" s="20" t="n"/>
      <c r="N2523" s="22" t="n">
        <v>766</v>
      </c>
      <c r="O2523" s="22" t="n">
        <v>2658020</v>
      </c>
      <c r="P2523" s="22" t="n">
        <v>766</v>
      </c>
      <c r="Q2523" s="22" t="n">
        <v>2658020</v>
      </c>
      <c r="R2523" s="42">
        <f>+L2523+N2523-P2523</f>
        <v/>
      </c>
      <c r="S2523" s="42">
        <f>+M2523+O2523-Q2523</f>
        <v/>
      </c>
    </row>
    <row r="2524" ht="30" customHeight="1">
      <c r="A2524" s="16" t="n">
        <v>45888</v>
      </c>
      <c r="B2524" s="17" t="inlineStr">
        <is>
          <t>MH2508-36</t>
        </is>
      </c>
      <c r="C2524" s="16" t="n">
        <v>45888</v>
      </c>
      <c r="D2524" s="17" t="inlineStr">
        <is>
          <t>00003237</t>
        </is>
      </c>
      <c r="E2524" s="16" t="n">
        <v>45888</v>
      </c>
      <c r="F2524" s="16" t="inlineStr">
        <is>
          <t>XK2508-28</t>
        </is>
      </c>
      <c r="G2524" s="16" t="n">
        <v>45888</v>
      </c>
      <c r="H2524" s="18" t="inlineStr">
        <is>
          <t>CÔNG TY CỔ PHẦN CÔNG NGHIỆP VÀ THƯƠNG MẠI CƯỜNG THỊNH</t>
        </is>
      </c>
      <c r="I2524" s="18" t="inlineStr">
        <is>
          <t>Đai ốc Din 934 8 ZP M16</t>
        </is>
      </c>
      <c r="J2524" s="18" t="inlineStr">
        <is>
          <t>Cái</t>
        </is>
      </c>
      <c r="K2524" s="19" t="n">
        <v>1090</v>
      </c>
      <c r="L2524" s="20" t="n"/>
      <c r="M2524" s="20" t="n"/>
      <c r="N2524" s="22" t="n">
        <v>766</v>
      </c>
      <c r="O2524" s="22" t="n">
        <v>834940</v>
      </c>
      <c r="P2524" s="22" t="n">
        <v>766</v>
      </c>
      <c r="Q2524" s="22" t="n">
        <v>834940</v>
      </c>
      <c r="R2524" s="42">
        <f>+L2524+N2524-P2524</f>
        <v/>
      </c>
      <c r="S2524" s="42">
        <f>+M2524+O2524-Q2524</f>
        <v/>
      </c>
    </row>
    <row r="2525" ht="30" customHeight="1">
      <c r="A2525" s="16" t="n">
        <v>45888</v>
      </c>
      <c r="B2525" s="17" t="inlineStr">
        <is>
          <t>MH2508-36</t>
        </is>
      </c>
      <c r="C2525" s="16" t="n">
        <v>45888</v>
      </c>
      <c r="D2525" s="17" t="inlineStr">
        <is>
          <t>00003237</t>
        </is>
      </c>
      <c r="E2525" s="16" t="n">
        <v>45888</v>
      </c>
      <c r="F2525" s="16" t="inlineStr">
        <is>
          <t>XK2508-28</t>
        </is>
      </c>
      <c r="G2525" s="16" t="n">
        <v>45888</v>
      </c>
      <c r="H2525" s="18" t="inlineStr">
        <is>
          <t>CÔNG TY CỔ PHẦN CÔNG NGHIỆP VÀ THƯƠNG MẠI CƯỜNG THỊNH</t>
        </is>
      </c>
      <c r="I2525" s="18" t="inlineStr">
        <is>
          <t>Long đền thường ZP M16B30D2</t>
        </is>
      </c>
      <c r="J2525" s="18" t="inlineStr">
        <is>
          <t>Cái</t>
        </is>
      </c>
      <c r="K2525" s="19" t="n">
        <v>330</v>
      </c>
      <c r="L2525" s="20" t="n"/>
      <c r="M2525" s="20" t="n"/>
      <c r="N2525" s="22" t="n">
        <v>766</v>
      </c>
      <c r="O2525" s="22" t="n">
        <v>252780</v>
      </c>
      <c r="P2525" s="22" t="n">
        <v>766</v>
      </c>
      <c r="Q2525" s="22" t="n">
        <v>252780</v>
      </c>
      <c r="R2525" s="42">
        <f>+L2525+N2525-P2525</f>
        <v/>
      </c>
      <c r="S2525" s="42">
        <f>+M2525+O2525-Q2525</f>
        <v/>
      </c>
    </row>
    <row r="2526" ht="30" customHeight="1">
      <c r="A2526" s="16" t="n">
        <v>45888</v>
      </c>
      <c r="B2526" s="17" t="inlineStr">
        <is>
          <t>MH2508-36</t>
        </is>
      </c>
      <c r="C2526" s="16" t="n">
        <v>45888</v>
      </c>
      <c r="D2526" s="17" t="inlineStr">
        <is>
          <t>00003237</t>
        </is>
      </c>
      <c r="E2526" s="16" t="n">
        <v>45888</v>
      </c>
      <c r="F2526" s="16" t="inlineStr">
        <is>
          <t>XK2508-28</t>
        </is>
      </c>
      <c r="G2526" s="16" t="n">
        <v>45888</v>
      </c>
      <c r="H2526" s="18" t="inlineStr">
        <is>
          <t>CÔNG TY CỔ PHẦN CÔNG NGHIỆP VÀ THƯƠNG MẠI CƯỜNG THỊNH</t>
        </is>
      </c>
      <c r="I2526" s="18" t="inlineStr">
        <is>
          <t>Bulong Din 933 8.8 ZP M20x40</t>
        </is>
      </c>
      <c r="J2526" s="18" t="inlineStr">
        <is>
          <t>Cái</t>
        </is>
      </c>
      <c r="K2526" s="19" t="n">
        <v>5050</v>
      </c>
      <c r="L2526" s="20" t="n"/>
      <c r="M2526" s="20" t="n"/>
      <c r="N2526" s="22" t="n">
        <v>15</v>
      </c>
      <c r="O2526" s="22" t="n">
        <v>75750</v>
      </c>
      <c r="P2526" s="22" t="n">
        <v>15</v>
      </c>
      <c r="Q2526" s="22" t="n">
        <v>75750</v>
      </c>
      <c r="R2526" s="42">
        <f>+L2526+N2526-P2526</f>
        <v/>
      </c>
      <c r="S2526" s="42">
        <f>+M2526+O2526-Q2526</f>
        <v/>
      </c>
    </row>
    <row r="2527" ht="30" customHeight="1">
      <c r="A2527" s="16" t="n">
        <v>45888</v>
      </c>
      <c r="B2527" s="17" t="inlineStr">
        <is>
          <t>MH2508-36</t>
        </is>
      </c>
      <c r="C2527" s="16" t="n">
        <v>45888</v>
      </c>
      <c r="D2527" s="17" t="inlineStr">
        <is>
          <t>00003237</t>
        </is>
      </c>
      <c r="E2527" s="16" t="n">
        <v>45888</v>
      </c>
      <c r="F2527" s="16" t="inlineStr">
        <is>
          <t>XK2508-28</t>
        </is>
      </c>
      <c r="G2527" s="16" t="n">
        <v>45888</v>
      </c>
      <c r="H2527" s="18" t="inlineStr">
        <is>
          <t>CÔNG TY CỔ PHẦN CÔNG NGHIỆP VÀ THƯƠNG MẠI CƯỜNG THỊNH</t>
        </is>
      </c>
      <c r="I2527" s="18" t="inlineStr">
        <is>
          <t>Đai ốc Din 934 8 ZP M20</t>
        </is>
      </c>
      <c r="J2527" s="18" t="inlineStr">
        <is>
          <t>Cái</t>
        </is>
      </c>
      <c r="K2527" s="19" t="n">
        <v>2030</v>
      </c>
      <c r="L2527" s="20" t="n"/>
      <c r="M2527" s="20" t="n"/>
      <c r="N2527" s="22" t="n">
        <v>15</v>
      </c>
      <c r="O2527" s="22" t="n">
        <v>30450</v>
      </c>
      <c r="P2527" s="22" t="n">
        <v>15</v>
      </c>
      <c r="Q2527" s="22" t="n">
        <v>30450</v>
      </c>
      <c r="R2527" s="42">
        <f>+L2527+N2527-P2527</f>
        <v/>
      </c>
      <c r="S2527" s="42">
        <f>+M2527+O2527-Q2527</f>
        <v/>
      </c>
    </row>
    <row r="2528" ht="30" customHeight="1">
      <c r="A2528" s="16" t="n">
        <v>45888</v>
      </c>
      <c r="B2528" s="17" t="inlineStr">
        <is>
          <t>MH2508-36</t>
        </is>
      </c>
      <c r="C2528" s="16" t="n">
        <v>45888</v>
      </c>
      <c r="D2528" s="17" t="inlineStr">
        <is>
          <t>00003237</t>
        </is>
      </c>
      <c r="E2528" s="16" t="n">
        <v>45888</v>
      </c>
      <c r="F2528" s="16" t="inlineStr">
        <is>
          <t>XK2508-28</t>
        </is>
      </c>
      <c r="G2528" s="16" t="n">
        <v>45888</v>
      </c>
      <c r="H2528" s="18" t="inlineStr">
        <is>
          <t>CÔNG TY CỔ PHẦN CÔNG NGHIỆP VÀ THƯƠNG MẠI CƯỜNG THỊNH</t>
        </is>
      </c>
      <c r="I2528" s="18" t="inlineStr">
        <is>
          <t>Long đền thường ZP M20B35D2</t>
        </is>
      </c>
      <c r="J2528" s="18" t="inlineStr">
        <is>
          <t>Cái</t>
        </is>
      </c>
      <c r="K2528" s="19" t="n">
        <v>350</v>
      </c>
      <c r="L2528" s="20" t="n"/>
      <c r="M2528" s="20" t="n"/>
      <c r="N2528" s="22" t="n">
        <v>15</v>
      </c>
      <c r="O2528" s="22" t="n">
        <v>5250</v>
      </c>
      <c r="P2528" s="22" t="n">
        <v>15</v>
      </c>
      <c r="Q2528" s="22" t="n">
        <v>5250</v>
      </c>
      <c r="R2528" s="42">
        <f>+L2528+N2528-P2528</f>
        <v/>
      </c>
      <c r="S2528" s="42">
        <f>+M2528+O2528-Q2528</f>
        <v/>
      </c>
    </row>
    <row r="2529" ht="30" customHeight="1">
      <c r="A2529" s="16" t="n">
        <v>45888</v>
      </c>
      <c r="B2529" s="17" t="inlineStr">
        <is>
          <t>MH2508-36</t>
        </is>
      </c>
      <c r="C2529" s="16" t="n">
        <v>45888</v>
      </c>
      <c r="D2529" s="17" t="inlineStr">
        <is>
          <t>00003237</t>
        </is>
      </c>
      <c r="E2529" s="16" t="n">
        <v>45888</v>
      </c>
      <c r="F2529" s="16" t="inlineStr">
        <is>
          <t>XK2508-28</t>
        </is>
      </c>
      <c r="G2529" s="16" t="n">
        <v>45888</v>
      </c>
      <c r="H2529" s="18" t="inlineStr">
        <is>
          <t>CÔNG TY CỔ PHẦN CÔNG NGHIỆP VÀ THƯƠNG MẠI CƯỜNG THỊNH</t>
        </is>
      </c>
      <c r="I2529" s="18" t="inlineStr">
        <is>
          <t>Bulong Din 933 8.8 ZP M20x50</t>
        </is>
      </c>
      <c r="J2529" s="18" t="inlineStr">
        <is>
          <t>Cái</t>
        </is>
      </c>
      <c r="K2529" s="19" t="n">
        <v>5760</v>
      </c>
      <c r="L2529" s="20" t="n"/>
      <c r="M2529" s="20" t="n"/>
      <c r="N2529" s="22" t="n">
        <v>24</v>
      </c>
      <c r="O2529" s="22" t="n">
        <v>138240</v>
      </c>
      <c r="P2529" s="22" t="n">
        <v>24</v>
      </c>
      <c r="Q2529" s="22" t="n">
        <v>138240</v>
      </c>
      <c r="R2529" s="42">
        <f>+L2529+N2529-P2529</f>
        <v/>
      </c>
      <c r="S2529" s="42">
        <f>+M2529+O2529-Q2529</f>
        <v/>
      </c>
    </row>
    <row r="2530" ht="30" customHeight="1">
      <c r="A2530" s="16" t="n">
        <v>45888</v>
      </c>
      <c r="B2530" s="17" t="inlineStr">
        <is>
          <t>MH2508-36</t>
        </is>
      </c>
      <c r="C2530" s="16" t="n">
        <v>45888</v>
      </c>
      <c r="D2530" s="17" t="inlineStr">
        <is>
          <t>00003237</t>
        </is>
      </c>
      <c r="E2530" s="16" t="n">
        <v>45888</v>
      </c>
      <c r="F2530" s="16" t="inlineStr">
        <is>
          <t>XK2508-28</t>
        </is>
      </c>
      <c r="G2530" s="16" t="n">
        <v>45888</v>
      </c>
      <c r="H2530" s="18" t="inlineStr">
        <is>
          <t>CÔNG TY CỔ PHẦN CÔNG NGHIỆP VÀ THƯƠNG MẠI CƯỜNG THỊNH</t>
        </is>
      </c>
      <c r="I2530" s="18" t="inlineStr">
        <is>
          <t>Đai ốc Din 934 8 ZP M20</t>
        </is>
      </c>
      <c r="J2530" s="18" t="inlineStr">
        <is>
          <t>Cái</t>
        </is>
      </c>
      <c r="K2530" s="19" t="n">
        <v>2030</v>
      </c>
      <c r="L2530" s="20" t="n"/>
      <c r="M2530" s="20" t="n"/>
      <c r="N2530" s="22" t="n">
        <v>24</v>
      </c>
      <c r="O2530" s="22" t="n">
        <v>48720</v>
      </c>
      <c r="P2530" s="22" t="n">
        <v>24</v>
      </c>
      <c r="Q2530" s="22" t="n">
        <v>48720</v>
      </c>
      <c r="R2530" s="42">
        <f>+L2530+N2530-P2530</f>
        <v/>
      </c>
      <c r="S2530" s="42">
        <f>+M2530+O2530-Q2530</f>
        <v/>
      </c>
    </row>
    <row r="2531" ht="30" customHeight="1">
      <c r="A2531" s="16" t="n">
        <v>45888</v>
      </c>
      <c r="B2531" s="17" t="inlineStr">
        <is>
          <t>MH2508-36</t>
        </is>
      </c>
      <c r="C2531" s="16" t="n">
        <v>45888</v>
      </c>
      <c r="D2531" s="17" t="inlineStr">
        <is>
          <t>00003237</t>
        </is>
      </c>
      <c r="E2531" s="16" t="n">
        <v>45888</v>
      </c>
      <c r="F2531" s="16" t="inlineStr">
        <is>
          <t>XK2508-28</t>
        </is>
      </c>
      <c r="G2531" s="16" t="n">
        <v>45888</v>
      </c>
      <c r="H2531" s="18" t="inlineStr">
        <is>
          <t>CÔNG TY CỔ PHẦN CÔNG NGHIỆP VÀ THƯƠNG MẠI CƯỜNG THỊNH</t>
        </is>
      </c>
      <c r="I2531" s="18" t="inlineStr">
        <is>
          <t>Long đền thường ZP M20B35D2</t>
        </is>
      </c>
      <c r="J2531" s="18" t="inlineStr">
        <is>
          <t>Cái</t>
        </is>
      </c>
      <c r="K2531" s="19" t="n">
        <v>350</v>
      </c>
      <c r="L2531" s="20" t="n"/>
      <c r="M2531" s="20" t="n"/>
      <c r="N2531" s="22" t="n">
        <v>24</v>
      </c>
      <c r="O2531" s="22" t="n">
        <v>8400</v>
      </c>
      <c r="P2531" s="22" t="n">
        <v>24</v>
      </c>
      <c r="Q2531" s="22" t="n">
        <v>8400</v>
      </c>
      <c r="R2531" s="42">
        <f>+L2531+N2531-P2531</f>
        <v/>
      </c>
      <c r="S2531" s="42">
        <f>+M2531+O2531-Q2531</f>
        <v/>
      </c>
    </row>
    <row r="2532" ht="30" customHeight="1">
      <c r="A2532" s="16" t="n">
        <v>45888</v>
      </c>
      <c r="B2532" s="17" t="inlineStr">
        <is>
          <t>MH2508-36</t>
        </is>
      </c>
      <c r="C2532" s="16" t="n">
        <v>45888</v>
      </c>
      <c r="D2532" s="17" t="inlineStr">
        <is>
          <t>00003237</t>
        </is>
      </c>
      <c r="E2532" s="16" t="n">
        <v>45888</v>
      </c>
      <c r="F2532" s="16" t="inlineStr">
        <is>
          <t>XK2508-28</t>
        </is>
      </c>
      <c r="G2532" s="16" t="n">
        <v>45888</v>
      </c>
      <c r="H2532" s="18" t="inlineStr">
        <is>
          <t>CÔNG TY CỔ PHẦN CÔNG NGHIỆP VÀ THƯƠNG MẠI CƯỜNG THỊNH</t>
        </is>
      </c>
      <c r="I2532" s="18" t="inlineStr">
        <is>
          <t>Bulong thường 4.6 ZP M12x40</t>
        </is>
      </c>
      <c r="J2532" s="18" t="inlineStr">
        <is>
          <t>Cái</t>
        </is>
      </c>
      <c r="K2532" s="19" t="n">
        <v>1100</v>
      </c>
      <c r="L2532" s="20" t="n"/>
      <c r="M2532" s="20" t="n"/>
      <c r="N2532" s="22" t="n">
        <v>160</v>
      </c>
      <c r="O2532" s="22" t="n">
        <v>176000</v>
      </c>
      <c r="P2532" s="22" t="n">
        <v>160</v>
      </c>
      <c r="Q2532" s="22" t="n">
        <v>176000</v>
      </c>
      <c r="R2532" s="42">
        <f>+L2532+N2532-P2532</f>
        <v/>
      </c>
      <c r="S2532" s="42">
        <f>+M2532+O2532-Q2532</f>
        <v/>
      </c>
    </row>
    <row r="2533" ht="30" customHeight="1">
      <c r="A2533" s="16" t="n">
        <v>45888</v>
      </c>
      <c r="B2533" s="17" t="inlineStr">
        <is>
          <t>MH2508-36</t>
        </is>
      </c>
      <c r="C2533" s="16" t="n">
        <v>45888</v>
      </c>
      <c r="D2533" s="17" t="inlineStr">
        <is>
          <t>00003237</t>
        </is>
      </c>
      <c r="E2533" s="16" t="n">
        <v>45888</v>
      </c>
      <c r="F2533" s="16" t="inlineStr">
        <is>
          <t>XK2508-28</t>
        </is>
      </c>
      <c r="G2533" s="16" t="n">
        <v>45888</v>
      </c>
      <c r="H2533" s="18" t="inlineStr">
        <is>
          <t>CÔNG TY CỔ PHẦN CÔNG NGHIỆP VÀ THƯƠNG MẠI CƯỜNG THỊNH</t>
        </is>
      </c>
      <c r="I2533" s="18" t="inlineStr">
        <is>
          <t>Đai ốc thường 4 ZP M12 (9mm)</t>
        </is>
      </c>
      <c r="J2533" s="18" t="inlineStr">
        <is>
          <t>Cái</t>
        </is>
      </c>
      <c r="K2533" s="19" t="n">
        <v>360</v>
      </c>
      <c r="L2533" s="20" t="n"/>
      <c r="M2533" s="20" t="n"/>
      <c r="N2533" s="22" t="n">
        <v>160</v>
      </c>
      <c r="O2533" s="22" t="n">
        <v>57600</v>
      </c>
      <c r="P2533" s="22" t="n">
        <v>160</v>
      </c>
      <c r="Q2533" s="22" t="n">
        <v>57600</v>
      </c>
      <c r="R2533" s="42">
        <f>+L2533+N2533-P2533</f>
        <v/>
      </c>
      <c r="S2533" s="42">
        <f>+M2533+O2533-Q2533</f>
        <v/>
      </c>
    </row>
    <row r="2534" ht="30" customHeight="1">
      <c r="A2534" s="16" t="n">
        <v>45888</v>
      </c>
      <c r="B2534" s="17" t="inlineStr">
        <is>
          <t>MH2508-36</t>
        </is>
      </c>
      <c r="C2534" s="16" t="n">
        <v>45888</v>
      </c>
      <c r="D2534" s="17" t="inlineStr">
        <is>
          <t>00003237</t>
        </is>
      </c>
      <c r="E2534" s="16" t="n">
        <v>45888</v>
      </c>
      <c r="F2534" s="16" t="inlineStr">
        <is>
          <t>XK2508-28</t>
        </is>
      </c>
      <c r="G2534" s="16" t="n">
        <v>45888</v>
      </c>
      <c r="H2534" s="18" t="inlineStr">
        <is>
          <t>CÔNG TY CỔ PHẦN CÔNG NGHIỆP VÀ THƯƠNG MẠI CƯỜNG THỊNH</t>
        </is>
      </c>
      <c r="I2534" s="18" t="inlineStr">
        <is>
          <t>Long đền thường ZP M12B23D1</t>
        </is>
      </c>
      <c r="J2534" s="18" t="inlineStr">
        <is>
          <t>Cái</t>
        </is>
      </c>
      <c r="K2534" s="19" t="n">
        <v>100</v>
      </c>
      <c r="L2534" s="20" t="n"/>
      <c r="M2534" s="20" t="n"/>
      <c r="N2534" s="22" t="n">
        <v>320</v>
      </c>
      <c r="O2534" s="22" t="n">
        <v>32000</v>
      </c>
      <c r="P2534" s="22" t="n">
        <v>320</v>
      </c>
      <c r="Q2534" s="22" t="n">
        <v>32000</v>
      </c>
      <c r="R2534" s="42">
        <f>+L2534+N2534-P2534</f>
        <v/>
      </c>
      <c r="S2534" s="42">
        <f>+M2534+O2534-Q2534</f>
        <v/>
      </c>
    </row>
    <row r="2535" ht="30" customHeight="1">
      <c r="A2535" s="16" t="n">
        <v>45888</v>
      </c>
      <c r="B2535" s="17" t="inlineStr">
        <is>
          <t>MH2508-36</t>
        </is>
      </c>
      <c r="C2535" s="16" t="n">
        <v>45888</v>
      </c>
      <c r="D2535" s="17" t="inlineStr">
        <is>
          <t>00003237</t>
        </is>
      </c>
      <c r="E2535" s="16" t="n">
        <v>45888</v>
      </c>
      <c r="F2535" s="16" t="inlineStr">
        <is>
          <t>XK2508-28</t>
        </is>
      </c>
      <c r="G2535" s="16" t="n">
        <v>45888</v>
      </c>
      <c r="H2535" s="18" t="inlineStr">
        <is>
          <t>CÔNG TY CỔ PHẦN CÔNG NGHIỆP VÀ THƯƠNG MẠI CƯỜNG THỊNH</t>
        </is>
      </c>
      <c r="I2535" s="18" t="inlineStr">
        <is>
          <t>Bulong Din 933 8.8 ZP M20x60</t>
        </is>
      </c>
      <c r="J2535" s="18" t="inlineStr">
        <is>
          <t>Cái</t>
        </is>
      </c>
      <c r="K2535" s="19" t="n">
        <v>6360</v>
      </c>
      <c r="L2535" s="20" t="n"/>
      <c r="M2535" s="20" t="n"/>
      <c r="N2535" s="22" t="n">
        <v>36</v>
      </c>
      <c r="O2535" s="22" t="n">
        <v>228960</v>
      </c>
      <c r="P2535" s="22" t="n">
        <v>36</v>
      </c>
      <c r="Q2535" s="22" t="n">
        <v>228960</v>
      </c>
      <c r="R2535" s="42">
        <f>+L2535+N2535-P2535</f>
        <v/>
      </c>
      <c r="S2535" s="42">
        <f>+M2535+O2535-Q2535</f>
        <v/>
      </c>
    </row>
    <row r="2536" ht="30" customHeight="1">
      <c r="A2536" s="16" t="n">
        <v>45888</v>
      </c>
      <c r="B2536" s="17" t="inlineStr">
        <is>
          <t>MH2508-36</t>
        </is>
      </c>
      <c r="C2536" s="16" t="n">
        <v>45888</v>
      </c>
      <c r="D2536" s="17" t="inlineStr">
        <is>
          <t>00003237</t>
        </is>
      </c>
      <c r="E2536" s="16" t="n">
        <v>45888</v>
      </c>
      <c r="F2536" s="16" t="inlineStr">
        <is>
          <t>XK2508-28</t>
        </is>
      </c>
      <c r="G2536" s="16" t="n">
        <v>45888</v>
      </c>
      <c r="H2536" s="18" t="inlineStr">
        <is>
          <t>CÔNG TY CỔ PHẦN CÔNG NGHIỆP VÀ THƯƠNG MẠI CƯỜNG THỊNH</t>
        </is>
      </c>
      <c r="I2536" s="18" t="inlineStr">
        <is>
          <t>Đai ốc Din 934 8 ZP M20</t>
        </is>
      </c>
      <c r="J2536" s="18" t="inlineStr">
        <is>
          <t>Cái</t>
        </is>
      </c>
      <c r="K2536" s="19" t="n">
        <v>2030</v>
      </c>
      <c r="L2536" s="20" t="n"/>
      <c r="M2536" s="20" t="n"/>
      <c r="N2536" s="22" t="n">
        <v>36</v>
      </c>
      <c r="O2536" s="22" t="n">
        <v>73080</v>
      </c>
      <c r="P2536" s="22" t="n">
        <v>36</v>
      </c>
      <c r="Q2536" s="22" t="n">
        <v>73080</v>
      </c>
      <c r="R2536" s="42">
        <f>+L2536+N2536-P2536</f>
        <v/>
      </c>
      <c r="S2536" s="42">
        <f>+M2536+O2536-Q2536</f>
        <v/>
      </c>
    </row>
    <row r="2537" ht="30" customHeight="1">
      <c r="A2537" s="16" t="n">
        <v>45888</v>
      </c>
      <c r="B2537" s="17" t="inlineStr">
        <is>
          <t>MH2508-36</t>
        </is>
      </c>
      <c r="C2537" s="16" t="n">
        <v>45888</v>
      </c>
      <c r="D2537" s="17" t="inlineStr">
        <is>
          <t>00003237</t>
        </is>
      </c>
      <c r="E2537" s="16" t="n">
        <v>45888</v>
      </c>
      <c r="F2537" s="16" t="inlineStr">
        <is>
          <t>XK2508-28</t>
        </is>
      </c>
      <c r="G2537" s="16" t="n">
        <v>45888</v>
      </c>
      <c r="H2537" s="18" t="inlineStr">
        <is>
          <t>CÔNG TY CỔ PHẦN CÔNG NGHIỆP VÀ THƯƠNG MẠI CƯỜNG THỊNH</t>
        </is>
      </c>
      <c r="I2537" s="18" t="inlineStr">
        <is>
          <t>Long đền thường ZP M20B35D2</t>
        </is>
      </c>
      <c r="J2537" s="18" t="inlineStr">
        <is>
          <t>Cái</t>
        </is>
      </c>
      <c r="K2537" s="19" t="n">
        <v>350</v>
      </c>
      <c r="L2537" s="20" t="n"/>
      <c r="M2537" s="20" t="n"/>
      <c r="N2537" s="22" t="n">
        <v>36</v>
      </c>
      <c r="O2537" s="22" t="n">
        <v>12600</v>
      </c>
      <c r="P2537" s="22" t="n">
        <v>36</v>
      </c>
      <c r="Q2537" s="22" t="n">
        <v>12600</v>
      </c>
      <c r="R2537" s="42">
        <f>+L2537+N2537-P2537</f>
        <v/>
      </c>
      <c r="S2537" s="42">
        <f>+M2537+O2537-Q2537</f>
        <v/>
      </c>
    </row>
    <row r="2538" ht="30" customHeight="1">
      <c r="A2538" s="16" t="n">
        <v>45888</v>
      </c>
      <c r="B2538" s="17" t="inlineStr">
        <is>
          <t>MH2508-36</t>
        </is>
      </c>
      <c r="C2538" s="16" t="n">
        <v>45888</v>
      </c>
      <c r="D2538" s="17" t="inlineStr">
        <is>
          <t>00003237</t>
        </is>
      </c>
      <c r="E2538" s="16" t="n">
        <v>45888</v>
      </c>
      <c r="F2538" s="16" t="inlineStr">
        <is>
          <t>XK2508-28</t>
        </is>
      </c>
      <c r="G2538" s="16" t="n">
        <v>45888</v>
      </c>
      <c r="H2538" s="18" t="inlineStr">
        <is>
          <t>CÔNG TY CỔ PHẦN CÔNG NGHIỆP VÀ THƯƠNG MẠI CƯỜNG THỊNH</t>
        </is>
      </c>
      <c r="I2538" s="18" t="inlineStr">
        <is>
          <t>Bulong nở 5.6 ZP M16x180</t>
        </is>
      </c>
      <c r="J2538" s="18" t="inlineStr">
        <is>
          <t>Bộ</t>
        </is>
      </c>
      <c r="K2538" s="19" t="n">
        <v>30000</v>
      </c>
      <c r="L2538" s="20" t="n"/>
      <c r="M2538" s="20" t="n"/>
      <c r="N2538" s="22" t="n">
        <v>16</v>
      </c>
      <c r="O2538" s="22" t="n">
        <v>480000</v>
      </c>
      <c r="P2538" s="22" t="n">
        <v>16</v>
      </c>
      <c r="Q2538" s="22" t="n">
        <v>480000</v>
      </c>
      <c r="R2538" s="42">
        <f>+L2538+N2538-P2538</f>
        <v/>
      </c>
      <c r="S2538" s="42">
        <f>+M2538+O2538-Q2538</f>
        <v/>
      </c>
    </row>
    <row r="2539" ht="30" customHeight="1">
      <c r="A2539" s="16" t="n">
        <v>45888</v>
      </c>
      <c r="B2539" s="17" t="inlineStr">
        <is>
          <t>MH2508-36</t>
        </is>
      </c>
      <c r="C2539" s="16" t="n">
        <v>45888</v>
      </c>
      <c r="D2539" s="17" t="inlineStr">
        <is>
          <t>00003237</t>
        </is>
      </c>
      <c r="E2539" s="16" t="n">
        <v>45888</v>
      </c>
      <c r="F2539" s="16" t="inlineStr">
        <is>
          <t>XK2508-28</t>
        </is>
      </c>
      <c r="G2539" s="16" t="n">
        <v>45888</v>
      </c>
      <c r="H2539" s="18" t="inlineStr">
        <is>
          <t>CÔNG TY CỔ PHẦN CÔNG NGHIỆP VÀ THƯƠNG MẠI CƯỜNG THỊNH</t>
        </is>
      </c>
      <c r="I2539" s="18" t="inlineStr">
        <is>
          <t>Ty ren suốt 5.8 (đầu vát-đầu lục giác) ZP M20x260</t>
        </is>
      </c>
      <c r="J2539" s="18" t="inlineStr">
        <is>
          <t>Cái</t>
        </is>
      </c>
      <c r="K2539" s="19" t="n">
        <v>54500</v>
      </c>
      <c r="L2539" s="20" t="n"/>
      <c r="M2539" s="20" t="n"/>
      <c r="N2539" s="22" t="n">
        <v>10</v>
      </c>
      <c r="O2539" s="22" t="n">
        <v>545000</v>
      </c>
      <c r="P2539" s="22" t="n">
        <v>10</v>
      </c>
      <c r="Q2539" s="22" t="n">
        <v>545000</v>
      </c>
      <c r="R2539" s="42">
        <f>+L2539+N2539-P2539</f>
        <v/>
      </c>
      <c r="S2539" s="42">
        <f>+M2539+O2539-Q2539</f>
        <v/>
      </c>
    </row>
    <row r="2540" ht="30" customHeight="1">
      <c r="A2540" s="16" t="n">
        <v>45888</v>
      </c>
      <c r="B2540" s="17" t="inlineStr">
        <is>
          <t>MH2508-36</t>
        </is>
      </c>
      <c r="C2540" s="16" t="n">
        <v>45888</v>
      </c>
      <c r="D2540" s="17" t="inlineStr">
        <is>
          <t>00003237</t>
        </is>
      </c>
      <c r="E2540" s="16" t="n">
        <v>45888</v>
      </c>
      <c r="F2540" s="16" t="inlineStr">
        <is>
          <t>XK2508-28</t>
        </is>
      </c>
      <c r="G2540" s="16" t="n">
        <v>45888</v>
      </c>
      <c r="H2540" s="18" t="inlineStr">
        <is>
          <t>CÔNG TY CỔ PHẦN CÔNG NGHIỆP VÀ THƯƠNG MẠI CƯỜNG THỊNH</t>
        </is>
      </c>
      <c r="I2540" s="18" t="inlineStr">
        <is>
          <t>Đai ốc Din 934 8 ZP M20</t>
        </is>
      </c>
      <c r="J2540" s="18" t="inlineStr">
        <is>
          <t>Cái</t>
        </is>
      </c>
      <c r="K2540" s="19" t="n">
        <v>2030</v>
      </c>
      <c r="L2540" s="20" t="n"/>
      <c r="M2540" s="20" t="n"/>
      <c r="N2540" s="22" t="n">
        <v>10</v>
      </c>
      <c r="O2540" s="22" t="n">
        <v>20300</v>
      </c>
      <c r="P2540" s="22" t="n">
        <v>10</v>
      </c>
      <c r="Q2540" s="22" t="n">
        <v>20300</v>
      </c>
      <c r="R2540" s="42">
        <f>+L2540+N2540-P2540</f>
        <v/>
      </c>
      <c r="S2540" s="42">
        <f>+M2540+O2540-Q2540</f>
        <v/>
      </c>
    </row>
    <row r="2541" ht="30" customHeight="1">
      <c r="A2541" s="16" t="n">
        <v>45888</v>
      </c>
      <c r="B2541" s="17" t="inlineStr">
        <is>
          <t>MH2508-36</t>
        </is>
      </c>
      <c r="C2541" s="16" t="n">
        <v>45888</v>
      </c>
      <c r="D2541" s="17" t="inlineStr">
        <is>
          <t>00003237</t>
        </is>
      </c>
      <c r="E2541" s="16" t="n">
        <v>45888</v>
      </c>
      <c r="F2541" s="16" t="inlineStr">
        <is>
          <t>XK2508-28</t>
        </is>
      </c>
      <c r="G2541" s="16" t="n">
        <v>45888</v>
      </c>
      <c r="H2541" s="18" t="inlineStr">
        <is>
          <t>CÔNG TY CỔ PHẦN CÔNG NGHIỆP VÀ THƯƠNG MẠI CƯỜNG THỊNH</t>
        </is>
      </c>
      <c r="I2541" s="18" t="inlineStr">
        <is>
          <t>Long đền thường ZP M20B35D2</t>
        </is>
      </c>
      <c r="J2541" s="18" t="inlineStr">
        <is>
          <t>Cái</t>
        </is>
      </c>
      <c r="K2541" s="19" t="n">
        <v>380</v>
      </c>
      <c r="L2541" s="20" t="n"/>
      <c r="M2541" s="20" t="n"/>
      <c r="N2541" s="22" t="n">
        <v>10</v>
      </c>
      <c r="O2541" s="22" t="n">
        <v>3800</v>
      </c>
      <c r="P2541" s="22" t="n">
        <v>10</v>
      </c>
      <c r="Q2541" s="22" t="n">
        <v>3800</v>
      </c>
      <c r="R2541" s="42">
        <f>+L2541+N2541-P2541</f>
        <v/>
      </c>
      <c r="S2541" s="42">
        <f>+M2541+O2541-Q2541</f>
        <v/>
      </c>
    </row>
    <row r="2542" ht="30" customHeight="1">
      <c r="A2542" s="16" t="n">
        <v>45888</v>
      </c>
      <c r="B2542" s="17" t="inlineStr">
        <is>
          <t>MH2508-36</t>
        </is>
      </c>
      <c r="C2542" s="16" t="n">
        <v>45888</v>
      </c>
      <c r="D2542" s="17" t="inlineStr">
        <is>
          <t>00003237</t>
        </is>
      </c>
      <c r="E2542" s="16" t="n">
        <v>45888</v>
      </c>
      <c r="F2542" s="16" t="inlineStr">
        <is>
          <t>XK2508-28</t>
        </is>
      </c>
      <c r="G2542" s="16" t="n">
        <v>45888</v>
      </c>
      <c r="H2542" s="18" t="inlineStr">
        <is>
          <t>CÔNG TY CỔ PHẦN CÔNG NGHIỆP VÀ THƯƠNG MẠI CƯỜNG THỊNH</t>
        </is>
      </c>
      <c r="I2542" s="18" t="inlineStr">
        <is>
          <t>Hilti Keo HIT - RE 500 V4/500</t>
        </is>
      </c>
      <c r="J2542" s="18" t="inlineStr">
        <is>
          <t>Cái</t>
        </is>
      </c>
      <c r="K2542" s="19" t="n">
        <v>979000</v>
      </c>
      <c r="L2542" s="20" t="n"/>
      <c r="M2542" s="20" t="n"/>
      <c r="N2542" s="22" t="n">
        <v>2</v>
      </c>
      <c r="O2542" s="22" t="n">
        <v>1958000</v>
      </c>
      <c r="P2542" s="22" t="n">
        <v>2</v>
      </c>
      <c r="Q2542" s="22" t="n">
        <v>1958000</v>
      </c>
      <c r="R2542" s="42">
        <f>+L2542+N2542-P2542</f>
        <v/>
      </c>
      <c r="S2542" s="42">
        <f>+M2542+O2542-Q2542</f>
        <v/>
      </c>
    </row>
    <row r="2543" ht="30" customHeight="1">
      <c r="A2543" s="16" t="n">
        <v>45888</v>
      </c>
      <c r="B2543" s="17" t="inlineStr">
        <is>
          <t>MH2508-37</t>
        </is>
      </c>
      <c r="C2543" s="16" t="n">
        <v>45888</v>
      </c>
      <c r="D2543" s="17" t="inlineStr">
        <is>
          <t>00003234</t>
        </is>
      </c>
      <c r="E2543" s="16" t="n">
        <v>45888</v>
      </c>
      <c r="F2543" s="16" t="inlineStr">
        <is>
          <t>XK2508-29</t>
        </is>
      </c>
      <c r="G2543" s="16" t="n">
        <v>45888</v>
      </c>
      <c r="H2543" s="18" t="inlineStr">
        <is>
          <t>CÔNG TY CỔ PHẦN CÔNG NGHIỆP VÀ THƯƠNG MẠI CƯỜNG THỊNH</t>
        </is>
      </c>
      <c r="I2543" s="18" t="inlineStr">
        <is>
          <t>Ty giằng 2 đầu ren 4.6 ZP M20</t>
        </is>
      </c>
      <c r="J2543" s="18" t="inlineStr">
        <is>
          <t>Mét</t>
        </is>
      </c>
      <c r="K2543" s="19" t="n">
        <v>69000</v>
      </c>
      <c r="L2543" s="20" t="n"/>
      <c r="M2543" s="20" t="n"/>
      <c r="N2543" s="22" t="n">
        <v>329.8</v>
      </c>
      <c r="O2543" s="22" t="n">
        <v>22756200</v>
      </c>
      <c r="P2543" s="22" t="n">
        <v>329.8</v>
      </c>
      <c r="Q2543" s="22" t="n">
        <v>22756200</v>
      </c>
      <c r="R2543" s="42">
        <f>+L2543+N2543-P2543</f>
        <v/>
      </c>
      <c r="S2543" s="42">
        <f>+M2543+O2543-Q2543</f>
        <v/>
      </c>
    </row>
    <row r="2544" ht="30" customHeight="1">
      <c r="A2544" s="16" t="n">
        <v>45888</v>
      </c>
      <c r="B2544" s="17" t="inlineStr">
        <is>
          <t>MH2508-37</t>
        </is>
      </c>
      <c r="C2544" s="16" t="n">
        <v>45888</v>
      </c>
      <c r="D2544" s="17" t="inlineStr">
        <is>
          <t>00003234</t>
        </is>
      </c>
      <c r="E2544" s="16" t="n">
        <v>45888</v>
      </c>
      <c r="F2544" s="16" t="inlineStr">
        <is>
          <t>XK2508-29</t>
        </is>
      </c>
      <c r="G2544" s="16" t="n">
        <v>45888</v>
      </c>
      <c r="H2544" s="18" t="inlineStr">
        <is>
          <t>CÔNG TY CỔ PHẦN CÔNG NGHIỆP VÀ THƯƠNG MẠI CƯỜNG THỊNH</t>
        </is>
      </c>
      <c r="I2544" s="18" t="inlineStr">
        <is>
          <t>Đai ốc Din 934 5 ZP M20</t>
        </is>
      </c>
      <c r="J2544" s="18" t="inlineStr">
        <is>
          <t>Cái</t>
        </is>
      </c>
      <c r="K2544" s="19" t="n">
        <v>1850</v>
      </c>
      <c r="L2544" s="20" t="n"/>
      <c r="M2544" s="20" t="n"/>
      <c r="N2544" s="22" t="n">
        <v>144</v>
      </c>
      <c r="O2544" s="22" t="n">
        <v>266400</v>
      </c>
      <c r="P2544" s="22" t="n">
        <v>144</v>
      </c>
      <c r="Q2544" s="22" t="n">
        <v>266400</v>
      </c>
      <c r="R2544" s="42">
        <f>+L2544+N2544-P2544</f>
        <v/>
      </c>
      <c r="S2544" s="42">
        <f>+M2544+O2544-Q2544</f>
        <v/>
      </c>
    </row>
    <row r="2545" ht="30" customHeight="1">
      <c r="A2545" s="16" t="n">
        <v>45888</v>
      </c>
      <c r="B2545" s="17" t="inlineStr">
        <is>
          <t>MH2508-37</t>
        </is>
      </c>
      <c r="C2545" s="16" t="n">
        <v>45888</v>
      </c>
      <c r="D2545" s="17" t="inlineStr">
        <is>
          <t>00003234</t>
        </is>
      </c>
      <c r="E2545" s="16" t="n">
        <v>45888</v>
      </c>
      <c r="F2545" s="16" t="inlineStr">
        <is>
          <t>XK2508-29</t>
        </is>
      </c>
      <c r="G2545" s="16" t="n">
        <v>45888</v>
      </c>
      <c r="H2545" s="18" t="inlineStr">
        <is>
          <t>CÔNG TY CỔ PHẦN CÔNG NGHIỆP VÀ THƯƠNG MẠI CƯỜNG THỊNH</t>
        </is>
      </c>
      <c r="I2545" s="18" t="inlineStr">
        <is>
          <t>Long đền thường ZP M20B42D2</t>
        </is>
      </c>
      <c r="J2545" s="18" t="inlineStr">
        <is>
          <t>Cái</t>
        </is>
      </c>
      <c r="K2545" s="19" t="n">
        <v>700</v>
      </c>
      <c r="L2545" s="20" t="n"/>
      <c r="M2545" s="20" t="n"/>
      <c r="N2545" s="22" t="n">
        <v>144</v>
      </c>
      <c r="O2545" s="22" t="n">
        <v>100800</v>
      </c>
      <c r="P2545" s="22" t="n">
        <v>144</v>
      </c>
      <c r="Q2545" s="22" t="n">
        <v>100800</v>
      </c>
      <c r="R2545" s="42">
        <f>+L2545+N2545-P2545</f>
        <v/>
      </c>
      <c r="S2545" s="42">
        <f>+M2545+O2545-Q2545</f>
        <v/>
      </c>
    </row>
    <row r="2546" ht="30" customHeight="1">
      <c r="A2546" s="16" t="n">
        <v>45888</v>
      </c>
      <c r="B2546" s="17" t="inlineStr">
        <is>
          <t>MH2508-37</t>
        </is>
      </c>
      <c r="C2546" s="16" t="n">
        <v>45888</v>
      </c>
      <c r="D2546" s="17" t="inlineStr">
        <is>
          <t>00003234</t>
        </is>
      </c>
      <c r="E2546" s="16" t="n">
        <v>45888</v>
      </c>
      <c r="F2546" s="16" t="inlineStr">
        <is>
          <t>XK2508-29</t>
        </is>
      </c>
      <c r="G2546" s="16" t="n">
        <v>45888</v>
      </c>
      <c r="H2546" s="18" t="inlineStr">
        <is>
          <t>CÔNG TY CỔ PHẦN CÔNG NGHIỆP VÀ THƯƠNG MẠI CƯỜNG THỊNH</t>
        </is>
      </c>
      <c r="I2546" s="18" t="inlineStr">
        <is>
          <t>Long đền móng ngựa ZP M20</t>
        </is>
      </c>
      <c r="J2546" s="18" t="inlineStr">
        <is>
          <t>Cái</t>
        </is>
      </c>
      <c r="K2546" s="19" t="n">
        <v>15590</v>
      </c>
      <c r="L2546" s="20" t="n"/>
      <c r="M2546" s="20" t="n"/>
      <c r="N2546" s="22" t="n">
        <v>144</v>
      </c>
      <c r="O2546" s="22" t="n">
        <v>2244960</v>
      </c>
      <c r="P2546" s="22" t="n">
        <v>144</v>
      </c>
      <c r="Q2546" s="22" t="n">
        <v>2244960</v>
      </c>
      <c r="R2546" s="42">
        <f>+L2546+N2546-P2546</f>
        <v/>
      </c>
      <c r="S2546" s="42">
        <f>+M2546+O2546-Q2546</f>
        <v/>
      </c>
    </row>
    <row r="2547" ht="30" customHeight="1">
      <c r="A2547" s="16" t="n">
        <v>45888</v>
      </c>
      <c r="B2547" s="17" t="inlineStr">
        <is>
          <t>MH2508-37</t>
        </is>
      </c>
      <c r="C2547" s="16" t="n">
        <v>45888</v>
      </c>
      <c r="D2547" s="17" t="inlineStr">
        <is>
          <t>00003234</t>
        </is>
      </c>
      <c r="E2547" s="16" t="n">
        <v>45888</v>
      </c>
      <c r="F2547" s="16" t="inlineStr">
        <is>
          <t>XK2508-29</t>
        </is>
      </c>
      <c r="G2547" s="16" t="n">
        <v>45888</v>
      </c>
      <c r="H2547" s="18" t="inlineStr">
        <is>
          <t>CÔNG TY CỔ PHẦN CÔNG NGHIỆP VÀ THƯƠNG MẠI CƯỜNG THỊNH</t>
        </is>
      </c>
      <c r="I2547" s="18" t="inlineStr">
        <is>
          <t>Ty giằng 2 đầu ren 4.6 Ф11.3-11.5mm ZP M12</t>
        </is>
      </c>
      <c r="J2547" s="18" t="inlineStr">
        <is>
          <t>Mét</t>
        </is>
      </c>
      <c r="K2547" s="19" t="n">
        <v>20500</v>
      </c>
      <c r="L2547" s="20" t="n"/>
      <c r="M2547" s="20" t="n"/>
      <c r="N2547" s="22" t="n">
        <v>669.2</v>
      </c>
      <c r="O2547" s="22" t="n">
        <v>13718600</v>
      </c>
      <c r="P2547" s="22" t="n">
        <v>669.2</v>
      </c>
      <c r="Q2547" s="22" t="n">
        <v>13718600</v>
      </c>
      <c r="R2547" s="42">
        <f>+L2547+N2547-P2547</f>
        <v/>
      </c>
      <c r="S2547" s="42">
        <f>+M2547+O2547-Q2547</f>
        <v/>
      </c>
    </row>
    <row r="2548" ht="30" customHeight="1">
      <c r="A2548" s="16" t="n">
        <v>45888</v>
      </c>
      <c r="B2548" s="17" t="inlineStr">
        <is>
          <t>MH2508-37</t>
        </is>
      </c>
      <c r="C2548" s="16" t="n">
        <v>45888</v>
      </c>
      <c r="D2548" s="17" t="inlineStr">
        <is>
          <t>00003234</t>
        </is>
      </c>
      <c r="E2548" s="16" t="n">
        <v>45888</v>
      </c>
      <c r="F2548" s="16" t="inlineStr">
        <is>
          <t>XK2508-29</t>
        </is>
      </c>
      <c r="G2548" s="16" t="n">
        <v>45888</v>
      </c>
      <c r="H2548" s="18" t="inlineStr">
        <is>
          <t>CÔNG TY CỔ PHẦN CÔNG NGHIỆP VÀ THƯƠNG MẠI CƯỜNG THỊNH</t>
        </is>
      </c>
      <c r="I2548" s="18" t="inlineStr">
        <is>
          <t>Đai ốc thường 4 ZP M12 (9mm)</t>
        </is>
      </c>
      <c r="J2548" s="18" t="inlineStr">
        <is>
          <t>Cái</t>
        </is>
      </c>
      <c r="K2548" s="19" t="n">
        <v>360</v>
      </c>
      <c r="L2548" s="20" t="n"/>
      <c r="M2548" s="20" t="n"/>
      <c r="N2548" s="22" t="n">
        <v>2788</v>
      </c>
      <c r="O2548" s="22" t="n">
        <v>1003680</v>
      </c>
      <c r="P2548" s="22" t="n">
        <v>2788</v>
      </c>
      <c r="Q2548" s="22" t="n">
        <v>1003680</v>
      </c>
      <c r="R2548" s="42">
        <f>+L2548+N2548-P2548</f>
        <v/>
      </c>
      <c r="S2548" s="42">
        <f>+M2548+O2548-Q2548</f>
        <v/>
      </c>
    </row>
    <row r="2549" ht="30" customHeight="1">
      <c r="A2549" s="16" t="n">
        <v>45888</v>
      </c>
      <c r="B2549" s="17" t="inlineStr">
        <is>
          <t>MH2508-37</t>
        </is>
      </c>
      <c r="C2549" s="16" t="n">
        <v>45888</v>
      </c>
      <c r="D2549" s="17" t="inlineStr">
        <is>
          <t>00003234</t>
        </is>
      </c>
      <c r="E2549" s="16" t="n">
        <v>45888</v>
      </c>
      <c r="F2549" s="16" t="inlineStr">
        <is>
          <t>XK2508-29</t>
        </is>
      </c>
      <c r="G2549" s="16" t="n">
        <v>45888</v>
      </c>
      <c r="H2549" s="18" t="inlineStr">
        <is>
          <t>CÔNG TY CỔ PHẦN CÔNG NGHIỆP VÀ THƯƠNG MẠI CƯỜNG THỊNH</t>
        </is>
      </c>
      <c r="I2549" s="18" t="inlineStr">
        <is>
          <t>Long đền thường ZP M12B26D1.5</t>
        </is>
      </c>
      <c r="J2549" s="18" t="inlineStr">
        <is>
          <t>Cái</t>
        </is>
      </c>
      <c r="K2549" s="19" t="n">
        <v>170</v>
      </c>
      <c r="L2549" s="20" t="n"/>
      <c r="M2549" s="20" t="n"/>
      <c r="N2549" s="22" t="n">
        <v>2788</v>
      </c>
      <c r="O2549" s="22" t="n">
        <v>473960</v>
      </c>
      <c r="P2549" s="22" t="n">
        <v>2788</v>
      </c>
      <c r="Q2549" s="22" t="n">
        <v>473960</v>
      </c>
      <c r="R2549" s="42">
        <f>+L2549+N2549-P2549</f>
        <v/>
      </c>
      <c r="S2549" s="42">
        <f>+M2549+O2549-Q2549</f>
        <v/>
      </c>
    </row>
    <row r="2550" ht="30" customHeight="1">
      <c r="A2550" s="16" t="n">
        <v>45888</v>
      </c>
      <c r="B2550" s="17" t="inlineStr">
        <is>
          <t>MH2508-37</t>
        </is>
      </c>
      <c r="C2550" s="16" t="n">
        <v>45888</v>
      </c>
      <c r="D2550" s="17" t="inlineStr">
        <is>
          <t>00003234</t>
        </is>
      </c>
      <c r="E2550" s="16" t="n">
        <v>45888</v>
      </c>
      <c r="F2550" s="16" t="inlineStr">
        <is>
          <t>XK2508-29</t>
        </is>
      </c>
      <c r="G2550" s="16" t="n">
        <v>45888</v>
      </c>
      <c r="H2550" s="18" t="inlineStr">
        <is>
          <t>CÔNG TY CỔ PHẦN CÔNG NGHIỆP VÀ THƯƠNG MẠI CƯỜNG THỊNH</t>
        </is>
      </c>
      <c r="I2550" s="18" t="inlineStr">
        <is>
          <t>Ty giằng 2 đầu ren 4.6 Ф11.3-11.5mm ZP M12</t>
        </is>
      </c>
      <c r="J2550" s="18" t="inlineStr">
        <is>
          <t>Mét</t>
        </is>
      </c>
      <c r="K2550" s="19" t="n">
        <v>22500</v>
      </c>
      <c r="L2550" s="20" t="n"/>
      <c r="M2550" s="20" t="n"/>
      <c r="N2550" s="22" t="n">
        <v>263.4</v>
      </c>
      <c r="O2550" s="22" t="n">
        <v>5926500</v>
      </c>
      <c r="P2550" s="22" t="n">
        <v>263.4</v>
      </c>
      <c r="Q2550" s="22" t="n">
        <v>5926500</v>
      </c>
      <c r="R2550" s="42">
        <f>+L2550+N2550-P2550</f>
        <v/>
      </c>
      <c r="S2550" s="42">
        <f>+M2550+O2550-Q2550</f>
        <v/>
      </c>
    </row>
    <row r="2551" ht="30" customHeight="1">
      <c r="A2551" s="16" t="n">
        <v>45888</v>
      </c>
      <c r="B2551" s="17" t="inlineStr">
        <is>
          <t>MH2508-37</t>
        </is>
      </c>
      <c r="C2551" s="16" t="n">
        <v>45888</v>
      </c>
      <c r="D2551" s="17" t="inlineStr">
        <is>
          <t>00003234</t>
        </is>
      </c>
      <c r="E2551" s="16" t="n">
        <v>45888</v>
      </c>
      <c r="F2551" s="16" t="inlineStr">
        <is>
          <t>XK2508-29</t>
        </is>
      </c>
      <c r="G2551" s="16" t="n">
        <v>45888</v>
      </c>
      <c r="H2551" s="18" t="inlineStr">
        <is>
          <t>CÔNG TY CỔ PHẦN CÔNG NGHIỆP VÀ THƯƠNG MẠI CƯỜNG THỊNH</t>
        </is>
      </c>
      <c r="I2551" s="18" t="inlineStr">
        <is>
          <t>Ty giằng 2 đầu ren 4.6 ZP M16</t>
        </is>
      </c>
      <c r="J2551" s="18" t="inlineStr">
        <is>
          <t>Mét</t>
        </is>
      </c>
      <c r="K2551" s="19" t="n">
        <v>48000</v>
      </c>
      <c r="L2551" s="20" t="n"/>
      <c r="M2551" s="20" t="n"/>
      <c r="N2551" s="22" t="n">
        <v>623.9</v>
      </c>
      <c r="O2551" s="22" t="n">
        <v>29947200</v>
      </c>
      <c r="P2551" s="22" t="n">
        <v>623.9</v>
      </c>
      <c r="Q2551" s="22" t="n">
        <v>29947200</v>
      </c>
      <c r="R2551" s="42">
        <f>+L2551+N2551-P2551</f>
        <v/>
      </c>
      <c r="S2551" s="42">
        <f>+M2551+O2551-Q2551</f>
        <v/>
      </c>
    </row>
    <row r="2552" ht="30" customHeight="1">
      <c r="A2552" s="16" t="n">
        <v>45888</v>
      </c>
      <c r="B2552" s="17" t="inlineStr">
        <is>
          <t>MH2508-37</t>
        </is>
      </c>
      <c r="C2552" s="16" t="n">
        <v>45888</v>
      </c>
      <c r="D2552" s="17" t="inlineStr">
        <is>
          <t>00003234</t>
        </is>
      </c>
      <c r="E2552" s="16" t="n">
        <v>45888</v>
      </c>
      <c r="F2552" s="16" t="inlineStr">
        <is>
          <t>XK2508-29</t>
        </is>
      </c>
      <c r="G2552" s="16" t="n">
        <v>45888</v>
      </c>
      <c r="H2552" s="18" t="inlineStr">
        <is>
          <t>CÔNG TY CỔ PHẦN CÔNG NGHIỆP VÀ THƯƠNG MẠI CƯỜNG THỊNH</t>
        </is>
      </c>
      <c r="I2552" s="18" t="inlineStr">
        <is>
          <t>Đai ốc Din 934 5 ZP M16</t>
        </is>
      </c>
      <c r="J2552" s="18" t="inlineStr">
        <is>
          <t>Cái</t>
        </is>
      </c>
      <c r="K2552" s="19" t="n">
        <v>990</v>
      </c>
      <c r="L2552" s="20" t="n"/>
      <c r="M2552" s="20" t="n"/>
      <c r="N2552" s="22" t="n">
        <v>304</v>
      </c>
      <c r="O2552" s="22" t="n">
        <v>300960</v>
      </c>
      <c r="P2552" s="22" t="n">
        <v>304</v>
      </c>
      <c r="Q2552" s="22" t="n">
        <v>300960</v>
      </c>
      <c r="R2552" s="42">
        <f>+L2552+N2552-P2552</f>
        <v/>
      </c>
      <c r="S2552" s="42">
        <f>+M2552+O2552-Q2552</f>
        <v/>
      </c>
    </row>
    <row r="2553" ht="30" customHeight="1">
      <c r="A2553" s="16" t="n">
        <v>45888</v>
      </c>
      <c r="B2553" s="17" t="inlineStr">
        <is>
          <t>MH2508-37</t>
        </is>
      </c>
      <c r="C2553" s="16" t="n">
        <v>45888</v>
      </c>
      <c r="D2553" s="17" t="inlineStr">
        <is>
          <t>00003234</t>
        </is>
      </c>
      <c r="E2553" s="16" t="n">
        <v>45888</v>
      </c>
      <c r="F2553" s="16" t="inlineStr">
        <is>
          <t>XK2508-29</t>
        </is>
      </c>
      <c r="G2553" s="16" t="n">
        <v>45888</v>
      </c>
      <c r="H2553" s="18" t="inlineStr">
        <is>
          <t>CÔNG TY CỔ PHẦN CÔNG NGHIỆP VÀ THƯƠNG MẠI CƯỜNG THỊNH</t>
        </is>
      </c>
      <c r="I2553" s="18" t="inlineStr">
        <is>
          <t>Long đền thường ZP M16B42D2</t>
        </is>
      </c>
      <c r="J2553" s="18" t="inlineStr">
        <is>
          <t>Cái</t>
        </is>
      </c>
      <c r="K2553" s="19" t="n">
        <v>700</v>
      </c>
      <c r="L2553" s="20" t="n"/>
      <c r="M2553" s="20" t="n"/>
      <c r="N2553" s="22" t="n">
        <v>304</v>
      </c>
      <c r="O2553" s="22" t="n">
        <v>212800</v>
      </c>
      <c r="P2553" s="22" t="n">
        <v>304</v>
      </c>
      <c r="Q2553" s="22" t="n">
        <v>212800</v>
      </c>
      <c r="R2553" s="42">
        <f>+L2553+N2553-P2553</f>
        <v/>
      </c>
      <c r="S2553" s="42">
        <f>+M2553+O2553-Q2553</f>
        <v/>
      </c>
    </row>
    <row r="2554" ht="30" customHeight="1">
      <c r="A2554" s="16" t="n">
        <v>45888</v>
      </c>
      <c r="B2554" s="17" t="inlineStr">
        <is>
          <t>MH2508-37</t>
        </is>
      </c>
      <c r="C2554" s="16" t="n">
        <v>45888</v>
      </c>
      <c r="D2554" s="17" t="inlineStr">
        <is>
          <t>00003234</t>
        </is>
      </c>
      <c r="E2554" s="16" t="n">
        <v>45888</v>
      </c>
      <c r="F2554" s="16" t="inlineStr">
        <is>
          <t>XK2508-29</t>
        </is>
      </c>
      <c r="G2554" s="16" t="n">
        <v>45888</v>
      </c>
      <c r="H2554" s="18" t="inlineStr">
        <is>
          <t>CÔNG TY CỔ PHẦN CÔNG NGHIỆP VÀ THƯƠNG MẠI CƯỜNG THỊNH</t>
        </is>
      </c>
      <c r="I2554" s="18" t="inlineStr">
        <is>
          <t>Long đền móng ngựa ZP M16</t>
        </is>
      </c>
      <c r="J2554" s="18" t="inlineStr">
        <is>
          <t>Cái</t>
        </is>
      </c>
      <c r="K2554" s="19" t="n">
        <v>14830</v>
      </c>
      <c r="L2554" s="20" t="n"/>
      <c r="M2554" s="20" t="n"/>
      <c r="N2554" s="22" t="n">
        <v>304</v>
      </c>
      <c r="O2554" s="22" t="n">
        <v>4508320</v>
      </c>
      <c r="P2554" s="22" t="n">
        <v>304</v>
      </c>
      <c r="Q2554" s="22" t="n">
        <v>4508320</v>
      </c>
      <c r="R2554" s="42">
        <f>+L2554+N2554-P2554</f>
        <v/>
      </c>
      <c r="S2554" s="42">
        <f>+M2554+O2554-Q2554</f>
        <v/>
      </c>
    </row>
    <row r="2555" ht="30" customHeight="1">
      <c r="A2555" s="16" t="n">
        <v>45888</v>
      </c>
      <c r="B2555" s="17" t="inlineStr">
        <is>
          <t>MH2508-37</t>
        </is>
      </c>
      <c r="C2555" s="16" t="n">
        <v>45888</v>
      </c>
      <c r="D2555" s="17" t="inlineStr">
        <is>
          <t>00003234</t>
        </is>
      </c>
      <c r="E2555" s="16" t="n">
        <v>45888</v>
      </c>
      <c r="F2555" s="16" t="inlineStr">
        <is>
          <t>XK2508-29</t>
        </is>
      </c>
      <c r="G2555" s="16" t="n">
        <v>45888</v>
      </c>
      <c r="H2555" s="18" t="inlineStr">
        <is>
          <t>CÔNG TY CỔ PHẦN CÔNG NGHIỆP VÀ THƯƠNG MẠI CƯỜNG THỊNH</t>
        </is>
      </c>
      <c r="I2555" s="18" t="inlineStr">
        <is>
          <t>Ốc siết cáp ZP M6</t>
        </is>
      </c>
      <c r="J2555" s="18" t="inlineStr">
        <is>
          <t>Cái</t>
        </is>
      </c>
      <c r="K2555" s="19" t="n">
        <v>2590</v>
      </c>
      <c r="L2555" s="20" t="n"/>
      <c r="M2555" s="20" t="n"/>
      <c r="N2555" s="22" t="n">
        <v>704</v>
      </c>
      <c r="O2555" s="22" t="n">
        <v>1823360</v>
      </c>
      <c r="P2555" s="22" t="n">
        <v>704</v>
      </c>
      <c r="Q2555" s="22" t="n">
        <v>1823360</v>
      </c>
      <c r="R2555" s="42">
        <f>+L2555+N2555-P2555</f>
        <v/>
      </c>
      <c r="S2555" s="42">
        <f>+M2555+O2555-Q2555</f>
        <v/>
      </c>
    </row>
    <row r="2556" ht="30" customHeight="1">
      <c r="A2556" s="16" t="n">
        <v>45888</v>
      </c>
      <c r="B2556" s="17" t="inlineStr">
        <is>
          <t>MH2508-37</t>
        </is>
      </c>
      <c r="C2556" s="16" t="n">
        <v>45888</v>
      </c>
      <c r="D2556" s="17" t="inlineStr">
        <is>
          <t>00003234</t>
        </is>
      </c>
      <c r="E2556" s="16" t="n">
        <v>45888</v>
      </c>
      <c r="F2556" s="16" t="inlineStr">
        <is>
          <t>XK2508-29</t>
        </is>
      </c>
      <c r="G2556" s="16" t="n">
        <v>45888</v>
      </c>
      <c r="H2556" s="18" t="inlineStr">
        <is>
          <t>CÔNG TY CỔ PHẦN CÔNG NGHIỆP VÀ THƯƠNG MẠI CƯỜNG THỊNH</t>
        </is>
      </c>
      <c r="I2556" s="18" t="inlineStr">
        <is>
          <t>Tăng đơ đầu móc, đầu tròn (Gang) ZP M10</t>
        </is>
      </c>
      <c r="J2556" s="18" t="inlineStr">
        <is>
          <t>Cái</t>
        </is>
      </c>
      <c r="K2556" s="19" t="n">
        <v>10500</v>
      </c>
      <c r="L2556" s="20" t="n"/>
      <c r="M2556" s="20" t="n"/>
      <c r="N2556" s="22" t="n">
        <v>176</v>
      </c>
      <c r="O2556" s="22" t="n">
        <v>1848000</v>
      </c>
      <c r="P2556" s="22" t="n">
        <v>176</v>
      </c>
      <c r="Q2556" s="22" t="n">
        <v>1848000</v>
      </c>
      <c r="R2556" s="42">
        <f>+L2556+N2556-P2556</f>
        <v/>
      </c>
      <c r="S2556" s="42">
        <f>+M2556+O2556-Q2556</f>
        <v/>
      </c>
    </row>
    <row r="2557" ht="30" customHeight="1">
      <c r="A2557" s="16" t="n">
        <v>45888</v>
      </c>
      <c r="B2557" s="17" t="inlineStr">
        <is>
          <t>MH2508-37</t>
        </is>
      </c>
      <c r="C2557" s="16" t="n">
        <v>45888</v>
      </c>
      <c r="D2557" s="17" t="inlineStr">
        <is>
          <t>00003234</t>
        </is>
      </c>
      <c r="E2557" s="16" t="n">
        <v>45888</v>
      </c>
      <c r="F2557" s="16" t="inlineStr">
        <is>
          <t>XK2508-29</t>
        </is>
      </c>
      <c r="G2557" s="16" t="n">
        <v>45888</v>
      </c>
      <c r="H2557" s="18" t="inlineStr">
        <is>
          <t>CÔNG TY CỔ PHẦN CÔNG NGHIỆP VÀ THƯƠNG MẠI CƯỜNG THỊNH</t>
        </is>
      </c>
      <c r="I2557" s="18" t="inlineStr">
        <is>
          <t>Cáp inox 304 M6</t>
        </is>
      </c>
      <c r="J2557" s="18" t="inlineStr">
        <is>
          <t>Cái</t>
        </is>
      </c>
      <c r="K2557" s="19" t="n">
        <v>13000</v>
      </c>
      <c r="L2557" s="20" t="n"/>
      <c r="M2557" s="20" t="n"/>
      <c r="N2557" s="22" t="n">
        <v>584.4</v>
      </c>
      <c r="O2557" s="22" t="n">
        <v>7597200</v>
      </c>
      <c r="P2557" s="22" t="n">
        <v>584.4</v>
      </c>
      <c r="Q2557" s="22" t="n">
        <v>7597200</v>
      </c>
      <c r="R2557" s="42">
        <f>+L2557+N2557-P2557</f>
        <v/>
      </c>
      <c r="S2557" s="42">
        <f>+M2557+O2557-Q2557</f>
        <v/>
      </c>
    </row>
    <row r="2558" ht="30" customHeight="1">
      <c r="A2558" s="16" t="n">
        <v>45888</v>
      </c>
      <c r="B2558" s="17" t="inlineStr">
        <is>
          <t>MH2508-38</t>
        </is>
      </c>
      <c r="C2558" s="16" t="n">
        <v>45888</v>
      </c>
      <c r="D2558" s="17" t="inlineStr">
        <is>
          <t>00003255</t>
        </is>
      </c>
      <c r="E2558" s="16" t="n">
        <v>45888</v>
      </c>
      <c r="F2558" s="16" t="inlineStr">
        <is>
          <t>XK2508-30</t>
        </is>
      </c>
      <c r="G2558" s="16" t="n">
        <v>45888</v>
      </c>
      <c r="H2558" s="18" t="inlineStr">
        <is>
          <t>CÔNG TY CỔ PHẦN CÔNG NGHIỆP VÀ THƯƠNG MẠI CƯỜNG THỊNH</t>
        </is>
      </c>
      <c r="I2558" s="18" t="inlineStr">
        <is>
          <t>Bulong thường 4.6 ZP M12x30</t>
        </is>
      </c>
      <c r="J2558" s="18" t="inlineStr">
        <is>
          <t>Cái</t>
        </is>
      </c>
      <c r="K2558" s="19" t="n">
        <v>950</v>
      </c>
      <c r="L2558" s="20" t="n"/>
      <c r="M2558" s="20" t="n"/>
      <c r="N2558" s="22" t="n">
        <v>10712</v>
      </c>
      <c r="O2558" s="22" t="n">
        <v>10176400</v>
      </c>
      <c r="P2558" s="22" t="n">
        <v>10712</v>
      </c>
      <c r="Q2558" s="22" t="n">
        <v>10176400</v>
      </c>
      <c r="R2558" s="42">
        <f>+L2558+N2558-P2558</f>
        <v/>
      </c>
      <c r="S2558" s="42">
        <f>+M2558+O2558-Q2558</f>
        <v/>
      </c>
    </row>
    <row r="2559" ht="30" customHeight="1">
      <c r="A2559" s="16" t="n">
        <v>45888</v>
      </c>
      <c r="B2559" s="17" t="inlineStr">
        <is>
          <t>MH2508-38</t>
        </is>
      </c>
      <c r="C2559" s="16" t="n">
        <v>45888</v>
      </c>
      <c r="D2559" s="17" t="inlineStr">
        <is>
          <t>00003255</t>
        </is>
      </c>
      <c r="E2559" s="16" t="n">
        <v>45888</v>
      </c>
      <c r="F2559" s="16" t="inlineStr">
        <is>
          <t>XK2508-30</t>
        </is>
      </c>
      <c r="G2559" s="16" t="n">
        <v>45888</v>
      </c>
      <c r="H2559" s="18" t="inlineStr">
        <is>
          <t>CÔNG TY CỔ PHẦN CÔNG NGHIỆP VÀ THƯƠNG MẠI CƯỜNG THỊNH</t>
        </is>
      </c>
      <c r="I2559" s="18" t="inlineStr">
        <is>
          <t>Đai ốc thường 4 ZP M12 (9mm)</t>
        </is>
      </c>
      <c r="J2559" s="18" t="inlineStr">
        <is>
          <t>Cái</t>
        </is>
      </c>
      <c r="K2559" s="19" t="n">
        <v>360</v>
      </c>
      <c r="L2559" s="20" t="n"/>
      <c r="M2559" s="20" t="n"/>
      <c r="N2559" s="22" t="n">
        <v>10712</v>
      </c>
      <c r="O2559" s="22" t="n">
        <v>3856320</v>
      </c>
      <c r="P2559" s="22" t="n">
        <v>10712</v>
      </c>
      <c r="Q2559" s="22" t="n">
        <v>3856320</v>
      </c>
      <c r="R2559" s="42">
        <f>+L2559+N2559-P2559</f>
        <v/>
      </c>
      <c r="S2559" s="42">
        <f>+M2559+O2559-Q2559</f>
        <v/>
      </c>
    </row>
    <row r="2560" ht="30" customHeight="1">
      <c r="A2560" s="16" t="n">
        <v>45888</v>
      </c>
      <c r="B2560" s="17" t="inlineStr">
        <is>
          <t>MH2508-38</t>
        </is>
      </c>
      <c r="C2560" s="16" t="n">
        <v>45888</v>
      </c>
      <c r="D2560" s="17" t="inlineStr">
        <is>
          <t>00003255</t>
        </is>
      </c>
      <c r="E2560" s="16" t="n">
        <v>45888</v>
      </c>
      <c r="F2560" s="16" t="inlineStr">
        <is>
          <t>XK2508-30</t>
        </is>
      </c>
      <c r="G2560" s="16" t="n">
        <v>45888</v>
      </c>
      <c r="H2560" s="18" t="inlineStr">
        <is>
          <t>CÔNG TY CỔ PHẦN CÔNG NGHIỆP VÀ THƯƠNG MẠI CƯỜNG THỊNH</t>
        </is>
      </c>
      <c r="I2560" s="18" t="inlineStr">
        <is>
          <t>Long đền thường ZP M12B23D1</t>
        </is>
      </c>
      <c r="J2560" s="18" t="inlineStr">
        <is>
          <t>Cái</t>
        </is>
      </c>
      <c r="K2560" s="19" t="n">
        <v>100</v>
      </c>
      <c r="L2560" s="20" t="n"/>
      <c r="M2560" s="20" t="n"/>
      <c r="N2560" s="22" t="n">
        <v>21424</v>
      </c>
      <c r="O2560" s="22" t="n">
        <v>2142400</v>
      </c>
      <c r="P2560" s="22" t="n">
        <v>21424</v>
      </c>
      <c r="Q2560" s="22" t="n">
        <v>2142400</v>
      </c>
      <c r="R2560" s="42">
        <f>+L2560+N2560-P2560</f>
        <v/>
      </c>
      <c r="S2560" s="42">
        <f>+M2560+O2560-Q2560</f>
        <v/>
      </c>
    </row>
    <row r="2561" ht="30" customHeight="1">
      <c r="A2561" s="16" t="n">
        <v>45888</v>
      </c>
      <c r="B2561" s="17" t="inlineStr">
        <is>
          <t>MH2508-38</t>
        </is>
      </c>
      <c r="C2561" s="16" t="n">
        <v>45888</v>
      </c>
      <c r="D2561" s="17" t="inlineStr">
        <is>
          <t>00003255</t>
        </is>
      </c>
      <c r="E2561" s="16" t="n">
        <v>45888</v>
      </c>
      <c r="F2561" s="16" t="inlineStr">
        <is>
          <t>XK2508-30</t>
        </is>
      </c>
      <c r="G2561" s="16" t="n">
        <v>45888</v>
      </c>
      <c r="H2561" s="18" t="inlineStr">
        <is>
          <t>CÔNG TY CỔ PHẦN CÔNG NGHIỆP VÀ THƯƠNG MẠI CƯỜNG THỊNH</t>
        </is>
      </c>
      <c r="I2561" s="18" t="inlineStr">
        <is>
          <t>Bulong thường 4.6 ZP M12x40</t>
        </is>
      </c>
      <c r="J2561" s="18" t="inlineStr">
        <is>
          <t>Cái</t>
        </is>
      </c>
      <c r="K2561" s="19" t="n">
        <v>1100</v>
      </c>
      <c r="L2561" s="20" t="n"/>
      <c r="M2561" s="20" t="n"/>
      <c r="N2561" s="22" t="n">
        <v>1452</v>
      </c>
      <c r="O2561" s="22" t="n">
        <v>1597200</v>
      </c>
      <c r="P2561" s="22" t="n">
        <v>1452</v>
      </c>
      <c r="Q2561" s="22" t="n">
        <v>1597200</v>
      </c>
      <c r="R2561" s="42">
        <f>+L2561+N2561-P2561</f>
        <v/>
      </c>
      <c r="S2561" s="42">
        <f>+M2561+O2561-Q2561</f>
        <v/>
      </c>
    </row>
    <row r="2562" ht="30" customHeight="1">
      <c r="A2562" s="16" t="n">
        <v>45888</v>
      </c>
      <c r="B2562" s="17" t="inlineStr">
        <is>
          <t>MH2508-38</t>
        </is>
      </c>
      <c r="C2562" s="16" t="n">
        <v>45888</v>
      </c>
      <c r="D2562" s="17" t="inlineStr">
        <is>
          <t>00003255</t>
        </is>
      </c>
      <c r="E2562" s="16" t="n">
        <v>45888</v>
      </c>
      <c r="F2562" s="16" t="inlineStr">
        <is>
          <t>XK2508-30</t>
        </is>
      </c>
      <c r="G2562" s="16" t="n">
        <v>45888</v>
      </c>
      <c r="H2562" s="18" t="inlineStr">
        <is>
          <t>CÔNG TY CỔ PHẦN CÔNG NGHIỆP VÀ THƯƠNG MẠI CƯỜNG THỊNH</t>
        </is>
      </c>
      <c r="I2562" s="18" t="inlineStr">
        <is>
          <t>Đai ốc thường 4 ZP M12 (9mm)</t>
        </is>
      </c>
      <c r="J2562" s="18" t="inlineStr">
        <is>
          <t>Cái</t>
        </is>
      </c>
      <c r="K2562" s="19" t="n">
        <v>360</v>
      </c>
      <c r="L2562" s="20" t="n"/>
      <c r="M2562" s="20" t="n"/>
      <c r="N2562" s="22" t="n">
        <v>1452</v>
      </c>
      <c r="O2562" s="22" t="n">
        <v>522720</v>
      </c>
      <c r="P2562" s="22" t="n">
        <v>1452</v>
      </c>
      <c r="Q2562" s="22" t="n">
        <v>522720</v>
      </c>
      <c r="R2562" s="42">
        <f>+L2562+N2562-P2562</f>
        <v/>
      </c>
      <c r="S2562" s="42">
        <f>+M2562+O2562-Q2562</f>
        <v/>
      </c>
    </row>
    <row r="2563" ht="30" customHeight="1">
      <c r="A2563" s="16" t="n">
        <v>45888</v>
      </c>
      <c r="B2563" s="17" t="inlineStr">
        <is>
          <t>MH2508-38</t>
        </is>
      </c>
      <c r="C2563" s="16" t="n">
        <v>45888</v>
      </c>
      <c r="D2563" s="17" t="inlineStr">
        <is>
          <t>00003255</t>
        </is>
      </c>
      <c r="E2563" s="16" t="n">
        <v>45888</v>
      </c>
      <c r="F2563" s="16" t="inlineStr">
        <is>
          <t>XK2508-30</t>
        </is>
      </c>
      <c r="G2563" s="16" t="n">
        <v>45888</v>
      </c>
      <c r="H2563" s="18" t="inlineStr">
        <is>
          <t>CÔNG TY CỔ PHẦN CÔNG NGHIỆP VÀ THƯƠNG MẠI CƯỜNG THỊNH</t>
        </is>
      </c>
      <c r="I2563" s="18" t="inlineStr">
        <is>
          <t>Long đền thường ZP M12B23D1</t>
        </is>
      </c>
      <c r="J2563" s="18" t="inlineStr">
        <is>
          <t>Cái</t>
        </is>
      </c>
      <c r="K2563" s="19" t="n">
        <v>100</v>
      </c>
      <c r="L2563" s="20" t="n"/>
      <c r="M2563" s="20" t="n"/>
      <c r="N2563" s="22" t="n">
        <v>2904</v>
      </c>
      <c r="O2563" s="22" t="n">
        <v>290400</v>
      </c>
      <c r="P2563" s="22" t="n">
        <v>2904</v>
      </c>
      <c r="Q2563" s="22" t="n">
        <v>290400</v>
      </c>
      <c r="R2563" s="42">
        <f>+L2563+N2563-P2563</f>
        <v/>
      </c>
      <c r="S2563" s="42">
        <f>+M2563+O2563-Q2563</f>
        <v/>
      </c>
    </row>
    <row r="2564" ht="30" customHeight="1">
      <c r="A2564" s="16" t="n">
        <v>45888</v>
      </c>
      <c r="B2564" s="17" t="inlineStr">
        <is>
          <t>MH2508-38</t>
        </is>
      </c>
      <c r="C2564" s="16" t="n">
        <v>45888</v>
      </c>
      <c r="D2564" s="17" t="inlineStr">
        <is>
          <t>00003255</t>
        </is>
      </c>
      <c r="E2564" s="16" t="n">
        <v>45888</v>
      </c>
      <c r="F2564" s="16" t="inlineStr">
        <is>
          <t>XK2508-30</t>
        </is>
      </c>
      <c r="G2564" s="16" t="n">
        <v>45888</v>
      </c>
      <c r="H2564" s="18" t="inlineStr">
        <is>
          <t>CÔNG TY CỔ PHẦN CÔNG NGHIỆP VÀ THƯƠNG MẠI CƯỜNG THỊNH</t>
        </is>
      </c>
      <c r="I2564" s="18" t="inlineStr">
        <is>
          <t>Bulong thường 4.6 ZP M12x50</t>
        </is>
      </c>
      <c r="J2564" s="18" t="inlineStr">
        <is>
          <t>Cái</t>
        </is>
      </c>
      <c r="K2564" s="19" t="n">
        <v>1300</v>
      </c>
      <c r="L2564" s="20" t="n"/>
      <c r="M2564" s="20" t="n"/>
      <c r="N2564" s="22" t="n">
        <v>878</v>
      </c>
      <c r="O2564" s="22" t="n">
        <v>1141400</v>
      </c>
      <c r="P2564" s="22" t="n">
        <v>878</v>
      </c>
      <c r="Q2564" s="22" t="n">
        <v>1141400</v>
      </c>
      <c r="R2564" s="42">
        <f>+L2564+N2564-P2564</f>
        <v/>
      </c>
      <c r="S2564" s="42">
        <f>+M2564+O2564-Q2564</f>
        <v/>
      </c>
    </row>
    <row r="2565" ht="30" customHeight="1">
      <c r="A2565" s="16" t="n">
        <v>45888</v>
      </c>
      <c r="B2565" s="17" t="inlineStr">
        <is>
          <t>MH2508-38</t>
        </is>
      </c>
      <c r="C2565" s="16" t="n">
        <v>45888</v>
      </c>
      <c r="D2565" s="17" t="inlineStr">
        <is>
          <t>00003255</t>
        </is>
      </c>
      <c r="E2565" s="16" t="n">
        <v>45888</v>
      </c>
      <c r="F2565" s="16" t="inlineStr">
        <is>
          <t>XK2508-30</t>
        </is>
      </c>
      <c r="G2565" s="16" t="n">
        <v>45888</v>
      </c>
      <c r="H2565" s="18" t="inlineStr">
        <is>
          <t>CÔNG TY CỔ PHẦN CÔNG NGHIỆP VÀ THƯƠNG MẠI CƯỜNG THỊNH</t>
        </is>
      </c>
      <c r="I2565" s="18" t="inlineStr">
        <is>
          <t>Đai ốc thường 4 ZP M12 (9mm)</t>
        </is>
      </c>
      <c r="J2565" s="18" t="inlineStr">
        <is>
          <t>Cái</t>
        </is>
      </c>
      <c r="K2565" s="19" t="n">
        <v>360</v>
      </c>
      <c r="L2565" s="20" t="n"/>
      <c r="M2565" s="20" t="n"/>
      <c r="N2565" s="22" t="n">
        <v>878</v>
      </c>
      <c r="O2565" s="22" t="n">
        <v>316080</v>
      </c>
      <c r="P2565" s="22" t="n">
        <v>878</v>
      </c>
      <c r="Q2565" s="22" t="n">
        <v>316080</v>
      </c>
      <c r="R2565" s="42">
        <f>+L2565+N2565-P2565</f>
        <v/>
      </c>
      <c r="S2565" s="42">
        <f>+M2565+O2565-Q2565</f>
        <v/>
      </c>
    </row>
    <row r="2566" ht="30" customHeight="1">
      <c r="A2566" s="16" t="n">
        <v>45888</v>
      </c>
      <c r="B2566" s="17" t="inlineStr">
        <is>
          <t>MH2508-38</t>
        </is>
      </c>
      <c r="C2566" s="16" t="n">
        <v>45888</v>
      </c>
      <c r="D2566" s="17" t="inlineStr">
        <is>
          <t>00003255</t>
        </is>
      </c>
      <c r="E2566" s="16" t="n">
        <v>45888</v>
      </c>
      <c r="F2566" s="16" t="inlineStr">
        <is>
          <t>XK2508-30</t>
        </is>
      </c>
      <c r="G2566" s="16" t="n">
        <v>45888</v>
      </c>
      <c r="H2566" s="18" t="inlineStr">
        <is>
          <t>CÔNG TY CỔ PHẦN CÔNG NGHIỆP VÀ THƯƠNG MẠI CƯỜNG THỊNH</t>
        </is>
      </c>
      <c r="I2566" s="18" t="inlineStr">
        <is>
          <t>Long đền thường ZP M12B23D1</t>
        </is>
      </c>
      <c r="J2566" s="18" t="inlineStr">
        <is>
          <t>Cái</t>
        </is>
      </c>
      <c r="K2566" s="19" t="n">
        <v>100</v>
      </c>
      <c r="L2566" s="20" t="n"/>
      <c r="M2566" s="20" t="n"/>
      <c r="N2566" s="22" t="n">
        <v>1756</v>
      </c>
      <c r="O2566" s="22" t="n">
        <v>175600</v>
      </c>
      <c r="P2566" s="22" t="n">
        <v>1756</v>
      </c>
      <c r="Q2566" s="22" t="n">
        <v>175600</v>
      </c>
      <c r="R2566" s="42">
        <f>+L2566+N2566-P2566</f>
        <v/>
      </c>
      <c r="S2566" s="42">
        <f>+M2566+O2566-Q2566</f>
        <v/>
      </c>
    </row>
    <row r="2567" ht="30" customHeight="1">
      <c r="A2567" s="16" t="n">
        <v>45888</v>
      </c>
      <c r="B2567" s="17" t="inlineStr">
        <is>
          <t>MH2508-38</t>
        </is>
      </c>
      <c r="C2567" s="16" t="n">
        <v>45888</v>
      </c>
      <c r="D2567" s="17" t="inlineStr">
        <is>
          <t>00003255</t>
        </is>
      </c>
      <c r="E2567" s="16" t="n">
        <v>45888</v>
      </c>
      <c r="F2567" s="16" t="inlineStr">
        <is>
          <t>XK2508-30</t>
        </is>
      </c>
      <c r="G2567" s="16" t="n">
        <v>45888</v>
      </c>
      <c r="H2567" s="18" t="inlineStr">
        <is>
          <t>CÔNG TY CỔ PHẦN CÔNG NGHIỆP VÀ THƯƠNG MẠI CƯỜNG THỊNH</t>
        </is>
      </c>
      <c r="I2567" s="18" t="inlineStr">
        <is>
          <t>Bulong Din 933 10.9 ZP M16x50</t>
        </is>
      </c>
      <c r="J2567" s="18" t="inlineStr">
        <is>
          <t>Cái</t>
        </is>
      </c>
      <c r="K2567" s="19" t="n">
        <v>3910</v>
      </c>
      <c r="L2567" s="20" t="n"/>
      <c r="M2567" s="20" t="n"/>
      <c r="N2567" s="22" t="n">
        <v>428</v>
      </c>
      <c r="O2567" s="22" t="n">
        <v>1673480</v>
      </c>
      <c r="P2567" s="22" t="n">
        <v>428</v>
      </c>
      <c r="Q2567" s="22" t="n">
        <v>1673480</v>
      </c>
      <c r="R2567" s="42">
        <f>+L2567+N2567-P2567</f>
        <v/>
      </c>
      <c r="S2567" s="42">
        <f>+M2567+O2567-Q2567</f>
        <v/>
      </c>
    </row>
    <row r="2568" ht="30" customHeight="1">
      <c r="A2568" s="16" t="n">
        <v>45888</v>
      </c>
      <c r="B2568" s="17" t="inlineStr">
        <is>
          <t>MH2508-38</t>
        </is>
      </c>
      <c r="C2568" s="16" t="n">
        <v>45888</v>
      </c>
      <c r="D2568" s="17" t="inlineStr">
        <is>
          <t>00003255</t>
        </is>
      </c>
      <c r="E2568" s="16" t="n">
        <v>45888</v>
      </c>
      <c r="F2568" s="16" t="inlineStr">
        <is>
          <t>XK2508-30</t>
        </is>
      </c>
      <c r="G2568" s="16" t="n">
        <v>45888</v>
      </c>
      <c r="H2568" s="18" t="inlineStr">
        <is>
          <t>CÔNG TY CỔ PHẦN CÔNG NGHIỆP VÀ THƯƠNG MẠI CƯỜNG THỊNH</t>
        </is>
      </c>
      <c r="I2568" s="18" t="inlineStr">
        <is>
          <t>Đai ốc ISO 4032 10 ZP M16</t>
        </is>
      </c>
      <c r="J2568" s="18" t="inlineStr">
        <is>
          <t>Cái</t>
        </is>
      </c>
      <c r="K2568" s="19" t="n">
        <v>1390</v>
      </c>
      <c r="L2568" s="20" t="n"/>
      <c r="M2568" s="20" t="n"/>
      <c r="N2568" s="22" t="n">
        <v>428</v>
      </c>
      <c r="O2568" s="22" t="n">
        <v>594920</v>
      </c>
      <c r="P2568" s="22" t="n">
        <v>428</v>
      </c>
      <c r="Q2568" s="22" t="n">
        <v>594920</v>
      </c>
      <c r="R2568" s="42">
        <f>+L2568+N2568-P2568</f>
        <v/>
      </c>
      <c r="S2568" s="42">
        <f>+M2568+O2568-Q2568</f>
        <v/>
      </c>
    </row>
    <row r="2569" ht="30" customHeight="1">
      <c r="A2569" s="16" t="n">
        <v>45888</v>
      </c>
      <c r="B2569" s="17" t="inlineStr">
        <is>
          <t>MH2508-38</t>
        </is>
      </c>
      <c r="C2569" s="16" t="n">
        <v>45888</v>
      </c>
      <c r="D2569" s="17" t="inlineStr">
        <is>
          <t>00003255</t>
        </is>
      </c>
      <c r="E2569" s="16" t="n">
        <v>45888</v>
      </c>
      <c r="F2569" s="16" t="inlineStr">
        <is>
          <t>XK2508-30</t>
        </is>
      </c>
      <c r="G2569" s="16" t="n">
        <v>45888</v>
      </c>
      <c r="H2569" s="18" t="inlineStr">
        <is>
          <t>CÔNG TY CỔ PHẦN CÔNG NGHIỆP VÀ THƯƠNG MẠI CƯỜNG THỊNH</t>
        </is>
      </c>
      <c r="I2569" s="18" t="inlineStr">
        <is>
          <t>Long đền thường ZP M16B30D2</t>
        </is>
      </c>
      <c r="J2569" s="18" t="inlineStr">
        <is>
          <t>Cái</t>
        </is>
      </c>
      <c r="K2569" s="19" t="n">
        <v>330</v>
      </c>
      <c r="L2569" s="20" t="n"/>
      <c r="M2569" s="20" t="n"/>
      <c r="N2569" s="22" t="n">
        <v>428</v>
      </c>
      <c r="O2569" s="22" t="n">
        <v>141240</v>
      </c>
      <c r="P2569" s="22" t="n">
        <v>428</v>
      </c>
      <c r="Q2569" s="22" t="n">
        <v>141240</v>
      </c>
      <c r="R2569" s="42">
        <f>+L2569+N2569-P2569</f>
        <v/>
      </c>
      <c r="S2569" s="42">
        <f>+M2569+O2569-Q2569</f>
        <v/>
      </c>
    </row>
    <row r="2570" ht="30" customHeight="1">
      <c r="A2570" s="16" t="n">
        <v>45888</v>
      </c>
      <c r="B2570" s="17" t="inlineStr">
        <is>
          <t>MH2508-38</t>
        </is>
      </c>
      <c r="C2570" s="16" t="n">
        <v>45888</v>
      </c>
      <c r="D2570" s="17" t="inlineStr">
        <is>
          <t>00003255</t>
        </is>
      </c>
      <c r="E2570" s="16" t="n">
        <v>45888</v>
      </c>
      <c r="F2570" s="16" t="inlineStr">
        <is>
          <t>XK2508-30</t>
        </is>
      </c>
      <c r="G2570" s="16" t="n">
        <v>45888</v>
      </c>
      <c r="H2570" s="18" t="inlineStr">
        <is>
          <t>CÔNG TY CỔ PHẦN CÔNG NGHIỆP VÀ THƯƠNG MẠI CƯỜNG THỊNH</t>
        </is>
      </c>
      <c r="I2570" s="18" t="inlineStr">
        <is>
          <t>Bulong Din 933 10.9 ZP M16x50</t>
        </is>
      </c>
      <c r="J2570" s="18" t="inlineStr">
        <is>
          <t>Cái</t>
        </is>
      </c>
      <c r="K2570" s="19" t="n">
        <v>3910</v>
      </c>
      <c r="L2570" s="20" t="n"/>
      <c r="M2570" s="20" t="n"/>
      <c r="N2570" s="22" t="n">
        <v>173</v>
      </c>
      <c r="O2570" s="22" t="n">
        <v>676430</v>
      </c>
      <c r="P2570" s="22" t="n">
        <v>173</v>
      </c>
      <c r="Q2570" s="22" t="n">
        <v>676430</v>
      </c>
      <c r="R2570" s="42">
        <f>+L2570+N2570-P2570</f>
        <v/>
      </c>
      <c r="S2570" s="42">
        <f>+M2570+O2570-Q2570</f>
        <v/>
      </c>
    </row>
    <row r="2571" ht="30" customHeight="1">
      <c r="A2571" s="16" t="n">
        <v>45888</v>
      </c>
      <c r="B2571" s="17" t="inlineStr">
        <is>
          <t>MH2508-38</t>
        </is>
      </c>
      <c r="C2571" s="16" t="n">
        <v>45888</v>
      </c>
      <c r="D2571" s="17" t="inlineStr">
        <is>
          <t>00003255</t>
        </is>
      </c>
      <c r="E2571" s="16" t="n">
        <v>45888</v>
      </c>
      <c r="F2571" s="16" t="inlineStr">
        <is>
          <t>XK2508-30</t>
        </is>
      </c>
      <c r="G2571" s="16" t="n">
        <v>45888</v>
      </c>
      <c r="H2571" s="18" t="inlineStr">
        <is>
          <t>CÔNG TY CỔ PHẦN CÔNG NGHIỆP VÀ THƯƠNG MẠI CƯỜNG THỊNH</t>
        </is>
      </c>
      <c r="I2571" s="18" t="inlineStr">
        <is>
          <t>Đai ốc ISO 4032 10 ZP M16</t>
        </is>
      </c>
      <c r="J2571" s="18" t="inlineStr">
        <is>
          <t>Cái</t>
        </is>
      </c>
      <c r="K2571" s="19" t="n">
        <v>1390</v>
      </c>
      <c r="L2571" s="20" t="n"/>
      <c r="M2571" s="20" t="n"/>
      <c r="N2571" s="22" t="n">
        <v>173</v>
      </c>
      <c r="O2571" s="22" t="n">
        <v>240470</v>
      </c>
      <c r="P2571" s="22" t="n">
        <v>173</v>
      </c>
      <c r="Q2571" s="22" t="n">
        <v>240470</v>
      </c>
      <c r="R2571" s="42">
        <f>+L2571+N2571-P2571</f>
        <v/>
      </c>
      <c r="S2571" s="42">
        <f>+M2571+O2571-Q2571</f>
        <v/>
      </c>
    </row>
    <row r="2572" ht="30" customHeight="1">
      <c r="A2572" s="16" t="n">
        <v>45888</v>
      </c>
      <c r="B2572" s="17" t="inlineStr">
        <is>
          <t>MH2508-38</t>
        </is>
      </c>
      <c r="C2572" s="16" t="n">
        <v>45888</v>
      </c>
      <c r="D2572" s="17" t="inlineStr">
        <is>
          <t>00003255</t>
        </is>
      </c>
      <c r="E2572" s="16" t="n">
        <v>45888</v>
      </c>
      <c r="F2572" s="16" t="inlineStr">
        <is>
          <t>XK2508-30</t>
        </is>
      </c>
      <c r="G2572" s="16" t="n">
        <v>45888</v>
      </c>
      <c r="H2572" s="18" t="inlineStr">
        <is>
          <t>CÔNG TY CỔ PHẦN CÔNG NGHIỆP VÀ THƯƠNG MẠI CƯỜNG THỊNH</t>
        </is>
      </c>
      <c r="I2572" s="18" t="inlineStr">
        <is>
          <t>Long đền thường ZP M16B30D2</t>
        </is>
      </c>
      <c r="J2572" s="18" t="inlineStr">
        <is>
          <t>Cái</t>
        </is>
      </c>
      <c r="K2572" s="19" t="n">
        <v>330</v>
      </c>
      <c r="L2572" s="20" t="n"/>
      <c r="M2572" s="20" t="n"/>
      <c r="N2572" s="22" t="n">
        <v>173</v>
      </c>
      <c r="O2572" s="22" t="n">
        <v>57090</v>
      </c>
      <c r="P2572" s="22" t="n">
        <v>173</v>
      </c>
      <c r="Q2572" s="22" t="n">
        <v>57090</v>
      </c>
      <c r="R2572" s="42">
        <f>+L2572+N2572-P2572</f>
        <v/>
      </c>
      <c r="S2572" s="42">
        <f>+M2572+O2572-Q2572</f>
        <v/>
      </c>
    </row>
    <row r="2573" ht="30" customHeight="1">
      <c r="A2573" s="16" t="n">
        <v>45888</v>
      </c>
      <c r="B2573" s="17" t="inlineStr">
        <is>
          <t>MH2508-38</t>
        </is>
      </c>
      <c r="C2573" s="16" t="n">
        <v>45888</v>
      </c>
      <c r="D2573" s="17" t="inlineStr">
        <is>
          <t>00003255</t>
        </is>
      </c>
      <c r="E2573" s="16" t="n">
        <v>45888</v>
      </c>
      <c r="F2573" s="16" t="inlineStr">
        <is>
          <t>XK2508-30</t>
        </is>
      </c>
      <c r="G2573" s="16" t="n">
        <v>45888</v>
      </c>
      <c r="H2573" s="18" t="inlineStr">
        <is>
          <t>CÔNG TY CỔ PHẦN CÔNG NGHIỆP VÀ THƯƠNG MẠI CƯỜNG THỊNH</t>
        </is>
      </c>
      <c r="I2573" s="18" t="inlineStr">
        <is>
          <t>Bulong Din 933 10.9 ZP M20x60</t>
        </is>
      </c>
      <c r="J2573" s="18" t="inlineStr">
        <is>
          <t>Cái</t>
        </is>
      </c>
      <c r="K2573" s="19" t="n">
        <v>7370</v>
      </c>
      <c r="L2573" s="20" t="n"/>
      <c r="M2573" s="20" t="n"/>
      <c r="N2573" s="22" t="n">
        <v>1541</v>
      </c>
      <c r="O2573" s="22" t="n">
        <v>11357170</v>
      </c>
      <c r="P2573" s="22" t="n">
        <v>1541</v>
      </c>
      <c r="Q2573" s="22" t="n">
        <v>11357170</v>
      </c>
      <c r="R2573" s="42">
        <f>+L2573+N2573-P2573</f>
        <v/>
      </c>
      <c r="S2573" s="42">
        <f>+M2573+O2573-Q2573</f>
        <v/>
      </c>
    </row>
    <row r="2574" ht="30" customHeight="1">
      <c r="A2574" s="16" t="n">
        <v>45888</v>
      </c>
      <c r="B2574" s="17" t="inlineStr">
        <is>
          <t>MH2508-38</t>
        </is>
      </c>
      <c r="C2574" s="16" t="n">
        <v>45888</v>
      </c>
      <c r="D2574" s="17" t="inlineStr">
        <is>
          <t>00003255</t>
        </is>
      </c>
      <c r="E2574" s="16" t="n">
        <v>45888</v>
      </c>
      <c r="F2574" s="16" t="inlineStr">
        <is>
          <t>XK2508-30</t>
        </is>
      </c>
      <c r="G2574" s="16" t="n">
        <v>45888</v>
      </c>
      <c r="H2574" s="18" t="inlineStr">
        <is>
          <t>CÔNG TY CỔ PHẦN CÔNG NGHIỆP VÀ THƯƠNG MẠI CƯỜNG THỊNH</t>
        </is>
      </c>
      <c r="I2574" s="18" t="inlineStr">
        <is>
          <t>Đai ốc ISO 4032 10 ZP M20</t>
        </is>
      </c>
      <c r="J2574" s="18" t="inlineStr">
        <is>
          <t>Cái</t>
        </is>
      </c>
      <c r="K2574" s="19" t="n">
        <v>2560</v>
      </c>
      <c r="L2574" s="20" t="n"/>
      <c r="M2574" s="20" t="n"/>
      <c r="N2574" s="22" t="n">
        <v>1541</v>
      </c>
      <c r="O2574" s="22" t="n">
        <v>3944960</v>
      </c>
      <c r="P2574" s="22" t="n">
        <v>1541</v>
      </c>
      <c r="Q2574" s="22" t="n">
        <v>3944960</v>
      </c>
      <c r="R2574" s="42">
        <f>+L2574+N2574-P2574</f>
        <v/>
      </c>
      <c r="S2574" s="42">
        <f>+M2574+O2574-Q2574</f>
        <v/>
      </c>
    </row>
    <row r="2575" ht="30" customHeight="1">
      <c r="A2575" s="16" t="n">
        <v>45888</v>
      </c>
      <c r="B2575" s="17" t="inlineStr">
        <is>
          <t>MH2508-38</t>
        </is>
      </c>
      <c r="C2575" s="16" t="n">
        <v>45888</v>
      </c>
      <c r="D2575" s="17" t="inlineStr">
        <is>
          <t>00003255</t>
        </is>
      </c>
      <c r="E2575" s="16" t="n">
        <v>45888</v>
      </c>
      <c r="F2575" s="16" t="inlineStr">
        <is>
          <t>XK2508-30</t>
        </is>
      </c>
      <c r="G2575" s="16" t="n">
        <v>45888</v>
      </c>
      <c r="H2575" s="18" t="inlineStr">
        <is>
          <t>CÔNG TY CỔ PHẦN CÔNG NGHIỆP VÀ THƯƠNG MẠI CƯỜNG THỊNH</t>
        </is>
      </c>
      <c r="I2575" s="18" t="inlineStr">
        <is>
          <t>Long đền thường ZP M20B35D2</t>
        </is>
      </c>
      <c r="J2575" s="18" t="inlineStr">
        <is>
          <t>Cái</t>
        </is>
      </c>
      <c r="K2575" s="19" t="n">
        <v>380</v>
      </c>
      <c r="L2575" s="20" t="n"/>
      <c r="M2575" s="20" t="n"/>
      <c r="N2575" s="22" t="n">
        <v>1541</v>
      </c>
      <c r="O2575" s="22" t="n">
        <v>585580</v>
      </c>
      <c r="P2575" s="22" t="n">
        <v>1541</v>
      </c>
      <c r="Q2575" s="22" t="n">
        <v>585580</v>
      </c>
      <c r="R2575" s="42">
        <f>+L2575+N2575-P2575</f>
        <v/>
      </c>
      <c r="S2575" s="42">
        <f>+M2575+O2575-Q2575</f>
        <v/>
      </c>
    </row>
    <row r="2576" ht="30" customHeight="1">
      <c r="A2576" s="16" t="n">
        <v>45888</v>
      </c>
      <c r="B2576" s="17" t="inlineStr">
        <is>
          <t>MH2508-38</t>
        </is>
      </c>
      <c r="C2576" s="16" t="n">
        <v>45888</v>
      </c>
      <c r="D2576" s="17" t="inlineStr">
        <is>
          <t>00003255</t>
        </is>
      </c>
      <c r="E2576" s="16" t="n">
        <v>45888</v>
      </c>
      <c r="F2576" s="16" t="inlineStr">
        <is>
          <t>XK2508-30</t>
        </is>
      </c>
      <c r="G2576" s="16" t="n">
        <v>45888</v>
      </c>
      <c r="H2576" s="18" t="inlineStr">
        <is>
          <t>CÔNG TY CỔ PHẦN CÔNG NGHIỆP VÀ THƯƠNG MẠI CƯỜNG THỊNH</t>
        </is>
      </c>
      <c r="I2576" s="18" t="inlineStr">
        <is>
          <t>Bulong Din 933 10.9 ZP M24x70</t>
        </is>
      </c>
      <c r="J2576" s="18" t="inlineStr">
        <is>
          <t>Cái</t>
        </is>
      </c>
      <c r="K2576" s="19" t="n">
        <v>12560</v>
      </c>
      <c r="L2576" s="20" t="n"/>
      <c r="M2576" s="20" t="n"/>
      <c r="N2576" s="22" t="n">
        <v>894</v>
      </c>
      <c r="O2576" s="22" t="n">
        <v>11228640</v>
      </c>
      <c r="P2576" s="22" t="n">
        <v>894</v>
      </c>
      <c r="Q2576" s="22" t="n">
        <v>11228640</v>
      </c>
      <c r="R2576" s="42">
        <f>+L2576+N2576-P2576</f>
        <v/>
      </c>
      <c r="S2576" s="42">
        <f>+M2576+O2576-Q2576</f>
        <v/>
      </c>
    </row>
    <row r="2577" ht="30" customHeight="1">
      <c r="A2577" s="16" t="n">
        <v>45888</v>
      </c>
      <c r="B2577" s="17" t="inlineStr">
        <is>
          <t>MH2508-38</t>
        </is>
      </c>
      <c r="C2577" s="16" t="n">
        <v>45888</v>
      </c>
      <c r="D2577" s="17" t="inlineStr">
        <is>
          <t>00003255</t>
        </is>
      </c>
      <c r="E2577" s="16" t="n">
        <v>45888</v>
      </c>
      <c r="F2577" s="16" t="inlineStr">
        <is>
          <t>XK2508-30</t>
        </is>
      </c>
      <c r="G2577" s="16" t="n">
        <v>45888</v>
      </c>
      <c r="H2577" s="18" t="inlineStr">
        <is>
          <t>CÔNG TY CỔ PHẦN CÔNG NGHIỆP VÀ THƯƠNG MẠI CƯỜNG THỊNH</t>
        </is>
      </c>
      <c r="I2577" s="18" t="inlineStr">
        <is>
          <t>Đai ốc ISO 4032 10 ZP M24</t>
        </is>
      </c>
      <c r="J2577" s="18" t="inlineStr">
        <is>
          <t>Cái</t>
        </is>
      </c>
      <c r="K2577" s="19" t="n">
        <v>4250</v>
      </c>
      <c r="L2577" s="20" t="n"/>
      <c r="M2577" s="20" t="n"/>
      <c r="N2577" s="22" t="n">
        <v>894</v>
      </c>
      <c r="O2577" s="22" t="n">
        <v>3799500</v>
      </c>
      <c r="P2577" s="22" t="n">
        <v>894</v>
      </c>
      <c r="Q2577" s="22" t="n">
        <v>3799500</v>
      </c>
      <c r="R2577" s="42">
        <f>+L2577+N2577-P2577</f>
        <v/>
      </c>
      <c r="S2577" s="42">
        <f>+M2577+O2577-Q2577</f>
        <v/>
      </c>
    </row>
    <row r="2578" ht="30" customHeight="1">
      <c r="A2578" s="16" t="n">
        <v>45888</v>
      </c>
      <c r="B2578" s="17" t="inlineStr">
        <is>
          <t>MH2508-38</t>
        </is>
      </c>
      <c r="C2578" s="16" t="n">
        <v>45888</v>
      </c>
      <c r="D2578" s="17" t="inlineStr">
        <is>
          <t>00003255</t>
        </is>
      </c>
      <c r="E2578" s="16" t="n">
        <v>45888</v>
      </c>
      <c r="F2578" s="16" t="inlineStr">
        <is>
          <t>XK2508-30</t>
        </is>
      </c>
      <c r="G2578" s="16" t="n">
        <v>45888</v>
      </c>
      <c r="H2578" s="18" t="inlineStr">
        <is>
          <t>CÔNG TY CỔ PHẦN CÔNG NGHIỆP VÀ THƯƠNG MẠI CƯỜNG THỊNH</t>
        </is>
      </c>
      <c r="I2578" s="18" t="inlineStr">
        <is>
          <t>Long đền thường ZP M24B40-42D2</t>
        </is>
      </c>
      <c r="J2578" s="18" t="inlineStr">
        <is>
          <t>Cái</t>
        </is>
      </c>
      <c r="K2578" s="19" t="n">
        <v>680</v>
      </c>
      <c r="L2578" s="20" t="n"/>
      <c r="M2578" s="20" t="n"/>
      <c r="N2578" s="22" t="n">
        <v>894</v>
      </c>
      <c r="O2578" s="22" t="n">
        <v>607920</v>
      </c>
      <c r="P2578" s="22" t="n">
        <v>894</v>
      </c>
      <c r="Q2578" s="22" t="n">
        <v>607920</v>
      </c>
      <c r="R2578" s="42">
        <f>+L2578+N2578-P2578</f>
        <v/>
      </c>
      <c r="S2578" s="42">
        <f>+M2578+O2578-Q2578</f>
        <v/>
      </c>
    </row>
    <row r="2579" ht="30" customHeight="1">
      <c r="A2579" s="16" t="n">
        <v>45888</v>
      </c>
      <c r="B2579" s="17" t="inlineStr">
        <is>
          <t>MH2508-38</t>
        </is>
      </c>
      <c r="C2579" s="16" t="n">
        <v>45888</v>
      </c>
      <c r="D2579" s="17" t="inlineStr">
        <is>
          <t>00003255</t>
        </is>
      </c>
      <c r="E2579" s="16" t="n">
        <v>45888</v>
      </c>
      <c r="F2579" s="16" t="inlineStr">
        <is>
          <t>XK2508-30</t>
        </is>
      </c>
      <c r="G2579" s="16" t="n">
        <v>45888</v>
      </c>
      <c r="H2579" s="18" t="inlineStr">
        <is>
          <t>CÔNG TY CỔ PHẦN CÔNG NGHIỆP VÀ THƯƠNG MẠI CƯỜNG THỊNH</t>
        </is>
      </c>
      <c r="I2579" s="18" t="inlineStr">
        <is>
          <t>Bulong Din 933 10.9 ZP M24x80</t>
        </is>
      </c>
      <c r="J2579" s="18" t="inlineStr">
        <is>
          <t>Cái</t>
        </is>
      </c>
      <c r="K2579" s="19" t="n">
        <v>13730</v>
      </c>
      <c r="L2579" s="20" t="n"/>
      <c r="M2579" s="20" t="n"/>
      <c r="N2579" s="22" t="n">
        <v>1180</v>
      </c>
      <c r="O2579" s="22" t="n">
        <v>16201400</v>
      </c>
      <c r="P2579" s="22" t="n">
        <v>1180</v>
      </c>
      <c r="Q2579" s="22" t="n">
        <v>16201400</v>
      </c>
      <c r="R2579" s="42">
        <f>+L2579+N2579-P2579</f>
        <v/>
      </c>
      <c r="S2579" s="42">
        <f>+M2579+O2579-Q2579</f>
        <v/>
      </c>
    </row>
    <row r="2580" ht="30" customHeight="1">
      <c r="A2580" s="16" t="n">
        <v>45888</v>
      </c>
      <c r="B2580" s="17" t="inlineStr">
        <is>
          <t>MH2508-38</t>
        </is>
      </c>
      <c r="C2580" s="16" t="n">
        <v>45888</v>
      </c>
      <c r="D2580" s="17" t="inlineStr">
        <is>
          <t>00003255</t>
        </is>
      </c>
      <c r="E2580" s="16" t="n">
        <v>45888</v>
      </c>
      <c r="F2580" s="16" t="inlineStr">
        <is>
          <t>XK2508-30</t>
        </is>
      </c>
      <c r="G2580" s="16" t="n">
        <v>45888</v>
      </c>
      <c r="H2580" s="18" t="inlineStr">
        <is>
          <t>CÔNG TY CỔ PHẦN CÔNG NGHIỆP VÀ THƯƠNG MẠI CƯỜNG THỊNH</t>
        </is>
      </c>
      <c r="I2580" s="18" t="inlineStr">
        <is>
          <t>Đai ốc ISO 4032 10 ZP M24</t>
        </is>
      </c>
      <c r="J2580" s="18" t="inlineStr">
        <is>
          <t>Cái</t>
        </is>
      </c>
      <c r="K2580" s="19" t="n">
        <v>4250</v>
      </c>
      <c r="L2580" s="20" t="n"/>
      <c r="M2580" s="20" t="n"/>
      <c r="N2580" s="22" t="n">
        <v>1180</v>
      </c>
      <c r="O2580" s="22" t="n">
        <v>5015000</v>
      </c>
      <c r="P2580" s="22" t="n">
        <v>1180</v>
      </c>
      <c r="Q2580" s="22" t="n">
        <v>5015000</v>
      </c>
      <c r="R2580" s="42">
        <f>+L2580+N2580-P2580</f>
        <v/>
      </c>
      <c r="S2580" s="42">
        <f>+M2580+O2580-Q2580</f>
        <v/>
      </c>
    </row>
    <row r="2581" ht="30" customHeight="1">
      <c r="A2581" s="16" t="n">
        <v>45888</v>
      </c>
      <c r="B2581" s="17" t="inlineStr">
        <is>
          <t>MH2508-38</t>
        </is>
      </c>
      <c r="C2581" s="16" t="n">
        <v>45888</v>
      </c>
      <c r="D2581" s="17" t="inlineStr">
        <is>
          <t>00003255</t>
        </is>
      </c>
      <c r="E2581" s="16" t="n">
        <v>45888</v>
      </c>
      <c r="F2581" s="16" t="inlineStr">
        <is>
          <t>XK2508-30</t>
        </is>
      </c>
      <c r="G2581" s="16" t="n">
        <v>45888</v>
      </c>
      <c r="H2581" s="18" t="inlineStr">
        <is>
          <t>CÔNG TY CỔ PHẦN CÔNG NGHIỆP VÀ THƯƠNG MẠI CƯỜNG THỊNH</t>
        </is>
      </c>
      <c r="I2581" s="18" t="inlineStr">
        <is>
          <t>Long đền thường ZP M24B40-42D2</t>
        </is>
      </c>
      <c r="J2581" s="18" t="inlineStr">
        <is>
          <t>Cái</t>
        </is>
      </c>
      <c r="K2581" s="19" t="n">
        <v>680</v>
      </c>
      <c r="L2581" s="20" t="n"/>
      <c r="M2581" s="20" t="n"/>
      <c r="N2581" s="22" t="n">
        <v>1180</v>
      </c>
      <c r="O2581" s="22" t="n">
        <v>802400</v>
      </c>
      <c r="P2581" s="22" t="n">
        <v>1180</v>
      </c>
      <c r="Q2581" s="22" t="n">
        <v>802400</v>
      </c>
      <c r="R2581" s="42">
        <f>+L2581+N2581-P2581</f>
        <v/>
      </c>
      <c r="S2581" s="42">
        <f>+M2581+O2581-Q2581</f>
        <v/>
      </c>
    </row>
    <row r="2582" ht="30" customHeight="1">
      <c r="A2582" s="16" t="n">
        <v>45888</v>
      </c>
      <c r="B2582" s="17" t="inlineStr">
        <is>
          <t>MH2508-38</t>
        </is>
      </c>
      <c r="C2582" s="16" t="n">
        <v>45888</v>
      </c>
      <c r="D2582" s="17" t="inlineStr">
        <is>
          <t>00003255</t>
        </is>
      </c>
      <c r="E2582" s="16" t="n">
        <v>45888</v>
      </c>
      <c r="F2582" s="16" t="inlineStr">
        <is>
          <t>XK2508-30</t>
        </is>
      </c>
      <c r="G2582" s="16" t="n">
        <v>45888</v>
      </c>
      <c r="H2582" s="18" t="inlineStr">
        <is>
          <t>CÔNG TY CỔ PHẦN CÔNG NGHIỆP VÀ THƯƠNG MẠI CƯỜNG THỊNH</t>
        </is>
      </c>
      <c r="I2582" s="18" t="inlineStr">
        <is>
          <t>Bulong Din 933 10.9 ZP M24x90</t>
        </is>
      </c>
      <c r="J2582" s="18" t="inlineStr">
        <is>
          <t>Cái</t>
        </is>
      </c>
      <c r="K2582" s="19" t="n">
        <v>14810</v>
      </c>
      <c r="L2582" s="20" t="n"/>
      <c r="M2582" s="20" t="n"/>
      <c r="N2582" s="22" t="n">
        <v>389</v>
      </c>
      <c r="O2582" s="22" t="n">
        <v>5761090</v>
      </c>
      <c r="P2582" s="22" t="n">
        <v>389</v>
      </c>
      <c r="Q2582" s="22" t="n">
        <v>5761090</v>
      </c>
      <c r="R2582" s="42">
        <f>+L2582+N2582-P2582</f>
        <v/>
      </c>
      <c r="S2582" s="42">
        <f>+M2582+O2582-Q2582</f>
        <v/>
      </c>
    </row>
    <row r="2583" ht="30" customHeight="1">
      <c r="A2583" s="16" t="n">
        <v>45888</v>
      </c>
      <c r="B2583" s="17" t="inlineStr">
        <is>
          <t>MH2508-38</t>
        </is>
      </c>
      <c r="C2583" s="16" t="n">
        <v>45888</v>
      </c>
      <c r="D2583" s="17" t="inlineStr">
        <is>
          <t>00003255</t>
        </is>
      </c>
      <c r="E2583" s="16" t="n">
        <v>45888</v>
      </c>
      <c r="F2583" s="16" t="inlineStr">
        <is>
          <t>XK2508-30</t>
        </is>
      </c>
      <c r="G2583" s="16" t="n">
        <v>45888</v>
      </c>
      <c r="H2583" s="18" t="inlineStr">
        <is>
          <t>CÔNG TY CỔ PHẦN CÔNG NGHIỆP VÀ THƯƠNG MẠI CƯỜNG THỊNH</t>
        </is>
      </c>
      <c r="I2583" s="18" t="inlineStr">
        <is>
          <t>Đai ốc ISO 4032 10 ZP M24</t>
        </is>
      </c>
      <c r="J2583" s="18" t="inlineStr">
        <is>
          <t>Cái</t>
        </is>
      </c>
      <c r="K2583" s="19" t="n">
        <v>4250</v>
      </c>
      <c r="L2583" s="20" t="n"/>
      <c r="M2583" s="20" t="n"/>
      <c r="N2583" s="22" t="n">
        <v>389</v>
      </c>
      <c r="O2583" s="22" t="n">
        <v>1653250</v>
      </c>
      <c r="P2583" s="22" t="n">
        <v>389</v>
      </c>
      <c r="Q2583" s="22" t="n">
        <v>1653250</v>
      </c>
      <c r="R2583" s="42">
        <f>+L2583+N2583-P2583</f>
        <v/>
      </c>
      <c r="S2583" s="42">
        <f>+M2583+O2583-Q2583</f>
        <v/>
      </c>
    </row>
    <row r="2584" ht="30" customHeight="1">
      <c r="A2584" s="16" t="n">
        <v>45888</v>
      </c>
      <c r="B2584" s="17" t="inlineStr">
        <is>
          <t>MH2508-38</t>
        </is>
      </c>
      <c r="C2584" s="16" t="n">
        <v>45888</v>
      </c>
      <c r="D2584" s="17" t="inlineStr">
        <is>
          <t>00003255</t>
        </is>
      </c>
      <c r="E2584" s="16" t="n">
        <v>45888</v>
      </c>
      <c r="F2584" s="16" t="inlineStr">
        <is>
          <t>XK2508-30</t>
        </is>
      </c>
      <c r="G2584" s="16" t="n">
        <v>45888</v>
      </c>
      <c r="H2584" s="18" t="inlineStr">
        <is>
          <t>CÔNG TY CỔ PHẦN CÔNG NGHIỆP VÀ THƯƠNG MẠI CƯỜNG THỊNH</t>
        </is>
      </c>
      <c r="I2584" s="18" t="inlineStr">
        <is>
          <t>Long đền thường ZP M24B40-42D2</t>
        </is>
      </c>
      <c r="J2584" s="18" t="inlineStr">
        <is>
          <t>Cái</t>
        </is>
      </c>
      <c r="K2584" s="19" t="n">
        <v>680</v>
      </c>
      <c r="L2584" s="20" t="n"/>
      <c r="M2584" s="20" t="n"/>
      <c r="N2584" s="22" t="n">
        <v>389</v>
      </c>
      <c r="O2584" s="22" t="n">
        <v>264520</v>
      </c>
      <c r="P2584" s="22" t="n">
        <v>389</v>
      </c>
      <c r="Q2584" s="22" t="n">
        <v>264520</v>
      </c>
      <c r="R2584" s="42">
        <f>+L2584+N2584-P2584</f>
        <v/>
      </c>
      <c r="S2584" s="42">
        <f>+M2584+O2584-Q2584</f>
        <v/>
      </c>
    </row>
    <row r="2585" ht="30" customHeight="1">
      <c r="A2585" s="16" t="n">
        <v>45888</v>
      </c>
      <c r="B2585" s="17" t="inlineStr">
        <is>
          <t>MH2508-39</t>
        </is>
      </c>
      <c r="C2585" s="16" t="n">
        <v>45888</v>
      </c>
      <c r="D2585" s="17" t="inlineStr">
        <is>
          <t>00003235</t>
        </is>
      </c>
      <c r="E2585" s="16" t="n">
        <v>45888</v>
      </c>
      <c r="F2585" s="16" t="inlineStr">
        <is>
          <t>XK2508-31</t>
        </is>
      </c>
      <c r="G2585" s="16" t="n">
        <v>45888</v>
      </c>
      <c r="H2585" s="18" t="inlineStr">
        <is>
          <t>CÔNG TY CỔ PHẦN CÔNG NGHIỆP VÀ THƯƠNG MẠI CƯỜNG THỊNH</t>
        </is>
      </c>
      <c r="I2585" s="18" t="inlineStr">
        <is>
          <t>Bulong Din 933 8.8 ZP M16x40</t>
        </is>
      </c>
      <c r="J2585" s="18" t="inlineStr">
        <is>
          <t>Cái</t>
        </is>
      </c>
      <c r="K2585" s="19" t="n">
        <v>3030</v>
      </c>
      <c r="L2585" s="20" t="n"/>
      <c r="M2585" s="20" t="n"/>
      <c r="N2585" s="22" t="n">
        <v>581</v>
      </c>
      <c r="O2585" s="22" t="n">
        <v>1760430</v>
      </c>
      <c r="P2585" s="22" t="n">
        <v>581</v>
      </c>
      <c r="Q2585" s="22" t="n">
        <v>1760430</v>
      </c>
      <c r="R2585" s="42">
        <f>+L2585+N2585-P2585</f>
        <v/>
      </c>
      <c r="S2585" s="42">
        <f>+M2585+O2585-Q2585</f>
        <v/>
      </c>
    </row>
    <row r="2586" ht="30" customHeight="1">
      <c r="A2586" s="16" t="n">
        <v>45888</v>
      </c>
      <c r="B2586" s="17" t="inlineStr">
        <is>
          <t>MH2508-39</t>
        </is>
      </c>
      <c r="C2586" s="16" t="n">
        <v>45888</v>
      </c>
      <c r="D2586" s="17" t="inlineStr">
        <is>
          <t>00003235</t>
        </is>
      </c>
      <c r="E2586" s="16" t="n">
        <v>45888</v>
      </c>
      <c r="F2586" s="16" t="inlineStr">
        <is>
          <t>XK2508-31</t>
        </is>
      </c>
      <c r="G2586" s="16" t="n">
        <v>45888</v>
      </c>
      <c r="H2586" s="18" t="inlineStr">
        <is>
          <t>CÔNG TY CỔ PHẦN CÔNG NGHIỆP VÀ THƯƠNG MẠI CƯỜNG THỊNH</t>
        </is>
      </c>
      <c r="I2586" s="18" t="inlineStr">
        <is>
          <t>Đai ốc Din 934 8 ZP M16</t>
        </is>
      </c>
      <c r="J2586" s="18" t="inlineStr">
        <is>
          <t>Cái</t>
        </is>
      </c>
      <c r="K2586" s="19" t="n">
        <v>1090</v>
      </c>
      <c r="L2586" s="20" t="n"/>
      <c r="M2586" s="20" t="n"/>
      <c r="N2586" s="22" t="n">
        <v>581</v>
      </c>
      <c r="O2586" s="22" t="n">
        <v>633290</v>
      </c>
      <c r="P2586" s="22" t="n">
        <v>581</v>
      </c>
      <c r="Q2586" s="22" t="n">
        <v>633290</v>
      </c>
      <c r="R2586" s="42">
        <f>+L2586+N2586-P2586</f>
        <v/>
      </c>
      <c r="S2586" s="42">
        <f>+M2586+O2586-Q2586</f>
        <v/>
      </c>
    </row>
    <row r="2587" ht="30" customHeight="1">
      <c r="A2587" s="16" t="n">
        <v>45888</v>
      </c>
      <c r="B2587" s="17" t="inlineStr">
        <is>
          <t>MH2508-39</t>
        </is>
      </c>
      <c r="C2587" s="16" t="n">
        <v>45888</v>
      </c>
      <c r="D2587" s="17" t="inlineStr">
        <is>
          <t>00003235</t>
        </is>
      </c>
      <c r="E2587" s="16" t="n">
        <v>45888</v>
      </c>
      <c r="F2587" s="16" t="inlineStr">
        <is>
          <t>XK2508-31</t>
        </is>
      </c>
      <c r="G2587" s="16" t="n">
        <v>45888</v>
      </c>
      <c r="H2587" s="18" t="inlineStr">
        <is>
          <t>CÔNG TY CỔ PHẦN CÔNG NGHIỆP VÀ THƯƠNG MẠI CƯỜNG THỊNH</t>
        </is>
      </c>
      <c r="I2587" s="18" t="inlineStr">
        <is>
          <t>Long đền thường ZP M16B30D2</t>
        </is>
      </c>
      <c r="J2587" s="18" t="inlineStr">
        <is>
          <t>Cái</t>
        </is>
      </c>
      <c r="K2587" s="19" t="n">
        <v>330</v>
      </c>
      <c r="L2587" s="20" t="n"/>
      <c r="M2587" s="20" t="n"/>
      <c r="N2587" s="22" t="n">
        <v>581</v>
      </c>
      <c r="O2587" s="22" t="n">
        <v>191730</v>
      </c>
      <c r="P2587" s="22" t="n">
        <v>581</v>
      </c>
      <c r="Q2587" s="22" t="n">
        <v>191730</v>
      </c>
      <c r="R2587" s="42">
        <f>+L2587+N2587-P2587</f>
        <v/>
      </c>
      <c r="S2587" s="42">
        <f>+M2587+O2587-Q2587</f>
        <v/>
      </c>
    </row>
    <row r="2588" ht="30" customHeight="1">
      <c r="A2588" s="16" t="n">
        <v>45888</v>
      </c>
      <c r="B2588" s="17" t="inlineStr">
        <is>
          <t>MH2508-39</t>
        </is>
      </c>
      <c r="C2588" s="16" t="n">
        <v>45888</v>
      </c>
      <c r="D2588" s="17" t="inlineStr">
        <is>
          <t>00003235</t>
        </is>
      </c>
      <c r="E2588" s="16" t="n">
        <v>45888</v>
      </c>
      <c r="F2588" s="16" t="inlineStr">
        <is>
          <t>XK2508-31</t>
        </is>
      </c>
      <c r="G2588" s="16" t="n">
        <v>45888</v>
      </c>
      <c r="H2588" s="18" t="inlineStr">
        <is>
          <t>CÔNG TY CỔ PHẦN CÔNG NGHIỆP VÀ THƯƠNG MẠI CƯỜNG THỊNH</t>
        </is>
      </c>
      <c r="I2588" s="18" t="inlineStr">
        <is>
          <t>Bulong thường 4.6 ZP M12x30</t>
        </is>
      </c>
      <c r="J2588" s="18" t="inlineStr">
        <is>
          <t>Cái</t>
        </is>
      </c>
      <c r="K2588" s="19" t="n">
        <v>950</v>
      </c>
      <c r="L2588" s="20" t="n"/>
      <c r="M2588" s="20" t="n"/>
      <c r="N2588" s="22" t="n">
        <v>5768</v>
      </c>
      <c r="O2588" s="22" t="n">
        <v>5479600</v>
      </c>
      <c r="P2588" s="22" t="n">
        <v>5768</v>
      </c>
      <c r="Q2588" s="22" t="n">
        <v>5479600</v>
      </c>
      <c r="R2588" s="42">
        <f>+L2588+N2588-P2588</f>
        <v/>
      </c>
      <c r="S2588" s="42">
        <f>+M2588+O2588-Q2588</f>
        <v/>
      </c>
    </row>
    <row r="2589" ht="30" customHeight="1">
      <c r="A2589" s="16" t="n">
        <v>45888</v>
      </c>
      <c r="B2589" s="17" t="inlineStr">
        <is>
          <t>MH2508-39</t>
        </is>
      </c>
      <c r="C2589" s="16" t="n">
        <v>45888</v>
      </c>
      <c r="D2589" s="17" t="inlineStr">
        <is>
          <t>00003235</t>
        </is>
      </c>
      <c r="E2589" s="16" t="n">
        <v>45888</v>
      </c>
      <c r="F2589" s="16" t="inlineStr">
        <is>
          <t>XK2508-31</t>
        </is>
      </c>
      <c r="G2589" s="16" t="n">
        <v>45888</v>
      </c>
      <c r="H2589" s="18" t="inlineStr">
        <is>
          <t>CÔNG TY CỔ PHẦN CÔNG NGHIỆP VÀ THƯƠNG MẠI CƯỜNG THỊNH</t>
        </is>
      </c>
      <c r="I2589" s="18" t="inlineStr">
        <is>
          <t>Đai ốc thường 4 ZP M12 (9mm)</t>
        </is>
      </c>
      <c r="J2589" s="18" t="inlineStr">
        <is>
          <t>Cái</t>
        </is>
      </c>
      <c r="K2589" s="19" t="n">
        <v>360</v>
      </c>
      <c r="L2589" s="20" t="n"/>
      <c r="M2589" s="20" t="n"/>
      <c r="N2589" s="22" t="n">
        <v>5768</v>
      </c>
      <c r="O2589" s="22" t="n">
        <v>2076480</v>
      </c>
      <c r="P2589" s="22" t="n">
        <v>5768</v>
      </c>
      <c r="Q2589" s="22" t="n">
        <v>2076480</v>
      </c>
      <c r="R2589" s="42">
        <f>+L2589+N2589-P2589</f>
        <v/>
      </c>
      <c r="S2589" s="42">
        <f>+M2589+O2589-Q2589</f>
        <v/>
      </c>
    </row>
    <row r="2590" ht="30" customHeight="1">
      <c r="A2590" s="16" t="n">
        <v>45888</v>
      </c>
      <c r="B2590" s="17" t="inlineStr">
        <is>
          <t>MH2508-39</t>
        </is>
      </c>
      <c r="C2590" s="16" t="n">
        <v>45888</v>
      </c>
      <c r="D2590" s="17" t="inlineStr">
        <is>
          <t>00003235</t>
        </is>
      </c>
      <c r="E2590" s="16" t="n">
        <v>45888</v>
      </c>
      <c r="F2590" s="16" t="inlineStr">
        <is>
          <t>XK2508-31</t>
        </is>
      </c>
      <c r="G2590" s="16" t="n">
        <v>45888</v>
      </c>
      <c r="H2590" s="18" t="inlineStr">
        <is>
          <t>CÔNG TY CỔ PHẦN CÔNG NGHIỆP VÀ THƯƠNG MẠI CƯỜNG THỊNH</t>
        </is>
      </c>
      <c r="I2590" s="18" t="inlineStr">
        <is>
          <t>Long đền thường ZP M12B23D1</t>
        </is>
      </c>
      <c r="J2590" s="18" t="inlineStr">
        <is>
          <t>Cái</t>
        </is>
      </c>
      <c r="K2590" s="19" t="n">
        <v>100</v>
      </c>
      <c r="L2590" s="20" t="n"/>
      <c r="M2590" s="20" t="n"/>
      <c r="N2590" s="22" t="n">
        <v>11536</v>
      </c>
      <c r="O2590" s="22" t="n">
        <v>1153600</v>
      </c>
      <c r="P2590" s="22" t="n">
        <v>11536</v>
      </c>
      <c r="Q2590" s="22" t="n">
        <v>1153600</v>
      </c>
      <c r="R2590" s="42">
        <f>+L2590+N2590-P2590</f>
        <v/>
      </c>
      <c r="S2590" s="42">
        <f>+M2590+O2590-Q2590</f>
        <v/>
      </c>
    </row>
    <row r="2591" ht="30" customHeight="1">
      <c r="A2591" s="16" t="n">
        <v>45888</v>
      </c>
      <c r="B2591" s="17" t="inlineStr">
        <is>
          <t>MH2508-39</t>
        </is>
      </c>
      <c r="C2591" s="16" t="n">
        <v>45888</v>
      </c>
      <c r="D2591" s="17" t="inlineStr">
        <is>
          <t>00003235</t>
        </is>
      </c>
      <c r="E2591" s="16" t="n">
        <v>45888</v>
      </c>
      <c r="F2591" s="16" t="inlineStr">
        <is>
          <t>XK2508-31</t>
        </is>
      </c>
      <c r="G2591" s="16" t="n">
        <v>45888</v>
      </c>
      <c r="H2591" s="18" t="inlineStr">
        <is>
          <t>CÔNG TY CỔ PHẦN CÔNG NGHIỆP VÀ THƯƠNG MẠI CƯỜNG THỊNH</t>
        </is>
      </c>
      <c r="I2591" s="18" t="inlineStr">
        <is>
          <t>Bulong Din 933 8.8 ZP M20x40</t>
        </is>
      </c>
      <c r="J2591" s="18" t="inlineStr">
        <is>
          <t>Cái</t>
        </is>
      </c>
      <c r="K2591" s="19" t="n">
        <v>5050</v>
      </c>
      <c r="L2591" s="20" t="n"/>
      <c r="M2591" s="20" t="n"/>
      <c r="N2591" s="22" t="n">
        <v>416</v>
      </c>
      <c r="O2591" s="22" t="n">
        <v>2100800</v>
      </c>
      <c r="P2591" s="22" t="n">
        <v>416</v>
      </c>
      <c r="Q2591" s="22" t="n">
        <v>2100800</v>
      </c>
      <c r="R2591" s="42">
        <f>+L2591+N2591-P2591</f>
        <v/>
      </c>
      <c r="S2591" s="42">
        <f>+M2591+O2591-Q2591</f>
        <v/>
      </c>
    </row>
    <row r="2592" ht="30" customHeight="1">
      <c r="A2592" s="16" t="n">
        <v>45888</v>
      </c>
      <c r="B2592" s="17" t="inlineStr">
        <is>
          <t>MH2508-39</t>
        </is>
      </c>
      <c r="C2592" s="16" t="n">
        <v>45888</v>
      </c>
      <c r="D2592" s="17" t="inlineStr">
        <is>
          <t>00003235</t>
        </is>
      </c>
      <c r="E2592" s="16" t="n">
        <v>45888</v>
      </c>
      <c r="F2592" s="16" t="inlineStr">
        <is>
          <t>XK2508-31</t>
        </is>
      </c>
      <c r="G2592" s="16" t="n">
        <v>45888</v>
      </c>
      <c r="H2592" s="18" t="inlineStr">
        <is>
          <t>CÔNG TY CỔ PHẦN CÔNG NGHIỆP VÀ THƯƠNG MẠI CƯỜNG THỊNH</t>
        </is>
      </c>
      <c r="I2592" s="18" t="inlineStr">
        <is>
          <t>Đai ốc Din 934 8 ZP M20</t>
        </is>
      </c>
      <c r="J2592" s="18" t="inlineStr">
        <is>
          <t>Cái</t>
        </is>
      </c>
      <c r="K2592" s="19" t="n">
        <v>2030</v>
      </c>
      <c r="L2592" s="20" t="n"/>
      <c r="M2592" s="20" t="n"/>
      <c r="N2592" s="22" t="n">
        <v>416</v>
      </c>
      <c r="O2592" s="22" t="n">
        <v>844480</v>
      </c>
      <c r="P2592" s="22" t="n">
        <v>416</v>
      </c>
      <c r="Q2592" s="22" t="n">
        <v>844480</v>
      </c>
      <c r="R2592" s="42">
        <f>+L2592+N2592-P2592</f>
        <v/>
      </c>
      <c r="S2592" s="42">
        <f>+M2592+O2592-Q2592</f>
        <v/>
      </c>
    </row>
    <row r="2593" ht="30" customHeight="1">
      <c r="A2593" s="16" t="n">
        <v>45888</v>
      </c>
      <c r="B2593" s="17" t="inlineStr">
        <is>
          <t>MH2508-39</t>
        </is>
      </c>
      <c r="C2593" s="16" t="n">
        <v>45888</v>
      </c>
      <c r="D2593" s="17" t="inlineStr">
        <is>
          <t>00003235</t>
        </is>
      </c>
      <c r="E2593" s="16" t="n">
        <v>45888</v>
      </c>
      <c r="F2593" s="16" t="inlineStr">
        <is>
          <t>XK2508-31</t>
        </is>
      </c>
      <c r="G2593" s="16" t="n">
        <v>45888</v>
      </c>
      <c r="H2593" s="18" t="inlineStr">
        <is>
          <t>CÔNG TY CỔ PHẦN CÔNG NGHIỆP VÀ THƯƠNG MẠI CƯỜNG THỊNH</t>
        </is>
      </c>
      <c r="I2593" s="18" t="inlineStr">
        <is>
          <t>Long đền thường ZP M20B35D2</t>
        </is>
      </c>
      <c r="J2593" s="18" t="inlineStr">
        <is>
          <t>Cái</t>
        </is>
      </c>
      <c r="K2593" s="19" t="n">
        <v>350</v>
      </c>
      <c r="L2593" s="20" t="n"/>
      <c r="M2593" s="20" t="n"/>
      <c r="N2593" s="22" t="n">
        <v>416</v>
      </c>
      <c r="O2593" s="22" t="n">
        <v>145600</v>
      </c>
      <c r="P2593" s="22" t="n">
        <v>416</v>
      </c>
      <c r="Q2593" s="22" t="n">
        <v>145600</v>
      </c>
      <c r="R2593" s="42">
        <f>+L2593+N2593-P2593</f>
        <v/>
      </c>
      <c r="S2593" s="42">
        <f>+M2593+O2593-Q2593</f>
        <v/>
      </c>
    </row>
    <row r="2594" ht="30" customHeight="1">
      <c r="A2594" s="16" t="n">
        <v>45888</v>
      </c>
      <c r="B2594" s="17" t="inlineStr">
        <is>
          <t>MH2508-39</t>
        </is>
      </c>
      <c r="C2594" s="16" t="n">
        <v>45888</v>
      </c>
      <c r="D2594" s="17" t="inlineStr">
        <is>
          <t>00003235</t>
        </is>
      </c>
      <c r="E2594" s="16" t="n">
        <v>45888</v>
      </c>
      <c r="F2594" s="16" t="inlineStr">
        <is>
          <t>XK2508-31</t>
        </is>
      </c>
      <c r="G2594" s="16" t="n">
        <v>45888</v>
      </c>
      <c r="H2594" s="18" t="inlineStr">
        <is>
          <t>CÔNG TY CỔ PHẦN CÔNG NGHIỆP VÀ THƯƠNG MẠI CƯỜNG THỊNH</t>
        </is>
      </c>
      <c r="I2594" s="18" t="inlineStr">
        <is>
          <t>Bulong Din 933 8.8 ZP M20x50</t>
        </is>
      </c>
      <c r="J2594" s="18" t="inlineStr">
        <is>
          <t>Cái</t>
        </is>
      </c>
      <c r="K2594" s="19" t="n">
        <v>5760</v>
      </c>
      <c r="L2594" s="20" t="n"/>
      <c r="M2594" s="20" t="n"/>
      <c r="N2594" s="22" t="n">
        <v>1048</v>
      </c>
      <c r="O2594" s="22" t="n">
        <v>6036480</v>
      </c>
      <c r="P2594" s="22" t="n">
        <v>1048</v>
      </c>
      <c r="Q2594" s="22" t="n">
        <v>6036480</v>
      </c>
      <c r="R2594" s="42">
        <f>+L2594+N2594-P2594</f>
        <v/>
      </c>
      <c r="S2594" s="42">
        <f>+M2594+O2594-Q2594</f>
        <v/>
      </c>
    </row>
    <row r="2595" ht="30" customHeight="1">
      <c r="A2595" s="16" t="n">
        <v>45888</v>
      </c>
      <c r="B2595" s="17" t="inlineStr">
        <is>
          <t>MH2508-39</t>
        </is>
      </c>
      <c r="C2595" s="16" t="n">
        <v>45888</v>
      </c>
      <c r="D2595" s="17" t="inlineStr">
        <is>
          <t>00003235</t>
        </is>
      </c>
      <c r="E2595" s="16" t="n">
        <v>45888</v>
      </c>
      <c r="F2595" s="16" t="inlineStr">
        <is>
          <t>XK2508-31</t>
        </is>
      </c>
      <c r="G2595" s="16" t="n">
        <v>45888</v>
      </c>
      <c r="H2595" s="18" t="inlineStr">
        <is>
          <t>CÔNG TY CỔ PHẦN CÔNG NGHIỆP VÀ THƯƠNG MẠI CƯỜNG THỊNH</t>
        </is>
      </c>
      <c r="I2595" s="18" t="inlineStr">
        <is>
          <t>Đai ốc Din 934 8 ZP M20</t>
        </is>
      </c>
      <c r="J2595" s="18" t="inlineStr">
        <is>
          <t>Cái</t>
        </is>
      </c>
      <c r="K2595" s="19" t="n">
        <v>2030</v>
      </c>
      <c r="L2595" s="20" t="n"/>
      <c r="M2595" s="20" t="n"/>
      <c r="N2595" s="22" t="n">
        <v>1048</v>
      </c>
      <c r="O2595" s="22" t="n">
        <v>2127440</v>
      </c>
      <c r="P2595" s="22" t="n">
        <v>1048</v>
      </c>
      <c r="Q2595" s="22" t="n">
        <v>2127440</v>
      </c>
      <c r="R2595" s="42">
        <f>+L2595+N2595-P2595</f>
        <v/>
      </c>
      <c r="S2595" s="42">
        <f>+M2595+O2595-Q2595</f>
        <v/>
      </c>
    </row>
    <row r="2596" ht="30" customHeight="1">
      <c r="A2596" s="16" t="n">
        <v>45888</v>
      </c>
      <c r="B2596" s="17" t="inlineStr">
        <is>
          <t>MH2508-39</t>
        </is>
      </c>
      <c r="C2596" s="16" t="n">
        <v>45888</v>
      </c>
      <c r="D2596" s="17" t="inlineStr">
        <is>
          <t>00003235</t>
        </is>
      </c>
      <c r="E2596" s="16" t="n">
        <v>45888</v>
      </c>
      <c r="F2596" s="16" t="inlineStr">
        <is>
          <t>XK2508-31</t>
        </is>
      </c>
      <c r="G2596" s="16" t="n">
        <v>45888</v>
      </c>
      <c r="H2596" s="18" t="inlineStr">
        <is>
          <t>CÔNG TY CỔ PHẦN CÔNG NGHIỆP VÀ THƯƠNG MẠI CƯỜNG THỊNH</t>
        </is>
      </c>
      <c r="I2596" s="18" t="inlineStr">
        <is>
          <t>Long đền thường ZP M20B35D2</t>
        </is>
      </c>
      <c r="J2596" s="18" t="inlineStr">
        <is>
          <t>Cái</t>
        </is>
      </c>
      <c r="K2596" s="19" t="n">
        <v>350</v>
      </c>
      <c r="L2596" s="20" t="n"/>
      <c r="M2596" s="20" t="n"/>
      <c r="N2596" s="22" t="n">
        <v>1048</v>
      </c>
      <c r="O2596" s="22" t="n">
        <v>366800</v>
      </c>
      <c r="P2596" s="22" t="n">
        <v>1048</v>
      </c>
      <c r="Q2596" s="22" t="n">
        <v>366800</v>
      </c>
      <c r="R2596" s="42">
        <f>+L2596+N2596-P2596</f>
        <v/>
      </c>
      <c r="S2596" s="42">
        <f>+M2596+O2596-Q2596</f>
        <v/>
      </c>
    </row>
    <row r="2597" ht="30" customHeight="1">
      <c r="A2597" s="16" t="n">
        <v>45888</v>
      </c>
      <c r="B2597" s="17" t="inlineStr">
        <is>
          <t>MH2508-39</t>
        </is>
      </c>
      <c r="C2597" s="16" t="n">
        <v>45888</v>
      </c>
      <c r="D2597" s="17" t="inlineStr">
        <is>
          <t>00003235</t>
        </is>
      </c>
      <c r="E2597" s="16" t="n">
        <v>45888</v>
      </c>
      <c r="F2597" s="16" t="inlineStr">
        <is>
          <t>XK2508-31</t>
        </is>
      </c>
      <c r="G2597" s="16" t="n">
        <v>45888</v>
      </c>
      <c r="H2597" s="18" t="inlineStr">
        <is>
          <t>CÔNG TY CỔ PHẦN CÔNG NGHIỆP VÀ THƯƠNG MẠI CƯỜNG THỊNH</t>
        </is>
      </c>
      <c r="I2597" s="18" t="inlineStr">
        <is>
          <t>Bulong thường 4.6 ZP M12x40</t>
        </is>
      </c>
      <c r="J2597" s="18" t="inlineStr">
        <is>
          <t>Cái</t>
        </is>
      </c>
      <c r="K2597" s="19" t="n">
        <v>1100</v>
      </c>
      <c r="L2597" s="20" t="n"/>
      <c r="M2597" s="20" t="n"/>
      <c r="N2597" s="22" t="n">
        <v>1725</v>
      </c>
      <c r="O2597" s="22" t="n">
        <v>1897500</v>
      </c>
      <c r="P2597" s="22" t="n">
        <v>1725</v>
      </c>
      <c r="Q2597" s="22" t="n">
        <v>1897500</v>
      </c>
      <c r="R2597" s="42">
        <f>+L2597+N2597-P2597</f>
        <v/>
      </c>
      <c r="S2597" s="42">
        <f>+M2597+O2597-Q2597</f>
        <v/>
      </c>
    </row>
    <row r="2598" ht="30" customHeight="1">
      <c r="A2598" s="16" t="n">
        <v>45888</v>
      </c>
      <c r="B2598" s="17" t="inlineStr">
        <is>
          <t>MH2508-39</t>
        </is>
      </c>
      <c r="C2598" s="16" t="n">
        <v>45888</v>
      </c>
      <c r="D2598" s="17" t="inlineStr">
        <is>
          <t>00003235</t>
        </is>
      </c>
      <c r="E2598" s="16" t="n">
        <v>45888</v>
      </c>
      <c r="F2598" s="16" t="inlineStr">
        <is>
          <t>XK2508-31</t>
        </is>
      </c>
      <c r="G2598" s="16" t="n">
        <v>45888</v>
      </c>
      <c r="H2598" s="18" t="inlineStr">
        <is>
          <t>CÔNG TY CỔ PHẦN CÔNG NGHIỆP VÀ THƯƠNG MẠI CƯỜNG THỊNH</t>
        </is>
      </c>
      <c r="I2598" s="18" t="inlineStr">
        <is>
          <t>Đai ốc thường 4 ZP M12 (9mm)</t>
        </is>
      </c>
      <c r="J2598" s="18" t="inlineStr">
        <is>
          <t>Cái</t>
        </is>
      </c>
      <c r="K2598" s="19" t="n">
        <v>360</v>
      </c>
      <c r="L2598" s="20" t="n"/>
      <c r="M2598" s="20" t="n"/>
      <c r="N2598" s="22" t="n">
        <v>1725</v>
      </c>
      <c r="O2598" s="22" t="n">
        <v>621000</v>
      </c>
      <c r="P2598" s="22" t="n">
        <v>1725</v>
      </c>
      <c r="Q2598" s="22" t="n">
        <v>621000</v>
      </c>
      <c r="R2598" s="42">
        <f>+L2598+N2598-P2598</f>
        <v/>
      </c>
      <c r="S2598" s="42">
        <f>+M2598+O2598-Q2598</f>
        <v/>
      </c>
    </row>
    <row r="2599" ht="30" customHeight="1">
      <c r="A2599" s="16" t="n">
        <v>45888</v>
      </c>
      <c r="B2599" s="17" t="inlineStr">
        <is>
          <t>MH2508-39</t>
        </is>
      </c>
      <c r="C2599" s="16" t="n">
        <v>45888</v>
      </c>
      <c r="D2599" s="17" t="inlineStr">
        <is>
          <t>00003235</t>
        </is>
      </c>
      <c r="E2599" s="16" t="n">
        <v>45888</v>
      </c>
      <c r="F2599" s="16" t="inlineStr">
        <is>
          <t>XK2508-31</t>
        </is>
      </c>
      <c r="G2599" s="16" t="n">
        <v>45888</v>
      </c>
      <c r="H2599" s="18" t="inlineStr">
        <is>
          <t>CÔNG TY CỔ PHẦN CÔNG NGHIỆP VÀ THƯƠNG MẠI CƯỜNG THỊNH</t>
        </is>
      </c>
      <c r="I2599" s="18" t="inlineStr">
        <is>
          <t>Long đền thường ZP M12B23D1</t>
        </is>
      </c>
      <c r="J2599" s="18" t="inlineStr">
        <is>
          <t>Cái</t>
        </is>
      </c>
      <c r="K2599" s="19" t="n">
        <v>100</v>
      </c>
      <c r="L2599" s="20" t="n"/>
      <c r="M2599" s="20" t="n"/>
      <c r="N2599" s="22" t="n">
        <v>3450</v>
      </c>
      <c r="O2599" s="22" t="n">
        <v>345000</v>
      </c>
      <c r="P2599" s="22" t="n">
        <v>3450</v>
      </c>
      <c r="Q2599" s="22" t="n">
        <v>345000</v>
      </c>
      <c r="R2599" s="42">
        <f>+L2599+N2599-P2599</f>
        <v/>
      </c>
      <c r="S2599" s="42">
        <f>+M2599+O2599-Q2599</f>
        <v/>
      </c>
    </row>
    <row r="2600" ht="30" customHeight="1">
      <c r="A2600" s="16" t="n">
        <v>45888</v>
      </c>
      <c r="B2600" s="17" t="inlineStr">
        <is>
          <t>MH2508-39</t>
        </is>
      </c>
      <c r="C2600" s="16" t="n">
        <v>45888</v>
      </c>
      <c r="D2600" s="17" t="inlineStr">
        <is>
          <t>00003235</t>
        </is>
      </c>
      <c r="E2600" s="16" t="n">
        <v>45888</v>
      </c>
      <c r="F2600" s="16" t="inlineStr">
        <is>
          <t>XK2508-31</t>
        </is>
      </c>
      <c r="G2600" s="16" t="n">
        <v>45888</v>
      </c>
      <c r="H2600" s="18" t="inlineStr">
        <is>
          <t>CÔNG TY CỔ PHẦN CÔNG NGHIỆP VÀ THƯƠNG MẠI CƯỜNG THỊNH</t>
        </is>
      </c>
      <c r="I2600" s="18" t="inlineStr">
        <is>
          <t>Bulong Din 933 8.8 ZP M20x60</t>
        </is>
      </c>
      <c r="J2600" s="18" t="inlineStr">
        <is>
          <t>Cái</t>
        </is>
      </c>
      <c r="K2600" s="19" t="n">
        <v>6360</v>
      </c>
      <c r="L2600" s="20" t="n"/>
      <c r="M2600" s="20" t="n"/>
      <c r="N2600" s="22" t="n">
        <v>3106</v>
      </c>
      <c r="O2600" s="22" t="n">
        <v>19754160</v>
      </c>
      <c r="P2600" s="22" t="n">
        <v>3106</v>
      </c>
      <c r="Q2600" s="22" t="n">
        <v>19754160</v>
      </c>
      <c r="R2600" s="42">
        <f>+L2600+N2600-P2600</f>
        <v/>
      </c>
      <c r="S2600" s="42">
        <f>+M2600+O2600-Q2600</f>
        <v/>
      </c>
    </row>
    <row r="2601" ht="30" customHeight="1">
      <c r="A2601" s="16" t="n">
        <v>45888</v>
      </c>
      <c r="B2601" s="17" t="inlineStr">
        <is>
          <t>MH2508-39</t>
        </is>
      </c>
      <c r="C2601" s="16" t="n">
        <v>45888</v>
      </c>
      <c r="D2601" s="17" t="inlineStr">
        <is>
          <t>00003235</t>
        </is>
      </c>
      <c r="E2601" s="16" t="n">
        <v>45888</v>
      </c>
      <c r="F2601" s="16" t="inlineStr">
        <is>
          <t>XK2508-31</t>
        </is>
      </c>
      <c r="G2601" s="16" t="n">
        <v>45888</v>
      </c>
      <c r="H2601" s="18" t="inlineStr">
        <is>
          <t>CÔNG TY CỔ PHẦN CÔNG NGHIỆP VÀ THƯƠNG MẠI CƯỜNG THỊNH</t>
        </is>
      </c>
      <c r="I2601" s="18" t="inlineStr">
        <is>
          <t>Đai ốc Din 934 8 ZP M20</t>
        </is>
      </c>
      <c r="J2601" s="18" t="inlineStr">
        <is>
          <t>Cái</t>
        </is>
      </c>
      <c r="K2601" s="19" t="n">
        <v>2030</v>
      </c>
      <c r="L2601" s="20" t="n"/>
      <c r="M2601" s="20" t="n"/>
      <c r="N2601" s="22" t="n">
        <v>3106</v>
      </c>
      <c r="O2601" s="22" t="n">
        <v>6305180</v>
      </c>
      <c r="P2601" s="22" t="n">
        <v>3106</v>
      </c>
      <c r="Q2601" s="22" t="n">
        <v>6305180</v>
      </c>
      <c r="R2601" s="42">
        <f>+L2601+N2601-P2601</f>
        <v/>
      </c>
      <c r="S2601" s="42">
        <f>+M2601+O2601-Q2601</f>
        <v/>
      </c>
    </row>
    <row r="2602" ht="30" customHeight="1">
      <c r="A2602" s="16" t="n">
        <v>45888</v>
      </c>
      <c r="B2602" s="17" t="inlineStr">
        <is>
          <t>MH2508-39</t>
        </is>
      </c>
      <c r="C2602" s="16" t="n">
        <v>45888</v>
      </c>
      <c r="D2602" s="17" t="inlineStr">
        <is>
          <t>00003235</t>
        </is>
      </c>
      <c r="E2602" s="16" t="n">
        <v>45888</v>
      </c>
      <c r="F2602" s="16" t="inlineStr">
        <is>
          <t>XK2508-31</t>
        </is>
      </c>
      <c r="G2602" s="16" t="n">
        <v>45888</v>
      </c>
      <c r="H2602" s="18" t="inlineStr">
        <is>
          <t>CÔNG TY CỔ PHẦN CÔNG NGHIỆP VÀ THƯƠNG MẠI CƯỜNG THỊNH</t>
        </is>
      </c>
      <c r="I2602" s="18" t="inlineStr">
        <is>
          <t>Long đền thường ZP M20B35D2</t>
        </is>
      </c>
      <c r="J2602" s="18" t="inlineStr">
        <is>
          <t>Cái</t>
        </is>
      </c>
      <c r="K2602" s="19" t="n">
        <v>350</v>
      </c>
      <c r="L2602" s="20" t="n"/>
      <c r="M2602" s="20" t="n"/>
      <c r="N2602" s="22" t="n">
        <v>3106</v>
      </c>
      <c r="O2602" s="22" t="n">
        <v>1087100</v>
      </c>
      <c r="P2602" s="22" t="n">
        <v>3106</v>
      </c>
      <c r="Q2602" s="22" t="n">
        <v>1087100</v>
      </c>
      <c r="R2602" s="42">
        <f>+L2602+N2602-P2602</f>
        <v/>
      </c>
      <c r="S2602" s="42">
        <f>+M2602+O2602-Q2602</f>
        <v/>
      </c>
    </row>
    <row r="2603" ht="30" customHeight="1">
      <c r="A2603" s="16" t="n">
        <v>45888</v>
      </c>
      <c r="B2603" s="17" t="inlineStr">
        <is>
          <t>MH2508-39</t>
        </is>
      </c>
      <c r="C2603" s="16" t="n">
        <v>45888</v>
      </c>
      <c r="D2603" s="17" t="inlineStr">
        <is>
          <t>00003235</t>
        </is>
      </c>
      <c r="E2603" s="16" t="n">
        <v>45888</v>
      </c>
      <c r="F2603" s="16" t="inlineStr">
        <is>
          <t>XK2508-31</t>
        </is>
      </c>
      <c r="G2603" s="16" t="n">
        <v>45888</v>
      </c>
      <c r="H2603" s="18" t="inlineStr">
        <is>
          <t>CÔNG TY CỔ PHẦN CÔNG NGHIỆP VÀ THƯƠNG MẠI CƯỜNG THỊNH</t>
        </is>
      </c>
      <c r="I2603" s="18" t="inlineStr">
        <is>
          <t>Bulong nở 5.6 ZP M12x100</t>
        </is>
      </c>
      <c r="J2603" s="18" t="inlineStr">
        <is>
          <t>Bộ</t>
        </is>
      </c>
      <c r="K2603" s="19" t="n">
        <v>8380</v>
      </c>
      <c r="L2603" s="20" t="n"/>
      <c r="M2603" s="20" t="n"/>
      <c r="N2603" s="22" t="n">
        <v>146</v>
      </c>
      <c r="O2603" s="22" t="n">
        <v>1223480</v>
      </c>
      <c r="P2603" s="22" t="n">
        <v>146</v>
      </c>
      <c r="Q2603" s="22" t="n">
        <v>1223480</v>
      </c>
      <c r="R2603" s="42">
        <f>+L2603+N2603-P2603</f>
        <v/>
      </c>
      <c r="S2603" s="42">
        <f>+M2603+O2603-Q2603</f>
        <v/>
      </c>
    </row>
    <row r="2604" ht="30" customHeight="1">
      <c r="A2604" s="16" t="n">
        <v>45888</v>
      </c>
      <c r="B2604" s="17" t="inlineStr">
        <is>
          <t>MH2508-39</t>
        </is>
      </c>
      <c r="C2604" s="16" t="n">
        <v>45888</v>
      </c>
      <c r="D2604" s="17" t="inlineStr">
        <is>
          <t>00003235</t>
        </is>
      </c>
      <c r="E2604" s="16" t="n">
        <v>45888</v>
      </c>
      <c r="F2604" s="16" t="inlineStr">
        <is>
          <t>XK2508-31</t>
        </is>
      </c>
      <c r="G2604" s="16" t="n">
        <v>45888</v>
      </c>
      <c r="H2604" s="18" t="inlineStr">
        <is>
          <t>CÔNG TY CỔ PHẦN CÔNG NGHIỆP VÀ THƯƠNG MẠI CƯỜNG THỊNH</t>
        </is>
      </c>
      <c r="I2604" s="18" t="inlineStr">
        <is>
          <t>Ty ren suốt 5.6 (đầu vát-đầu lục giác) ZP M24x300</t>
        </is>
      </c>
      <c r="J2604" s="18" t="inlineStr">
        <is>
          <t>Cái</t>
        </is>
      </c>
      <c r="K2604" s="19" t="n">
        <v>90000</v>
      </c>
      <c r="L2604" s="20" t="n"/>
      <c r="M2604" s="20" t="n"/>
      <c r="N2604" s="22" t="n">
        <v>222</v>
      </c>
      <c r="O2604" s="22" t="n">
        <v>19980000</v>
      </c>
      <c r="P2604" s="22" t="n">
        <v>222</v>
      </c>
      <c r="Q2604" s="22" t="n">
        <v>19980000</v>
      </c>
      <c r="R2604" s="42">
        <f>+L2604+N2604-P2604</f>
        <v/>
      </c>
      <c r="S2604" s="42">
        <f>+M2604+O2604-Q2604</f>
        <v/>
      </c>
    </row>
    <row r="2605" ht="30" customHeight="1">
      <c r="A2605" s="16" t="n">
        <v>45888</v>
      </c>
      <c r="B2605" s="17" t="inlineStr">
        <is>
          <t>MH2508-39</t>
        </is>
      </c>
      <c r="C2605" s="16" t="n">
        <v>45888</v>
      </c>
      <c r="D2605" s="17" t="inlineStr">
        <is>
          <t>00003235</t>
        </is>
      </c>
      <c r="E2605" s="16" t="n">
        <v>45888</v>
      </c>
      <c r="F2605" s="16" t="inlineStr">
        <is>
          <t>XK2508-31</t>
        </is>
      </c>
      <c r="G2605" s="16" t="n">
        <v>45888</v>
      </c>
      <c r="H2605" s="18" t="inlineStr">
        <is>
          <t>CÔNG TY CỔ PHẦN CÔNG NGHIỆP VÀ THƯƠNG MẠI CƯỜNG THỊNH</t>
        </is>
      </c>
      <c r="I2605" s="18" t="inlineStr">
        <is>
          <t>Đai ốc Din 934 8 ZP M24</t>
        </is>
      </c>
      <c r="J2605" s="18" t="inlineStr">
        <is>
          <t>Cái</t>
        </is>
      </c>
      <c r="K2605" s="19" t="n">
        <v>3500</v>
      </c>
      <c r="L2605" s="20" t="n"/>
      <c r="M2605" s="20" t="n"/>
      <c r="N2605" s="22" t="n">
        <v>222</v>
      </c>
      <c r="O2605" s="22" t="n">
        <v>777000</v>
      </c>
      <c r="P2605" s="22" t="n">
        <v>222</v>
      </c>
      <c r="Q2605" s="22" t="n">
        <v>777000</v>
      </c>
      <c r="R2605" s="42">
        <f>+L2605+N2605-P2605</f>
        <v/>
      </c>
      <c r="S2605" s="42">
        <f>+M2605+O2605-Q2605</f>
        <v/>
      </c>
    </row>
    <row r="2606" ht="30" customHeight="1">
      <c r="A2606" s="16" t="n">
        <v>45888</v>
      </c>
      <c r="B2606" s="17" t="inlineStr">
        <is>
          <t>MH2508-39</t>
        </is>
      </c>
      <c r="C2606" s="16" t="n">
        <v>45888</v>
      </c>
      <c r="D2606" s="17" t="inlineStr">
        <is>
          <t>00003235</t>
        </is>
      </c>
      <c r="E2606" s="16" t="n">
        <v>45888</v>
      </c>
      <c r="F2606" s="16" t="inlineStr">
        <is>
          <t>XK2508-31</t>
        </is>
      </c>
      <c r="G2606" s="16" t="n">
        <v>45888</v>
      </c>
      <c r="H2606" s="18" t="inlineStr">
        <is>
          <t>CÔNG TY CỔ PHẦN CÔNG NGHIỆP VÀ THƯƠNG MẠI CƯỜNG THỊNH</t>
        </is>
      </c>
      <c r="I2606" s="18" t="inlineStr">
        <is>
          <t>Long đền thường ZP M24B40-42D2</t>
        </is>
      </c>
      <c r="J2606" s="18" t="inlineStr">
        <is>
          <t>Cái</t>
        </is>
      </c>
      <c r="K2606" s="19" t="n">
        <v>660</v>
      </c>
      <c r="L2606" s="20" t="n"/>
      <c r="M2606" s="20" t="n"/>
      <c r="N2606" s="22" t="n">
        <v>222</v>
      </c>
      <c r="O2606" s="22" t="n">
        <v>146520</v>
      </c>
      <c r="P2606" s="22" t="n">
        <v>222</v>
      </c>
      <c r="Q2606" s="22" t="n">
        <v>146520</v>
      </c>
      <c r="R2606" s="42">
        <f>+L2606+N2606-P2606</f>
        <v/>
      </c>
      <c r="S2606" s="42">
        <f>+M2606+O2606-Q2606</f>
        <v/>
      </c>
    </row>
    <row r="2607" ht="30" customHeight="1">
      <c r="A2607" s="16" t="n">
        <v>45888</v>
      </c>
      <c r="B2607" s="17" t="inlineStr">
        <is>
          <t>MH2508-39</t>
        </is>
      </c>
      <c r="C2607" s="16" t="n">
        <v>45888</v>
      </c>
      <c r="D2607" s="17" t="inlineStr">
        <is>
          <t>00003235</t>
        </is>
      </c>
      <c r="E2607" s="16" t="n">
        <v>45888</v>
      </c>
      <c r="F2607" s="16" t="inlineStr">
        <is>
          <t>XK2508-31</t>
        </is>
      </c>
      <c r="G2607" s="16" t="n">
        <v>45888</v>
      </c>
      <c r="H2607" s="18" t="inlineStr">
        <is>
          <t>CÔNG TY CỔ PHẦN CÔNG NGHIỆP VÀ THƯƠNG MẠI CƯỜNG THỊNH</t>
        </is>
      </c>
      <c r="I2607" s="18" t="inlineStr">
        <is>
          <t>Hilti Keo HIT - RE 500 V4/500</t>
        </is>
      </c>
      <c r="J2607" s="18" t="inlineStr">
        <is>
          <t>Cái</t>
        </is>
      </c>
      <c r="K2607" s="19" t="n">
        <v>979000</v>
      </c>
      <c r="L2607" s="20" t="n"/>
      <c r="M2607" s="20" t="n"/>
      <c r="N2607" s="22" t="n">
        <v>60</v>
      </c>
      <c r="O2607" s="22" t="n">
        <v>58740000</v>
      </c>
      <c r="P2607" s="22" t="n">
        <v>60</v>
      </c>
      <c r="Q2607" s="22" t="n">
        <v>58740000</v>
      </c>
      <c r="R2607" s="42">
        <f>+L2607+N2607-P2607</f>
        <v/>
      </c>
      <c r="S2607" s="42">
        <f>+M2607+O2607-Q2607</f>
        <v/>
      </c>
    </row>
    <row r="2608" ht="30" customHeight="1">
      <c r="A2608" s="16" t="n">
        <v>45888</v>
      </c>
      <c r="B2608" s="17" t="inlineStr">
        <is>
          <t>MH2508-39</t>
        </is>
      </c>
      <c r="C2608" s="16" t="n">
        <v>45888</v>
      </c>
      <c r="D2608" s="17" t="inlineStr">
        <is>
          <t>00003235</t>
        </is>
      </c>
      <c r="E2608" s="16" t="n">
        <v>45888</v>
      </c>
      <c r="F2608" s="16" t="inlineStr">
        <is>
          <t>XK2508-31</t>
        </is>
      </c>
      <c r="G2608" s="16" t="n">
        <v>45888</v>
      </c>
      <c r="H2608" s="18" t="inlineStr">
        <is>
          <t>CÔNG TY CỔ PHẦN CÔNG NGHIỆP VÀ THƯƠNG MẠI CƯỜNG THỊNH</t>
        </is>
      </c>
      <c r="I2608" s="18" t="inlineStr">
        <is>
          <t>Hilti Súng bắn keo HDM 500 box+ Ống đựng keo HIT-CB 500</t>
        </is>
      </c>
      <c r="J2608" s="18" t="inlineStr">
        <is>
          <t>Cái</t>
        </is>
      </c>
      <c r="K2608" s="19" t="n">
        <v>2750000</v>
      </c>
      <c r="L2608" s="20" t="n"/>
      <c r="M2608" s="20" t="n"/>
      <c r="N2608" s="22" t="n">
        <v>1</v>
      </c>
      <c r="O2608" s="22" t="n">
        <v>2750000</v>
      </c>
      <c r="P2608" s="22" t="n">
        <v>1</v>
      </c>
      <c r="Q2608" s="22" t="n">
        <v>2750000</v>
      </c>
      <c r="R2608" s="42">
        <f>+L2608+N2608-P2608</f>
        <v/>
      </c>
      <c r="S2608" s="42">
        <f>+M2608+O2608-Q2608</f>
        <v/>
      </c>
    </row>
    <row r="2609" ht="30" customHeight="1">
      <c r="A2609" s="16" t="n">
        <v>45888</v>
      </c>
      <c r="B2609" s="17" t="inlineStr">
        <is>
          <t>MH2508-40</t>
        </is>
      </c>
      <c r="C2609" s="16" t="n">
        <v>45888</v>
      </c>
      <c r="D2609" s="17" t="inlineStr">
        <is>
          <t>00003236</t>
        </is>
      </c>
      <c r="E2609" s="16" t="n">
        <v>45888</v>
      </c>
      <c r="F2609" s="16" t="inlineStr">
        <is>
          <t>XK2508-32</t>
        </is>
      </c>
      <c r="G2609" s="16" t="n">
        <v>45888</v>
      </c>
      <c r="H2609" s="18" t="inlineStr">
        <is>
          <t>CÔNG TY CỔ PHẦN CÔNG NGHIỆP VÀ THƯƠNG MẠI CƯỜNG THỊNH</t>
        </is>
      </c>
      <c r="I2609" s="18" t="inlineStr">
        <is>
          <t>Bulong Din 933 8.8 ZP M16x50</t>
        </is>
      </c>
      <c r="J2609" s="18" t="inlineStr">
        <is>
          <t>Cái</t>
        </is>
      </c>
      <c r="K2609" s="19" t="n">
        <v>3470</v>
      </c>
      <c r="L2609" s="20" t="n"/>
      <c r="M2609" s="20" t="n"/>
      <c r="N2609" s="22" t="n">
        <v>282</v>
      </c>
      <c r="O2609" s="22" t="n">
        <v>978540</v>
      </c>
      <c r="P2609" s="22" t="n">
        <v>282</v>
      </c>
      <c r="Q2609" s="22" t="n">
        <v>978540</v>
      </c>
      <c r="R2609" s="42">
        <f>+L2609+N2609-P2609</f>
        <v/>
      </c>
      <c r="S2609" s="42">
        <f>+M2609+O2609-Q2609</f>
        <v/>
      </c>
    </row>
    <row r="2610" ht="30" customHeight="1">
      <c r="A2610" s="16" t="n">
        <v>45888</v>
      </c>
      <c r="B2610" s="17" t="inlineStr">
        <is>
          <t>MH2508-40</t>
        </is>
      </c>
      <c r="C2610" s="16" t="n">
        <v>45888</v>
      </c>
      <c r="D2610" s="17" t="inlineStr">
        <is>
          <t>00003236</t>
        </is>
      </c>
      <c r="E2610" s="16" t="n">
        <v>45888</v>
      </c>
      <c r="F2610" s="16" t="inlineStr">
        <is>
          <t>XK2508-32</t>
        </is>
      </c>
      <c r="G2610" s="16" t="n">
        <v>45888</v>
      </c>
      <c r="H2610" s="18" t="inlineStr">
        <is>
          <t>CÔNG TY CỔ PHẦN CÔNG NGHIỆP VÀ THƯƠNG MẠI CƯỜNG THỊNH</t>
        </is>
      </c>
      <c r="I2610" s="18" t="inlineStr">
        <is>
          <t>Đai ốc Din 934 8 ZP M16</t>
        </is>
      </c>
      <c r="J2610" s="18" t="inlineStr">
        <is>
          <t>Cái</t>
        </is>
      </c>
      <c r="K2610" s="19" t="n">
        <v>1090</v>
      </c>
      <c r="L2610" s="20" t="n"/>
      <c r="M2610" s="20" t="n"/>
      <c r="N2610" s="22" t="n">
        <v>282</v>
      </c>
      <c r="O2610" s="22" t="n">
        <v>307380</v>
      </c>
      <c r="P2610" s="22" t="n">
        <v>282</v>
      </c>
      <c r="Q2610" s="22" t="n">
        <v>307380</v>
      </c>
      <c r="R2610" s="42">
        <f>+L2610+N2610-P2610</f>
        <v/>
      </c>
      <c r="S2610" s="42">
        <f>+M2610+O2610-Q2610</f>
        <v/>
      </c>
    </row>
    <row r="2611" ht="30" customHeight="1">
      <c r="A2611" s="16" t="n">
        <v>45888</v>
      </c>
      <c r="B2611" s="17" t="inlineStr">
        <is>
          <t>MH2508-40</t>
        </is>
      </c>
      <c r="C2611" s="16" t="n">
        <v>45888</v>
      </c>
      <c r="D2611" s="17" t="inlineStr">
        <is>
          <t>00003236</t>
        </is>
      </c>
      <c r="E2611" s="16" t="n">
        <v>45888</v>
      </c>
      <c r="F2611" s="16" t="inlineStr">
        <is>
          <t>XK2508-32</t>
        </is>
      </c>
      <c r="G2611" s="16" t="n">
        <v>45888</v>
      </c>
      <c r="H2611" s="18" t="inlineStr">
        <is>
          <t>CÔNG TY CỔ PHẦN CÔNG NGHIỆP VÀ THƯƠNG MẠI CƯỜNG THỊNH</t>
        </is>
      </c>
      <c r="I2611" s="18" t="inlineStr">
        <is>
          <t>Long đền thường ZP M16B30D2</t>
        </is>
      </c>
      <c r="J2611" s="18" t="inlineStr">
        <is>
          <t>Cái</t>
        </is>
      </c>
      <c r="K2611" s="19" t="n">
        <v>330</v>
      </c>
      <c r="L2611" s="20" t="n"/>
      <c r="M2611" s="20" t="n"/>
      <c r="N2611" s="22" t="n">
        <v>282</v>
      </c>
      <c r="O2611" s="22" t="n">
        <v>93060</v>
      </c>
      <c r="P2611" s="22" t="n">
        <v>282</v>
      </c>
      <c r="Q2611" s="22" t="n">
        <v>93060</v>
      </c>
      <c r="R2611" s="42">
        <f>+L2611+N2611-P2611</f>
        <v/>
      </c>
      <c r="S2611" s="42">
        <f>+M2611+O2611-Q2611</f>
        <v/>
      </c>
    </row>
    <row r="2612" ht="30" customHeight="1">
      <c r="A2612" s="16" t="n">
        <v>45888</v>
      </c>
      <c r="B2612" s="17" t="inlineStr">
        <is>
          <t>MH2508-40</t>
        </is>
      </c>
      <c r="C2612" s="16" t="n">
        <v>45888</v>
      </c>
      <c r="D2612" s="17" t="inlineStr">
        <is>
          <t>00003236</t>
        </is>
      </c>
      <c r="E2612" s="16" t="n">
        <v>45888</v>
      </c>
      <c r="F2612" s="16" t="inlineStr">
        <is>
          <t>XK2508-32</t>
        </is>
      </c>
      <c r="G2612" s="16" t="n">
        <v>45888</v>
      </c>
      <c r="H2612" s="18" t="inlineStr">
        <is>
          <t>CÔNG TY CỔ PHẦN CÔNG NGHIỆP VÀ THƯƠNG MẠI CƯỜNG THỊNH</t>
        </is>
      </c>
      <c r="I2612" s="18" t="inlineStr">
        <is>
          <t>Bulong thường 4.6 ZP M12x30</t>
        </is>
      </c>
      <c r="J2612" s="18" t="inlineStr">
        <is>
          <t>Cái</t>
        </is>
      </c>
      <c r="K2612" s="19" t="n">
        <v>950</v>
      </c>
      <c r="L2612" s="20" t="n"/>
      <c r="M2612" s="20" t="n"/>
      <c r="N2612" s="22" t="n">
        <v>124</v>
      </c>
      <c r="O2612" s="22" t="n">
        <v>117800</v>
      </c>
      <c r="P2612" s="22" t="n">
        <v>124</v>
      </c>
      <c r="Q2612" s="22" t="n">
        <v>117800</v>
      </c>
      <c r="R2612" s="42">
        <f>+L2612+N2612-P2612</f>
        <v/>
      </c>
      <c r="S2612" s="42">
        <f>+M2612+O2612-Q2612</f>
        <v/>
      </c>
    </row>
    <row r="2613" ht="30" customHeight="1">
      <c r="A2613" s="16" t="n">
        <v>45888</v>
      </c>
      <c r="B2613" s="17" t="inlineStr">
        <is>
          <t>MH2508-40</t>
        </is>
      </c>
      <c r="C2613" s="16" t="n">
        <v>45888</v>
      </c>
      <c r="D2613" s="17" t="inlineStr">
        <is>
          <t>00003236</t>
        </is>
      </c>
      <c r="E2613" s="16" t="n">
        <v>45888</v>
      </c>
      <c r="F2613" s="16" t="inlineStr">
        <is>
          <t>XK2508-32</t>
        </is>
      </c>
      <c r="G2613" s="16" t="n">
        <v>45888</v>
      </c>
      <c r="H2613" s="18" t="inlineStr">
        <is>
          <t>CÔNG TY CỔ PHẦN CÔNG NGHIỆP VÀ THƯƠNG MẠI CƯỜNG THỊNH</t>
        </is>
      </c>
      <c r="I2613" s="18" t="inlineStr">
        <is>
          <t>Đai ốc thường 4 ZP M12 (9mm)</t>
        </is>
      </c>
      <c r="J2613" s="18" t="inlineStr">
        <is>
          <t>Cái</t>
        </is>
      </c>
      <c r="K2613" s="19" t="n">
        <v>360</v>
      </c>
      <c r="L2613" s="20" t="n"/>
      <c r="M2613" s="20" t="n"/>
      <c r="N2613" s="22" t="n">
        <v>124</v>
      </c>
      <c r="O2613" s="22" t="n">
        <v>44640</v>
      </c>
      <c r="P2613" s="22" t="n">
        <v>124</v>
      </c>
      <c r="Q2613" s="22" t="n">
        <v>44640</v>
      </c>
      <c r="R2613" s="42">
        <f>+L2613+N2613-P2613</f>
        <v/>
      </c>
      <c r="S2613" s="42">
        <f>+M2613+O2613-Q2613</f>
        <v/>
      </c>
    </row>
    <row r="2614" ht="30" customHeight="1">
      <c r="A2614" s="16" t="n">
        <v>45888</v>
      </c>
      <c r="B2614" s="17" t="inlineStr">
        <is>
          <t>MH2508-40</t>
        </is>
      </c>
      <c r="C2614" s="16" t="n">
        <v>45888</v>
      </c>
      <c r="D2614" s="17" t="inlineStr">
        <is>
          <t>00003236</t>
        </is>
      </c>
      <c r="E2614" s="16" t="n">
        <v>45888</v>
      </c>
      <c r="F2614" s="16" t="inlineStr">
        <is>
          <t>XK2508-32</t>
        </is>
      </c>
      <c r="G2614" s="16" t="n">
        <v>45888</v>
      </c>
      <c r="H2614" s="18" t="inlineStr">
        <is>
          <t>CÔNG TY CỔ PHẦN CÔNG NGHIỆP VÀ THƯƠNG MẠI CƯỜNG THỊNH</t>
        </is>
      </c>
      <c r="I2614" s="18" t="inlineStr">
        <is>
          <t>Long đền thường ZP M12B23D1</t>
        </is>
      </c>
      <c r="J2614" s="18" t="inlineStr">
        <is>
          <t>Cái</t>
        </is>
      </c>
      <c r="K2614" s="19" t="n">
        <v>100</v>
      </c>
      <c r="L2614" s="20" t="n"/>
      <c r="M2614" s="20" t="n"/>
      <c r="N2614" s="22" t="n">
        <v>248</v>
      </c>
      <c r="O2614" s="22" t="n">
        <v>24800</v>
      </c>
      <c r="P2614" s="22" t="n">
        <v>248</v>
      </c>
      <c r="Q2614" s="22" t="n">
        <v>24800</v>
      </c>
      <c r="R2614" s="42">
        <f>+L2614+N2614-P2614</f>
        <v/>
      </c>
      <c r="S2614" s="42">
        <f>+M2614+O2614-Q2614</f>
        <v/>
      </c>
    </row>
    <row r="2615" ht="30" customHeight="1">
      <c r="A2615" s="16" t="n">
        <v>45888</v>
      </c>
      <c r="B2615" s="17" t="inlineStr">
        <is>
          <t>MH2508-40</t>
        </is>
      </c>
      <c r="C2615" s="16" t="n">
        <v>45888</v>
      </c>
      <c r="D2615" s="17" t="inlineStr">
        <is>
          <t>00003236</t>
        </is>
      </c>
      <c r="E2615" s="16" t="n">
        <v>45888</v>
      </c>
      <c r="F2615" s="16" t="inlineStr">
        <is>
          <t>XK2508-32</t>
        </is>
      </c>
      <c r="G2615" s="16" t="n">
        <v>45888</v>
      </c>
      <c r="H2615" s="18" t="inlineStr">
        <is>
          <t>CÔNG TY CỔ PHẦN CÔNG NGHIỆP VÀ THƯƠNG MẠI CƯỜNG THỊNH</t>
        </is>
      </c>
      <c r="I2615" s="18" t="inlineStr">
        <is>
          <t>Bulong Din 933 8.8 ZP M20x60</t>
        </is>
      </c>
      <c r="J2615" s="18" t="inlineStr">
        <is>
          <t>Cái</t>
        </is>
      </c>
      <c r="K2615" s="19" t="n">
        <v>6360</v>
      </c>
      <c r="L2615" s="20" t="n"/>
      <c r="M2615" s="20" t="n"/>
      <c r="N2615" s="22" t="n">
        <v>340</v>
      </c>
      <c r="O2615" s="22" t="n">
        <v>2162400</v>
      </c>
      <c r="P2615" s="22" t="n">
        <v>340</v>
      </c>
      <c r="Q2615" s="22" t="n">
        <v>2162400</v>
      </c>
      <c r="R2615" s="42">
        <f>+L2615+N2615-P2615</f>
        <v/>
      </c>
      <c r="S2615" s="42">
        <f>+M2615+O2615-Q2615</f>
        <v/>
      </c>
    </row>
    <row r="2616" ht="30" customHeight="1">
      <c r="A2616" s="16" t="n">
        <v>45888</v>
      </c>
      <c r="B2616" s="17" t="inlineStr">
        <is>
          <t>MH2508-40</t>
        </is>
      </c>
      <c r="C2616" s="16" t="n">
        <v>45888</v>
      </c>
      <c r="D2616" s="17" t="inlineStr">
        <is>
          <t>00003236</t>
        </is>
      </c>
      <c r="E2616" s="16" t="n">
        <v>45888</v>
      </c>
      <c r="F2616" s="16" t="inlineStr">
        <is>
          <t>XK2508-32</t>
        </is>
      </c>
      <c r="G2616" s="16" t="n">
        <v>45888</v>
      </c>
      <c r="H2616" s="18" t="inlineStr">
        <is>
          <t>CÔNG TY CỔ PHẦN CÔNG NGHIỆP VÀ THƯƠNG MẠI CƯỜNG THỊNH</t>
        </is>
      </c>
      <c r="I2616" s="18" t="inlineStr">
        <is>
          <t>Đai ốc Din 934 8 ZP M20</t>
        </is>
      </c>
      <c r="J2616" s="18" t="inlineStr">
        <is>
          <t>Cái</t>
        </is>
      </c>
      <c r="K2616" s="19" t="n">
        <v>2030</v>
      </c>
      <c r="L2616" s="20" t="n"/>
      <c r="M2616" s="20" t="n"/>
      <c r="N2616" s="22" t="n">
        <v>340</v>
      </c>
      <c r="O2616" s="22" t="n">
        <v>690200</v>
      </c>
      <c r="P2616" s="22" t="n">
        <v>340</v>
      </c>
      <c r="Q2616" s="22" t="n">
        <v>690200</v>
      </c>
      <c r="R2616" s="42">
        <f>+L2616+N2616-P2616</f>
        <v/>
      </c>
      <c r="S2616" s="42">
        <f>+M2616+O2616-Q2616</f>
        <v/>
      </c>
    </row>
    <row r="2617" ht="30" customHeight="1">
      <c r="A2617" s="16" t="n">
        <v>45888</v>
      </c>
      <c r="B2617" s="17" t="inlineStr">
        <is>
          <t>MH2508-40</t>
        </is>
      </c>
      <c r="C2617" s="16" t="n">
        <v>45888</v>
      </c>
      <c r="D2617" s="17" t="inlineStr">
        <is>
          <t>00003236</t>
        </is>
      </c>
      <c r="E2617" s="16" t="n">
        <v>45888</v>
      </c>
      <c r="F2617" s="16" t="inlineStr">
        <is>
          <t>XK2508-32</t>
        </is>
      </c>
      <c r="G2617" s="16" t="n">
        <v>45888</v>
      </c>
      <c r="H2617" s="18" t="inlineStr">
        <is>
          <t>CÔNG TY CỔ PHẦN CÔNG NGHIỆP VÀ THƯƠNG MẠI CƯỜNG THỊNH</t>
        </is>
      </c>
      <c r="I2617" s="18" t="inlineStr">
        <is>
          <t>Long đền thường ZP M20B35D2</t>
        </is>
      </c>
      <c r="J2617" s="18" t="inlineStr">
        <is>
          <t>Cái</t>
        </is>
      </c>
      <c r="K2617" s="19" t="n">
        <v>350</v>
      </c>
      <c r="L2617" s="20" t="n"/>
      <c r="M2617" s="20" t="n"/>
      <c r="N2617" s="22" t="n">
        <v>340</v>
      </c>
      <c r="O2617" s="22" t="n">
        <v>119000</v>
      </c>
      <c r="P2617" s="22" t="n">
        <v>340</v>
      </c>
      <c r="Q2617" s="22" t="n">
        <v>119000</v>
      </c>
      <c r="R2617" s="42">
        <f>+L2617+N2617-P2617</f>
        <v/>
      </c>
      <c r="S2617" s="42">
        <f>+M2617+O2617-Q2617</f>
        <v/>
      </c>
    </row>
    <row r="2618" ht="30" customHeight="1">
      <c r="A2618" s="16" t="n">
        <v>45888</v>
      </c>
      <c r="B2618" s="17" t="inlineStr">
        <is>
          <t>MH2508-40</t>
        </is>
      </c>
      <c r="C2618" s="16" t="n">
        <v>45888</v>
      </c>
      <c r="D2618" s="17" t="inlineStr">
        <is>
          <t>00003236</t>
        </is>
      </c>
      <c r="E2618" s="16" t="n">
        <v>45888</v>
      </c>
      <c r="F2618" s="16" t="inlineStr">
        <is>
          <t>XK2508-32</t>
        </is>
      </c>
      <c r="G2618" s="16" t="n">
        <v>45888</v>
      </c>
      <c r="H2618" s="18" t="inlineStr">
        <is>
          <t>CÔNG TY CỔ PHẦN CÔNG NGHIỆP VÀ THƯƠNG MẠI CƯỜNG THỊNH</t>
        </is>
      </c>
      <c r="I2618" s="18" t="inlineStr">
        <is>
          <t>Bulong Din 933 8.8 ZP M20x80</t>
        </is>
      </c>
      <c r="J2618" s="18" t="inlineStr">
        <is>
          <t>Cái</t>
        </is>
      </c>
      <c r="K2618" s="19" t="n">
        <v>7630</v>
      </c>
      <c r="L2618" s="20" t="n"/>
      <c r="M2618" s="20" t="n"/>
      <c r="N2618" s="22" t="n">
        <v>8</v>
      </c>
      <c r="O2618" s="22" t="n">
        <v>61040</v>
      </c>
      <c r="P2618" s="22" t="n">
        <v>8</v>
      </c>
      <c r="Q2618" s="22" t="n">
        <v>61040</v>
      </c>
      <c r="R2618" s="42">
        <f>+L2618+N2618-P2618</f>
        <v/>
      </c>
      <c r="S2618" s="42">
        <f>+M2618+O2618-Q2618</f>
        <v/>
      </c>
    </row>
    <row r="2619" ht="30" customHeight="1">
      <c r="A2619" s="16" t="n">
        <v>45888</v>
      </c>
      <c r="B2619" s="17" t="inlineStr">
        <is>
          <t>MH2508-40</t>
        </is>
      </c>
      <c r="C2619" s="16" t="n">
        <v>45888</v>
      </c>
      <c r="D2619" s="17" t="inlineStr">
        <is>
          <t>00003236</t>
        </is>
      </c>
      <c r="E2619" s="16" t="n">
        <v>45888</v>
      </c>
      <c r="F2619" s="16" t="inlineStr">
        <is>
          <t>XK2508-32</t>
        </is>
      </c>
      <c r="G2619" s="16" t="n">
        <v>45888</v>
      </c>
      <c r="H2619" s="18" t="inlineStr">
        <is>
          <t>CÔNG TY CỔ PHẦN CÔNG NGHIỆP VÀ THƯƠNG MẠI CƯỜNG THỊNH</t>
        </is>
      </c>
      <c r="I2619" s="18" t="inlineStr">
        <is>
          <t>Đai ốc Din 934 8 ZP M20</t>
        </is>
      </c>
      <c r="J2619" s="18" t="inlineStr">
        <is>
          <t>Cái</t>
        </is>
      </c>
      <c r="K2619" s="19" t="n">
        <v>2030</v>
      </c>
      <c r="L2619" s="20" t="n"/>
      <c r="M2619" s="20" t="n"/>
      <c r="N2619" s="22" t="n">
        <v>8</v>
      </c>
      <c r="O2619" s="22" t="n">
        <v>16240</v>
      </c>
      <c r="P2619" s="22" t="n">
        <v>8</v>
      </c>
      <c r="Q2619" s="22" t="n">
        <v>16240</v>
      </c>
      <c r="R2619" s="42">
        <f>+L2619+N2619-P2619</f>
        <v/>
      </c>
      <c r="S2619" s="42">
        <f>+M2619+O2619-Q2619</f>
        <v/>
      </c>
    </row>
    <row r="2620" ht="30" customHeight="1">
      <c r="A2620" s="16" t="n">
        <v>45888</v>
      </c>
      <c r="B2620" s="17" t="inlineStr">
        <is>
          <t>MH2508-40</t>
        </is>
      </c>
      <c r="C2620" s="16" t="n">
        <v>45888</v>
      </c>
      <c r="D2620" s="17" t="inlineStr">
        <is>
          <t>00003236</t>
        </is>
      </c>
      <c r="E2620" s="16" t="n">
        <v>45888</v>
      </c>
      <c r="F2620" s="16" t="inlineStr">
        <is>
          <t>XK2508-32</t>
        </is>
      </c>
      <c r="G2620" s="16" t="n">
        <v>45888</v>
      </c>
      <c r="H2620" s="18" t="inlineStr">
        <is>
          <t>CÔNG TY CỔ PHẦN CÔNG NGHIỆP VÀ THƯƠNG MẠI CƯỜNG THỊNH</t>
        </is>
      </c>
      <c r="I2620" s="18" t="inlineStr">
        <is>
          <t>Long đền thường ZP M20B35D2</t>
        </is>
      </c>
      <c r="J2620" s="18" t="inlineStr">
        <is>
          <t>Cái</t>
        </is>
      </c>
      <c r="K2620" s="19" t="n">
        <v>350</v>
      </c>
      <c r="L2620" s="20" t="n"/>
      <c r="M2620" s="20" t="n"/>
      <c r="N2620" s="22" t="n">
        <v>8</v>
      </c>
      <c r="O2620" s="22" t="n">
        <v>2800</v>
      </c>
      <c r="P2620" s="22" t="n">
        <v>8</v>
      </c>
      <c r="Q2620" s="22" t="n">
        <v>2800</v>
      </c>
      <c r="R2620" s="42">
        <f>+L2620+N2620-P2620</f>
        <v/>
      </c>
      <c r="S2620" s="42">
        <f>+M2620+O2620-Q2620</f>
        <v/>
      </c>
    </row>
    <row r="2621" ht="30" customHeight="1">
      <c r="A2621" s="16" t="n">
        <v>45888</v>
      </c>
      <c r="B2621" s="17" t="inlineStr">
        <is>
          <t>MH2508-40</t>
        </is>
      </c>
      <c r="C2621" s="16" t="n">
        <v>45888</v>
      </c>
      <c r="D2621" s="17" t="inlineStr">
        <is>
          <t>00003236</t>
        </is>
      </c>
      <c r="E2621" s="16" t="n">
        <v>45888</v>
      </c>
      <c r="F2621" s="16" t="inlineStr">
        <is>
          <t>XK2508-32</t>
        </is>
      </c>
      <c r="G2621" s="16" t="n">
        <v>45888</v>
      </c>
      <c r="H2621" s="18" t="inlineStr">
        <is>
          <t>CÔNG TY CỔ PHẦN CÔNG NGHIỆP VÀ THƯƠNG MẠI CƯỜNG THỊNH</t>
        </is>
      </c>
      <c r="I2621" s="18" t="inlineStr">
        <is>
          <t>Bulong thường 4.6 ZP M12x50</t>
        </is>
      </c>
      <c r="J2621" s="18" t="inlineStr">
        <is>
          <t>Cái</t>
        </is>
      </c>
      <c r="K2621" s="19" t="n">
        <v>1300</v>
      </c>
      <c r="L2621" s="20" t="n"/>
      <c r="M2621" s="20" t="n"/>
      <c r="N2621" s="22" t="n">
        <v>396</v>
      </c>
      <c r="O2621" s="22" t="n">
        <v>514800</v>
      </c>
      <c r="P2621" s="22" t="n">
        <v>396</v>
      </c>
      <c r="Q2621" s="22" t="n">
        <v>514800</v>
      </c>
      <c r="R2621" s="42">
        <f>+L2621+N2621-P2621</f>
        <v/>
      </c>
      <c r="S2621" s="42">
        <f>+M2621+O2621-Q2621</f>
        <v/>
      </c>
    </row>
    <row r="2622" ht="30" customHeight="1">
      <c r="A2622" s="16" t="n">
        <v>45888</v>
      </c>
      <c r="B2622" s="17" t="inlineStr">
        <is>
          <t>MH2508-40</t>
        </is>
      </c>
      <c r="C2622" s="16" t="n">
        <v>45888</v>
      </c>
      <c r="D2622" s="17" t="inlineStr">
        <is>
          <t>00003236</t>
        </is>
      </c>
      <c r="E2622" s="16" t="n">
        <v>45888</v>
      </c>
      <c r="F2622" s="16" t="inlineStr">
        <is>
          <t>XK2508-32</t>
        </is>
      </c>
      <c r="G2622" s="16" t="n">
        <v>45888</v>
      </c>
      <c r="H2622" s="18" t="inlineStr">
        <is>
          <t>CÔNG TY CỔ PHẦN CÔNG NGHIỆP VÀ THƯƠNG MẠI CƯỜNG THỊNH</t>
        </is>
      </c>
      <c r="I2622" s="18" t="inlineStr">
        <is>
          <t>Đai ốc thường 4 ZP M12 (9mm)</t>
        </is>
      </c>
      <c r="J2622" s="18" t="inlineStr">
        <is>
          <t>Cái</t>
        </is>
      </c>
      <c r="K2622" s="19" t="n">
        <v>360</v>
      </c>
      <c r="L2622" s="20" t="n"/>
      <c r="M2622" s="20" t="n"/>
      <c r="N2622" s="22" t="n">
        <v>396</v>
      </c>
      <c r="O2622" s="22" t="n">
        <v>142560</v>
      </c>
      <c r="P2622" s="22" t="n">
        <v>396</v>
      </c>
      <c r="Q2622" s="22" t="n">
        <v>142560</v>
      </c>
      <c r="R2622" s="42">
        <f>+L2622+N2622-P2622</f>
        <v/>
      </c>
      <c r="S2622" s="42">
        <f>+M2622+O2622-Q2622</f>
        <v/>
      </c>
    </row>
    <row r="2623" ht="30" customHeight="1">
      <c r="A2623" s="16" t="n">
        <v>45888</v>
      </c>
      <c r="B2623" s="17" t="inlineStr">
        <is>
          <t>MH2508-40</t>
        </is>
      </c>
      <c r="C2623" s="16" t="n">
        <v>45888</v>
      </c>
      <c r="D2623" s="17" t="inlineStr">
        <is>
          <t>00003236</t>
        </is>
      </c>
      <c r="E2623" s="16" t="n">
        <v>45888</v>
      </c>
      <c r="F2623" s="16" t="inlineStr">
        <is>
          <t>XK2508-32</t>
        </is>
      </c>
      <c r="G2623" s="16" t="n">
        <v>45888</v>
      </c>
      <c r="H2623" s="18" t="inlineStr">
        <is>
          <t>CÔNG TY CỔ PHẦN CÔNG NGHIỆP VÀ THƯƠNG MẠI CƯỜNG THỊNH</t>
        </is>
      </c>
      <c r="I2623" s="18" t="inlineStr">
        <is>
          <t>Long đền thường ZP M12B23D1</t>
        </is>
      </c>
      <c r="J2623" s="18" t="inlineStr">
        <is>
          <t>Cái</t>
        </is>
      </c>
      <c r="K2623" s="19" t="n">
        <v>100</v>
      </c>
      <c r="L2623" s="20" t="n"/>
      <c r="M2623" s="20" t="n"/>
      <c r="N2623" s="22" t="n">
        <v>792</v>
      </c>
      <c r="O2623" s="22" t="n">
        <v>79200</v>
      </c>
      <c r="P2623" s="22" t="n">
        <v>792</v>
      </c>
      <c r="Q2623" s="22" t="n">
        <v>79200</v>
      </c>
      <c r="R2623" s="42">
        <f>+L2623+N2623-P2623</f>
        <v/>
      </c>
      <c r="S2623" s="42">
        <f>+M2623+O2623-Q2623</f>
        <v/>
      </c>
    </row>
    <row r="2624" ht="30" customHeight="1">
      <c r="A2624" s="16" t="n">
        <v>45888</v>
      </c>
      <c r="B2624" s="17" t="inlineStr">
        <is>
          <t>MH2508-40</t>
        </is>
      </c>
      <c r="C2624" s="16" t="n">
        <v>45888</v>
      </c>
      <c r="D2624" s="17" t="inlineStr">
        <is>
          <t>00003236</t>
        </is>
      </c>
      <c r="E2624" s="16" t="n">
        <v>45888</v>
      </c>
      <c r="F2624" s="16" t="inlineStr">
        <is>
          <t>XK2508-32</t>
        </is>
      </c>
      <c r="G2624" s="16" t="n">
        <v>45888</v>
      </c>
      <c r="H2624" s="18" t="inlineStr">
        <is>
          <t>CÔNG TY CỔ PHẦN CÔNG NGHIỆP VÀ THƯƠNG MẠI CƯỜNG THỊNH</t>
        </is>
      </c>
      <c r="I2624" s="18" t="inlineStr">
        <is>
          <t>Bulong Din 933 8.8 ZP M20x100</t>
        </is>
      </c>
      <c r="J2624" s="18" t="inlineStr">
        <is>
          <t>Cái</t>
        </is>
      </c>
      <c r="K2624" s="19" t="n">
        <v>8940</v>
      </c>
      <c r="L2624" s="20" t="n"/>
      <c r="M2624" s="20" t="n"/>
      <c r="N2624" s="22" t="n">
        <v>1</v>
      </c>
      <c r="O2624" s="22" t="n">
        <v>8940</v>
      </c>
      <c r="P2624" s="22" t="n">
        <v>1</v>
      </c>
      <c r="Q2624" s="22" t="n">
        <v>8940</v>
      </c>
      <c r="R2624" s="42">
        <f>+L2624+N2624-P2624</f>
        <v/>
      </c>
      <c r="S2624" s="42">
        <f>+M2624+O2624-Q2624</f>
        <v/>
      </c>
    </row>
    <row r="2625" ht="30" customHeight="1">
      <c r="A2625" s="16" t="n">
        <v>45888</v>
      </c>
      <c r="B2625" s="17" t="inlineStr">
        <is>
          <t>MH2508-40</t>
        </is>
      </c>
      <c r="C2625" s="16" t="n">
        <v>45888</v>
      </c>
      <c r="D2625" s="17" t="inlineStr">
        <is>
          <t>00003236</t>
        </is>
      </c>
      <c r="E2625" s="16" t="n">
        <v>45888</v>
      </c>
      <c r="F2625" s="16" t="inlineStr">
        <is>
          <t>XK2508-32</t>
        </is>
      </c>
      <c r="G2625" s="16" t="n">
        <v>45888</v>
      </c>
      <c r="H2625" s="18" t="inlineStr">
        <is>
          <t>CÔNG TY CỔ PHẦN CÔNG NGHIỆP VÀ THƯƠNG MẠI CƯỜNG THỊNH</t>
        </is>
      </c>
      <c r="I2625" s="18" t="inlineStr">
        <is>
          <t>Đai ốc Din 934 8 ZP M20</t>
        </is>
      </c>
      <c r="J2625" s="18" t="inlineStr">
        <is>
          <t>Cái</t>
        </is>
      </c>
      <c r="K2625" s="19" t="n">
        <v>2030</v>
      </c>
      <c r="L2625" s="20" t="n"/>
      <c r="M2625" s="20" t="n"/>
      <c r="N2625" s="22" t="n">
        <v>1</v>
      </c>
      <c r="O2625" s="22" t="n">
        <v>2030</v>
      </c>
      <c r="P2625" s="22" t="n">
        <v>1</v>
      </c>
      <c r="Q2625" s="22" t="n">
        <v>2030</v>
      </c>
      <c r="R2625" s="42">
        <f>+L2625+N2625-P2625</f>
        <v/>
      </c>
      <c r="S2625" s="42">
        <f>+M2625+O2625-Q2625</f>
        <v/>
      </c>
    </row>
    <row r="2626" ht="30" customHeight="1">
      <c r="A2626" s="16" t="n">
        <v>45888</v>
      </c>
      <c r="B2626" s="17" t="inlineStr">
        <is>
          <t>MH2508-40</t>
        </is>
      </c>
      <c r="C2626" s="16" t="n">
        <v>45888</v>
      </c>
      <c r="D2626" s="17" t="inlineStr">
        <is>
          <t>00003236</t>
        </is>
      </c>
      <c r="E2626" s="16" t="n">
        <v>45888</v>
      </c>
      <c r="F2626" s="16" t="inlineStr">
        <is>
          <t>XK2508-32</t>
        </is>
      </c>
      <c r="G2626" s="16" t="n">
        <v>45888</v>
      </c>
      <c r="H2626" s="18" t="inlineStr">
        <is>
          <t>CÔNG TY CỔ PHẦN CÔNG NGHIỆP VÀ THƯƠNG MẠI CƯỜNG THỊNH</t>
        </is>
      </c>
      <c r="I2626" s="18" t="inlineStr">
        <is>
          <t>Long đền thường ZP M20B35D2</t>
        </is>
      </c>
      <c r="J2626" s="18" t="inlineStr">
        <is>
          <t>Cái</t>
        </is>
      </c>
      <c r="K2626" s="19" t="n">
        <v>350</v>
      </c>
      <c r="L2626" s="20" t="n"/>
      <c r="M2626" s="20" t="n"/>
      <c r="N2626" s="22" t="n">
        <v>1</v>
      </c>
      <c r="O2626" s="22" t="n">
        <v>350</v>
      </c>
      <c r="P2626" s="22" t="n">
        <v>1</v>
      </c>
      <c r="Q2626" s="22" t="n">
        <v>350</v>
      </c>
      <c r="R2626" s="42">
        <f>+L2626+N2626-P2626</f>
        <v/>
      </c>
      <c r="S2626" s="42">
        <f>+M2626+O2626-Q2626</f>
        <v/>
      </c>
    </row>
    <row r="2627" ht="30" customHeight="1">
      <c r="A2627" s="16" t="n">
        <v>45888</v>
      </c>
      <c r="B2627" s="17" t="inlineStr">
        <is>
          <t>MH2508-40</t>
        </is>
      </c>
      <c r="C2627" s="16" t="n">
        <v>45888</v>
      </c>
      <c r="D2627" s="17" t="inlineStr">
        <is>
          <t>00003236</t>
        </is>
      </c>
      <c r="E2627" s="16" t="n">
        <v>45888</v>
      </c>
      <c r="F2627" s="16" t="inlineStr">
        <is>
          <t>XK2508-32</t>
        </is>
      </c>
      <c r="G2627" s="16" t="n">
        <v>45888</v>
      </c>
      <c r="H2627" s="18" t="inlineStr">
        <is>
          <t>CÔNG TY CỔ PHẦN CÔNG NGHIỆP VÀ THƯƠNG MẠI CƯỜNG THỊNH</t>
        </is>
      </c>
      <c r="I2627" s="18" t="inlineStr">
        <is>
          <t>Bulong Din 933 8.8 ZP M24x90</t>
        </is>
      </c>
      <c r="J2627" s="18" t="inlineStr">
        <is>
          <t>Cái</t>
        </is>
      </c>
      <c r="K2627" s="19" t="n">
        <v>12950</v>
      </c>
      <c r="L2627" s="20" t="n"/>
      <c r="M2627" s="20" t="n"/>
      <c r="N2627" s="22" t="n">
        <v>171</v>
      </c>
      <c r="O2627" s="22" t="n">
        <v>2214450</v>
      </c>
      <c r="P2627" s="22" t="n">
        <v>171</v>
      </c>
      <c r="Q2627" s="22" t="n">
        <v>2214450</v>
      </c>
      <c r="R2627" s="42">
        <f>+L2627+N2627-P2627</f>
        <v/>
      </c>
      <c r="S2627" s="42">
        <f>+M2627+O2627-Q2627</f>
        <v/>
      </c>
    </row>
    <row r="2628" ht="30" customHeight="1">
      <c r="A2628" s="16" t="n">
        <v>45888</v>
      </c>
      <c r="B2628" s="17" t="inlineStr">
        <is>
          <t>MH2508-40</t>
        </is>
      </c>
      <c r="C2628" s="16" t="n">
        <v>45888</v>
      </c>
      <c r="D2628" s="17" t="inlineStr">
        <is>
          <t>00003236</t>
        </is>
      </c>
      <c r="E2628" s="16" t="n">
        <v>45888</v>
      </c>
      <c r="F2628" s="16" t="inlineStr">
        <is>
          <t>XK2508-32</t>
        </is>
      </c>
      <c r="G2628" s="16" t="n">
        <v>45888</v>
      </c>
      <c r="H2628" s="18" t="inlineStr">
        <is>
          <t>CÔNG TY CỔ PHẦN CÔNG NGHIỆP VÀ THƯƠNG MẠI CƯỜNG THỊNH</t>
        </is>
      </c>
      <c r="I2628" s="18" t="inlineStr">
        <is>
          <t>Đai ốc Din 934 8 ZP M24</t>
        </is>
      </c>
      <c r="J2628" s="18" t="inlineStr">
        <is>
          <t>Cái</t>
        </is>
      </c>
      <c r="K2628" s="19" t="n">
        <v>3500</v>
      </c>
      <c r="L2628" s="20" t="n"/>
      <c r="M2628" s="20" t="n"/>
      <c r="N2628" s="22" t="n">
        <v>171</v>
      </c>
      <c r="O2628" s="22" t="n">
        <v>598500</v>
      </c>
      <c r="P2628" s="22" t="n">
        <v>171</v>
      </c>
      <c r="Q2628" s="22" t="n">
        <v>598500</v>
      </c>
      <c r="R2628" s="42">
        <f>+L2628+N2628-P2628</f>
        <v/>
      </c>
      <c r="S2628" s="42">
        <f>+M2628+O2628-Q2628</f>
        <v/>
      </c>
    </row>
    <row r="2629" ht="30" customHeight="1">
      <c r="A2629" s="16" t="n">
        <v>45888</v>
      </c>
      <c r="B2629" s="17" t="inlineStr">
        <is>
          <t>MH2508-40</t>
        </is>
      </c>
      <c r="C2629" s="16" t="n">
        <v>45888</v>
      </c>
      <c r="D2629" s="17" t="inlineStr">
        <is>
          <t>00003236</t>
        </is>
      </c>
      <c r="E2629" s="16" t="n">
        <v>45888</v>
      </c>
      <c r="F2629" s="16" t="inlineStr">
        <is>
          <t>XK2508-32</t>
        </is>
      </c>
      <c r="G2629" s="16" t="n">
        <v>45888</v>
      </c>
      <c r="H2629" s="18" t="inlineStr">
        <is>
          <t>CÔNG TY CỔ PHẦN CÔNG NGHIỆP VÀ THƯƠNG MẠI CƯỜNG THỊNH</t>
        </is>
      </c>
      <c r="I2629" s="18" t="inlineStr">
        <is>
          <t>Long đền thường ZP M24B40-42D2</t>
        </is>
      </c>
      <c r="J2629" s="18" t="inlineStr">
        <is>
          <t>Cái</t>
        </is>
      </c>
      <c r="K2629" s="19" t="n">
        <v>710</v>
      </c>
      <c r="L2629" s="20" t="n"/>
      <c r="M2629" s="20" t="n"/>
      <c r="N2629" s="22" t="n">
        <v>171</v>
      </c>
      <c r="O2629" s="22" t="n">
        <v>121410</v>
      </c>
      <c r="P2629" s="22" t="n">
        <v>171</v>
      </c>
      <c r="Q2629" s="22" t="n">
        <v>121410</v>
      </c>
      <c r="R2629" s="42">
        <f>+L2629+N2629-P2629</f>
        <v/>
      </c>
      <c r="S2629" s="42">
        <f>+M2629+O2629-Q2629</f>
        <v/>
      </c>
    </row>
    <row r="2630" ht="30" customHeight="1">
      <c r="A2630" s="16" t="n">
        <v>45888</v>
      </c>
      <c r="B2630" s="17" t="inlineStr">
        <is>
          <t>MH2508-40</t>
        </is>
      </c>
      <c r="C2630" s="16" t="n">
        <v>45888</v>
      </c>
      <c r="D2630" s="17" t="inlineStr">
        <is>
          <t>00003236</t>
        </is>
      </c>
      <c r="E2630" s="16" t="n">
        <v>45888</v>
      </c>
      <c r="F2630" s="16" t="inlineStr">
        <is>
          <t>XK2508-32</t>
        </is>
      </c>
      <c r="G2630" s="16" t="n">
        <v>45888</v>
      </c>
      <c r="H2630" s="18" t="inlineStr">
        <is>
          <t>CÔNG TY CỔ PHẦN CÔNG NGHIỆP VÀ THƯƠNG MẠI CƯỜNG THỊNH</t>
        </is>
      </c>
      <c r="I2630" s="18" t="inlineStr">
        <is>
          <t>Bulong nở 5.6 ZP M12x120</t>
        </is>
      </c>
      <c r="J2630" s="18" t="inlineStr">
        <is>
          <t>Cái</t>
        </is>
      </c>
      <c r="K2630" s="19" t="n">
        <v>15000</v>
      </c>
      <c r="L2630" s="20" t="n"/>
      <c r="M2630" s="20" t="n"/>
      <c r="N2630" s="22" t="n">
        <v>132</v>
      </c>
      <c r="O2630" s="22" t="n">
        <v>1980000</v>
      </c>
      <c r="P2630" s="22" t="n">
        <v>132</v>
      </c>
      <c r="Q2630" s="22" t="n">
        <v>1980000</v>
      </c>
      <c r="R2630" s="42">
        <f>+L2630+N2630-P2630</f>
        <v/>
      </c>
      <c r="S2630" s="42">
        <f>+M2630+O2630-Q2630</f>
        <v/>
      </c>
    </row>
    <row r="2631" ht="30" customHeight="1">
      <c r="A2631" s="16" t="n">
        <v>45888</v>
      </c>
      <c r="B2631" s="17" t="inlineStr">
        <is>
          <t>MH2508-40</t>
        </is>
      </c>
      <c r="C2631" s="16" t="n">
        <v>45888</v>
      </c>
      <c r="D2631" s="17" t="inlineStr">
        <is>
          <t>00003236</t>
        </is>
      </c>
      <c r="E2631" s="16" t="n">
        <v>45888</v>
      </c>
      <c r="F2631" s="16" t="inlineStr">
        <is>
          <t>XK2508-32</t>
        </is>
      </c>
      <c r="G2631" s="16" t="n">
        <v>45888</v>
      </c>
      <c r="H2631" s="18" t="inlineStr">
        <is>
          <t>CÔNG TY CỔ PHẦN CÔNG NGHIỆP VÀ THƯƠNG MẠI CƯỜNG THỊNH</t>
        </is>
      </c>
      <c r="I2631" s="18" t="inlineStr">
        <is>
          <t>Bulong nở 5.6 ZP M16x200</t>
        </is>
      </c>
      <c r="J2631" s="18" t="inlineStr">
        <is>
          <t>Bộ</t>
        </is>
      </c>
      <c r="K2631" s="19" t="n">
        <v>26860</v>
      </c>
      <c r="L2631" s="20" t="n"/>
      <c r="M2631" s="20" t="n"/>
      <c r="N2631" s="22" t="n">
        <v>21</v>
      </c>
      <c r="O2631" s="22" t="n">
        <v>564060</v>
      </c>
      <c r="P2631" s="22" t="n">
        <v>21</v>
      </c>
      <c r="Q2631" s="22" t="n">
        <v>564060</v>
      </c>
      <c r="R2631" s="42">
        <f>+L2631+N2631-P2631</f>
        <v/>
      </c>
      <c r="S2631" s="42">
        <f>+M2631+O2631-Q2631</f>
        <v/>
      </c>
    </row>
    <row r="2632" ht="30" customHeight="1">
      <c r="A2632" s="16" t="n">
        <v>45888</v>
      </c>
      <c r="B2632" s="17" t="inlineStr">
        <is>
          <t>MH2508-40</t>
        </is>
      </c>
      <c r="C2632" s="16" t="n">
        <v>45888</v>
      </c>
      <c r="D2632" s="17" t="inlineStr">
        <is>
          <t>00003236</t>
        </is>
      </c>
      <c r="E2632" s="16" t="n">
        <v>45888</v>
      </c>
      <c r="F2632" s="16" t="inlineStr">
        <is>
          <t>XK2508-32</t>
        </is>
      </c>
      <c r="G2632" s="16" t="n">
        <v>45888</v>
      </c>
      <c r="H2632" s="18" t="inlineStr">
        <is>
          <t>CÔNG TY CỔ PHẦN CÔNG NGHIỆP VÀ THƯƠNG MẠI CƯỜNG THỊNH</t>
        </is>
      </c>
      <c r="I2632" s="18" t="inlineStr">
        <is>
          <t>Bulong nở 5.6 ZP M20x250</t>
        </is>
      </c>
      <c r="J2632" s="18" t="inlineStr">
        <is>
          <t>Cái</t>
        </is>
      </c>
      <c r="K2632" s="19" t="n">
        <v>45000</v>
      </c>
      <c r="L2632" s="20" t="n"/>
      <c r="M2632" s="20" t="n"/>
      <c r="N2632" s="22" t="n">
        <v>25</v>
      </c>
      <c r="O2632" s="22" t="n">
        <v>1125000</v>
      </c>
      <c r="P2632" s="22" t="n">
        <v>25</v>
      </c>
      <c r="Q2632" s="22" t="n">
        <v>1125000</v>
      </c>
      <c r="R2632" s="42">
        <f>+L2632+N2632-P2632</f>
        <v/>
      </c>
      <c r="S2632" s="42">
        <f>+M2632+O2632-Q2632</f>
        <v/>
      </c>
    </row>
    <row r="2633" ht="30" customHeight="1">
      <c r="A2633" s="16" t="n">
        <v>45888</v>
      </c>
      <c r="B2633" s="17" t="inlineStr">
        <is>
          <t>MH2508-41</t>
        </is>
      </c>
      <c r="C2633" s="16" t="n">
        <v>45888</v>
      </c>
      <c r="D2633" s="17" t="inlineStr">
        <is>
          <t>00003256</t>
        </is>
      </c>
      <c r="E2633" s="16" t="n">
        <v>45888</v>
      </c>
      <c r="F2633" s="16" t="inlineStr">
        <is>
          <t>XK2508-33</t>
        </is>
      </c>
      <c r="G2633" s="16" t="n">
        <v>45888</v>
      </c>
      <c r="H2633" s="18" t="inlineStr">
        <is>
          <t>CÔNG TY CỔ PHẦN CÔNG NGHIỆP VÀ THƯƠNG MẠI CƯỜNG THỊNH</t>
        </is>
      </c>
      <c r="I2633" s="18" t="inlineStr">
        <is>
          <t>Ty giằng 2 đầu ren 4.6 ZP M20</t>
        </is>
      </c>
      <c r="J2633" s="18" t="inlineStr">
        <is>
          <t>Mét</t>
        </is>
      </c>
      <c r="K2633" s="19" t="n">
        <v>69000</v>
      </c>
      <c r="L2633" s="20" t="n"/>
      <c r="M2633" s="20" t="n"/>
      <c r="N2633" s="22" t="n">
        <v>1019.6</v>
      </c>
      <c r="O2633" s="22" t="n">
        <v>70352400</v>
      </c>
      <c r="P2633" s="22" t="n">
        <v>1019.6</v>
      </c>
      <c r="Q2633" s="22" t="n">
        <v>70352400</v>
      </c>
      <c r="R2633" s="42">
        <f>+L2633+N2633-P2633</f>
        <v/>
      </c>
      <c r="S2633" s="42">
        <f>+M2633+O2633-Q2633</f>
        <v/>
      </c>
    </row>
    <row r="2634" ht="30" customHeight="1">
      <c r="A2634" s="16" t="n">
        <v>45888</v>
      </c>
      <c r="B2634" s="17" t="inlineStr">
        <is>
          <t>MH2508-41</t>
        </is>
      </c>
      <c r="C2634" s="16" t="n">
        <v>45888</v>
      </c>
      <c r="D2634" s="17" t="inlineStr">
        <is>
          <t>00003256</t>
        </is>
      </c>
      <c r="E2634" s="16" t="n">
        <v>45888</v>
      </c>
      <c r="F2634" s="16" t="inlineStr">
        <is>
          <t>XK2508-33</t>
        </is>
      </c>
      <c r="G2634" s="16" t="n">
        <v>45888</v>
      </c>
      <c r="H2634" s="18" t="inlineStr">
        <is>
          <t>CÔNG TY CỔ PHẦN CÔNG NGHIỆP VÀ THƯƠNG MẠI CƯỜNG THỊNH</t>
        </is>
      </c>
      <c r="I2634" s="18" t="inlineStr">
        <is>
          <t>Đai ốc Din 934 5 ZP M20</t>
        </is>
      </c>
      <c r="J2634" s="18" t="inlineStr">
        <is>
          <t>Cái</t>
        </is>
      </c>
      <c r="K2634" s="19" t="n">
        <v>1850</v>
      </c>
      <c r="L2634" s="20" t="n"/>
      <c r="M2634" s="20" t="n"/>
      <c r="N2634" s="22" t="n">
        <v>240</v>
      </c>
      <c r="O2634" s="22" t="n">
        <v>444000</v>
      </c>
      <c r="P2634" s="22" t="n">
        <v>240</v>
      </c>
      <c r="Q2634" s="22" t="n">
        <v>444000</v>
      </c>
      <c r="R2634" s="42">
        <f>+L2634+N2634-P2634</f>
        <v/>
      </c>
      <c r="S2634" s="42">
        <f>+M2634+O2634-Q2634</f>
        <v/>
      </c>
    </row>
    <row r="2635" ht="30" customHeight="1">
      <c r="A2635" s="16" t="n">
        <v>45888</v>
      </c>
      <c r="B2635" s="17" t="inlineStr">
        <is>
          <t>MH2508-41</t>
        </is>
      </c>
      <c r="C2635" s="16" t="n">
        <v>45888</v>
      </c>
      <c r="D2635" s="17" t="inlineStr">
        <is>
          <t>00003256</t>
        </is>
      </c>
      <c r="E2635" s="16" t="n">
        <v>45888</v>
      </c>
      <c r="F2635" s="16" t="inlineStr">
        <is>
          <t>XK2508-33</t>
        </is>
      </c>
      <c r="G2635" s="16" t="n">
        <v>45888</v>
      </c>
      <c r="H2635" s="18" t="inlineStr">
        <is>
          <t>CÔNG TY CỔ PHẦN CÔNG NGHIỆP VÀ THƯƠNG MẠI CƯỜNG THỊNH</t>
        </is>
      </c>
      <c r="I2635" s="18" t="inlineStr">
        <is>
          <t>Long đền thường ZP M20B42D2</t>
        </is>
      </c>
      <c r="J2635" s="18" t="inlineStr">
        <is>
          <t>Cái</t>
        </is>
      </c>
      <c r="K2635" s="19" t="n">
        <v>700</v>
      </c>
      <c r="L2635" s="20" t="n"/>
      <c r="M2635" s="20" t="n"/>
      <c r="N2635" s="22" t="n">
        <v>240</v>
      </c>
      <c r="O2635" s="22" t="n">
        <v>168000</v>
      </c>
      <c r="P2635" s="22" t="n">
        <v>240</v>
      </c>
      <c r="Q2635" s="22" t="n">
        <v>168000</v>
      </c>
      <c r="R2635" s="42">
        <f>+L2635+N2635-P2635</f>
        <v/>
      </c>
      <c r="S2635" s="42">
        <f>+M2635+O2635-Q2635</f>
        <v/>
      </c>
    </row>
    <row r="2636" ht="30" customHeight="1">
      <c r="A2636" s="16" t="n">
        <v>45888</v>
      </c>
      <c r="B2636" s="17" t="inlineStr">
        <is>
          <t>MH2508-41</t>
        </is>
      </c>
      <c r="C2636" s="16" t="n">
        <v>45888</v>
      </c>
      <c r="D2636" s="17" t="inlineStr">
        <is>
          <t>00003256</t>
        </is>
      </c>
      <c r="E2636" s="16" t="n">
        <v>45888</v>
      </c>
      <c r="F2636" s="16" t="inlineStr">
        <is>
          <t>XK2508-33</t>
        </is>
      </c>
      <c r="G2636" s="16" t="n">
        <v>45888</v>
      </c>
      <c r="H2636" s="18" t="inlineStr">
        <is>
          <t>CÔNG TY CỔ PHẦN CÔNG NGHIỆP VÀ THƯƠNG MẠI CƯỜNG THỊNH</t>
        </is>
      </c>
      <c r="I2636" s="18" t="inlineStr">
        <is>
          <t>Long đền móng ngựa ZP M20</t>
        </is>
      </c>
      <c r="J2636" s="18" t="inlineStr">
        <is>
          <t>Cái</t>
        </is>
      </c>
      <c r="K2636" s="19" t="n">
        <v>15590</v>
      </c>
      <c r="L2636" s="20" t="n"/>
      <c r="M2636" s="20" t="n"/>
      <c r="N2636" s="22" t="n">
        <v>240</v>
      </c>
      <c r="O2636" s="22" t="n">
        <v>3741600</v>
      </c>
      <c r="P2636" s="22" t="n">
        <v>240</v>
      </c>
      <c r="Q2636" s="22" t="n">
        <v>3741600</v>
      </c>
      <c r="R2636" s="42">
        <f>+L2636+N2636-P2636</f>
        <v/>
      </c>
      <c r="S2636" s="42">
        <f>+M2636+O2636-Q2636</f>
        <v/>
      </c>
    </row>
    <row r="2637" ht="30" customHeight="1">
      <c r="A2637" s="16" t="n">
        <v>45888</v>
      </c>
      <c r="B2637" s="17" t="inlineStr">
        <is>
          <t>MH2508-41</t>
        </is>
      </c>
      <c r="C2637" s="16" t="n">
        <v>45888</v>
      </c>
      <c r="D2637" s="17" t="inlineStr">
        <is>
          <t>00003256</t>
        </is>
      </c>
      <c r="E2637" s="16" t="n">
        <v>45888</v>
      </c>
      <c r="F2637" s="16" t="inlineStr">
        <is>
          <t>XK2508-33</t>
        </is>
      </c>
      <c r="G2637" s="16" t="n">
        <v>45888</v>
      </c>
      <c r="H2637" s="18" t="inlineStr">
        <is>
          <t>CÔNG TY CỔ PHẦN CÔNG NGHIỆP VÀ THƯƠNG MẠI CƯỜNG THỊNH</t>
        </is>
      </c>
      <c r="I2637" s="18" t="inlineStr">
        <is>
          <t>Nối Ty ZP M20x100(28mm)</t>
        </is>
      </c>
      <c r="J2637" s="18" t="inlineStr">
        <is>
          <t>Cái</t>
        </is>
      </c>
      <c r="K2637" s="19" t="n">
        <v>24470</v>
      </c>
      <c r="L2637" s="20" t="n"/>
      <c r="M2637" s="20" t="n"/>
      <c r="N2637" s="22" t="n">
        <v>120</v>
      </c>
      <c r="O2637" s="22" t="n">
        <v>2936400</v>
      </c>
      <c r="P2637" s="22" t="n">
        <v>120</v>
      </c>
      <c r="Q2637" s="22" t="n">
        <v>2936400</v>
      </c>
      <c r="R2637" s="42">
        <f>+L2637+N2637-P2637</f>
        <v/>
      </c>
      <c r="S2637" s="42">
        <f>+M2637+O2637-Q2637</f>
        <v/>
      </c>
    </row>
    <row r="2638" ht="30" customHeight="1">
      <c r="A2638" s="16" t="n">
        <v>45888</v>
      </c>
      <c r="B2638" s="17" t="inlineStr">
        <is>
          <t>MH2508-43</t>
        </is>
      </c>
      <c r="C2638" s="16" t="n">
        <v>45888</v>
      </c>
      <c r="D2638" s="17" t="inlineStr">
        <is>
          <t>1824</t>
        </is>
      </c>
      <c r="E2638" s="16" t="n">
        <v>45888</v>
      </c>
      <c r="F2638" s="16" t="inlineStr">
        <is>
          <t>XK2508-34</t>
        </is>
      </c>
      <c r="G2638" s="16" t="n">
        <v>45888</v>
      </c>
      <c r="H2638" s="18" t="inlineStr">
        <is>
          <t>CÔNG TY TNHH KỸ THUẬT VÀ THƯƠNG MẠI B.F.C</t>
        </is>
      </c>
      <c r="I2638" s="18" t="inlineStr">
        <is>
          <t>Vít B2stek 12-14x68 HGS</t>
        </is>
      </c>
      <c r="J2638" s="18" t="inlineStr">
        <is>
          <t>Cái</t>
        </is>
      </c>
      <c r="K2638" s="19" t="n">
        <v>1207</v>
      </c>
      <c r="L2638" s="20" t="n"/>
      <c r="M2638" s="20" t="n"/>
      <c r="N2638" s="22" t="n">
        <v>11487</v>
      </c>
      <c r="O2638" s="22" t="n">
        <v>13864809</v>
      </c>
      <c r="P2638" s="22" t="n">
        <v>11487</v>
      </c>
      <c r="Q2638" s="22" t="n">
        <v>13864809</v>
      </c>
      <c r="R2638" s="42">
        <f>+L2638+N2638-P2638</f>
        <v/>
      </c>
      <c r="S2638" s="42">
        <f>+M2638+O2638-Q2638</f>
        <v/>
      </c>
    </row>
    <row r="2639" ht="30" customHeight="1">
      <c r="A2639" s="16" t="n">
        <v>45888</v>
      </c>
      <c r="B2639" s="17" t="inlineStr">
        <is>
          <t>MH2508-44</t>
        </is>
      </c>
      <c r="C2639" s="16" t="n">
        <v>45888</v>
      </c>
      <c r="D2639" s="17" t="inlineStr">
        <is>
          <t>00001652</t>
        </is>
      </c>
      <c r="E2639" s="16" t="n">
        <v>45888</v>
      </c>
      <c r="F2639" s="16" t="inlineStr">
        <is>
          <t>XK2508-35</t>
        </is>
      </c>
      <c r="G2639" s="16" t="n">
        <v>45888</v>
      </c>
      <c r="H2639" s="18" t="inlineStr">
        <is>
          <t>CÔNG TY TNHH DỊCH VỤ - THƯƠNG MẠI THÉP THIÊN LONG</t>
        </is>
      </c>
      <c r="I2639" s="18" t="inlineStr">
        <is>
          <t>Thép tấm 10ly</t>
        </is>
      </c>
      <c r="J2639" s="18" t="inlineStr">
        <is>
          <t>kg</t>
        </is>
      </c>
      <c r="K2639" s="19" t="n">
        <v>13636.36</v>
      </c>
      <c r="L2639" s="20" t="n"/>
      <c r="M2639" s="20" t="n"/>
      <c r="N2639" s="22" t="n">
        <v>28260</v>
      </c>
      <c r="O2639" s="22" t="n">
        <v>385363534</v>
      </c>
      <c r="P2639" s="22" t="n">
        <v>28260</v>
      </c>
      <c r="Q2639" s="22" t="n">
        <v>385363534</v>
      </c>
      <c r="R2639" s="42">
        <f>+L2639+N2639-P2639</f>
        <v/>
      </c>
      <c r="S2639" s="42">
        <f>+M2639+O2639-Q2639</f>
        <v/>
      </c>
    </row>
    <row r="2640" ht="30" customHeight="1">
      <c r="A2640" s="16" t="n">
        <v>45888</v>
      </c>
      <c r="B2640" s="17" t="inlineStr">
        <is>
          <t>MH2508-45</t>
        </is>
      </c>
      <c r="C2640" s="16" t="n">
        <v>45888</v>
      </c>
      <c r="D2640" s="17" t="inlineStr">
        <is>
          <t>00001653</t>
        </is>
      </c>
      <c r="E2640" s="16" t="n">
        <v>45888</v>
      </c>
      <c r="F2640" s="16" t="inlineStr">
        <is>
          <t>XK2508-36</t>
        </is>
      </c>
      <c r="G2640" s="16" t="n">
        <v>45888</v>
      </c>
      <c r="H2640" s="18" t="inlineStr">
        <is>
          <t>CÔNG TY TNHH DỊCH VỤ - THƯƠNG MẠI THÉP THIÊN LONG</t>
        </is>
      </c>
      <c r="I2640" s="18" t="inlineStr">
        <is>
          <t>Thép tấm 8ly</t>
        </is>
      </c>
      <c r="J2640" s="18" t="inlineStr">
        <is>
          <t>kg</t>
        </is>
      </c>
      <c r="K2640" s="19" t="n">
        <v>13636.36</v>
      </c>
      <c r="L2640" s="20" t="n"/>
      <c r="M2640" s="20" t="n"/>
      <c r="N2640" s="22" t="n">
        <v>44085.6</v>
      </c>
      <c r="O2640" s="22" t="n">
        <v>601167112</v>
      </c>
      <c r="P2640" s="22" t="n">
        <v>44085.6</v>
      </c>
      <c r="Q2640" s="22" t="n">
        <v>601167112</v>
      </c>
      <c r="R2640" s="42">
        <f>+L2640+N2640-P2640</f>
        <v/>
      </c>
      <c r="S2640" s="42">
        <f>+M2640+O2640-Q2640</f>
        <v/>
      </c>
    </row>
    <row r="2641" ht="30" customHeight="1">
      <c r="A2641" s="16" t="n">
        <v>45889</v>
      </c>
      <c r="B2641" s="17" t="inlineStr">
        <is>
          <t>MH2508-47</t>
        </is>
      </c>
      <c r="C2641" s="16" t="n">
        <v>45889</v>
      </c>
      <c r="D2641" s="17" t="inlineStr">
        <is>
          <t>00000031</t>
        </is>
      </c>
      <c r="E2641" s="16" t="n">
        <v>45889</v>
      </c>
      <c r="F2641" s="16" t="inlineStr">
        <is>
          <t>XK2508-37</t>
        </is>
      </c>
      <c r="G2641" s="16" t="n">
        <v>45889</v>
      </c>
      <c r="H2641" s="18" t="inlineStr">
        <is>
          <t>CÔNG TY TNHH  ĐỨC MINH KHÔI</t>
        </is>
      </c>
      <c r="I2641" s="18" t="inlineStr">
        <is>
          <t>Cửa thông gió theo HĐMB  số: 250730-01HDBH/DMK-STEELTECH Kí ngày 30/07/2025</t>
        </is>
      </c>
      <c r="J2641" s="18" t="inlineStr">
        <is>
          <t>Bộ</t>
        </is>
      </c>
      <c r="K2641" s="19" t="n">
        <v>259000000</v>
      </c>
      <c r="L2641" s="20" t="n"/>
      <c r="M2641" s="20" t="n"/>
      <c r="N2641" s="22" t="n">
        <v>1</v>
      </c>
      <c r="O2641" s="22" t="n">
        <v>259000000</v>
      </c>
      <c r="P2641" s="22" t="n">
        <v>1</v>
      </c>
      <c r="Q2641" s="22" t="n">
        <v>259000000</v>
      </c>
      <c r="R2641" s="42">
        <f>+L2641+N2641-P2641</f>
        <v/>
      </c>
      <c r="S2641" s="42">
        <f>+M2641+O2641-Q2641</f>
        <v/>
      </c>
    </row>
    <row r="2642" ht="15" customHeight="1">
      <c r="A2642" s="16" t="n">
        <v>45890</v>
      </c>
      <c r="B2642" s="17" t="inlineStr">
        <is>
          <t>MH2508-48</t>
        </is>
      </c>
      <c r="C2642" s="16" t="n">
        <v>45890</v>
      </c>
      <c r="D2642" s="17" t="inlineStr">
        <is>
          <t>00007800</t>
        </is>
      </c>
      <c r="E2642" s="16" t="n">
        <v>45890</v>
      </c>
      <c r="F2642" s="16" t="inlineStr">
        <is>
          <t>XK2508-38</t>
        </is>
      </c>
      <c r="G2642" s="16" t="n">
        <v>45890</v>
      </c>
      <c r="H2642" s="18" t="inlineStr">
        <is>
          <t>CÔNG TY TNHH SƠN JOTUN VIỆT NAM</t>
        </is>
      </c>
      <c r="I2642" s="18" t="inlineStr">
        <is>
          <t>SƠN FUTURA CLASSIC RAL 9010 18.22L</t>
        </is>
      </c>
      <c r="J2642" s="18" t="inlineStr">
        <is>
          <t>Lít</t>
        </is>
      </c>
      <c r="K2642" s="19" t="n">
        <v>155000</v>
      </c>
      <c r="L2642" s="20" t="n"/>
      <c r="M2642" s="20" t="n"/>
      <c r="N2642" s="22" t="n">
        <v>127.54</v>
      </c>
      <c r="O2642" s="22" t="n">
        <v>19768700</v>
      </c>
      <c r="P2642" s="22" t="n">
        <v>127.54</v>
      </c>
      <c r="Q2642" s="22" t="n">
        <v>19768700</v>
      </c>
      <c r="R2642" s="42">
        <f>+L2642+N2642-P2642</f>
        <v/>
      </c>
      <c r="S2642" s="42">
        <f>+M2642+O2642-Q2642</f>
        <v/>
      </c>
    </row>
    <row r="2643" ht="15" customHeight="1">
      <c r="A2643" s="16" t="n">
        <v>45890</v>
      </c>
      <c r="B2643" s="17" t="inlineStr">
        <is>
          <t>MH2508-48</t>
        </is>
      </c>
      <c r="C2643" s="16" t="n">
        <v>45890</v>
      </c>
      <c r="D2643" s="17" t="inlineStr">
        <is>
          <t>00007800</t>
        </is>
      </c>
      <c r="E2643" s="16" t="n">
        <v>45890</v>
      </c>
      <c r="F2643" s="16" t="inlineStr">
        <is>
          <t>XK2508-38</t>
        </is>
      </c>
      <c r="G2643" s="16" t="n">
        <v>45890</v>
      </c>
      <c r="H2643" s="18" t="inlineStr">
        <is>
          <t>CÔNG TY TNHH SƠN JOTUN VIỆT NAM</t>
        </is>
      </c>
      <c r="I2643" s="18" t="inlineStr">
        <is>
          <t>SƠN FUTURA CLASSIC RAL 9010 4.55L</t>
        </is>
      </c>
      <c r="J2643" s="18" t="inlineStr">
        <is>
          <t>Lít</t>
        </is>
      </c>
      <c r="K2643" s="19" t="n">
        <v>155000</v>
      </c>
      <c r="L2643" s="20" t="n"/>
      <c r="M2643" s="20" t="n"/>
      <c r="N2643" s="22" t="n">
        <v>4.55</v>
      </c>
      <c r="O2643" s="22" t="n">
        <v>705250</v>
      </c>
      <c r="P2643" s="22" t="n">
        <v>4.55</v>
      </c>
      <c r="Q2643" s="22" t="n">
        <v>705250</v>
      </c>
      <c r="R2643" s="42">
        <f>+L2643+N2643-P2643</f>
        <v/>
      </c>
      <c r="S2643" s="42">
        <f>+M2643+O2643-Q2643</f>
        <v/>
      </c>
    </row>
    <row r="2644" ht="15" customHeight="1">
      <c r="A2644" s="16" t="n">
        <v>45890</v>
      </c>
      <c r="B2644" s="17" t="inlineStr">
        <is>
          <t>MH2508-48</t>
        </is>
      </c>
      <c r="C2644" s="16" t="n">
        <v>45890</v>
      </c>
      <c r="D2644" s="17" t="inlineStr">
        <is>
          <t>00007800</t>
        </is>
      </c>
      <c r="E2644" s="16" t="n">
        <v>45890</v>
      </c>
      <c r="F2644" s="16" t="inlineStr">
        <is>
          <t>XK2508-38</t>
        </is>
      </c>
      <c r="G2644" s="16" t="n">
        <v>45890</v>
      </c>
      <c r="H2644" s="18" t="inlineStr">
        <is>
          <t>CÔNG TY TNHH SƠN JOTUN VIỆT NAM</t>
        </is>
      </c>
      <c r="I2644" s="18" t="inlineStr">
        <is>
          <t>DUNG MÔI JOTUN THINNER NO. 17 20L</t>
        </is>
      </c>
      <c r="J2644" s="18" t="inlineStr">
        <is>
          <t>Lít</t>
        </is>
      </c>
      <c r="K2644" s="19" t="n">
        <v>60000</v>
      </c>
      <c r="L2644" s="20" t="n"/>
      <c r="M2644" s="20" t="n"/>
      <c r="N2644" s="22" t="n">
        <v>20</v>
      </c>
      <c r="O2644" s="22" t="n">
        <v>1200000</v>
      </c>
      <c r="P2644" s="22" t="n">
        <v>20</v>
      </c>
      <c r="Q2644" s="22" t="n">
        <v>1200000</v>
      </c>
      <c r="R2644" s="42">
        <f>+L2644+N2644-P2644</f>
        <v/>
      </c>
      <c r="S2644" s="42">
        <f>+M2644+O2644-Q2644</f>
        <v/>
      </c>
    </row>
    <row r="2645" ht="15" customHeight="1">
      <c r="A2645" s="16" t="n">
        <v>45890</v>
      </c>
      <c r="B2645" s="17" t="inlineStr">
        <is>
          <t>MH2508-48</t>
        </is>
      </c>
      <c r="C2645" s="16" t="n">
        <v>45890</v>
      </c>
      <c r="D2645" s="17" t="inlineStr">
        <is>
          <t>00007800</t>
        </is>
      </c>
      <c r="E2645" s="16" t="n">
        <v>45890</v>
      </c>
      <c r="F2645" s="16" t="inlineStr">
        <is>
          <t>XK2508-38</t>
        </is>
      </c>
      <c r="G2645" s="16" t="n">
        <v>45890</v>
      </c>
      <c r="H2645" s="18" t="inlineStr">
        <is>
          <t>CÔNG TY TNHH SƠN JOTUN VIỆT NAM</t>
        </is>
      </c>
      <c r="I2645" s="18" t="inlineStr">
        <is>
          <t>DUNG MÔI JOTUN THINNER NO. 17 5L</t>
        </is>
      </c>
      <c r="J2645" s="18" t="inlineStr">
        <is>
          <t>Lít</t>
        </is>
      </c>
      <c r="K2645" s="19" t="n">
        <v>60000</v>
      </c>
      <c r="L2645" s="20" t="n"/>
      <c r="M2645" s="20" t="n"/>
      <c r="N2645" s="22" t="n">
        <v>10</v>
      </c>
      <c r="O2645" s="22" t="n">
        <v>600000</v>
      </c>
      <c r="P2645" s="22" t="n">
        <v>10</v>
      </c>
      <c r="Q2645" s="22" t="n">
        <v>600000</v>
      </c>
      <c r="R2645" s="42">
        <f>+L2645+N2645-P2645</f>
        <v/>
      </c>
      <c r="S2645" s="42">
        <f>+M2645+O2645-Q2645</f>
        <v/>
      </c>
    </row>
    <row r="2646" ht="30" customHeight="1">
      <c r="A2646" s="16" t="n">
        <v>45890</v>
      </c>
      <c r="B2646" s="17" t="inlineStr">
        <is>
          <t>MH2508-49</t>
        </is>
      </c>
      <c r="C2646" s="16" t="n">
        <v>45890</v>
      </c>
      <c r="D2646" s="17" t="inlineStr">
        <is>
          <t>00004734</t>
        </is>
      </c>
      <c r="E2646" s="16" t="n">
        <v>45890</v>
      </c>
      <c r="F2646" s="16" t="inlineStr">
        <is>
          <t>XK2508-39</t>
        </is>
      </c>
      <c r="G2646" s="16" t="n">
        <v>45890</v>
      </c>
      <c r="H2646" s="18" t="inlineStr">
        <is>
          <t>CÔNG TY TNHH MTV SẢN XUẤT THƯƠNG MẠI DỊCH VỤ THANH HUYỀN</t>
        </is>
      </c>
      <c r="I2646" s="18" t="inlineStr">
        <is>
          <t>Xà gồ mạ kẽm</t>
        </is>
      </c>
      <c r="J2646" s="18" t="inlineStr">
        <is>
          <t>kg</t>
        </is>
      </c>
      <c r="K2646" s="19" t="n">
        <v>16927.56</v>
      </c>
      <c r="L2646" s="20" t="n"/>
      <c r="M2646" s="20" t="n"/>
      <c r="N2646" s="22" t="n">
        <v>2736</v>
      </c>
      <c r="O2646" s="22" t="n">
        <v>46313796</v>
      </c>
      <c r="P2646" s="22" t="n">
        <v>2736</v>
      </c>
      <c r="Q2646" s="22" t="n">
        <v>46313796</v>
      </c>
      <c r="R2646" s="42">
        <f>+L2646+N2646-P2646</f>
        <v/>
      </c>
      <c r="S2646" s="42">
        <f>+M2646+O2646-Q2646</f>
        <v/>
      </c>
    </row>
    <row r="2647" ht="30" customHeight="1">
      <c r="A2647" s="16" t="n">
        <v>45890</v>
      </c>
      <c r="B2647" s="17" t="inlineStr">
        <is>
          <t>MH2508-49</t>
        </is>
      </c>
      <c r="C2647" s="16" t="n">
        <v>45890</v>
      </c>
      <c r="D2647" s="17" t="inlineStr">
        <is>
          <t>00004734</t>
        </is>
      </c>
      <c r="E2647" s="16" t="n">
        <v>45890</v>
      </c>
      <c r="F2647" s="16" t="inlineStr">
        <is>
          <t>XK2508-39</t>
        </is>
      </c>
      <c r="G2647" s="16" t="n">
        <v>45890</v>
      </c>
      <c r="H2647" s="18" t="inlineStr">
        <is>
          <t>CÔNG TY TNHH MTV SẢN XUẤT THƯƠNG MẠI DỊCH VỤ THANH HUYỀN</t>
        </is>
      </c>
      <c r="I2647" s="18" t="inlineStr">
        <is>
          <t>Thép lá mạ</t>
        </is>
      </c>
      <c r="J2647" s="18" t="inlineStr">
        <is>
          <t>kg</t>
        </is>
      </c>
      <c r="K2647" s="19" t="n">
        <v>18284.79</v>
      </c>
      <c r="L2647" s="20" t="n"/>
      <c r="M2647" s="20" t="n"/>
      <c r="N2647" s="22" t="n">
        <v>7023</v>
      </c>
      <c r="O2647" s="22" t="n">
        <v>128414059</v>
      </c>
      <c r="P2647" s="22" t="n">
        <v>7023</v>
      </c>
      <c r="Q2647" s="22" t="n">
        <v>128414059</v>
      </c>
      <c r="R2647" s="42">
        <f>+L2647+N2647-P2647</f>
        <v/>
      </c>
      <c r="S2647" s="42">
        <f>+M2647+O2647-Q2647</f>
        <v/>
      </c>
    </row>
    <row r="2648" ht="30" customHeight="1">
      <c r="A2648" s="16" t="n">
        <v>45890</v>
      </c>
      <c r="B2648" s="17" t="inlineStr">
        <is>
          <t>MH2508-50</t>
        </is>
      </c>
      <c r="C2648" s="16" t="n">
        <v>45890</v>
      </c>
      <c r="D2648" s="17" t="inlineStr">
        <is>
          <t>00004735</t>
        </is>
      </c>
      <c r="E2648" s="16" t="n">
        <v>45890</v>
      </c>
      <c r="F2648" s="16" t="inlineStr">
        <is>
          <t>XK2508-40</t>
        </is>
      </c>
      <c r="G2648" s="16" t="n">
        <v>45890</v>
      </c>
      <c r="H2648" s="18" t="inlineStr">
        <is>
          <t>CÔNG TY TNHH MTV SẢN XUẤT THƯƠNG MẠI DỊCH VỤ THANH HUYỀN</t>
        </is>
      </c>
      <c r="I2648" s="18" t="inlineStr">
        <is>
          <t>Tôn nhựa</t>
        </is>
      </c>
      <c r="J2648" s="18" t="inlineStr">
        <is>
          <t>kg</t>
        </is>
      </c>
      <c r="K2648" s="19" t="n">
        <v>121296.3</v>
      </c>
      <c r="L2648" s="20" t="n"/>
      <c r="M2648" s="20" t="n"/>
      <c r="N2648" s="22" t="n">
        <v>75</v>
      </c>
      <c r="O2648" s="22" t="n">
        <v>9097222</v>
      </c>
      <c r="P2648" s="22" t="n">
        <v>75</v>
      </c>
      <c r="Q2648" s="22" t="n">
        <v>9097222</v>
      </c>
      <c r="R2648" s="42">
        <f>+L2648+N2648-P2648</f>
        <v/>
      </c>
      <c r="S2648" s="42">
        <f>+M2648+O2648-Q2648</f>
        <v/>
      </c>
    </row>
    <row r="2649" ht="15" customHeight="1">
      <c r="A2649" s="16" t="n">
        <v>45891</v>
      </c>
      <c r="B2649" s="17" t="inlineStr">
        <is>
          <t>MH2508-51</t>
        </is>
      </c>
      <c r="C2649" s="16" t="n">
        <v>45891</v>
      </c>
      <c r="D2649" s="17" t="inlineStr">
        <is>
          <t>00007840</t>
        </is>
      </c>
      <c r="E2649" s="16" t="n">
        <v>45891</v>
      </c>
      <c r="F2649" s="16" t="inlineStr">
        <is>
          <t>XK2508-41</t>
        </is>
      </c>
      <c r="G2649" s="16" t="n">
        <v>45891</v>
      </c>
      <c r="H2649" s="18" t="inlineStr">
        <is>
          <t>CÔNG TY TNHH SƠN JOTUN VIỆT NAM</t>
        </is>
      </c>
      <c r="I2649" s="18" t="inlineStr">
        <is>
          <t>SƠN FUTURA CLASSIC STD 0403 GREY 18.32L</t>
        </is>
      </c>
      <c r="J2649" s="18" t="inlineStr">
        <is>
          <t>Thùng</t>
        </is>
      </c>
      <c r="K2649" s="19" t="n">
        <v>155000</v>
      </c>
      <c r="L2649" s="20" t="n"/>
      <c r="M2649" s="20" t="n"/>
      <c r="N2649" s="22" t="n">
        <v>146.56</v>
      </c>
      <c r="O2649" s="22" t="n">
        <v>22716800</v>
      </c>
      <c r="P2649" s="22" t="n">
        <v>146.56</v>
      </c>
      <c r="Q2649" s="22" t="n">
        <v>22716800</v>
      </c>
      <c r="R2649" s="42">
        <f>+L2649+N2649-P2649</f>
        <v/>
      </c>
      <c r="S2649" s="42">
        <f>+M2649+O2649-Q2649</f>
        <v/>
      </c>
    </row>
    <row r="2650" ht="30" customHeight="1">
      <c r="A2650" s="16" t="n">
        <v>45892</v>
      </c>
      <c r="B2650" s="17" t="inlineStr">
        <is>
          <t>MH2508-52</t>
        </is>
      </c>
      <c r="C2650" s="16" t="n">
        <v>45892</v>
      </c>
      <c r="D2650" s="17" t="inlineStr">
        <is>
          <t>00003320</t>
        </is>
      </c>
      <c r="E2650" s="16" t="n">
        <v>45892</v>
      </c>
      <c r="F2650" s="16" t="inlineStr">
        <is>
          <t>XK2508-42</t>
        </is>
      </c>
      <c r="G2650" s="16" t="n">
        <v>45892</v>
      </c>
      <c r="H2650" s="18" t="inlineStr">
        <is>
          <t>CÔNG TY CỔ PHẦN CÔNG NGHIỆP VÀ THƯƠNG MẠI CƯỜNG THỊNH</t>
        </is>
      </c>
      <c r="I2650" s="18" t="inlineStr">
        <is>
          <t>Bulong Din 933 8.8 ZP M16x40</t>
        </is>
      </c>
      <c r="J2650" s="18" t="inlineStr">
        <is>
          <t>Cái</t>
        </is>
      </c>
      <c r="K2650" s="19" t="n">
        <v>3030</v>
      </c>
      <c r="L2650" s="20" t="n"/>
      <c r="M2650" s="20" t="n"/>
      <c r="N2650" s="22" t="n">
        <v>192</v>
      </c>
      <c r="O2650" s="22" t="n">
        <v>581760</v>
      </c>
      <c r="P2650" s="22" t="n">
        <v>192</v>
      </c>
      <c r="Q2650" s="22" t="n">
        <v>581760</v>
      </c>
      <c r="R2650" s="42">
        <f>+L2650+N2650-P2650</f>
        <v/>
      </c>
      <c r="S2650" s="42">
        <f>+M2650+O2650-Q2650</f>
        <v/>
      </c>
    </row>
    <row r="2651" ht="30" customHeight="1">
      <c r="A2651" s="16" t="n">
        <v>45892</v>
      </c>
      <c r="B2651" s="17" t="inlineStr">
        <is>
          <t>MH2508-52</t>
        </is>
      </c>
      <c r="C2651" s="16" t="n">
        <v>45892</v>
      </c>
      <c r="D2651" s="17" t="inlineStr">
        <is>
          <t>00003320</t>
        </is>
      </c>
      <c r="E2651" s="16" t="n">
        <v>45892</v>
      </c>
      <c r="F2651" s="16" t="inlineStr">
        <is>
          <t>XK2508-42</t>
        </is>
      </c>
      <c r="G2651" s="16" t="n">
        <v>45892</v>
      </c>
      <c r="H2651" s="18" t="inlineStr">
        <is>
          <t>CÔNG TY CỔ PHẦN CÔNG NGHIỆP VÀ THƯƠNG MẠI CƯỜNG THỊNH</t>
        </is>
      </c>
      <c r="I2651" s="18" t="inlineStr">
        <is>
          <t>Đai ốc Din 934 8 ZP M16</t>
        </is>
      </c>
      <c r="J2651" s="18" t="inlineStr">
        <is>
          <t>Cái</t>
        </is>
      </c>
      <c r="K2651" s="19" t="n">
        <v>1090</v>
      </c>
      <c r="L2651" s="20" t="n"/>
      <c r="M2651" s="20" t="n"/>
      <c r="N2651" s="22" t="n">
        <v>192</v>
      </c>
      <c r="O2651" s="22" t="n">
        <v>209280</v>
      </c>
      <c r="P2651" s="22" t="n">
        <v>192</v>
      </c>
      <c r="Q2651" s="22" t="n">
        <v>209280</v>
      </c>
      <c r="R2651" s="42">
        <f>+L2651+N2651-P2651</f>
        <v/>
      </c>
      <c r="S2651" s="42">
        <f>+M2651+O2651-Q2651</f>
        <v/>
      </c>
    </row>
    <row r="2652" ht="30" customHeight="1">
      <c r="A2652" s="16" t="n">
        <v>45892</v>
      </c>
      <c r="B2652" s="17" t="inlineStr">
        <is>
          <t>MH2508-52</t>
        </is>
      </c>
      <c r="C2652" s="16" t="n">
        <v>45892</v>
      </c>
      <c r="D2652" s="17" t="inlineStr">
        <is>
          <t>00003320</t>
        </is>
      </c>
      <c r="E2652" s="16" t="n">
        <v>45892</v>
      </c>
      <c r="F2652" s="16" t="inlineStr">
        <is>
          <t>XK2508-42</t>
        </is>
      </c>
      <c r="G2652" s="16" t="n">
        <v>45892</v>
      </c>
      <c r="H2652" s="18" t="inlineStr">
        <is>
          <t>CÔNG TY CỔ PHẦN CÔNG NGHIỆP VÀ THƯƠNG MẠI CƯỜNG THỊNH</t>
        </is>
      </c>
      <c r="I2652" s="18" t="inlineStr">
        <is>
          <t>Long đền thường ZP M16B30D2</t>
        </is>
      </c>
      <c r="J2652" s="18" t="inlineStr">
        <is>
          <t>Cái</t>
        </is>
      </c>
      <c r="K2652" s="19" t="n">
        <v>330</v>
      </c>
      <c r="L2652" s="20" t="n"/>
      <c r="M2652" s="20" t="n"/>
      <c r="N2652" s="22" t="n">
        <v>192</v>
      </c>
      <c r="O2652" s="22" t="n">
        <v>63360</v>
      </c>
      <c r="P2652" s="22" t="n">
        <v>192</v>
      </c>
      <c r="Q2652" s="22" t="n">
        <v>63360</v>
      </c>
      <c r="R2652" s="42">
        <f>+L2652+N2652-P2652</f>
        <v/>
      </c>
      <c r="S2652" s="42">
        <f>+M2652+O2652-Q2652</f>
        <v/>
      </c>
    </row>
    <row r="2653" ht="30" customHeight="1">
      <c r="A2653" s="16" t="n">
        <v>45892</v>
      </c>
      <c r="B2653" s="17" t="inlineStr">
        <is>
          <t>MH2508-52</t>
        </is>
      </c>
      <c r="C2653" s="16" t="n">
        <v>45892</v>
      </c>
      <c r="D2653" s="17" t="inlineStr">
        <is>
          <t>00003320</t>
        </is>
      </c>
      <c r="E2653" s="16" t="n">
        <v>45892</v>
      </c>
      <c r="F2653" s="16" t="inlineStr">
        <is>
          <t>XK2508-42</t>
        </is>
      </c>
      <c r="G2653" s="16" t="n">
        <v>45892</v>
      </c>
      <c r="H2653" s="18" t="inlineStr">
        <is>
          <t>CÔNG TY CỔ PHẦN CÔNG NGHIỆP VÀ THƯƠNG MẠI CƯỜNG THỊNH</t>
        </is>
      </c>
      <c r="I2653" s="18" t="inlineStr">
        <is>
          <t>Bulong thường 4.6 ZP M12x30</t>
        </is>
      </c>
      <c r="J2653" s="18" t="inlineStr">
        <is>
          <t>Cái</t>
        </is>
      </c>
      <c r="K2653" s="19" t="n">
        <v>950</v>
      </c>
      <c r="L2653" s="20" t="n"/>
      <c r="M2653" s="20" t="n"/>
      <c r="N2653" s="22" t="n">
        <v>280</v>
      </c>
      <c r="O2653" s="22" t="n">
        <v>266000</v>
      </c>
      <c r="P2653" s="22" t="n">
        <v>280</v>
      </c>
      <c r="Q2653" s="22" t="n">
        <v>266000</v>
      </c>
      <c r="R2653" s="42">
        <f>+L2653+N2653-P2653</f>
        <v/>
      </c>
      <c r="S2653" s="42">
        <f>+M2653+O2653-Q2653</f>
        <v/>
      </c>
    </row>
    <row r="2654" ht="30" customHeight="1">
      <c r="A2654" s="16" t="n">
        <v>45892</v>
      </c>
      <c r="B2654" s="17" t="inlineStr">
        <is>
          <t>MH2508-52</t>
        </is>
      </c>
      <c r="C2654" s="16" t="n">
        <v>45892</v>
      </c>
      <c r="D2654" s="17" t="inlineStr">
        <is>
          <t>00003320</t>
        </is>
      </c>
      <c r="E2654" s="16" t="n">
        <v>45892</v>
      </c>
      <c r="F2654" s="16" t="inlineStr">
        <is>
          <t>XK2508-42</t>
        </is>
      </c>
      <c r="G2654" s="16" t="n">
        <v>45892</v>
      </c>
      <c r="H2654" s="18" t="inlineStr">
        <is>
          <t>CÔNG TY CỔ PHẦN CÔNG NGHIỆP VÀ THƯƠNG MẠI CƯỜNG THỊNH</t>
        </is>
      </c>
      <c r="I2654" s="18" t="inlineStr">
        <is>
          <t>Đai ốc thường 4 ZP M12 (9mm)</t>
        </is>
      </c>
      <c r="J2654" s="18" t="inlineStr">
        <is>
          <t>Cái</t>
        </is>
      </c>
      <c r="K2654" s="19" t="n">
        <v>360</v>
      </c>
      <c r="L2654" s="20" t="n"/>
      <c r="M2654" s="20" t="n"/>
      <c r="N2654" s="22" t="n">
        <v>280</v>
      </c>
      <c r="O2654" s="22" t="n">
        <v>100800</v>
      </c>
      <c r="P2654" s="22" t="n">
        <v>280</v>
      </c>
      <c r="Q2654" s="22" t="n">
        <v>100800</v>
      </c>
      <c r="R2654" s="42">
        <f>+L2654+N2654-P2654</f>
        <v/>
      </c>
      <c r="S2654" s="42">
        <f>+M2654+O2654-Q2654</f>
        <v/>
      </c>
    </row>
    <row r="2655" ht="30" customHeight="1">
      <c r="A2655" s="16" t="n">
        <v>45892</v>
      </c>
      <c r="B2655" s="17" t="inlineStr">
        <is>
          <t>MH2508-52</t>
        </is>
      </c>
      <c r="C2655" s="16" t="n">
        <v>45892</v>
      </c>
      <c r="D2655" s="17" t="inlineStr">
        <is>
          <t>00003320</t>
        </is>
      </c>
      <c r="E2655" s="16" t="n">
        <v>45892</v>
      </c>
      <c r="F2655" s="16" t="inlineStr">
        <is>
          <t>XK2508-42</t>
        </is>
      </c>
      <c r="G2655" s="16" t="n">
        <v>45892</v>
      </c>
      <c r="H2655" s="18" t="inlineStr">
        <is>
          <t>CÔNG TY CỔ PHẦN CÔNG NGHIỆP VÀ THƯƠNG MẠI CƯỜNG THỊNH</t>
        </is>
      </c>
      <c r="I2655" s="18" t="inlineStr">
        <is>
          <t>Long đền thường ZP M12B23D1</t>
        </is>
      </c>
      <c r="J2655" s="18" t="inlineStr">
        <is>
          <t>Cái</t>
        </is>
      </c>
      <c r="K2655" s="19" t="n">
        <v>100</v>
      </c>
      <c r="L2655" s="20" t="n"/>
      <c r="M2655" s="20" t="n"/>
      <c r="N2655" s="22" t="n">
        <v>560</v>
      </c>
      <c r="O2655" s="22" t="n">
        <v>56000</v>
      </c>
      <c r="P2655" s="22" t="n">
        <v>560</v>
      </c>
      <c r="Q2655" s="22" t="n">
        <v>56000</v>
      </c>
      <c r="R2655" s="42">
        <f>+L2655+N2655-P2655</f>
        <v/>
      </c>
      <c r="S2655" s="42">
        <f>+M2655+O2655-Q2655</f>
        <v/>
      </c>
    </row>
    <row r="2656" ht="30" customHeight="1">
      <c r="A2656" s="16" t="n">
        <v>45892</v>
      </c>
      <c r="B2656" s="17" t="inlineStr">
        <is>
          <t>MH2508-52</t>
        </is>
      </c>
      <c r="C2656" s="16" t="n">
        <v>45892</v>
      </c>
      <c r="D2656" s="17" t="inlineStr">
        <is>
          <t>00003320</t>
        </is>
      </c>
      <c r="E2656" s="16" t="n">
        <v>45892</v>
      </c>
      <c r="F2656" s="16" t="inlineStr">
        <is>
          <t>XK2508-42</t>
        </is>
      </c>
      <c r="G2656" s="16" t="n">
        <v>45892</v>
      </c>
      <c r="H2656" s="18" t="inlineStr">
        <is>
          <t>CÔNG TY CỔ PHẦN CÔNG NGHIỆP VÀ THƯƠNG MẠI CƯỜNG THỊNH</t>
        </is>
      </c>
      <c r="I2656" s="18" t="inlineStr">
        <is>
          <t>Bulong Din 933 8.8 ZP M20x60</t>
        </is>
      </c>
      <c r="J2656" s="18" t="inlineStr">
        <is>
          <t>Cái</t>
        </is>
      </c>
      <c r="K2656" s="19" t="n">
        <v>6360</v>
      </c>
      <c r="L2656" s="20" t="n"/>
      <c r="M2656" s="20" t="n"/>
      <c r="N2656" s="22" t="n">
        <v>583</v>
      </c>
      <c r="O2656" s="22" t="n">
        <v>3707880</v>
      </c>
      <c r="P2656" s="22" t="n">
        <v>583</v>
      </c>
      <c r="Q2656" s="22" t="n">
        <v>3707880</v>
      </c>
      <c r="R2656" s="42">
        <f>+L2656+N2656-P2656</f>
        <v/>
      </c>
      <c r="S2656" s="42">
        <f>+M2656+O2656-Q2656</f>
        <v/>
      </c>
    </row>
    <row r="2657" ht="30" customHeight="1">
      <c r="A2657" s="16" t="n">
        <v>45892</v>
      </c>
      <c r="B2657" s="17" t="inlineStr">
        <is>
          <t>MH2508-52</t>
        </is>
      </c>
      <c r="C2657" s="16" t="n">
        <v>45892</v>
      </c>
      <c r="D2657" s="17" t="inlineStr">
        <is>
          <t>00003320</t>
        </is>
      </c>
      <c r="E2657" s="16" t="n">
        <v>45892</v>
      </c>
      <c r="F2657" s="16" t="inlineStr">
        <is>
          <t>XK2508-42</t>
        </is>
      </c>
      <c r="G2657" s="16" t="n">
        <v>45892</v>
      </c>
      <c r="H2657" s="18" t="inlineStr">
        <is>
          <t>CÔNG TY CỔ PHẦN CÔNG NGHIỆP VÀ THƯƠNG MẠI CƯỜNG THỊNH</t>
        </is>
      </c>
      <c r="I2657" s="18" t="inlineStr">
        <is>
          <t>Đai ốc Din 934 8 ZP M20</t>
        </is>
      </c>
      <c r="J2657" s="18" t="inlineStr">
        <is>
          <t>Cái</t>
        </is>
      </c>
      <c r="K2657" s="19" t="n">
        <v>2030</v>
      </c>
      <c r="L2657" s="20" t="n"/>
      <c r="M2657" s="20" t="n"/>
      <c r="N2657" s="22" t="n">
        <v>583</v>
      </c>
      <c r="O2657" s="22" t="n">
        <v>1183490</v>
      </c>
      <c r="P2657" s="22" t="n">
        <v>583</v>
      </c>
      <c r="Q2657" s="22" t="n">
        <v>1183490</v>
      </c>
      <c r="R2657" s="42">
        <f>+L2657+N2657-P2657</f>
        <v/>
      </c>
      <c r="S2657" s="42">
        <f>+M2657+O2657-Q2657</f>
        <v/>
      </c>
    </row>
    <row r="2658" ht="30" customHeight="1">
      <c r="A2658" s="16" t="n">
        <v>45892</v>
      </c>
      <c r="B2658" s="17" t="inlineStr">
        <is>
          <t>MH2508-52</t>
        </is>
      </c>
      <c r="C2658" s="16" t="n">
        <v>45892</v>
      </c>
      <c r="D2658" s="17" t="inlineStr">
        <is>
          <t>00003320</t>
        </is>
      </c>
      <c r="E2658" s="16" t="n">
        <v>45892</v>
      </c>
      <c r="F2658" s="16" t="inlineStr">
        <is>
          <t>XK2508-42</t>
        </is>
      </c>
      <c r="G2658" s="16" t="n">
        <v>45892</v>
      </c>
      <c r="H2658" s="18" t="inlineStr">
        <is>
          <t>CÔNG TY CỔ PHẦN CÔNG NGHIỆP VÀ THƯƠNG MẠI CƯỜNG THỊNH</t>
        </is>
      </c>
      <c r="I2658" s="18" t="inlineStr">
        <is>
          <t>Long đền thường ZP M20B35D2</t>
        </is>
      </c>
      <c r="J2658" s="18" t="inlineStr">
        <is>
          <t>Cái</t>
        </is>
      </c>
      <c r="K2658" s="19" t="n">
        <v>350</v>
      </c>
      <c r="L2658" s="20" t="n"/>
      <c r="M2658" s="20" t="n"/>
      <c r="N2658" s="22" t="n">
        <v>583</v>
      </c>
      <c r="O2658" s="22" t="n">
        <v>204050</v>
      </c>
      <c r="P2658" s="22" t="n">
        <v>583</v>
      </c>
      <c r="Q2658" s="22" t="n">
        <v>204050</v>
      </c>
      <c r="R2658" s="42">
        <f>+L2658+N2658-P2658</f>
        <v/>
      </c>
      <c r="S2658" s="42">
        <f>+M2658+O2658-Q2658</f>
        <v/>
      </c>
    </row>
    <row r="2659" ht="30" customHeight="1">
      <c r="A2659" s="16" t="n">
        <v>45892</v>
      </c>
      <c r="B2659" s="17" t="inlineStr">
        <is>
          <t>MH2508-52</t>
        </is>
      </c>
      <c r="C2659" s="16" t="n">
        <v>45892</v>
      </c>
      <c r="D2659" s="17" t="inlineStr">
        <is>
          <t>00003320</t>
        </is>
      </c>
      <c r="E2659" s="16" t="n">
        <v>45892</v>
      </c>
      <c r="F2659" s="16" t="inlineStr">
        <is>
          <t>XK2508-42</t>
        </is>
      </c>
      <c r="G2659" s="16" t="n">
        <v>45892</v>
      </c>
      <c r="H2659" s="18" t="inlineStr">
        <is>
          <t>CÔNG TY CỔ PHẦN CÔNG NGHIỆP VÀ THƯƠNG MẠI CƯỜNG THỊNH</t>
        </is>
      </c>
      <c r="I2659" s="18" t="inlineStr">
        <is>
          <t>Bulong Din 933 8.8 ZP M20x50</t>
        </is>
      </c>
      <c r="J2659" s="18" t="inlineStr">
        <is>
          <t>Cái</t>
        </is>
      </c>
      <c r="K2659" s="19" t="n">
        <v>5760</v>
      </c>
      <c r="L2659" s="20" t="n"/>
      <c r="M2659" s="20" t="n"/>
      <c r="N2659" s="22" t="n">
        <v>21</v>
      </c>
      <c r="O2659" s="22" t="n">
        <v>120960</v>
      </c>
      <c r="P2659" s="22" t="n">
        <v>21</v>
      </c>
      <c r="Q2659" s="22" t="n">
        <v>120960</v>
      </c>
      <c r="R2659" s="42">
        <f>+L2659+N2659-P2659</f>
        <v/>
      </c>
      <c r="S2659" s="42">
        <f>+M2659+O2659-Q2659</f>
        <v/>
      </c>
    </row>
    <row r="2660" ht="30" customHeight="1">
      <c r="A2660" s="16" t="n">
        <v>45892</v>
      </c>
      <c r="B2660" s="17" t="inlineStr">
        <is>
          <t>MH2508-52</t>
        </is>
      </c>
      <c r="C2660" s="16" t="n">
        <v>45892</v>
      </c>
      <c r="D2660" s="17" t="inlineStr">
        <is>
          <t>00003320</t>
        </is>
      </c>
      <c r="E2660" s="16" t="n">
        <v>45892</v>
      </c>
      <c r="F2660" s="16" t="inlineStr">
        <is>
          <t>XK2508-42</t>
        </is>
      </c>
      <c r="G2660" s="16" t="n">
        <v>45892</v>
      </c>
      <c r="H2660" s="18" t="inlineStr">
        <is>
          <t>CÔNG TY CỔ PHẦN CÔNG NGHIỆP VÀ THƯƠNG MẠI CƯỜNG THỊNH</t>
        </is>
      </c>
      <c r="I2660" s="18" t="inlineStr">
        <is>
          <t>Đai ốc Din 934 8 ZP M20</t>
        </is>
      </c>
      <c r="J2660" s="18" t="inlineStr">
        <is>
          <t>Cái</t>
        </is>
      </c>
      <c r="K2660" s="19" t="n">
        <v>2030</v>
      </c>
      <c r="L2660" s="20" t="n"/>
      <c r="M2660" s="20" t="n"/>
      <c r="N2660" s="22" t="n">
        <v>21</v>
      </c>
      <c r="O2660" s="22" t="n">
        <v>42630</v>
      </c>
      <c r="P2660" s="22" t="n">
        <v>21</v>
      </c>
      <c r="Q2660" s="22" t="n">
        <v>42630</v>
      </c>
      <c r="R2660" s="42">
        <f>+L2660+N2660-P2660</f>
        <v/>
      </c>
      <c r="S2660" s="42">
        <f>+M2660+O2660-Q2660</f>
        <v/>
      </c>
    </row>
    <row r="2661" ht="30" customHeight="1">
      <c r="A2661" s="16" t="n">
        <v>45892</v>
      </c>
      <c r="B2661" s="17" t="inlineStr">
        <is>
          <t>MH2508-52</t>
        </is>
      </c>
      <c r="C2661" s="16" t="n">
        <v>45892</v>
      </c>
      <c r="D2661" s="17" t="inlineStr">
        <is>
          <t>00003320</t>
        </is>
      </c>
      <c r="E2661" s="16" t="n">
        <v>45892</v>
      </c>
      <c r="F2661" s="16" t="inlineStr">
        <is>
          <t>XK2508-42</t>
        </is>
      </c>
      <c r="G2661" s="16" t="n">
        <v>45892</v>
      </c>
      <c r="H2661" s="18" t="inlineStr">
        <is>
          <t>CÔNG TY CỔ PHẦN CÔNG NGHIỆP VÀ THƯƠNG MẠI CƯỜNG THỊNH</t>
        </is>
      </c>
      <c r="I2661" s="18" t="inlineStr">
        <is>
          <t>Long đền thường ZP M20B35D2</t>
        </is>
      </c>
      <c r="J2661" s="18" t="inlineStr">
        <is>
          <t>Cái</t>
        </is>
      </c>
      <c r="K2661" s="19" t="n">
        <v>350</v>
      </c>
      <c r="L2661" s="20" t="n"/>
      <c r="M2661" s="20" t="n"/>
      <c r="N2661" s="22" t="n">
        <v>21</v>
      </c>
      <c r="O2661" s="22" t="n">
        <v>7350</v>
      </c>
      <c r="P2661" s="22" t="n">
        <v>21</v>
      </c>
      <c r="Q2661" s="22" t="n">
        <v>7350</v>
      </c>
      <c r="R2661" s="42">
        <f>+L2661+N2661-P2661</f>
        <v/>
      </c>
      <c r="S2661" s="42">
        <f>+M2661+O2661-Q2661</f>
        <v/>
      </c>
    </row>
    <row r="2662" ht="30" customHeight="1">
      <c r="A2662" s="16" t="n">
        <v>45892</v>
      </c>
      <c r="B2662" s="17" t="inlineStr">
        <is>
          <t>MH2508-52</t>
        </is>
      </c>
      <c r="C2662" s="16" t="n">
        <v>45892</v>
      </c>
      <c r="D2662" s="17" t="inlineStr">
        <is>
          <t>00003320</t>
        </is>
      </c>
      <c r="E2662" s="16" t="n">
        <v>45892</v>
      </c>
      <c r="F2662" s="16" t="inlineStr">
        <is>
          <t>XK2508-42</t>
        </is>
      </c>
      <c r="G2662" s="16" t="n">
        <v>45892</v>
      </c>
      <c r="H2662" s="18" t="inlineStr">
        <is>
          <t>CÔNG TY CỔ PHẦN CÔNG NGHIỆP VÀ THƯƠNG MẠI CƯỜNG THỊNH</t>
        </is>
      </c>
      <c r="I2662" s="18" t="inlineStr">
        <is>
          <t>Bulong Din 933 8.8 ZP M16x50</t>
        </is>
      </c>
      <c r="J2662" s="18" t="inlineStr">
        <is>
          <t>Cái</t>
        </is>
      </c>
      <c r="K2662" s="19" t="n">
        <v>3470</v>
      </c>
      <c r="L2662" s="20" t="n"/>
      <c r="M2662" s="20" t="n"/>
      <c r="N2662" s="22" t="n">
        <v>41</v>
      </c>
      <c r="O2662" s="22" t="n">
        <v>142270</v>
      </c>
      <c r="P2662" s="22" t="n">
        <v>41</v>
      </c>
      <c r="Q2662" s="22" t="n">
        <v>142270</v>
      </c>
      <c r="R2662" s="42">
        <f>+L2662+N2662-P2662</f>
        <v/>
      </c>
      <c r="S2662" s="42">
        <f>+M2662+O2662-Q2662</f>
        <v/>
      </c>
    </row>
    <row r="2663" ht="30" customHeight="1">
      <c r="A2663" s="16" t="n">
        <v>45892</v>
      </c>
      <c r="B2663" s="17" t="inlineStr">
        <is>
          <t>MH2508-52</t>
        </is>
      </c>
      <c r="C2663" s="16" t="n">
        <v>45892</v>
      </c>
      <c r="D2663" s="17" t="inlineStr">
        <is>
          <t>00003320</t>
        </is>
      </c>
      <c r="E2663" s="16" t="n">
        <v>45892</v>
      </c>
      <c r="F2663" s="16" t="inlineStr">
        <is>
          <t>XK2508-42</t>
        </is>
      </c>
      <c r="G2663" s="16" t="n">
        <v>45892</v>
      </c>
      <c r="H2663" s="18" t="inlineStr">
        <is>
          <t>CÔNG TY CỔ PHẦN CÔNG NGHIỆP VÀ THƯƠNG MẠI CƯỜNG THỊNH</t>
        </is>
      </c>
      <c r="I2663" s="18" t="inlineStr">
        <is>
          <t>Đai ốc Din 934 8 ZP M16</t>
        </is>
      </c>
      <c r="J2663" s="18" t="inlineStr">
        <is>
          <t>Cái</t>
        </is>
      </c>
      <c r="K2663" s="19" t="n">
        <v>1090</v>
      </c>
      <c r="L2663" s="20" t="n"/>
      <c r="M2663" s="20" t="n"/>
      <c r="N2663" s="22" t="n">
        <v>41</v>
      </c>
      <c r="O2663" s="22" t="n">
        <v>44690</v>
      </c>
      <c r="P2663" s="22" t="n">
        <v>41</v>
      </c>
      <c r="Q2663" s="22" t="n">
        <v>44690</v>
      </c>
      <c r="R2663" s="42">
        <f>+L2663+N2663-P2663</f>
        <v/>
      </c>
      <c r="S2663" s="42">
        <f>+M2663+O2663-Q2663</f>
        <v/>
      </c>
    </row>
    <row r="2664" ht="30" customHeight="1">
      <c r="A2664" s="16" t="n">
        <v>45892</v>
      </c>
      <c r="B2664" s="17" t="inlineStr">
        <is>
          <t>MH2508-52</t>
        </is>
      </c>
      <c r="C2664" s="16" t="n">
        <v>45892</v>
      </c>
      <c r="D2664" s="17" t="inlineStr">
        <is>
          <t>00003320</t>
        </is>
      </c>
      <c r="E2664" s="16" t="n">
        <v>45892</v>
      </c>
      <c r="F2664" s="16" t="inlineStr">
        <is>
          <t>XK2508-42</t>
        </is>
      </c>
      <c r="G2664" s="16" t="n">
        <v>45892</v>
      </c>
      <c r="H2664" s="18" t="inlineStr">
        <is>
          <t>CÔNG TY CỔ PHẦN CÔNG NGHIỆP VÀ THƯƠNG MẠI CƯỜNG THỊNH</t>
        </is>
      </c>
      <c r="I2664" s="18" t="inlineStr">
        <is>
          <t>Long đền thường ZP M16B30D2</t>
        </is>
      </c>
      <c r="J2664" s="18" t="inlineStr">
        <is>
          <t>Cái</t>
        </is>
      </c>
      <c r="K2664" s="19" t="n">
        <v>330</v>
      </c>
      <c r="L2664" s="20" t="n"/>
      <c r="M2664" s="20" t="n"/>
      <c r="N2664" s="22" t="n">
        <v>41</v>
      </c>
      <c r="O2664" s="22" t="n">
        <v>13530</v>
      </c>
      <c r="P2664" s="22" t="n">
        <v>41</v>
      </c>
      <c r="Q2664" s="22" t="n">
        <v>13530</v>
      </c>
      <c r="R2664" s="42">
        <f>+L2664+N2664-P2664</f>
        <v/>
      </c>
      <c r="S2664" s="42">
        <f>+M2664+O2664-Q2664</f>
        <v/>
      </c>
    </row>
    <row r="2665" ht="30" customHeight="1">
      <c r="A2665" s="16" t="n">
        <v>45892</v>
      </c>
      <c r="B2665" s="17" t="inlineStr">
        <is>
          <t>MH2508-52</t>
        </is>
      </c>
      <c r="C2665" s="16" t="n">
        <v>45892</v>
      </c>
      <c r="D2665" s="17" t="inlineStr">
        <is>
          <t>00003320</t>
        </is>
      </c>
      <c r="E2665" s="16" t="n">
        <v>45892</v>
      </c>
      <c r="F2665" s="16" t="inlineStr">
        <is>
          <t>XK2508-42</t>
        </is>
      </c>
      <c r="G2665" s="16" t="n">
        <v>45892</v>
      </c>
      <c r="H2665" s="18" t="inlineStr">
        <is>
          <t>CÔNG TY CỔ PHẦN CÔNG NGHIỆP VÀ THƯƠNG MẠI CƯỜNG THỊNH</t>
        </is>
      </c>
      <c r="I2665" s="18" t="inlineStr">
        <is>
          <t>Vít B2 Dacromet 12-14x20</t>
        </is>
      </c>
      <c r="J2665" s="18" t="inlineStr">
        <is>
          <t>Cái</t>
        </is>
      </c>
      <c r="K2665" s="19" t="n">
        <v>600</v>
      </c>
      <c r="L2665" s="20" t="n"/>
      <c r="M2665" s="20" t="n"/>
      <c r="N2665" s="22" t="n">
        <v>400</v>
      </c>
      <c r="O2665" s="22" t="n">
        <v>240000</v>
      </c>
      <c r="P2665" s="22" t="n">
        <v>400</v>
      </c>
      <c r="Q2665" s="22" t="n">
        <v>240000</v>
      </c>
      <c r="R2665" s="42">
        <f>+L2665+N2665-P2665</f>
        <v/>
      </c>
      <c r="S2665" s="42">
        <f>+M2665+O2665-Q2665</f>
        <v/>
      </c>
    </row>
    <row r="2666" ht="30" customHeight="1">
      <c r="A2666" s="16" t="n">
        <v>45892</v>
      </c>
      <c r="B2666" s="17" t="inlineStr">
        <is>
          <t>MH2508-53</t>
        </is>
      </c>
      <c r="C2666" s="16" t="n">
        <v>45892</v>
      </c>
      <c r="D2666" s="17" t="inlineStr">
        <is>
          <t>00003315</t>
        </is>
      </c>
      <c r="E2666" s="16" t="n">
        <v>45892</v>
      </c>
      <c r="F2666" s="16" t="inlineStr">
        <is>
          <t>XK2508-43</t>
        </is>
      </c>
      <c r="G2666" s="16" t="n">
        <v>45892</v>
      </c>
      <c r="H2666" s="18" t="inlineStr">
        <is>
          <t>CÔNG TY CỔ PHẦN CÔNG NGHIỆP VÀ THƯƠNG MẠI CƯỜNG THỊNH</t>
        </is>
      </c>
      <c r="I2666" s="18" t="inlineStr">
        <is>
          <t>Bulong thường 4.6 ZP M12x30</t>
        </is>
      </c>
      <c r="J2666" s="18" t="inlineStr">
        <is>
          <t>Cái</t>
        </is>
      </c>
      <c r="K2666" s="19" t="n">
        <v>950</v>
      </c>
      <c r="L2666" s="20" t="n"/>
      <c r="M2666" s="20" t="n"/>
      <c r="N2666" s="22" t="n">
        <v>607</v>
      </c>
      <c r="O2666" s="22" t="n">
        <v>576650</v>
      </c>
      <c r="P2666" s="22" t="n">
        <v>607</v>
      </c>
      <c r="Q2666" s="22" t="n">
        <v>576650</v>
      </c>
      <c r="R2666" s="42">
        <f>+L2666+N2666-P2666</f>
        <v/>
      </c>
      <c r="S2666" s="42">
        <f>+M2666+O2666-Q2666</f>
        <v/>
      </c>
    </row>
    <row r="2667" ht="30" customHeight="1">
      <c r="A2667" s="16" t="n">
        <v>45892</v>
      </c>
      <c r="B2667" s="17" t="inlineStr">
        <is>
          <t>MH2508-53</t>
        </is>
      </c>
      <c r="C2667" s="16" t="n">
        <v>45892</v>
      </c>
      <c r="D2667" s="17" t="inlineStr">
        <is>
          <t>00003315</t>
        </is>
      </c>
      <c r="E2667" s="16" t="n">
        <v>45892</v>
      </c>
      <c r="F2667" s="16" t="inlineStr">
        <is>
          <t>XK2508-43</t>
        </is>
      </c>
      <c r="G2667" s="16" t="n">
        <v>45892</v>
      </c>
      <c r="H2667" s="18" t="inlineStr">
        <is>
          <t>CÔNG TY CỔ PHẦN CÔNG NGHIỆP VÀ THƯƠNG MẠI CƯỜNG THỊNH</t>
        </is>
      </c>
      <c r="I2667" s="18" t="inlineStr">
        <is>
          <t>Đai ốc thường 4 ZP M12 (9mm)</t>
        </is>
      </c>
      <c r="J2667" s="18" t="inlineStr">
        <is>
          <t>Cái</t>
        </is>
      </c>
      <c r="K2667" s="19" t="n">
        <v>360</v>
      </c>
      <c r="L2667" s="20" t="n"/>
      <c r="M2667" s="20" t="n"/>
      <c r="N2667" s="22" t="n">
        <v>607</v>
      </c>
      <c r="O2667" s="22" t="n">
        <v>218520</v>
      </c>
      <c r="P2667" s="22" t="n">
        <v>607</v>
      </c>
      <c r="Q2667" s="22" t="n">
        <v>218520</v>
      </c>
      <c r="R2667" s="42">
        <f>+L2667+N2667-P2667</f>
        <v/>
      </c>
      <c r="S2667" s="42">
        <f>+M2667+O2667-Q2667</f>
        <v/>
      </c>
    </row>
    <row r="2668" ht="30" customHeight="1">
      <c r="A2668" s="16" t="n">
        <v>45892</v>
      </c>
      <c r="B2668" s="17" t="inlineStr">
        <is>
          <t>MH2508-53</t>
        </is>
      </c>
      <c r="C2668" s="16" t="n">
        <v>45892</v>
      </c>
      <c r="D2668" s="17" t="inlineStr">
        <is>
          <t>00003315</t>
        </is>
      </c>
      <c r="E2668" s="16" t="n">
        <v>45892</v>
      </c>
      <c r="F2668" s="16" t="inlineStr">
        <is>
          <t>XK2508-43</t>
        </is>
      </c>
      <c r="G2668" s="16" t="n">
        <v>45892</v>
      </c>
      <c r="H2668" s="18" t="inlineStr">
        <is>
          <t>CÔNG TY CỔ PHẦN CÔNG NGHIỆP VÀ THƯƠNG MẠI CƯỜNG THỊNH</t>
        </is>
      </c>
      <c r="I2668" s="18" t="inlineStr">
        <is>
          <t>Long đền thường ZP M12B23D1</t>
        </is>
      </c>
      <c r="J2668" s="18" t="inlineStr">
        <is>
          <t>Cái</t>
        </is>
      </c>
      <c r="K2668" s="19" t="n">
        <v>100</v>
      </c>
      <c r="L2668" s="20" t="n"/>
      <c r="M2668" s="20" t="n"/>
      <c r="N2668" s="22" t="n">
        <v>1214</v>
      </c>
      <c r="O2668" s="22" t="n">
        <v>121400</v>
      </c>
      <c r="P2668" s="22" t="n">
        <v>1214</v>
      </c>
      <c r="Q2668" s="22" t="n">
        <v>121400</v>
      </c>
      <c r="R2668" s="42">
        <f>+L2668+N2668-P2668</f>
        <v/>
      </c>
      <c r="S2668" s="42">
        <f>+M2668+O2668-Q2668</f>
        <v/>
      </c>
    </row>
    <row r="2669" ht="30" customHeight="1">
      <c r="A2669" s="16" t="n">
        <v>45892</v>
      </c>
      <c r="B2669" s="17" t="inlineStr">
        <is>
          <t>MH2508-53</t>
        </is>
      </c>
      <c r="C2669" s="16" t="n">
        <v>45892</v>
      </c>
      <c r="D2669" s="17" t="inlineStr">
        <is>
          <t>00003315</t>
        </is>
      </c>
      <c r="E2669" s="16" t="n">
        <v>45892</v>
      </c>
      <c r="F2669" s="16" t="inlineStr">
        <is>
          <t>XK2508-43</t>
        </is>
      </c>
      <c r="G2669" s="16" t="n">
        <v>45892</v>
      </c>
      <c r="H2669" s="18" t="inlineStr">
        <is>
          <t>CÔNG TY CỔ PHẦN CÔNG NGHIỆP VÀ THƯƠNG MẠI CƯỜNG THỊNH</t>
        </is>
      </c>
      <c r="I2669" s="18" t="inlineStr">
        <is>
          <t>Vít B2 Dacromet 12-14x20</t>
        </is>
      </c>
      <c r="J2669" s="18" t="inlineStr">
        <is>
          <t>Cái</t>
        </is>
      </c>
      <c r="K2669" s="19" t="n">
        <v>600</v>
      </c>
      <c r="L2669" s="20" t="n"/>
      <c r="M2669" s="20" t="n"/>
      <c r="N2669" s="22" t="n">
        <v>800</v>
      </c>
      <c r="O2669" s="22" t="n">
        <v>480000</v>
      </c>
      <c r="P2669" s="22" t="n">
        <v>800</v>
      </c>
      <c r="Q2669" s="22" t="n">
        <v>480000</v>
      </c>
      <c r="R2669" s="42">
        <f>+L2669+N2669-P2669</f>
        <v/>
      </c>
      <c r="S2669" s="42">
        <f>+M2669+O2669-Q2669</f>
        <v/>
      </c>
    </row>
    <row r="2670" ht="30" customHeight="1">
      <c r="A2670" s="16" t="n">
        <v>45892</v>
      </c>
      <c r="B2670" s="17" t="inlineStr">
        <is>
          <t>MH2508-53</t>
        </is>
      </c>
      <c r="C2670" s="16" t="n">
        <v>45892</v>
      </c>
      <c r="D2670" s="17" t="inlineStr">
        <is>
          <t>00003315</t>
        </is>
      </c>
      <c r="E2670" s="16" t="n">
        <v>45892</v>
      </c>
      <c r="F2670" s="16" t="inlineStr">
        <is>
          <t>XK2508-43</t>
        </is>
      </c>
      <c r="G2670" s="16" t="n">
        <v>45892</v>
      </c>
      <c r="H2670" s="18" t="inlineStr">
        <is>
          <t>CÔNG TY CỔ PHẦN CÔNG NGHIỆP VÀ THƯƠNG MẠI CƯỜNG THỊNH</t>
        </is>
      </c>
      <c r="I2670" s="18" t="inlineStr">
        <is>
          <t>Bulong Din 933 8.8 ZP M16x40</t>
        </is>
      </c>
      <c r="J2670" s="18" t="inlineStr">
        <is>
          <t>Cái</t>
        </is>
      </c>
      <c r="K2670" s="19" t="n">
        <v>3030</v>
      </c>
      <c r="L2670" s="20" t="n"/>
      <c r="M2670" s="20" t="n"/>
      <c r="N2670" s="22" t="n">
        <v>412</v>
      </c>
      <c r="O2670" s="22" t="n">
        <v>1248360</v>
      </c>
      <c r="P2670" s="22" t="n">
        <v>412</v>
      </c>
      <c r="Q2670" s="22" t="n">
        <v>1248360</v>
      </c>
      <c r="R2670" s="42">
        <f>+L2670+N2670-P2670</f>
        <v/>
      </c>
      <c r="S2670" s="42">
        <f>+M2670+O2670-Q2670</f>
        <v/>
      </c>
    </row>
    <row r="2671" ht="30" customHeight="1">
      <c r="A2671" s="16" t="n">
        <v>45892</v>
      </c>
      <c r="B2671" s="17" t="inlineStr">
        <is>
          <t>MH2508-53</t>
        </is>
      </c>
      <c r="C2671" s="16" t="n">
        <v>45892</v>
      </c>
      <c r="D2671" s="17" t="inlineStr">
        <is>
          <t>00003315</t>
        </is>
      </c>
      <c r="E2671" s="16" t="n">
        <v>45892</v>
      </c>
      <c r="F2671" s="16" t="inlineStr">
        <is>
          <t>XK2508-43</t>
        </is>
      </c>
      <c r="G2671" s="16" t="n">
        <v>45892</v>
      </c>
      <c r="H2671" s="18" t="inlineStr">
        <is>
          <t>CÔNG TY CỔ PHẦN CÔNG NGHIỆP VÀ THƯƠNG MẠI CƯỜNG THỊNH</t>
        </is>
      </c>
      <c r="I2671" s="18" t="inlineStr">
        <is>
          <t>Đai ốc Din 934 8 ZP M16</t>
        </is>
      </c>
      <c r="J2671" s="18" t="inlineStr">
        <is>
          <t>Cái</t>
        </is>
      </c>
      <c r="K2671" s="19" t="n">
        <v>1090</v>
      </c>
      <c r="L2671" s="20" t="n"/>
      <c r="M2671" s="20" t="n"/>
      <c r="N2671" s="22" t="n">
        <v>412</v>
      </c>
      <c r="O2671" s="22" t="n">
        <v>449080</v>
      </c>
      <c r="P2671" s="22" t="n">
        <v>412</v>
      </c>
      <c r="Q2671" s="22" t="n">
        <v>449080</v>
      </c>
      <c r="R2671" s="42">
        <f>+L2671+N2671-P2671</f>
        <v/>
      </c>
      <c r="S2671" s="42">
        <f>+M2671+O2671-Q2671</f>
        <v/>
      </c>
    </row>
    <row r="2672" ht="30" customHeight="1">
      <c r="A2672" s="16" t="n">
        <v>45892</v>
      </c>
      <c r="B2672" s="17" t="inlineStr">
        <is>
          <t>MH2508-53</t>
        </is>
      </c>
      <c r="C2672" s="16" t="n">
        <v>45892</v>
      </c>
      <c r="D2672" s="17" t="inlineStr">
        <is>
          <t>00003315</t>
        </is>
      </c>
      <c r="E2672" s="16" t="n">
        <v>45892</v>
      </c>
      <c r="F2672" s="16" t="inlineStr">
        <is>
          <t>XK2508-43</t>
        </is>
      </c>
      <c r="G2672" s="16" t="n">
        <v>45892</v>
      </c>
      <c r="H2672" s="18" t="inlineStr">
        <is>
          <t>CÔNG TY CỔ PHẦN CÔNG NGHIỆP VÀ THƯƠNG MẠI CƯỜNG THỊNH</t>
        </is>
      </c>
      <c r="I2672" s="18" t="inlineStr">
        <is>
          <t>Long đền thường ZP M16B30D2</t>
        </is>
      </c>
      <c r="J2672" s="18" t="inlineStr">
        <is>
          <t>Cái</t>
        </is>
      </c>
      <c r="K2672" s="19" t="n">
        <v>330</v>
      </c>
      <c r="L2672" s="20" t="n"/>
      <c r="M2672" s="20" t="n"/>
      <c r="N2672" s="22" t="n">
        <v>412</v>
      </c>
      <c r="O2672" s="22" t="n">
        <v>135960</v>
      </c>
      <c r="P2672" s="22" t="n">
        <v>412</v>
      </c>
      <c r="Q2672" s="22" t="n">
        <v>135960</v>
      </c>
      <c r="R2672" s="42">
        <f>+L2672+N2672-P2672</f>
        <v/>
      </c>
      <c r="S2672" s="42">
        <f>+M2672+O2672-Q2672</f>
        <v/>
      </c>
    </row>
    <row r="2673" ht="30" customHeight="1">
      <c r="A2673" s="16" t="n">
        <v>45892</v>
      </c>
      <c r="B2673" s="17" t="inlineStr">
        <is>
          <t>MH2508-53</t>
        </is>
      </c>
      <c r="C2673" s="16" t="n">
        <v>45892</v>
      </c>
      <c r="D2673" s="17" t="inlineStr">
        <is>
          <t>00003315</t>
        </is>
      </c>
      <c r="E2673" s="16" t="n">
        <v>45892</v>
      </c>
      <c r="F2673" s="16" t="inlineStr">
        <is>
          <t>XK2508-43</t>
        </is>
      </c>
      <c r="G2673" s="16" t="n">
        <v>45892</v>
      </c>
      <c r="H2673" s="18" t="inlineStr">
        <is>
          <t>CÔNG TY CỔ PHẦN CÔNG NGHIỆP VÀ THƯƠNG MẠI CƯỜNG THỊNH</t>
        </is>
      </c>
      <c r="I2673" s="18" t="inlineStr">
        <is>
          <t>Bulong Din 933 8.8 ZP M16x50</t>
        </is>
      </c>
      <c r="J2673" s="18" t="inlineStr">
        <is>
          <t>Cái</t>
        </is>
      </c>
      <c r="K2673" s="19" t="n">
        <v>3470</v>
      </c>
      <c r="L2673" s="20" t="n"/>
      <c r="M2673" s="20" t="n"/>
      <c r="N2673" s="22" t="n">
        <v>78</v>
      </c>
      <c r="O2673" s="22" t="n">
        <v>270660</v>
      </c>
      <c r="P2673" s="22" t="n">
        <v>78</v>
      </c>
      <c r="Q2673" s="22" t="n">
        <v>270660</v>
      </c>
      <c r="R2673" s="42">
        <f>+L2673+N2673-P2673</f>
        <v/>
      </c>
      <c r="S2673" s="42">
        <f>+M2673+O2673-Q2673</f>
        <v/>
      </c>
    </row>
    <row r="2674" ht="30" customHeight="1">
      <c r="A2674" s="16" t="n">
        <v>45892</v>
      </c>
      <c r="B2674" s="17" t="inlineStr">
        <is>
          <t>MH2508-53</t>
        </is>
      </c>
      <c r="C2674" s="16" t="n">
        <v>45892</v>
      </c>
      <c r="D2674" s="17" t="inlineStr">
        <is>
          <t>00003315</t>
        </is>
      </c>
      <c r="E2674" s="16" t="n">
        <v>45892</v>
      </c>
      <c r="F2674" s="16" t="inlineStr">
        <is>
          <t>XK2508-43</t>
        </is>
      </c>
      <c r="G2674" s="16" t="n">
        <v>45892</v>
      </c>
      <c r="H2674" s="18" t="inlineStr">
        <is>
          <t>CÔNG TY CỔ PHẦN CÔNG NGHIỆP VÀ THƯƠNG MẠI CƯỜNG THỊNH</t>
        </is>
      </c>
      <c r="I2674" s="18" t="inlineStr">
        <is>
          <t>Đai ốc Din 934 8 ZP M16</t>
        </is>
      </c>
      <c r="J2674" s="18" t="inlineStr">
        <is>
          <t>Cái</t>
        </is>
      </c>
      <c r="K2674" s="19" t="n">
        <v>1090</v>
      </c>
      <c r="L2674" s="20" t="n"/>
      <c r="M2674" s="20" t="n"/>
      <c r="N2674" s="22" t="n">
        <v>78</v>
      </c>
      <c r="O2674" s="22" t="n">
        <v>85020</v>
      </c>
      <c r="P2674" s="22" t="n">
        <v>78</v>
      </c>
      <c r="Q2674" s="22" t="n">
        <v>85020</v>
      </c>
      <c r="R2674" s="42">
        <f>+L2674+N2674-P2674</f>
        <v/>
      </c>
      <c r="S2674" s="42">
        <f>+M2674+O2674-Q2674</f>
        <v/>
      </c>
    </row>
    <row r="2675" ht="30" customHeight="1">
      <c r="A2675" s="16" t="n">
        <v>45892</v>
      </c>
      <c r="B2675" s="17" t="inlineStr">
        <is>
          <t>MH2508-53</t>
        </is>
      </c>
      <c r="C2675" s="16" t="n">
        <v>45892</v>
      </c>
      <c r="D2675" s="17" t="inlineStr">
        <is>
          <t>00003315</t>
        </is>
      </c>
      <c r="E2675" s="16" t="n">
        <v>45892</v>
      </c>
      <c r="F2675" s="16" t="inlineStr">
        <is>
          <t>XK2508-43</t>
        </is>
      </c>
      <c r="G2675" s="16" t="n">
        <v>45892</v>
      </c>
      <c r="H2675" s="18" t="inlineStr">
        <is>
          <t>CÔNG TY CỔ PHẦN CÔNG NGHIỆP VÀ THƯƠNG MẠI CƯỜNG THỊNH</t>
        </is>
      </c>
      <c r="I2675" s="18" t="inlineStr">
        <is>
          <t>Long đền thường ZP M16B30D2</t>
        </is>
      </c>
      <c r="J2675" s="18" t="inlineStr">
        <is>
          <t>Cái</t>
        </is>
      </c>
      <c r="K2675" s="19" t="n">
        <v>330</v>
      </c>
      <c r="L2675" s="20" t="n"/>
      <c r="M2675" s="20" t="n"/>
      <c r="N2675" s="22" t="n">
        <v>78</v>
      </c>
      <c r="O2675" s="22" t="n">
        <v>25740</v>
      </c>
      <c r="P2675" s="22" t="n">
        <v>78</v>
      </c>
      <c r="Q2675" s="22" t="n">
        <v>25740</v>
      </c>
      <c r="R2675" s="42">
        <f>+L2675+N2675-P2675</f>
        <v/>
      </c>
      <c r="S2675" s="42">
        <f>+M2675+O2675-Q2675</f>
        <v/>
      </c>
    </row>
    <row r="2676" ht="30" customHeight="1">
      <c r="A2676" s="16" t="n">
        <v>45892</v>
      </c>
      <c r="B2676" s="17" t="inlineStr">
        <is>
          <t>MH2508-53</t>
        </is>
      </c>
      <c r="C2676" s="16" t="n">
        <v>45892</v>
      </c>
      <c r="D2676" s="17" t="inlineStr">
        <is>
          <t>00003315</t>
        </is>
      </c>
      <c r="E2676" s="16" t="n">
        <v>45892</v>
      </c>
      <c r="F2676" s="16" t="inlineStr">
        <is>
          <t>XK2508-43</t>
        </is>
      </c>
      <c r="G2676" s="16" t="n">
        <v>45892</v>
      </c>
      <c r="H2676" s="18" t="inlineStr">
        <is>
          <t>CÔNG TY CỔ PHẦN CÔNG NGHIỆP VÀ THƯƠNG MẠI CƯỜNG THỊNH</t>
        </is>
      </c>
      <c r="I2676" s="18" t="inlineStr">
        <is>
          <t>Bulong Din 933 8.8 ZP M20x50</t>
        </is>
      </c>
      <c r="J2676" s="18" t="inlineStr">
        <is>
          <t>Cái</t>
        </is>
      </c>
      <c r="K2676" s="19" t="n">
        <v>5760</v>
      </c>
      <c r="L2676" s="20" t="n"/>
      <c r="M2676" s="20" t="n"/>
      <c r="N2676" s="22" t="n">
        <v>45</v>
      </c>
      <c r="O2676" s="22" t="n">
        <v>259200</v>
      </c>
      <c r="P2676" s="22" t="n">
        <v>45</v>
      </c>
      <c r="Q2676" s="22" t="n">
        <v>259200</v>
      </c>
      <c r="R2676" s="42">
        <f>+L2676+N2676-P2676</f>
        <v/>
      </c>
      <c r="S2676" s="42">
        <f>+M2676+O2676-Q2676</f>
        <v/>
      </c>
    </row>
    <row r="2677" ht="30" customHeight="1">
      <c r="A2677" s="16" t="n">
        <v>45892</v>
      </c>
      <c r="B2677" s="17" t="inlineStr">
        <is>
          <t>MH2508-53</t>
        </is>
      </c>
      <c r="C2677" s="16" t="n">
        <v>45892</v>
      </c>
      <c r="D2677" s="17" t="inlineStr">
        <is>
          <t>00003315</t>
        </is>
      </c>
      <c r="E2677" s="16" t="n">
        <v>45892</v>
      </c>
      <c r="F2677" s="16" t="inlineStr">
        <is>
          <t>XK2508-43</t>
        </is>
      </c>
      <c r="G2677" s="16" t="n">
        <v>45892</v>
      </c>
      <c r="H2677" s="18" t="inlineStr">
        <is>
          <t>CÔNG TY CỔ PHẦN CÔNG NGHIỆP VÀ THƯƠNG MẠI CƯỜNG THỊNH</t>
        </is>
      </c>
      <c r="I2677" s="18" t="inlineStr">
        <is>
          <t>Đai ốc Din 934 8 ZP M20</t>
        </is>
      </c>
      <c r="J2677" s="18" t="inlineStr">
        <is>
          <t>Cái</t>
        </is>
      </c>
      <c r="K2677" s="19" t="n">
        <v>2030</v>
      </c>
      <c r="L2677" s="20" t="n"/>
      <c r="M2677" s="20" t="n"/>
      <c r="N2677" s="22" t="n">
        <v>45</v>
      </c>
      <c r="O2677" s="22" t="n">
        <v>91350</v>
      </c>
      <c r="P2677" s="22" t="n">
        <v>45</v>
      </c>
      <c r="Q2677" s="22" t="n">
        <v>91350</v>
      </c>
      <c r="R2677" s="42">
        <f>+L2677+N2677-P2677</f>
        <v/>
      </c>
      <c r="S2677" s="42">
        <f>+M2677+O2677-Q2677</f>
        <v/>
      </c>
    </row>
    <row r="2678" ht="30" customHeight="1">
      <c r="A2678" s="16" t="n">
        <v>45892</v>
      </c>
      <c r="B2678" s="17" t="inlineStr">
        <is>
          <t>MH2508-53</t>
        </is>
      </c>
      <c r="C2678" s="16" t="n">
        <v>45892</v>
      </c>
      <c r="D2678" s="17" t="inlineStr">
        <is>
          <t>00003315</t>
        </is>
      </c>
      <c r="E2678" s="16" t="n">
        <v>45892</v>
      </c>
      <c r="F2678" s="16" t="inlineStr">
        <is>
          <t>XK2508-43</t>
        </is>
      </c>
      <c r="G2678" s="16" t="n">
        <v>45892</v>
      </c>
      <c r="H2678" s="18" t="inlineStr">
        <is>
          <t>CÔNG TY CỔ PHẦN CÔNG NGHIỆP VÀ THƯƠNG MẠI CƯỜNG THỊNH</t>
        </is>
      </c>
      <c r="I2678" s="18" t="inlineStr">
        <is>
          <t>Long đền thường ZP M20B35D2</t>
        </is>
      </c>
      <c r="J2678" s="18" t="inlineStr">
        <is>
          <t>Cái</t>
        </is>
      </c>
      <c r="K2678" s="19" t="n">
        <v>350</v>
      </c>
      <c r="L2678" s="20" t="n"/>
      <c r="M2678" s="20" t="n"/>
      <c r="N2678" s="22" t="n">
        <v>45</v>
      </c>
      <c r="O2678" s="22" t="n">
        <v>15750</v>
      </c>
      <c r="P2678" s="22" t="n">
        <v>45</v>
      </c>
      <c r="Q2678" s="22" t="n">
        <v>15750</v>
      </c>
      <c r="R2678" s="42">
        <f>+L2678+N2678-P2678</f>
        <v/>
      </c>
      <c r="S2678" s="42">
        <f>+M2678+O2678-Q2678</f>
        <v/>
      </c>
    </row>
    <row r="2679" ht="30" customHeight="1">
      <c r="A2679" s="16" t="n">
        <v>45892</v>
      </c>
      <c r="B2679" s="17" t="inlineStr">
        <is>
          <t>MH2508-53</t>
        </is>
      </c>
      <c r="C2679" s="16" t="n">
        <v>45892</v>
      </c>
      <c r="D2679" s="17" t="inlineStr">
        <is>
          <t>00003315</t>
        </is>
      </c>
      <c r="E2679" s="16" t="n">
        <v>45892</v>
      </c>
      <c r="F2679" s="16" t="inlineStr">
        <is>
          <t>XK2508-43</t>
        </is>
      </c>
      <c r="G2679" s="16" t="n">
        <v>45892</v>
      </c>
      <c r="H2679" s="18" t="inlineStr">
        <is>
          <t>CÔNG TY CỔ PHẦN CÔNG NGHIỆP VÀ THƯƠNG MẠI CƯỜNG THỊNH</t>
        </is>
      </c>
      <c r="I2679" s="18" t="inlineStr">
        <is>
          <t>Bulong Din 933 8.8 ZP M20x60</t>
        </is>
      </c>
      <c r="J2679" s="18" t="inlineStr">
        <is>
          <t>Cái</t>
        </is>
      </c>
      <c r="K2679" s="19" t="n">
        <v>6360</v>
      </c>
      <c r="L2679" s="20" t="n"/>
      <c r="M2679" s="20" t="n"/>
      <c r="N2679" s="22" t="n">
        <v>1135</v>
      </c>
      <c r="O2679" s="22" t="n">
        <v>7218600</v>
      </c>
      <c r="P2679" s="22" t="n">
        <v>1135</v>
      </c>
      <c r="Q2679" s="22" t="n">
        <v>7218600</v>
      </c>
      <c r="R2679" s="42">
        <f>+L2679+N2679-P2679</f>
        <v/>
      </c>
      <c r="S2679" s="42">
        <f>+M2679+O2679-Q2679</f>
        <v/>
      </c>
    </row>
    <row r="2680" ht="30" customHeight="1">
      <c r="A2680" s="16" t="n">
        <v>45892</v>
      </c>
      <c r="B2680" s="17" t="inlineStr">
        <is>
          <t>MH2508-53</t>
        </is>
      </c>
      <c r="C2680" s="16" t="n">
        <v>45892</v>
      </c>
      <c r="D2680" s="17" t="inlineStr">
        <is>
          <t>00003315</t>
        </is>
      </c>
      <c r="E2680" s="16" t="n">
        <v>45892</v>
      </c>
      <c r="F2680" s="16" t="inlineStr">
        <is>
          <t>XK2508-43</t>
        </is>
      </c>
      <c r="G2680" s="16" t="n">
        <v>45892</v>
      </c>
      <c r="H2680" s="18" t="inlineStr">
        <is>
          <t>CÔNG TY CỔ PHẦN CÔNG NGHIỆP VÀ THƯƠNG MẠI CƯỜNG THỊNH</t>
        </is>
      </c>
      <c r="I2680" s="18" t="inlineStr">
        <is>
          <t>Đai ốc Din 934 8 ZP M20</t>
        </is>
      </c>
      <c r="J2680" s="18" t="inlineStr">
        <is>
          <t>Cái</t>
        </is>
      </c>
      <c r="K2680" s="19" t="n">
        <v>2030</v>
      </c>
      <c r="L2680" s="20" t="n"/>
      <c r="M2680" s="20" t="n"/>
      <c r="N2680" s="22" t="n">
        <v>1135</v>
      </c>
      <c r="O2680" s="22" t="n">
        <v>2304050</v>
      </c>
      <c r="P2680" s="22" t="n">
        <v>1135</v>
      </c>
      <c r="Q2680" s="22" t="n">
        <v>2304050</v>
      </c>
      <c r="R2680" s="42">
        <f>+L2680+N2680-P2680</f>
        <v/>
      </c>
      <c r="S2680" s="42">
        <f>+M2680+O2680-Q2680</f>
        <v/>
      </c>
    </row>
    <row r="2681" ht="30" customHeight="1">
      <c r="A2681" s="16" t="n">
        <v>45892</v>
      </c>
      <c r="B2681" s="17" t="inlineStr">
        <is>
          <t>MH2508-53</t>
        </is>
      </c>
      <c r="C2681" s="16" t="n">
        <v>45892</v>
      </c>
      <c r="D2681" s="17" t="inlineStr">
        <is>
          <t>00003315</t>
        </is>
      </c>
      <c r="E2681" s="16" t="n">
        <v>45892</v>
      </c>
      <c r="F2681" s="16" t="inlineStr">
        <is>
          <t>XK2508-43</t>
        </is>
      </c>
      <c r="G2681" s="16" t="n">
        <v>45892</v>
      </c>
      <c r="H2681" s="18" t="inlineStr">
        <is>
          <t>CÔNG TY CỔ PHẦN CÔNG NGHIỆP VÀ THƯƠNG MẠI CƯỜNG THỊNH</t>
        </is>
      </c>
      <c r="I2681" s="18" t="inlineStr">
        <is>
          <t>Long đền thường ZP M20B35D2</t>
        </is>
      </c>
      <c r="J2681" s="18" t="inlineStr">
        <is>
          <t>Cái</t>
        </is>
      </c>
      <c r="K2681" s="19" t="n">
        <v>350</v>
      </c>
      <c r="L2681" s="20" t="n"/>
      <c r="M2681" s="20" t="n"/>
      <c r="N2681" s="22" t="n">
        <v>1135</v>
      </c>
      <c r="O2681" s="22" t="n">
        <v>397250</v>
      </c>
      <c r="P2681" s="22" t="n">
        <v>1135</v>
      </c>
      <c r="Q2681" s="22" t="n">
        <v>397250</v>
      </c>
      <c r="R2681" s="42">
        <f>+L2681+N2681-P2681</f>
        <v/>
      </c>
      <c r="S2681" s="42">
        <f>+M2681+O2681-Q2681</f>
        <v/>
      </c>
    </row>
    <row r="2682" ht="30" customHeight="1">
      <c r="A2682" s="16" t="n">
        <v>45892</v>
      </c>
      <c r="B2682" s="17" t="inlineStr">
        <is>
          <t>MH2508-54</t>
        </is>
      </c>
      <c r="C2682" s="16" t="n">
        <v>45892</v>
      </c>
      <c r="D2682" s="17" t="inlineStr">
        <is>
          <t>00003319</t>
        </is>
      </c>
      <c r="E2682" s="16" t="n">
        <v>45892</v>
      </c>
      <c r="F2682" s="16" t="inlineStr">
        <is>
          <t>XK2508-44</t>
        </is>
      </c>
      <c r="G2682" s="16" t="n">
        <v>45892</v>
      </c>
      <c r="H2682" s="18" t="inlineStr">
        <is>
          <t>CÔNG TY CỔ PHẦN CÔNG NGHIỆP VÀ THƯƠNG MẠI CƯỜNG THỊNH</t>
        </is>
      </c>
      <c r="I2682" s="18" t="inlineStr">
        <is>
          <t>Ty giằng 2 đầu ren 4.6 ZP M16</t>
        </is>
      </c>
      <c r="J2682" s="18" t="inlineStr">
        <is>
          <t>Mét</t>
        </is>
      </c>
      <c r="K2682" s="19" t="n">
        <v>48000</v>
      </c>
      <c r="L2682" s="20" t="n"/>
      <c r="M2682" s="20" t="n"/>
      <c r="N2682" s="22" t="n">
        <v>71.7</v>
      </c>
      <c r="O2682" s="22" t="n">
        <v>3441600</v>
      </c>
      <c r="P2682" s="22" t="n">
        <v>71.7</v>
      </c>
      <c r="Q2682" s="22" t="n">
        <v>3441600</v>
      </c>
      <c r="R2682" s="42">
        <f>+L2682+N2682-P2682</f>
        <v/>
      </c>
      <c r="S2682" s="42">
        <f>+M2682+O2682-Q2682</f>
        <v/>
      </c>
    </row>
    <row r="2683" ht="30" customHeight="1">
      <c r="A2683" s="16" t="n">
        <v>45892</v>
      </c>
      <c r="B2683" s="17" t="inlineStr">
        <is>
          <t>MH2508-54</t>
        </is>
      </c>
      <c r="C2683" s="16" t="n">
        <v>45892</v>
      </c>
      <c r="D2683" s="17" t="inlineStr">
        <is>
          <t>00003319</t>
        </is>
      </c>
      <c r="E2683" s="16" t="n">
        <v>45892</v>
      </c>
      <c r="F2683" s="16" t="inlineStr">
        <is>
          <t>XK2508-44</t>
        </is>
      </c>
      <c r="G2683" s="16" t="n">
        <v>45892</v>
      </c>
      <c r="H2683" s="18" t="inlineStr">
        <is>
          <t>CÔNG TY CỔ PHẦN CÔNG NGHIỆP VÀ THƯƠNG MẠI CƯỜNG THỊNH</t>
        </is>
      </c>
      <c r="I2683" s="18" t="inlineStr">
        <is>
          <t>Đai ốc Din 934 5 ZP M16</t>
        </is>
      </c>
      <c r="J2683" s="18" t="inlineStr">
        <is>
          <t>Cái</t>
        </is>
      </c>
      <c r="K2683" s="19" t="n">
        <v>990</v>
      </c>
      <c r="L2683" s="20" t="n"/>
      <c r="M2683" s="20" t="n"/>
      <c r="N2683" s="22" t="n">
        <v>40</v>
      </c>
      <c r="O2683" s="22" t="n">
        <v>39600</v>
      </c>
      <c r="P2683" s="22" t="n">
        <v>40</v>
      </c>
      <c r="Q2683" s="22" t="n">
        <v>39600</v>
      </c>
      <c r="R2683" s="42">
        <f>+L2683+N2683-P2683</f>
        <v/>
      </c>
      <c r="S2683" s="42">
        <f>+M2683+O2683-Q2683</f>
        <v/>
      </c>
    </row>
    <row r="2684" ht="30" customHeight="1">
      <c r="A2684" s="16" t="n">
        <v>45892</v>
      </c>
      <c r="B2684" s="17" t="inlineStr">
        <is>
          <t>MH2508-54</t>
        </is>
      </c>
      <c r="C2684" s="16" t="n">
        <v>45892</v>
      </c>
      <c r="D2684" s="17" t="inlineStr">
        <is>
          <t>00003319</t>
        </is>
      </c>
      <c r="E2684" s="16" t="n">
        <v>45892</v>
      </c>
      <c r="F2684" s="16" t="inlineStr">
        <is>
          <t>XK2508-44</t>
        </is>
      </c>
      <c r="G2684" s="16" t="n">
        <v>45892</v>
      </c>
      <c r="H2684" s="18" t="inlineStr">
        <is>
          <t>CÔNG TY CỔ PHẦN CÔNG NGHIỆP VÀ THƯƠNG MẠI CƯỜNG THỊNH</t>
        </is>
      </c>
      <c r="I2684" s="18" t="inlineStr">
        <is>
          <t>Long đền thường ZP M16B42D2</t>
        </is>
      </c>
      <c r="J2684" s="18" t="inlineStr">
        <is>
          <t>Cái</t>
        </is>
      </c>
      <c r="K2684" s="19" t="n">
        <v>700</v>
      </c>
      <c r="L2684" s="20" t="n"/>
      <c r="M2684" s="20" t="n"/>
      <c r="N2684" s="22" t="n">
        <v>40</v>
      </c>
      <c r="O2684" s="22" t="n">
        <v>28000</v>
      </c>
      <c r="P2684" s="22" t="n">
        <v>40</v>
      </c>
      <c r="Q2684" s="22" t="n">
        <v>28000</v>
      </c>
      <c r="R2684" s="42">
        <f>+L2684+N2684-P2684</f>
        <v/>
      </c>
      <c r="S2684" s="42">
        <f>+M2684+O2684-Q2684</f>
        <v/>
      </c>
    </row>
    <row r="2685" ht="30" customHeight="1">
      <c r="A2685" s="16" t="n">
        <v>45892</v>
      </c>
      <c r="B2685" s="17" t="inlineStr">
        <is>
          <t>MH2508-54</t>
        </is>
      </c>
      <c r="C2685" s="16" t="n">
        <v>45892</v>
      </c>
      <c r="D2685" s="17" t="inlineStr">
        <is>
          <t>00003319</t>
        </is>
      </c>
      <c r="E2685" s="16" t="n">
        <v>45892</v>
      </c>
      <c r="F2685" s="16" t="inlineStr">
        <is>
          <t>XK2508-44</t>
        </is>
      </c>
      <c r="G2685" s="16" t="n">
        <v>45892</v>
      </c>
      <c r="H2685" s="18" t="inlineStr">
        <is>
          <t>CÔNG TY CỔ PHẦN CÔNG NGHIỆP VÀ THƯƠNG MẠI CƯỜNG THỊNH</t>
        </is>
      </c>
      <c r="I2685" s="18" t="inlineStr">
        <is>
          <t>Long đền móng ngựa ZP M16</t>
        </is>
      </c>
      <c r="J2685" s="18" t="inlineStr">
        <is>
          <t>Cái</t>
        </is>
      </c>
      <c r="K2685" s="19" t="n">
        <v>14830</v>
      </c>
      <c r="L2685" s="20" t="n"/>
      <c r="M2685" s="20" t="n"/>
      <c r="N2685" s="22" t="n">
        <v>40</v>
      </c>
      <c r="O2685" s="22" t="n">
        <v>593200</v>
      </c>
      <c r="P2685" s="22" t="n">
        <v>40</v>
      </c>
      <c r="Q2685" s="22" t="n">
        <v>593200</v>
      </c>
      <c r="R2685" s="42">
        <f>+L2685+N2685-P2685</f>
        <v/>
      </c>
      <c r="S2685" s="42">
        <f>+M2685+O2685-Q2685</f>
        <v/>
      </c>
    </row>
    <row r="2686" ht="30" customHeight="1">
      <c r="A2686" s="16" t="n">
        <v>45892</v>
      </c>
      <c r="B2686" s="17" t="inlineStr">
        <is>
          <t>MH2508-55</t>
        </is>
      </c>
      <c r="C2686" s="16" t="n">
        <v>45892</v>
      </c>
      <c r="D2686" s="17" t="inlineStr">
        <is>
          <t>00003321</t>
        </is>
      </c>
      <c r="E2686" s="16" t="n">
        <v>45892</v>
      </c>
      <c r="F2686" s="16" t="inlineStr">
        <is>
          <t>XK2508-45</t>
        </is>
      </c>
      <c r="G2686" s="16" t="n">
        <v>45892</v>
      </c>
      <c r="H2686" s="18" t="inlineStr">
        <is>
          <t>CÔNG TY CỔ PHẦN CÔNG NGHIỆP VÀ THƯƠNG MẠI CƯỜNG THỊNH</t>
        </is>
      </c>
      <c r="I2686" s="18" t="inlineStr">
        <is>
          <t>Bulong thường 4.6 ZP M12x30</t>
        </is>
      </c>
      <c r="J2686" s="18" t="inlineStr">
        <is>
          <t>Cái</t>
        </is>
      </c>
      <c r="K2686" s="19" t="n">
        <v>950</v>
      </c>
      <c r="L2686" s="20" t="n"/>
      <c r="M2686" s="20" t="n"/>
      <c r="N2686" s="22" t="n">
        <v>946</v>
      </c>
      <c r="O2686" s="22" t="n">
        <v>898700</v>
      </c>
      <c r="P2686" s="22" t="n">
        <v>946</v>
      </c>
      <c r="Q2686" s="22" t="n">
        <v>898700</v>
      </c>
      <c r="R2686" s="42">
        <f>+L2686+N2686-P2686</f>
        <v/>
      </c>
      <c r="S2686" s="42">
        <f>+M2686+O2686-Q2686</f>
        <v/>
      </c>
    </row>
    <row r="2687" ht="30" customHeight="1">
      <c r="A2687" s="16" t="n">
        <v>45892</v>
      </c>
      <c r="B2687" s="17" t="inlineStr">
        <is>
          <t>MH2508-55</t>
        </is>
      </c>
      <c r="C2687" s="16" t="n">
        <v>45892</v>
      </c>
      <c r="D2687" s="17" t="inlineStr">
        <is>
          <t>00003321</t>
        </is>
      </c>
      <c r="E2687" s="16" t="n">
        <v>45892</v>
      </c>
      <c r="F2687" s="16" t="inlineStr">
        <is>
          <t>XK2508-45</t>
        </is>
      </c>
      <c r="G2687" s="16" t="n">
        <v>45892</v>
      </c>
      <c r="H2687" s="18" t="inlineStr">
        <is>
          <t>CÔNG TY CỔ PHẦN CÔNG NGHIỆP VÀ THƯƠNG MẠI CƯỜNG THỊNH</t>
        </is>
      </c>
      <c r="I2687" s="18" t="inlineStr">
        <is>
          <t>Đai ốc thường 4 ZP M12 (9mm)</t>
        </is>
      </c>
      <c r="J2687" s="18" t="inlineStr">
        <is>
          <t>Cái</t>
        </is>
      </c>
      <c r="K2687" s="19" t="n">
        <v>360</v>
      </c>
      <c r="L2687" s="20" t="n"/>
      <c r="M2687" s="20" t="n"/>
      <c r="N2687" s="22" t="n">
        <v>946</v>
      </c>
      <c r="O2687" s="22" t="n">
        <v>340560</v>
      </c>
      <c r="P2687" s="22" t="n">
        <v>946</v>
      </c>
      <c r="Q2687" s="22" t="n">
        <v>340560</v>
      </c>
      <c r="R2687" s="42">
        <f>+L2687+N2687-P2687</f>
        <v/>
      </c>
      <c r="S2687" s="42">
        <f>+M2687+O2687-Q2687</f>
        <v/>
      </c>
    </row>
    <row r="2688" ht="30" customHeight="1">
      <c r="A2688" s="16" t="n">
        <v>45892</v>
      </c>
      <c r="B2688" s="17" t="inlineStr">
        <is>
          <t>MH2508-55</t>
        </is>
      </c>
      <c r="C2688" s="16" t="n">
        <v>45892</v>
      </c>
      <c r="D2688" s="17" t="inlineStr">
        <is>
          <t>00003321</t>
        </is>
      </c>
      <c r="E2688" s="16" t="n">
        <v>45892</v>
      </c>
      <c r="F2688" s="16" t="inlineStr">
        <is>
          <t>XK2508-45</t>
        </is>
      </c>
      <c r="G2688" s="16" t="n">
        <v>45892</v>
      </c>
      <c r="H2688" s="18" t="inlineStr">
        <is>
          <t>CÔNG TY CỔ PHẦN CÔNG NGHIỆP VÀ THƯƠNG MẠI CƯỜNG THỊNH</t>
        </is>
      </c>
      <c r="I2688" s="18" t="inlineStr">
        <is>
          <t>Long đền thường ZP M12B23D1</t>
        </is>
      </c>
      <c r="J2688" s="18" t="inlineStr">
        <is>
          <t>Cái</t>
        </is>
      </c>
      <c r="K2688" s="19" t="n">
        <v>100</v>
      </c>
      <c r="L2688" s="20" t="n"/>
      <c r="M2688" s="20" t="n"/>
      <c r="N2688" s="22" t="n">
        <v>1892</v>
      </c>
      <c r="O2688" s="22" t="n">
        <v>189200</v>
      </c>
      <c r="P2688" s="22" t="n">
        <v>1892</v>
      </c>
      <c r="Q2688" s="22" t="n">
        <v>189200</v>
      </c>
      <c r="R2688" s="42">
        <f>+L2688+N2688-P2688</f>
        <v/>
      </c>
      <c r="S2688" s="42">
        <f>+M2688+O2688-Q2688</f>
        <v/>
      </c>
    </row>
    <row r="2689" ht="30" customHeight="1">
      <c r="A2689" s="16" t="n">
        <v>45892</v>
      </c>
      <c r="B2689" s="17" t="inlineStr">
        <is>
          <t>MH2508-55</t>
        </is>
      </c>
      <c r="C2689" s="16" t="n">
        <v>45892</v>
      </c>
      <c r="D2689" s="17" t="inlineStr">
        <is>
          <t>00003321</t>
        </is>
      </c>
      <c r="E2689" s="16" t="n">
        <v>45892</v>
      </c>
      <c r="F2689" s="16" t="inlineStr">
        <is>
          <t>XK2508-45</t>
        </is>
      </c>
      <c r="G2689" s="16" t="n">
        <v>45892</v>
      </c>
      <c r="H2689" s="18" t="inlineStr">
        <is>
          <t>CÔNG TY CỔ PHẦN CÔNG NGHIỆP VÀ THƯƠNG MẠI CƯỜNG THỊNH</t>
        </is>
      </c>
      <c r="I2689" s="18" t="inlineStr">
        <is>
          <t>Bulong Din 933 8.8 ZP M20x60</t>
        </is>
      </c>
      <c r="J2689" s="18" t="inlineStr">
        <is>
          <t>Cái</t>
        </is>
      </c>
      <c r="K2689" s="19" t="n">
        <v>6360</v>
      </c>
      <c r="L2689" s="20" t="n"/>
      <c r="M2689" s="20" t="n"/>
      <c r="N2689" s="22" t="n">
        <v>1708</v>
      </c>
      <c r="O2689" s="22" t="n">
        <v>10862880</v>
      </c>
      <c r="P2689" s="22" t="n">
        <v>1708</v>
      </c>
      <c r="Q2689" s="22" t="n">
        <v>10862880</v>
      </c>
      <c r="R2689" s="42">
        <f>+L2689+N2689-P2689</f>
        <v/>
      </c>
      <c r="S2689" s="42">
        <f>+M2689+O2689-Q2689</f>
        <v/>
      </c>
    </row>
    <row r="2690" ht="30" customHeight="1">
      <c r="A2690" s="16" t="n">
        <v>45892</v>
      </c>
      <c r="B2690" s="17" t="inlineStr">
        <is>
          <t>MH2508-55</t>
        </is>
      </c>
      <c r="C2690" s="16" t="n">
        <v>45892</v>
      </c>
      <c r="D2690" s="17" t="inlineStr">
        <is>
          <t>00003321</t>
        </is>
      </c>
      <c r="E2690" s="16" t="n">
        <v>45892</v>
      </c>
      <c r="F2690" s="16" t="inlineStr">
        <is>
          <t>XK2508-45</t>
        </is>
      </c>
      <c r="G2690" s="16" t="n">
        <v>45892</v>
      </c>
      <c r="H2690" s="18" t="inlineStr">
        <is>
          <t>CÔNG TY CỔ PHẦN CÔNG NGHIỆP VÀ THƯƠNG MẠI CƯỜNG THỊNH</t>
        </is>
      </c>
      <c r="I2690" s="18" t="inlineStr">
        <is>
          <t>Đai ốc Din 934 8 ZP M20</t>
        </is>
      </c>
      <c r="J2690" s="18" t="inlineStr">
        <is>
          <t>Cái</t>
        </is>
      </c>
      <c r="K2690" s="19" t="n">
        <v>2030</v>
      </c>
      <c r="L2690" s="20" t="n"/>
      <c r="M2690" s="20" t="n"/>
      <c r="N2690" s="22" t="n">
        <v>1708</v>
      </c>
      <c r="O2690" s="22" t="n">
        <v>3467240</v>
      </c>
      <c r="P2690" s="22" t="n">
        <v>1708</v>
      </c>
      <c r="Q2690" s="22" t="n">
        <v>3467240</v>
      </c>
      <c r="R2690" s="42">
        <f>+L2690+N2690-P2690</f>
        <v/>
      </c>
      <c r="S2690" s="42">
        <f>+M2690+O2690-Q2690</f>
        <v/>
      </c>
    </row>
    <row r="2691" ht="30" customHeight="1">
      <c r="A2691" s="16" t="n">
        <v>45892</v>
      </c>
      <c r="B2691" s="17" t="inlineStr">
        <is>
          <t>MH2508-55</t>
        </is>
      </c>
      <c r="C2691" s="16" t="n">
        <v>45892</v>
      </c>
      <c r="D2691" s="17" t="inlineStr">
        <is>
          <t>00003321</t>
        </is>
      </c>
      <c r="E2691" s="16" t="n">
        <v>45892</v>
      </c>
      <c r="F2691" s="16" t="inlineStr">
        <is>
          <t>XK2508-45</t>
        </is>
      </c>
      <c r="G2691" s="16" t="n">
        <v>45892</v>
      </c>
      <c r="H2691" s="18" t="inlineStr">
        <is>
          <t>CÔNG TY CỔ PHẦN CÔNG NGHIỆP VÀ THƯƠNG MẠI CƯỜNG THỊNH</t>
        </is>
      </c>
      <c r="I2691" s="18" t="inlineStr">
        <is>
          <t>Long đền thường ZP M20B35D2</t>
        </is>
      </c>
      <c r="J2691" s="18" t="inlineStr">
        <is>
          <t>Cái</t>
        </is>
      </c>
      <c r="K2691" s="19" t="n">
        <v>350</v>
      </c>
      <c r="L2691" s="20" t="n"/>
      <c r="M2691" s="20" t="n"/>
      <c r="N2691" s="22" t="n">
        <v>1708</v>
      </c>
      <c r="O2691" s="22" t="n">
        <v>597800</v>
      </c>
      <c r="P2691" s="22" t="n">
        <v>1708</v>
      </c>
      <c r="Q2691" s="22" t="n">
        <v>597800</v>
      </c>
      <c r="R2691" s="42">
        <f>+L2691+N2691-P2691</f>
        <v/>
      </c>
      <c r="S2691" s="42">
        <f>+M2691+O2691-Q2691</f>
        <v/>
      </c>
    </row>
    <row r="2692" ht="30" customHeight="1">
      <c r="A2692" s="16" t="n">
        <v>45892</v>
      </c>
      <c r="B2692" s="17" t="inlineStr">
        <is>
          <t>MH2508-55</t>
        </is>
      </c>
      <c r="C2692" s="16" t="n">
        <v>45892</v>
      </c>
      <c r="D2692" s="17" t="inlineStr">
        <is>
          <t>00003321</t>
        </is>
      </c>
      <c r="E2692" s="16" t="n">
        <v>45892</v>
      </c>
      <c r="F2692" s="16" t="inlineStr">
        <is>
          <t>XK2508-45</t>
        </is>
      </c>
      <c r="G2692" s="16" t="n">
        <v>45892</v>
      </c>
      <c r="H2692" s="18" t="inlineStr">
        <is>
          <t>CÔNG TY CỔ PHẦN CÔNG NGHIỆP VÀ THƯƠNG MẠI CƯỜNG THỊNH</t>
        </is>
      </c>
      <c r="I2692" s="18" t="inlineStr">
        <is>
          <t>Bulong Din 933 8.8 ZP M20x80</t>
        </is>
      </c>
      <c r="J2692" s="18" t="inlineStr">
        <is>
          <t>Cái</t>
        </is>
      </c>
      <c r="K2692" s="19" t="n">
        <v>7630</v>
      </c>
      <c r="L2692" s="20" t="n"/>
      <c r="M2692" s="20" t="n"/>
      <c r="N2692" s="22" t="n">
        <v>49</v>
      </c>
      <c r="O2692" s="22" t="n">
        <v>373870</v>
      </c>
      <c r="P2692" s="22" t="n">
        <v>49</v>
      </c>
      <c r="Q2692" s="22" t="n">
        <v>373870</v>
      </c>
      <c r="R2692" s="42">
        <f>+L2692+N2692-P2692</f>
        <v/>
      </c>
      <c r="S2692" s="42">
        <f>+M2692+O2692-Q2692</f>
        <v/>
      </c>
    </row>
    <row r="2693" ht="30" customHeight="1">
      <c r="A2693" s="16" t="n">
        <v>45892</v>
      </c>
      <c r="B2693" s="17" t="inlineStr">
        <is>
          <t>MH2508-55</t>
        </is>
      </c>
      <c r="C2693" s="16" t="n">
        <v>45892</v>
      </c>
      <c r="D2693" s="17" t="inlineStr">
        <is>
          <t>00003321</t>
        </is>
      </c>
      <c r="E2693" s="16" t="n">
        <v>45892</v>
      </c>
      <c r="F2693" s="16" t="inlineStr">
        <is>
          <t>XK2508-45</t>
        </is>
      </c>
      <c r="G2693" s="16" t="n">
        <v>45892</v>
      </c>
      <c r="H2693" s="18" t="inlineStr">
        <is>
          <t>CÔNG TY CỔ PHẦN CÔNG NGHIỆP VÀ THƯƠNG MẠI CƯỜNG THỊNH</t>
        </is>
      </c>
      <c r="I2693" s="18" t="inlineStr">
        <is>
          <t>Đai ốc Din 934 8 ZP M20</t>
        </is>
      </c>
      <c r="J2693" s="18" t="inlineStr">
        <is>
          <t>Cái</t>
        </is>
      </c>
      <c r="K2693" s="19" t="n">
        <v>2030</v>
      </c>
      <c r="L2693" s="20" t="n"/>
      <c r="M2693" s="20" t="n"/>
      <c r="N2693" s="22" t="n">
        <v>49</v>
      </c>
      <c r="O2693" s="22" t="n">
        <v>99470</v>
      </c>
      <c r="P2693" s="22" t="n">
        <v>49</v>
      </c>
      <c r="Q2693" s="22" t="n">
        <v>99470</v>
      </c>
      <c r="R2693" s="42">
        <f>+L2693+N2693-P2693</f>
        <v/>
      </c>
      <c r="S2693" s="42">
        <f>+M2693+O2693-Q2693</f>
        <v/>
      </c>
    </row>
    <row r="2694" ht="30" customHeight="1">
      <c r="A2694" s="16" t="n">
        <v>45892</v>
      </c>
      <c r="B2694" s="17" t="inlineStr">
        <is>
          <t>MH2508-55</t>
        </is>
      </c>
      <c r="C2694" s="16" t="n">
        <v>45892</v>
      </c>
      <c r="D2694" s="17" t="inlineStr">
        <is>
          <t>00003321</t>
        </is>
      </c>
      <c r="E2694" s="16" t="n">
        <v>45892</v>
      </c>
      <c r="F2694" s="16" t="inlineStr">
        <is>
          <t>XK2508-45</t>
        </is>
      </c>
      <c r="G2694" s="16" t="n">
        <v>45892</v>
      </c>
      <c r="H2694" s="18" t="inlineStr">
        <is>
          <t>CÔNG TY CỔ PHẦN CÔNG NGHIỆP VÀ THƯƠNG MẠI CƯỜNG THỊNH</t>
        </is>
      </c>
      <c r="I2694" s="18" t="inlineStr">
        <is>
          <t>Long đền thường ZP M20B35D2</t>
        </is>
      </c>
      <c r="J2694" s="18" t="inlineStr">
        <is>
          <t>Cái</t>
        </is>
      </c>
      <c r="K2694" s="19" t="n">
        <v>350</v>
      </c>
      <c r="L2694" s="20" t="n"/>
      <c r="M2694" s="20" t="n"/>
      <c r="N2694" s="22" t="n">
        <v>49</v>
      </c>
      <c r="O2694" s="22" t="n">
        <v>17150</v>
      </c>
      <c r="P2694" s="22" t="n">
        <v>49</v>
      </c>
      <c r="Q2694" s="22" t="n">
        <v>17150</v>
      </c>
      <c r="R2694" s="42">
        <f>+L2694+N2694-P2694</f>
        <v/>
      </c>
      <c r="S2694" s="42">
        <f>+M2694+O2694-Q2694</f>
        <v/>
      </c>
    </row>
    <row r="2695" ht="30" customHeight="1">
      <c r="A2695" s="16" t="n">
        <v>45892</v>
      </c>
      <c r="B2695" s="17" t="inlineStr">
        <is>
          <t>MH2508-55</t>
        </is>
      </c>
      <c r="C2695" s="16" t="n">
        <v>45892</v>
      </c>
      <c r="D2695" s="17" t="inlineStr">
        <is>
          <t>00003321</t>
        </is>
      </c>
      <c r="E2695" s="16" t="n">
        <v>45892</v>
      </c>
      <c r="F2695" s="16" t="inlineStr">
        <is>
          <t>XK2508-45</t>
        </is>
      </c>
      <c r="G2695" s="16" t="n">
        <v>45892</v>
      </c>
      <c r="H2695" s="18" t="inlineStr">
        <is>
          <t>CÔNG TY CỔ PHẦN CÔNG NGHIỆP VÀ THƯƠNG MẠI CƯỜNG THỊNH</t>
        </is>
      </c>
      <c r="I2695" s="18" t="inlineStr">
        <is>
          <t>Vít B2 Dacromet 12-14x20</t>
        </is>
      </c>
      <c r="J2695" s="18" t="inlineStr">
        <is>
          <t>Cái</t>
        </is>
      </c>
      <c r="K2695" s="19" t="n">
        <v>600</v>
      </c>
      <c r="L2695" s="20" t="n"/>
      <c r="M2695" s="20" t="n"/>
      <c r="N2695" s="22" t="n">
        <v>200</v>
      </c>
      <c r="O2695" s="22" t="n">
        <v>120000</v>
      </c>
      <c r="P2695" s="22" t="n">
        <v>200</v>
      </c>
      <c r="Q2695" s="22" t="n">
        <v>120000</v>
      </c>
      <c r="R2695" s="42">
        <f>+L2695+N2695-P2695</f>
        <v/>
      </c>
      <c r="S2695" s="42">
        <f>+M2695+O2695-Q2695</f>
        <v/>
      </c>
    </row>
    <row r="2696" ht="30" customHeight="1">
      <c r="A2696" s="16" t="n">
        <v>45892</v>
      </c>
      <c r="B2696" s="17" t="inlineStr">
        <is>
          <t>MH2508-56</t>
        </is>
      </c>
      <c r="C2696" s="16" t="n">
        <v>45892</v>
      </c>
      <c r="D2696" s="17" t="inlineStr">
        <is>
          <t>00003314</t>
        </is>
      </c>
      <c r="E2696" s="16" t="n">
        <v>45892</v>
      </c>
      <c r="F2696" s="16" t="inlineStr">
        <is>
          <t>XK2508-46</t>
        </is>
      </c>
      <c r="G2696" s="16" t="n">
        <v>45892</v>
      </c>
      <c r="H2696" s="18" t="inlineStr">
        <is>
          <t>CÔNG TY CỔ PHẦN CÔNG NGHIỆP VÀ THƯƠNG MẠI CƯỜNG THỊNH</t>
        </is>
      </c>
      <c r="I2696" s="18" t="inlineStr">
        <is>
          <t>Bulong Din 933 8.8 ZP M16x70</t>
        </is>
      </c>
      <c r="J2696" s="18" t="inlineStr">
        <is>
          <t>Cái</t>
        </is>
      </c>
      <c r="K2696" s="19" t="n">
        <v>4490</v>
      </c>
      <c r="L2696" s="20" t="n"/>
      <c r="M2696" s="20" t="n"/>
      <c r="N2696" s="22" t="n">
        <v>14</v>
      </c>
      <c r="O2696" s="22" t="n">
        <v>62860</v>
      </c>
      <c r="P2696" s="22" t="n">
        <v>14</v>
      </c>
      <c r="Q2696" s="22" t="n">
        <v>62860</v>
      </c>
      <c r="R2696" s="42">
        <f>+L2696+N2696-P2696</f>
        <v/>
      </c>
      <c r="S2696" s="42">
        <f>+M2696+O2696-Q2696</f>
        <v/>
      </c>
    </row>
    <row r="2697" ht="30" customHeight="1">
      <c r="A2697" s="16" t="n">
        <v>45892</v>
      </c>
      <c r="B2697" s="17" t="inlineStr">
        <is>
          <t>MH2508-56</t>
        </is>
      </c>
      <c r="C2697" s="16" t="n">
        <v>45892</v>
      </c>
      <c r="D2697" s="17" t="inlineStr">
        <is>
          <t>00003314</t>
        </is>
      </c>
      <c r="E2697" s="16" t="n">
        <v>45892</v>
      </c>
      <c r="F2697" s="16" t="inlineStr">
        <is>
          <t>XK2508-46</t>
        </is>
      </c>
      <c r="G2697" s="16" t="n">
        <v>45892</v>
      </c>
      <c r="H2697" s="18" t="inlineStr">
        <is>
          <t>CÔNG TY CỔ PHẦN CÔNG NGHIỆP VÀ THƯƠNG MẠI CƯỜNG THỊNH</t>
        </is>
      </c>
      <c r="I2697" s="18" t="inlineStr">
        <is>
          <t>Đai ốc Din 934 8 ZP M16</t>
        </is>
      </c>
      <c r="J2697" s="18" t="inlineStr">
        <is>
          <t>Cái</t>
        </is>
      </c>
      <c r="K2697" s="19" t="n">
        <v>1090</v>
      </c>
      <c r="L2697" s="20" t="n"/>
      <c r="M2697" s="20" t="n"/>
      <c r="N2697" s="22" t="n">
        <v>14</v>
      </c>
      <c r="O2697" s="22" t="n">
        <v>15260</v>
      </c>
      <c r="P2697" s="22" t="n">
        <v>14</v>
      </c>
      <c r="Q2697" s="22" t="n">
        <v>15260</v>
      </c>
      <c r="R2697" s="42">
        <f>+L2697+N2697-P2697</f>
        <v/>
      </c>
      <c r="S2697" s="42">
        <f>+M2697+O2697-Q2697</f>
        <v/>
      </c>
    </row>
    <row r="2698" ht="30" customHeight="1">
      <c r="A2698" s="16" t="n">
        <v>45892</v>
      </c>
      <c r="B2698" s="17" t="inlineStr">
        <is>
          <t>MH2508-56</t>
        </is>
      </c>
      <c r="C2698" s="16" t="n">
        <v>45892</v>
      </c>
      <c r="D2698" s="17" t="inlineStr">
        <is>
          <t>00003314</t>
        </is>
      </c>
      <c r="E2698" s="16" t="n">
        <v>45892</v>
      </c>
      <c r="F2698" s="16" t="inlineStr">
        <is>
          <t>XK2508-46</t>
        </is>
      </c>
      <c r="G2698" s="16" t="n">
        <v>45892</v>
      </c>
      <c r="H2698" s="18" t="inlineStr">
        <is>
          <t>CÔNG TY CỔ PHẦN CÔNG NGHIỆP VÀ THƯƠNG MẠI CƯỜNG THỊNH</t>
        </is>
      </c>
      <c r="I2698" s="18" t="inlineStr">
        <is>
          <t>Long đền thường ZP M16B30D2</t>
        </is>
      </c>
      <c r="J2698" s="18" t="inlineStr">
        <is>
          <t>Cái</t>
        </is>
      </c>
      <c r="K2698" s="19" t="n">
        <v>330</v>
      </c>
      <c r="L2698" s="20" t="n"/>
      <c r="M2698" s="20" t="n"/>
      <c r="N2698" s="22" t="n">
        <v>14</v>
      </c>
      <c r="O2698" s="22" t="n">
        <v>4620</v>
      </c>
      <c r="P2698" s="22" t="n">
        <v>14</v>
      </c>
      <c r="Q2698" s="22" t="n">
        <v>4620</v>
      </c>
      <c r="R2698" s="42">
        <f>+L2698+N2698-P2698</f>
        <v/>
      </c>
      <c r="S2698" s="42">
        <f>+M2698+O2698-Q2698</f>
        <v/>
      </c>
    </row>
    <row r="2699" ht="30" customHeight="1">
      <c r="A2699" s="16" t="n">
        <v>45892</v>
      </c>
      <c r="B2699" s="17" t="inlineStr">
        <is>
          <t>MH2508-56</t>
        </is>
      </c>
      <c r="C2699" s="16" t="n">
        <v>45892</v>
      </c>
      <c r="D2699" s="17" t="inlineStr">
        <is>
          <t>00003314</t>
        </is>
      </c>
      <c r="E2699" s="16" t="n">
        <v>45892</v>
      </c>
      <c r="F2699" s="16" t="inlineStr">
        <is>
          <t>XK2508-46</t>
        </is>
      </c>
      <c r="G2699" s="16" t="n">
        <v>45892</v>
      </c>
      <c r="H2699" s="18" t="inlineStr">
        <is>
          <t>CÔNG TY CỔ PHẦN CÔNG NGHIỆP VÀ THƯƠNG MẠI CƯỜNG THỊNH</t>
        </is>
      </c>
      <c r="I2699" s="18" t="inlineStr">
        <is>
          <t>Bulong thường 4.6 ZP M12x30</t>
        </is>
      </c>
      <c r="J2699" s="18" t="inlineStr">
        <is>
          <t>Cái</t>
        </is>
      </c>
      <c r="K2699" s="19" t="n">
        <v>950</v>
      </c>
      <c r="L2699" s="20" t="n"/>
      <c r="M2699" s="20" t="n"/>
      <c r="N2699" s="22" t="n">
        <v>2921</v>
      </c>
      <c r="O2699" s="22" t="n">
        <v>2774950</v>
      </c>
      <c r="P2699" s="22" t="n">
        <v>2921</v>
      </c>
      <c r="Q2699" s="22" t="n">
        <v>2774950</v>
      </c>
      <c r="R2699" s="42">
        <f>+L2699+N2699-P2699</f>
        <v/>
      </c>
      <c r="S2699" s="42">
        <f>+M2699+O2699-Q2699</f>
        <v/>
      </c>
    </row>
    <row r="2700" ht="30" customHeight="1">
      <c r="A2700" s="16" t="n">
        <v>45892</v>
      </c>
      <c r="B2700" s="17" t="inlineStr">
        <is>
          <t>MH2508-56</t>
        </is>
      </c>
      <c r="C2700" s="16" t="n">
        <v>45892</v>
      </c>
      <c r="D2700" s="17" t="inlineStr">
        <is>
          <t>00003314</t>
        </is>
      </c>
      <c r="E2700" s="16" t="n">
        <v>45892</v>
      </c>
      <c r="F2700" s="16" t="inlineStr">
        <is>
          <t>XK2508-46</t>
        </is>
      </c>
      <c r="G2700" s="16" t="n">
        <v>45892</v>
      </c>
      <c r="H2700" s="18" t="inlineStr">
        <is>
          <t>CÔNG TY CỔ PHẦN CÔNG NGHIỆP VÀ THƯƠNG MẠI CƯỜNG THỊNH</t>
        </is>
      </c>
      <c r="I2700" s="18" t="inlineStr">
        <is>
          <t>Đai ốc thường 4 ZP M12 (9mm)</t>
        </is>
      </c>
      <c r="J2700" s="18" t="inlineStr">
        <is>
          <t>Cái</t>
        </is>
      </c>
      <c r="K2700" s="19" t="n">
        <v>360</v>
      </c>
      <c r="L2700" s="20" t="n"/>
      <c r="M2700" s="20" t="n"/>
      <c r="N2700" s="22" t="n">
        <v>2921</v>
      </c>
      <c r="O2700" s="22" t="n">
        <v>1051560</v>
      </c>
      <c r="P2700" s="22" t="n">
        <v>2921</v>
      </c>
      <c r="Q2700" s="22" t="n">
        <v>1051560</v>
      </c>
      <c r="R2700" s="42">
        <f>+L2700+N2700-P2700</f>
        <v/>
      </c>
      <c r="S2700" s="42">
        <f>+M2700+O2700-Q2700</f>
        <v/>
      </c>
    </row>
    <row r="2701" ht="30" customHeight="1">
      <c r="A2701" s="16" t="n">
        <v>45892</v>
      </c>
      <c r="B2701" s="17" t="inlineStr">
        <is>
          <t>MH2508-56</t>
        </is>
      </c>
      <c r="C2701" s="16" t="n">
        <v>45892</v>
      </c>
      <c r="D2701" s="17" t="inlineStr">
        <is>
          <t>00003314</t>
        </is>
      </c>
      <c r="E2701" s="16" t="n">
        <v>45892</v>
      </c>
      <c r="F2701" s="16" t="inlineStr">
        <is>
          <t>XK2508-46</t>
        </is>
      </c>
      <c r="G2701" s="16" t="n">
        <v>45892</v>
      </c>
      <c r="H2701" s="18" t="inlineStr">
        <is>
          <t>CÔNG TY CỔ PHẦN CÔNG NGHIỆP VÀ THƯƠNG MẠI CƯỜNG THỊNH</t>
        </is>
      </c>
      <c r="I2701" s="18" t="inlineStr">
        <is>
          <t>Long đền thường ZP M12B23D1</t>
        </is>
      </c>
      <c r="J2701" s="18" t="inlineStr">
        <is>
          <t>Cái</t>
        </is>
      </c>
      <c r="K2701" s="19" t="n">
        <v>100</v>
      </c>
      <c r="L2701" s="20" t="n"/>
      <c r="M2701" s="20" t="n"/>
      <c r="N2701" s="22" t="n">
        <v>5842</v>
      </c>
      <c r="O2701" s="22" t="n">
        <v>584200</v>
      </c>
      <c r="P2701" s="22" t="n">
        <v>5842</v>
      </c>
      <c r="Q2701" s="22" t="n">
        <v>584200</v>
      </c>
      <c r="R2701" s="42">
        <f>+L2701+N2701-P2701</f>
        <v/>
      </c>
      <c r="S2701" s="42">
        <f>+M2701+O2701-Q2701</f>
        <v/>
      </c>
    </row>
    <row r="2702" ht="30" customHeight="1">
      <c r="A2702" s="16" t="n">
        <v>45892</v>
      </c>
      <c r="B2702" s="17" t="inlineStr">
        <is>
          <t>MH2508-56</t>
        </is>
      </c>
      <c r="C2702" s="16" t="n">
        <v>45892</v>
      </c>
      <c r="D2702" s="17" t="inlineStr">
        <is>
          <t>00003314</t>
        </is>
      </c>
      <c r="E2702" s="16" t="n">
        <v>45892</v>
      </c>
      <c r="F2702" s="16" t="inlineStr">
        <is>
          <t>XK2508-46</t>
        </is>
      </c>
      <c r="G2702" s="16" t="n">
        <v>45892</v>
      </c>
      <c r="H2702" s="18" t="inlineStr">
        <is>
          <t>CÔNG TY CỔ PHẦN CÔNG NGHIỆP VÀ THƯƠNG MẠI CƯỜNG THỊNH</t>
        </is>
      </c>
      <c r="I2702" s="18" t="inlineStr">
        <is>
          <t>Bulong Din 933 8.8 ZP M24x90</t>
        </is>
      </c>
      <c r="J2702" s="18" t="inlineStr">
        <is>
          <t>Cái</t>
        </is>
      </c>
      <c r="K2702" s="19" t="n">
        <v>12950</v>
      </c>
      <c r="L2702" s="20" t="n"/>
      <c r="M2702" s="20" t="n"/>
      <c r="N2702" s="22" t="n">
        <v>461</v>
      </c>
      <c r="O2702" s="22" t="n">
        <v>5969950</v>
      </c>
      <c r="P2702" s="22" t="n">
        <v>461</v>
      </c>
      <c r="Q2702" s="22" t="n">
        <v>5969950</v>
      </c>
      <c r="R2702" s="42">
        <f>+L2702+N2702-P2702</f>
        <v/>
      </c>
      <c r="S2702" s="42">
        <f>+M2702+O2702-Q2702</f>
        <v/>
      </c>
    </row>
    <row r="2703" ht="30" customHeight="1">
      <c r="A2703" s="16" t="n">
        <v>45892</v>
      </c>
      <c r="B2703" s="17" t="inlineStr">
        <is>
          <t>MH2508-56</t>
        </is>
      </c>
      <c r="C2703" s="16" t="n">
        <v>45892</v>
      </c>
      <c r="D2703" s="17" t="inlineStr">
        <is>
          <t>00003314</t>
        </is>
      </c>
      <c r="E2703" s="16" t="n">
        <v>45892</v>
      </c>
      <c r="F2703" s="16" t="inlineStr">
        <is>
          <t>XK2508-46</t>
        </is>
      </c>
      <c r="G2703" s="16" t="n">
        <v>45892</v>
      </c>
      <c r="H2703" s="18" t="inlineStr">
        <is>
          <t>CÔNG TY CỔ PHẦN CÔNG NGHIỆP VÀ THƯƠNG MẠI CƯỜNG THỊNH</t>
        </is>
      </c>
      <c r="I2703" s="18" t="inlineStr">
        <is>
          <t>Đai ốc Din 934 8 ZP M24</t>
        </is>
      </c>
      <c r="J2703" s="18" t="inlineStr">
        <is>
          <t>Cái</t>
        </is>
      </c>
      <c r="K2703" s="19" t="n">
        <v>3500</v>
      </c>
      <c r="L2703" s="20" t="n"/>
      <c r="M2703" s="20" t="n"/>
      <c r="N2703" s="22" t="n">
        <v>461</v>
      </c>
      <c r="O2703" s="22" t="n">
        <v>1613500</v>
      </c>
      <c r="P2703" s="22" t="n">
        <v>461</v>
      </c>
      <c r="Q2703" s="22" t="n">
        <v>1613500</v>
      </c>
      <c r="R2703" s="42">
        <f>+L2703+N2703-P2703</f>
        <v/>
      </c>
      <c r="S2703" s="42">
        <f>+M2703+O2703-Q2703</f>
        <v/>
      </c>
    </row>
    <row r="2704" ht="30" customHeight="1">
      <c r="A2704" s="16" t="n">
        <v>45892</v>
      </c>
      <c r="B2704" s="17" t="inlineStr">
        <is>
          <t>MH2508-56</t>
        </is>
      </c>
      <c r="C2704" s="16" t="n">
        <v>45892</v>
      </c>
      <c r="D2704" s="17" t="inlineStr">
        <is>
          <t>00003314</t>
        </is>
      </c>
      <c r="E2704" s="16" t="n">
        <v>45892</v>
      </c>
      <c r="F2704" s="16" t="inlineStr">
        <is>
          <t>XK2508-46</t>
        </is>
      </c>
      <c r="G2704" s="16" t="n">
        <v>45892</v>
      </c>
      <c r="H2704" s="18" t="inlineStr">
        <is>
          <t>CÔNG TY CỔ PHẦN CÔNG NGHIỆP VÀ THƯƠNG MẠI CƯỜNG THỊNH</t>
        </is>
      </c>
      <c r="I2704" s="18" t="inlineStr">
        <is>
          <t>Long đền thường ZP M24B40-42D2</t>
        </is>
      </c>
      <c r="J2704" s="18" t="inlineStr">
        <is>
          <t>Cái</t>
        </is>
      </c>
      <c r="K2704" s="19" t="n">
        <v>710</v>
      </c>
      <c r="L2704" s="20" t="n"/>
      <c r="M2704" s="20" t="n"/>
      <c r="N2704" s="22" t="n">
        <v>461</v>
      </c>
      <c r="O2704" s="22" t="n">
        <v>327310</v>
      </c>
      <c r="P2704" s="22" t="n">
        <v>461</v>
      </c>
      <c r="Q2704" s="22" t="n">
        <v>327310</v>
      </c>
      <c r="R2704" s="42">
        <f>+L2704+N2704-P2704</f>
        <v/>
      </c>
      <c r="S2704" s="42">
        <f>+M2704+O2704-Q2704</f>
        <v/>
      </c>
    </row>
    <row r="2705" ht="30" customHeight="1">
      <c r="A2705" s="16" t="n">
        <v>45892</v>
      </c>
      <c r="B2705" s="17" t="inlineStr">
        <is>
          <t>MH2508-56</t>
        </is>
      </c>
      <c r="C2705" s="16" t="n">
        <v>45892</v>
      </c>
      <c r="D2705" s="17" t="inlineStr">
        <is>
          <t>00003314</t>
        </is>
      </c>
      <c r="E2705" s="16" t="n">
        <v>45892</v>
      </c>
      <c r="F2705" s="16" t="inlineStr">
        <is>
          <t>XK2508-46</t>
        </is>
      </c>
      <c r="G2705" s="16" t="n">
        <v>45892</v>
      </c>
      <c r="H2705" s="18" t="inlineStr">
        <is>
          <t>CÔNG TY CỔ PHẦN CÔNG NGHIỆP VÀ THƯƠNG MẠI CƯỜNG THỊNH</t>
        </is>
      </c>
      <c r="I2705" s="18" t="inlineStr">
        <is>
          <t>Bulong Din 933 8.8 ZP M20x80</t>
        </is>
      </c>
      <c r="J2705" s="18" t="inlineStr">
        <is>
          <t>Cái</t>
        </is>
      </c>
      <c r="K2705" s="19" t="n">
        <v>7630</v>
      </c>
      <c r="L2705" s="20" t="n"/>
      <c r="M2705" s="20" t="n"/>
      <c r="N2705" s="22" t="n">
        <v>527</v>
      </c>
      <c r="O2705" s="22" t="n">
        <v>4021010</v>
      </c>
      <c r="P2705" s="22" t="n">
        <v>527</v>
      </c>
      <c r="Q2705" s="22" t="n">
        <v>4021010</v>
      </c>
      <c r="R2705" s="42">
        <f>+L2705+N2705-P2705</f>
        <v/>
      </c>
      <c r="S2705" s="42">
        <f>+M2705+O2705-Q2705</f>
        <v/>
      </c>
    </row>
    <row r="2706" ht="30" customHeight="1">
      <c r="A2706" s="16" t="n">
        <v>45892</v>
      </c>
      <c r="B2706" s="17" t="inlineStr">
        <is>
          <t>MH2508-56</t>
        </is>
      </c>
      <c r="C2706" s="16" t="n">
        <v>45892</v>
      </c>
      <c r="D2706" s="17" t="inlineStr">
        <is>
          <t>00003314</t>
        </is>
      </c>
      <c r="E2706" s="16" t="n">
        <v>45892</v>
      </c>
      <c r="F2706" s="16" t="inlineStr">
        <is>
          <t>XK2508-46</t>
        </is>
      </c>
      <c r="G2706" s="16" t="n">
        <v>45892</v>
      </c>
      <c r="H2706" s="18" t="inlineStr">
        <is>
          <t>CÔNG TY CỔ PHẦN CÔNG NGHIỆP VÀ THƯƠNG MẠI CƯỜNG THỊNH</t>
        </is>
      </c>
      <c r="I2706" s="18" t="inlineStr">
        <is>
          <t>Đai ốc Din 934 8 ZP M20</t>
        </is>
      </c>
      <c r="J2706" s="18" t="inlineStr">
        <is>
          <t>Cái</t>
        </is>
      </c>
      <c r="K2706" s="19" t="n">
        <v>2030</v>
      </c>
      <c r="L2706" s="20" t="n"/>
      <c r="M2706" s="20" t="n"/>
      <c r="N2706" s="22" t="n">
        <v>527</v>
      </c>
      <c r="O2706" s="22" t="n">
        <v>1069810</v>
      </c>
      <c r="P2706" s="22" t="n">
        <v>527</v>
      </c>
      <c r="Q2706" s="22" t="n">
        <v>1069810</v>
      </c>
      <c r="R2706" s="42">
        <f>+L2706+N2706-P2706</f>
        <v/>
      </c>
      <c r="S2706" s="42">
        <f>+M2706+O2706-Q2706</f>
        <v/>
      </c>
    </row>
    <row r="2707" ht="30" customHeight="1">
      <c r="A2707" s="16" t="n">
        <v>45892</v>
      </c>
      <c r="B2707" s="17" t="inlineStr">
        <is>
          <t>MH2508-56</t>
        </is>
      </c>
      <c r="C2707" s="16" t="n">
        <v>45892</v>
      </c>
      <c r="D2707" s="17" t="inlineStr">
        <is>
          <t>00003314</t>
        </is>
      </c>
      <c r="E2707" s="16" t="n">
        <v>45892</v>
      </c>
      <c r="F2707" s="16" t="inlineStr">
        <is>
          <t>XK2508-46</t>
        </is>
      </c>
      <c r="G2707" s="16" t="n">
        <v>45892</v>
      </c>
      <c r="H2707" s="18" t="inlineStr">
        <is>
          <t>CÔNG TY CỔ PHẦN CÔNG NGHIỆP VÀ THƯƠNG MẠI CƯỜNG THỊNH</t>
        </is>
      </c>
      <c r="I2707" s="18" t="inlineStr">
        <is>
          <t>Long đền thường ZP M20B35D2</t>
        </is>
      </c>
      <c r="J2707" s="18" t="inlineStr">
        <is>
          <t>Cái</t>
        </is>
      </c>
      <c r="K2707" s="19" t="n">
        <v>350</v>
      </c>
      <c r="L2707" s="20" t="n"/>
      <c r="M2707" s="20" t="n"/>
      <c r="N2707" s="22" t="n">
        <v>527</v>
      </c>
      <c r="O2707" s="22" t="n">
        <v>184450</v>
      </c>
      <c r="P2707" s="22" t="n">
        <v>527</v>
      </c>
      <c r="Q2707" s="22" t="n">
        <v>184450</v>
      </c>
      <c r="R2707" s="42">
        <f>+L2707+N2707-P2707</f>
        <v/>
      </c>
      <c r="S2707" s="42">
        <f>+M2707+O2707-Q2707</f>
        <v/>
      </c>
    </row>
    <row r="2708" ht="30" customHeight="1">
      <c r="A2708" s="16" t="n">
        <v>45892</v>
      </c>
      <c r="B2708" s="17" t="inlineStr">
        <is>
          <t>MH2508-56</t>
        </is>
      </c>
      <c r="C2708" s="16" t="n">
        <v>45892</v>
      </c>
      <c r="D2708" s="17" t="inlineStr">
        <is>
          <t>00003314</t>
        </is>
      </c>
      <c r="E2708" s="16" t="n">
        <v>45892</v>
      </c>
      <c r="F2708" s="16" t="inlineStr">
        <is>
          <t>XK2508-46</t>
        </is>
      </c>
      <c r="G2708" s="16" t="n">
        <v>45892</v>
      </c>
      <c r="H2708" s="18" t="inlineStr">
        <is>
          <t>CÔNG TY CỔ PHẦN CÔNG NGHIỆP VÀ THƯƠNG MẠI CƯỜNG THỊNH</t>
        </is>
      </c>
      <c r="I2708" s="18" t="inlineStr">
        <is>
          <t>Bulong thường 4.6 ZP M12x50</t>
        </is>
      </c>
      <c r="J2708" s="18" t="inlineStr">
        <is>
          <t>Cái</t>
        </is>
      </c>
      <c r="K2708" s="19" t="n">
        <v>1300</v>
      </c>
      <c r="L2708" s="20" t="n"/>
      <c r="M2708" s="20" t="n"/>
      <c r="N2708" s="22" t="n">
        <v>1879</v>
      </c>
      <c r="O2708" s="22" t="n">
        <v>2442700</v>
      </c>
      <c r="P2708" s="22" t="n">
        <v>1879</v>
      </c>
      <c r="Q2708" s="22" t="n">
        <v>2442700</v>
      </c>
      <c r="R2708" s="42">
        <f>+L2708+N2708-P2708</f>
        <v/>
      </c>
      <c r="S2708" s="42">
        <f>+M2708+O2708-Q2708</f>
        <v/>
      </c>
    </row>
    <row r="2709" ht="30" customHeight="1">
      <c r="A2709" s="16" t="n">
        <v>45892</v>
      </c>
      <c r="B2709" s="17" t="inlineStr">
        <is>
          <t>MH2508-56</t>
        </is>
      </c>
      <c r="C2709" s="16" t="n">
        <v>45892</v>
      </c>
      <c r="D2709" s="17" t="inlineStr">
        <is>
          <t>00003314</t>
        </is>
      </c>
      <c r="E2709" s="16" t="n">
        <v>45892</v>
      </c>
      <c r="F2709" s="16" t="inlineStr">
        <is>
          <t>XK2508-46</t>
        </is>
      </c>
      <c r="G2709" s="16" t="n">
        <v>45892</v>
      </c>
      <c r="H2709" s="18" t="inlineStr">
        <is>
          <t>CÔNG TY CỔ PHẦN CÔNG NGHIỆP VÀ THƯƠNG MẠI CƯỜNG THỊNH</t>
        </is>
      </c>
      <c r="I2709" s="18" t="inlineStr">
        <is>
          <t>Đai ốc thường 4 ZP M12 (9mm)</t>
        </is>
      </c>
      <c r="J2709" s="18" t="inlineStr">
        <is>
          <t>Cái</t>
        </is>
      </c>
      <c r="K2709" s="19" t="n">
        <v>360</v>
      </c>
      <c r="L2709" s="20" t="n"/>
      <c r="M2709" s="20" t="n"/>
      <c r="N2709" s="22" t="n">
        <v>1879</v>
      </c>
      <c r="O2709" s="22" t="n">
        <v>676440</v>
      </c>
      <c r="P2709" s="22" t="n">
        <v>1879</v>
      </c>
      <c r="Q2709" s="22" t="n">
        <v>676440</v>
      </c>
      <c r="R2709" s="42">
        <f>+L2709+N2709-P2709</f>
        <v/>
      </c>
      <c r="S2709" s="42">
        <f>+M2709+O2709-Q2709</f>
        <v/>
      </c>
    </row>
    <row r="2710" ht="30" customHeight="1">
      <c r="A2710" s="16" t="n">
        <v>45892</v>
      </c>
      <c r="B2710" s="17" t="inlineStr">
        <is>
          <t>MH2508-56</t>
        </is>
      </c>
      <c r="C2710" s="16" t="n">
        <v>45892</v>
      </c>
      <c r="D2710" s="17" t="inlineStr">
        <is>
          <t>00003314</t>
        </is>
      </c>
      <c r="E2710" s="16" t="n">
        <v>45892</v>
      </c>
      <c r="F2710" s="16" t="inlineStr">
        <is>
          <t>XK2508-46</t>
        </is>
      </c>
      <c r="G2710" s="16" t="n">
        <v>45892</v>
      </c>
      <c r="H2710" s="18" t="inlineStr">
        <is>
          <t>CÔNG TY CỔ PHẦN CÔNG NGHIỆP VÀ THƯƠNG MẠI CƯỜNG THỊNH</t>
        </is>
      </c>
      <c r="I2710" s="18" t="inlineStr">
        <is>
          <t>Long đền thường ZP M12B23D1</t>
        </is>
      </c>
      <c r="J2710" s="18" t="inlineStr">
        <is>
          <t>Cái</t>
        </is>
      </c>
      <c r="K2710" s="19" t="n">
        <v>100</v>
      </c>
      <c r="L2710" s="20" t="n"/>
      <c r="M2710" s="20" t="n"/>
      <c r="N2710" s="22" t="n">
        <v>3758</v>
      </c>
      <c r="O2710" s="22" t="n">
        <v>375800</v>
      </c>
      <c r="P2710" s="22" t="n">
        <v>3758</v>
      </c>
      <c r="Q2710" s="22" t="n">
        <v>375800</v>
      </c>
      <c r="R2710" s="42">
        <f>+L2710+N2710-P2710</f>
        <v/>
      </c>
      <c r="S2710" s="42">
        <f>+M2710+O2710-Q2710</f>
        <v/>
      </c>
    </row>
    <row r="2711" ht="30" customHeight="1">
      <c r="A2711" s="16" t="n">
        <v>45892</v>
      </c>
      <c r="B2711" s="17" t="inlineStr">
        <is>
          <t>MH2508-56</t>
        </is>
      </c>
      <c r="C2711" s="16" t="n">
        <v>45892</v>
      </c>
      <c r="D2711" s="17" t="inlineStr">
        <is>
          <t>00003314</t>
        </is>
      </c>
      <c r="E2711" s="16" t="n">
        <v>45892</v>
      </c>
      <c r="F2711" s="16" t="inlineStr">
        <is>
          <t>XK2508-46</t>
        </is>
      </c>
      <c r="G2711" s="16" t="n">
        <v>45892</v>
      </c>
      <c r="H2711" s="18" t="inlineStr">
        <is>
          <t>CÔNG TY CỔ PHẦN CÔNG NGHIỆP VÀ THƯƠNG MẠI CƯỜNG THỊNH</t>
        </is>
      </c>
      <c r="I2711" s="18" t="inlineStr">
        <is>
          <t>Bulong Din 933 8.8 ZP M20x60</t>
        </is>
      </c>
      <c r="J2711" s="18" t="inlineStr">
        <is>
          <t>Cái</t>
        </is>
      </c>
      <c r="K2711" s="19" t="n">
        <v>6360</v>
      </c>
      <c r="L2711" s="20" t="n"/>
      <c r="M2711" s="20" t="n"/>
      <c r="N2711" s="22" t="n">
        <v>1384</v>
      </c>
      <c r="O2711" s="22" t="n">
        <v>8802240</v>
      </c>
      <c r="P2711" s="22" t="n">
        <v>1384</v>
      </c>
      <c r="Q2711" s="22" t="n">
        <v>8802240</v>
      </c>
      <c r="R2711" s="42">
        <f>+L2711+N2711-P2711</f>
        <v/>
      </c>
      <c r="S2711" s="42">
        <f>+M2711+O2711-Q2711</f>
        <v/>
      </c>
    </row>
    <row r="2712" ht="30" customHeight="1">
      <c r="A2712" s="16" t="n">
        <v>45892</v>
      </c>
      <c r="B2712" s="17" t="inlineStr">
        <is>
          <t>MH2508-56</t>
        </is>
      </c>
      <c r="C2712" s="16" t="n">
        <v>45892</v>
      </c>
      <c r="D2712" s="17" t="inlineStr">
        <is>
          <t>00003314</t>
        </is>
      </c>
      <c r="E2712" s="16" t="n">
        <v>45892</v>
      </c>
      <c r="F2712" s="16" t="inlineStr">
        <is>
          <t>XK2508-46</t>
        </is>
      </c>
      <c r="G2712" s="16" t="n">
        <v>45892</v>
      </c>
      <c r="H2712" s="18" t="inlineStr">
        <is>
          <t>CÔNG TY CỔ PHẦN CÔNG NGHIỆP VÀ THƯƠNG MẠI CƯỜNG THỊNH</t>
        </is>
      </c>
      <c r="I2712" s="18" t="inlineStr">
        <is>
          <t>Đai ốc Din 934 8 ZP M20</t>
        </is>
      </c>
      <c r="J2712" s="18" t="inlineStr">
        <is>
          <t>Cái</t>
        </is>
      </c>
      <c r="K2712" s="19" t="n">
        <v>2030</v>
      </c>
      <c r="L2712" s="20" t="n"/>
      <c r="M2712" s="20" t="n"/>
      <c r="N2712" s="22" t="n">
        <v>1384</v>
      </c>
      <c r="O2712" s="22" t="n">
        <v>2809520</v>
      </c>
      <c r="P2712" s="22" t="n">
        <v>1384</v>
      </c>
      <c r="Q2712" s="22" t="n">
        <v>2809520</v>
      </c>
      <c r="R2712" s="42">
        <f>+L2712+N2712-P2712</f>
        <v/>
      </c>
      <c r="S2712" s="42">
        <f>+M2712+O2712-Q2712</f>
        <v/>
      </c>
    </row>
    <row r="2713" ht="30" customHeight="1">
      <c r="A2713" s="16" t="n">
        <v>45892</v>
      </c>
      <c r="B2713" s="17" t="inlineStr">
        <is>
          <t>MH2508-56</t>
        </is>
      </c>
      <c r="C2713" s="16" t="n">
        <v>45892</v>
      </c>
      <c r="D2713" s="17" t="inlineStr">
        <is>
          <t>00003314</t>
        </is>
      </c>
      <c r="E2713" s="16" t="n">
        <v>45892</v>
      </c>
      <c r="F2713" s="16" t="inlineStr">
        <is>
          <t>XK2508-46</t>
        </is>
      </c>
      <c r="G2713" s="16" t="n">
        <v>45892</v>
      </c>
      <c r="H2713" s="18" t="inlineStr">
        <is>
          <t>CÔNG TY CỔ PHẦN CÔNG NGHIỆP VÀ THƯƠNG MẠI CƯỜNG THỊNH</t>
        </is>
      </c>
      <c r="I2713" s="18" t="inlineStr">
        <is>
          <t>Long đền thường ZP M20B35D2</t>
        </is>
      </c>
      <c r="J2713" s="18" t="inlineStr">
        <is>
          <t>Cái</t>
        </is>
      </c>
      <c r="K2713" s="19" t="n">
        <v>350</v>
      </c>
      <c r="L2713" s="20" t="n"/>
      <c r="M2713" s="20" t="n"/>
      <c r="N2713" s="22" t="n">
        <v>1384</v>
      </c>
      <c r="O2713" s="22" t="n">
        <v>484400</v>
      </c>
      <c r="P2713" s="22" t="n">
        <v>1384</v>
      </c>
      <c r="Q2713" s="22" t="n">
        <v>484400</v>
      </c>
      <c r="R2713" s="42">
        <f>+L2713+N2713-P2713</f>
        <v/>
      </c>
      <c r="S2713" s="42">
        <f>+M2713+O2713-Q2713</f>
        <v/>
      </c>
    </row>
    <row r="2714" ht="30" customHeight="1">
      <c r="A2714" s="16" t="n">
        <v>45892</v>
      </c>
      <c r="B2714" s="17" t="inlineStr">
        <is>
          <t>MH2508-56</t>
        </is>
      </c>
      <c r="C2714" s="16" t="n">
        <v>45892</v>
      </c>
      <c r="D2714" s="17" t="inlineStr">
        <is>
          <t>00003314</t>
        </is>
      </c>
      <c r="E2714" s="16" t="n">
        <v>45892</v>
      </c>
      <c r="F2714" s="16" t="inlineStr">
        <is>
          <t>XK2508-46</t>
        </is>
      </c>
      <c r="G2714" s="16" t="n">
        <v>45892</v>
      </c>
      <c r="H2714" s="18" t="inlineStr">
        <is>
          <t>CÔNG TY CỔ PHẦN CÔNG NGHIỆP VÀ THƯƠNG MẠI CƯỜNG THỊNH</t>
        </is>
      </c>
      <c r="I2714" s="18" t="inlineStr">
        <is>
          <t>Vít B3 Dacromet 10-24x22 WAF (bake)</t>
        </is>
      </c>
      <c r="J2714" s="18" t="inlineStr">
        <is>
          <t>Cái</t>
        </is>
      </c>
      <c r="K2714" s="19" t="n">
        <v>400</v>
      </c>
      <c r="L2714" s="20" t="n"/>
      <c r="M2714" s="20" t="n"/>
      <c r="N2714" s="22" t="n">
        <v>2300</v>
      </c>
      <c r="O2714" s="22" t="n">
        <v>920000</v>
      </c>
      <c r="P2714" s="22" t="n">
        <v>2300</v>
      </c>
      <c r="Q2714" s="22" t="n">
        <v>920000</v>
      </c>
      <c r="R2714" s="42">
        <f>+L2714+N2714-P2714</f>
        <v/>
      </c>
      <c r="S2714" s="42">
        <f>+M2714+O2714-Q2714</f>
        <v/>
      </c>
    </row>
    <row r="2715" ht="30" customHeight="1">
      <c r="A2715" s="16" t="n">
        <v>45892</v>
      </c>
      <c r="B2715" s="17" t="inlineStr">
        <is>
          <t>MH2508-56</t>
        </is>
      </c>
      <c r="C2715" s="16" t="n">
        <v>45892</v>
      </c>
      <c r="D2715" s="17" t="inlineStr">
        <is>
          <t>00003314</t>
        </is>
      </c>
      <c r="E2715" s="16" t="n">
        <v>45892</v>
      </c>
      <c r="F2715" s="16" t="inlineStr">
        <is>
          <t>XK2508-46</t>
        </is>
      </c>
      <c r="G2715" s="16" t="n">
        <v>45892</v>
      </c>
      <c r="H2715" s="18" t="inlineStr">
        <is>
          <t>CÔNG TY CỔ PHẦN CÔNG NGHIỆP VÀ THƯƠNG MẠI CƯỜNG THỊNH</t>
        </is>
      </c>
      <c r="I2715" s="18" t="inlineStr">
        <is>
          <t>Vít B2 Dacromet 12-14x20</t>
        </is>
      </c>
      <c r="J2715" s="18" t="inlineStr">
        <is>
          <t>Cái</t>
        </is>
      </c>
      <c r="K2715" s="19" t="n">
        <v>600</v>
      </c>
      <c r="L2715" s="20" t="n"/>
      <c r="M2715" s="20" t="n"/>
      <c r="N2715" s="22" t="n">
        <v>4400</v>
      </c>
      <c r="O2715" s="22" t="n">
        <v>2640000</v>
      </c>
      <c r="P2715" s="22" t="n">
        <v>4400</v>
      </c>
      <c r="Q2715" s="22" t="n">
        <v>2640000</v>
      </c>
      <c r="R2715" s="42">
        <f>+L2715+N2715-P2715</f>
        <v/>
      </c>
      <c r="S2715" s="42">
        <f>+M2715+O2715-Q2715</f>
        <v/>
      </c>
    </row>
    <row r="2716" ht="30" customHeight="1">
      <c r="A2716" s="16" t="n">
        <v>45892</v>
      </c>
      <c r="B2716" s="17" t="inlineStr">
        <is>
          <t>MH2508-57</t>
        </is>
      </c>
      <c r="C2716" s="16" t="n">
        <v>45892</v>
      </c>
      <c r="D2716" s="17" t="inlineStr">
        <is>
          <t>00003313</t>
        </is>
      </c>
      <c r="E2716" s="16" t="n">
        <v>45892</v>
      </c>
      <c r="F2716" s="16" t="inlineStr">
        <is>
          <t>XK2508-47</t>
        </is>
      </c>
      <c r="G2716" s="16" t="n">
        <v>45892</v>
      </c>
      <c r="H2716" s="18" t="inlineStr">
        <is>
          <t>CÔNG TY CỔ PHẦN CÔNG NGHIỆP VÀ THƯƠNG MẠI CƯỜNG THỊNH</t>
        </is>
      </c>
      <c r="I2716" s="18" t="inlineStr">
        <is>
          <t>Ty giằng 2 đầu ren 4.6 ZP M20</t>
        </is>
      </c>
      <c r="J2716" s="18" t="inlineStr">
        <is>
          <t>Mét</t>
        </is>
      </c>
      <c r="K2716" s="19" t="n">
        <v>69000</v>
      </c>
      <c r="L2716" s="20" t="n"/>
      <c r="M2716" s="20" t="n"/>
      <c r="N2716" s="22" t="n">
        <v>699.8</v>
      </c>
      <c r="O2716" s="22" t="n">
        <v>48286200</v>
      </c>
      <c r="P2716" s="22" t="n">
        <v>699.8</v>
      </c>
      <c r="Q2716" s="22" t="n">
        <v>48286200</v>
      </c>
      <c r="R2716" s="42">
        <f>+L2716+N2716-P2716</f>
        <v/>
      </c>
      <c r="S2716" s="42">
        <f>+M2716+O2716-Q2716</f>
        <v/>
      </c>
    </row>
    <row r="2717" ht="30" customHeight="1">
      <c r="A2717" s="16" t="n">
        <v>45892</v>
      </c>
      <c r="B2717" s="17" t="inlineStr">
        <is>
          <t>MH2508-57</t>
        </is>
      </c>
      <c r="C2717" s="16" t="n">
        <v>45892</v>
      </c>
      <c r="D2717" s="17" t="inlineStr">
        <is>
          <t>00003313</t>
        </is>
      </c>
      <c r="E2717" s="16" t="n">
        <v>45892</v>
      </c>
      <c r="F2717" s="16" t="inlineStr">
        <is>
          <t>XK2508-47</t>
        </is>
      </c>
      <c r="G2717" s="16" t="n">
        <v>45892</v>
      </c>
      <c r="H2717" s="18" t="inlineStr">
        <is>
          <t>CÔNG TY CỔ PHẦN CÔNG NGHIỆP VÀ THƯƠNG MẠI CƯỜNG THỊNH</t>
        </is>
      </c>
      <c r="I2717" s="18" t="inlineStr">
        <is>
          <t>Đai ốc Din 934 5 ZP M20</t>
        </is>
      </c>
      <c r="J2717" s="18" t="inlineStr">
        <is>
          <t>Cái</t>
        </is>
      </c>
      <c r="K2717" s="19" t="n">
        <v>1850</v>
      </c>
      <c r="L2717" s="20" t="n"/>
      <c r="M2717" s="20" t="n"/>
      <c r="N2717" s="22" t="n">
        <v>168</v>
      </c>
      <c r="O2717" s="22" t="n">
        <v>310800</v>
      </c>
      <c r="P2717" s="22" t="n">
        <v>168</v>
      </c>
      <c r="Q2717" s="22" t="n">
        <v>310800</v>
      </c>
      <c r="R2717" s="42">
        <f>+L2717+N2717-P2717</f>
        <v/>
      </c>
      <c r="S2717" s="42">
        <f>+M2717+O2717-Q2717</f>
        <v/>
      </c>
    </row>
    <row r="2718" ht="30" customHeight="1">
      <c r="A2718" s="16" t="n">
        <v>45892</v>
      </c>
      <c r="B2718" s="17" t="inlineStr">
        <is>
          <t>MH2508-57</t>
        </is>
      </c>
      <c r="C2718" s="16" t="n">
        <v>45892</v>
      </c>
      <c r="D2718" s="17" t="inlineStr">
        <is>
          <t>00003313</t>
        </is>
      </c>
      <c r="E2718" s="16" t="n">
        <v>45892</v>
      </c>
      <c r="F2718" s="16" t="inlineStr">
        <is>
          <t>XK2508-47</t>
        </is>
      </c>
      <c r="G2718" s="16" t="n">
        <v>45892</v>
      </c>
      <c r="H2718" s="18" t="inlineStr">
        <is>
          <t>CÔNG TY CỔ PHẦN CÔNG NGHIỆP VÀ THƯƠNG MẠI CƯỜNG THỊNH</t>
        </is>
      </c>
      <c r="I2718" s="18" t="inlineStr">
        <is>
          <t>Long đền thường ZP M20B42D2</t>
        </is>
      </c>
      <c r="J2718" s="18" t="inlineStr">
        <is>
          <t>Cái</t>
        </is>
      </c>
      <c r="K2718" s="19" t="n">
        <v>700</v>
      </c>
      <c r="L2718" s="20" t="n"/>
      <c r="M2718" s="20" t="n"/>
      <c r="N2718" s="22" t="n">
        <v>168</v>
      </c>
      <c r="O2718" s="22" t="n">
        <v>117600</v>
      </c>
      <c r="P2718" s="22" t="n">
        <v>168</v>
      </c>
      <c r="Q2718" s="22" t="n">
        <v>117600</v>
      </c>
      <c r="R2718" s="42">
        <f>+L2718+N2718-P2718</f>
        <v/>
      </c>
      <c r="S2718" s="42">
        <f>+M2718+O2718-Q2718</f>
        <v/>
      </c>
    </row>
    <row r="2719" ht="30" customHeight="1">
      <c r="A2719" s="16" t="n">
        <v>45892</v>
      </c>
      <c r="B2719" s="17" t="inlineStr">
        <is>
          <t>MH2508-57</t>
        </is>
      </c>
      <c r="C2719" s="16" t="n">
        <v>45892</v>
      </c>
      <c r="D2719" s="17" t="inlineStr">
        <is>
          <t>00003313</t>
        </is>
      </c>
      <c r="E2719" s="16" t="n">
        <v>45892</v>
      </c>
      <c r="F2719" s="16" t="inlineStr">
        <is>
          <t>XK2508-47</t>
        </is>
      </c>
      <c r="G2719" s="16" t="n">
        <v>45892</v>
      </c>
      <c r="H2719" s="18" t="inlineStr">
        <is>
          <t>CÔNG TY CỔ PHẦN CÔNG NGHIỆP VÀ THƯƠNG MẠI CƯỜNG THỊNH</t>
        </is>
      </c>
      <c r="I2719" s="18" t="inlineStr">
        <is>
          <t>Long đền móng ngựa ZP M20</t>
        </is>
      </c>
      <c r="J2719" s="18" t="inlineStr">
        <is>
          <t>Cái</t>
        </is>
      </c>
      <c r="K2719" s="19" t="n">
        <v>15590</v>
      </c>
      <c r="L2719" s="20" t="n"/>
      <c r="M2719" s="20" t="n"/>
      <c r="N2719" s="22" t="n">
        <v>168</v>
      </c>
      <c r="O2719" s="22" t="n">
        <v>2619120</v>
      </c>
      <c r="P2719" s="22" t="n">
        <v>168</v>
      </c>
      <c r="Q2719" s="22" t="n">
        <v>2619120</v>
      </c>
      <c r="R2719" s="42">
        <f>+L2719+N2719-P2719</f>
        <v/>
      </c>
      <c r="S2719" s="42">
        <f>+M2719+O2719-Q2719</f>
        <v/>
      </c>
    </row>
    <row r="2720" ht="30" customHeight="1">
      <c r="A2720" s="16" t="n">
        <v>45892</v>
      </c>
      <c r="B2720" s="17" t="inlineStr">
        <is>
          <t>MH2508-57</t>
        </is>
      </c>
      <c r="C2720" s="16" t="n">
        <v>45892</v>
      </c>
      <c r="D2720" s="17" t="inlineStr">
        <is>
          <t>00003313</t>
        </is>
      </c>
      <c r="E2720" s="16" t="n">
        <v>45892</v>
      </c>
      <c r="F2720" s="16" t="inlineStr">
        <is>
          <t>XK2508-47</t>
        </is>
      </c>
      <c r="G2720" s="16" t="n">
        <v>45892</v>
      </c>
      <c r="H2720" s="18" t="inlineStr">
        <is>
          <t>CÔNG TY CỔ PHẦN CÔNG NGHIỆP VÀ THƯƠNG MẠI CƯỜNG THỊNH</t>
        </is>
      </c>
      <c r="I2720" s="18" t="inlineStr">
        <is>
          <t>Nối Ty ZP M20x100(28mm)</t>
        </is>
      </c>
      <c r="J2720" s="18" t="inlineStr">
        <is>
          <t>Cái</t>
        </is>
      </c>
      <c r="K2720" s="19" t="n">
        <v>24470</v>
      </c>
      <c r="L2720" s="20" t="n"/>
      <c r="M2720" s="20" t="n"/>
      <c r="N2720" s="22" t="n">
        <v>84</v>
      </c>
      <c r="O2720" s="22" t="n">
        <v>2055480</v>
      </c>
      <c r="P2720" s="22" t="n">
        <v>84</v>
      </c>
      <c r="Q2720" s="22" t="n">
        <v>2055480</v>
      </c>
      <c r="R2720" s="42">
        <f>+L2720+N2720-P2720</f>
        <v/>
      </c>
      <c r="S2720" s="42">
        <f>+M2720+O2720-Q2720</f>
        <v/>
      </c>
    </row>
    <row r="2721" ht="30" customHeight="1">
      <c r="A2721" s="16" t="n">
        <v>45892</v>
      </c>
      <c r="B2721" s="17" t="inlineStr">
        <is>
          <t>MH2508-57</t>
        </is>
      </c>
      <c r="C2721" s="16" t="n">
        <v>45892</v>
      </c>
      <c r="D2721" s="17" t="inlineStr">
        <is>
          <t>00003313</t>
        </is>
      </c>
      <c r="E2721" s="16" t="n">
        <v>45892</v>
      </c>
      <c r="F2721" s="16" t="inlineStr">
        <is>
          <t>XK2508-47</t>
        </is>
      </c>
      <c r="G2721" s="16" t="n">
        <v>45892</v>
      </c>
      <c r="H2721" s="18" t="inlineStr">
        <is>
          <t>CÔNG TY CỔ PHẦN CÔNG NGHIỆP VÀ THƯƠNG MẠI CƯỜNG THỊNH</t>
        </is>
      </c>
      <c r="I2721" s="18" t="inlineStr">
        <is>
          <t>Ty giằng 2 đầu ren 4.6 Ф11.3-11.5mm ZP M12</t>
        </is>
      </c>
      <c r="J2721" s="18" t="inlineStr">
        <is>
          <t>Mét</t>
        </is>
      </c>
      <c r="K2721" s="19" t="n">
        <v>20500</v>
      </c>
      <c r="L2721" s="20" t="n"/>
      <c r="M2721" s="20" t="n"/>
      <c r="N2721" s="22" t="n">
        <v>686.4</v>
      </c>
      <c r="O2721" s="22" t="n">
        <v>14071200</v>
      </c>
      <c r="P2721" s="22" t="n">
        <v>686.4</v>
      </c>
      <c r="Q2721" s="22" t="n">
        <v>14071200</v>
      </c>
      <c r="R2721" s="42">
        <f>+L2721+N2721-P2721</f>
        <v/>
      </c>
      <c r="S2721" s="42">
        <f>+M2721+O2721-Q2721</f>
        <v/>
      </c>
    </row>
    <row r="2722" ht="30" customHeight="1">
      <c r="A2722" s="16" t="n">
        <v>45892</v>
      </c>
      <c r="B2722" s="17" t="inlineStr">
        <is>
          <t>MH2508-57</t>
        </is>
      </c>
      <c r="C2722" s="16" t="n">
        <v>45892</v>
      </c>
      <c r="D2722" s="17" t="inlineStr">
        <is>
          <t>00003313</t>
        </is>
      </c>
      <c r="E2722" s="16" t="n">
        <v>45892</v>
      </c>
      <c r="F2722" s="16" t="inlineStr">
        <is>
          <t>XK2508-47</t>
        </is>
      </c>
      <c r="G2722" s="16" t="n">
        <v>45892</v>
      </c>
      <c r="H2722" s="18" t="inlineStr">
        <is>
          <t>CÔNG TY CỔ PHẦN CÔNG NGHIỆP VÀ THƯƠNG MẠI CƯỜNG THỊNH</t>
        </is>
      </c>
      <c r="I2722" s="18" t="inlineStr">
        <is>
          <t>Đai ốc thường 4 ZP M12 (9mm)</t>
        </is>
      </c>
      <c r="J2722" s="18" t="inlineStr">
        <is>
          <t>Cái</t>
        </is>
      </c>
      <c r="K2722" s="19" t="n">
        <v>360</v>
      </c>
      <c r="L2722" s="20" t="n"/>
      <c r="M2722" s="20" t="n"/>
      <c r="N2722" s="22" t="n">
        <v>2872</v>
      </c>
      <c r="O2722" s="22" t="n">
        <v>1033920</v>
      </c>
      <c r="P2722" s="22" t="n">
        <v>2872</v>
      </c>
      <c r="Q2722" s="22" t="n">
        <v>1033920</v>
      </c>
      <c r="R2722" s="42">
        <f>+L2722+N2722-P2722</f>
        <v/>
      </c>
      <c r="S2722" s="42">
        <f>+M2722+O2722-Q2722</f>
        <v/>
      </c>
    </row>
    <row r="2723" ht="30" customHeight="1">
      <c r="A2723" s="16" t="n">
        <v>45892</v>
      </c>
      <c r="B2723" s="17" t="inlineStr">
        <is>
          <t>MH2508-57</t>
        </is>
      </c>
      <c r="C2723" s="16" t="n">
        <v>45892</v>
      </c>
      <c r="D2723" s="17" t="inlineStr">
        <is>
          <t>00003313</t>
        </is>
      </c>
      <c r="E2723" s="16" t="n">
        <v>45892</v>
      </c>
      <c r="F2723" s="16" t="inlineStr">
        <is>
          <t>XK2508-47</t>
        </is>
      </c>
      <c r="G2723" s="16" t="n">
        <v>45892</v>
      </c>
      <c r="H2723" s="18" t="inlineStr">
        <is>
          <t>CÔNG TY CỔ PHẦN CÔNG NGHIỆP VÀ THƯƠNG MẠI CƯỜNG THỊNH</t>
        </is>
      </c>
      <c r="I2723" s="18" t="inlineStr">
        <is>
          <t>Long đền thường ZP M12B26D1.5</t>
        </is>
      </c>
      <c r="J2723" s="18" t="inlineStr">
        <is>
          <t>Cái</t>
        </is>
      </c>
      <c r="K2723" s="19" t="n">
        <v>190</v>
      </c>
      <c r="L2723" s="20" t="n"/>
      <c r="M2723" s="20" t="n"/>
      <c r="N2723" s="22" t="n">
        <v>2872</v>
      </c>
      <c r="O2723" s="22" t="n">
        <v>545680</v>
      </c>
      <c r="P2723" s="22" t="n">
        <v>2872</v>
      </c>
      <c r="Q2723" s="22" t="n">
        <v>545680</v>
      </c>
      <c r="R2723" s="42">
        <f>+L2723+N2723-P2723</f>
        <v/>
      </c>
      <c r="S2723" s="42">
        <f>+M2723+O2723-Q2723</f>
        <v/>
      </c>
    </row>
    <row r="2724" ht="30" customHeight="1">
      <c r="A2724" s="16" t="n">
        <v>45892</v>
      </c>
      <c r="B2724" s="17" t="inlineStr">
        <is>
          <t>MH2508-57</t>
        </is>
      </c>
      <c r="C2724" s="16" t="n">
        <v>45892</v>
      </c>
      <c r="D2724" s="17" t="inlineStr">
        <is>
          <t>00003313</t>
        </is>
      </c>
      <c r="E2724" s="16" t="n">
        <v>45892</v>
      </c>
      <c r="F2724" s="16" t="inlineStr">
        <is>
          <t>XK2508-47</t>
        </is>
      </c>
      <c r="G2724" s="16" t="n">
        <v>45892</v>
      </c>
      <c r="H2724" s="18" t="inlineStr">
        <is>
          <t>CÔNG TY CỔ PHẦN CÔNG NGHIỆP VÀ THƯƠNG MẠI CƯỜNG THỊNH</t>
        </is>
      </c>
      <c r="I2724" s="18" t="inlineStr">
        <is>
          <t>Ty giằng 2 đầu ren 4.6 Ф11.3-11.5mm ZP M12</t>
        </is>
      </c>
      <c r="J2724" s="18" t="inlineStr">
        <is>
          <t>Mét</t>
        </is>
      </c>
      <c r="K2724" s="19" t="n">
        <v>22500</v>
      </c>
      <c r="L2724" s="20" t="n"/>
      <c r="M2724" s="20" t="n"/>
      <c r="N2724" s="22" t="n">
        <v>77.2</v>
      </c>
      <c r="O2724" s="22" t="n">
        <v>1737000</v>
      </c>
      <c r="P2724" s="22" t="n">
        <v>77.2</v>
      </c>
      <c r="Q2724" s="22" t="n">
        <v>1737000</v>
      </c>
      <c r="R2724" s="42">
        <f>+L2724+N2724-P2724</f>
        <v/>
      </c>
      <c r="S2724" s="42">
        <f>+M2724+O2724-Q2724</f>
        <v/>
      </c>
    </row>
    <row r="2725" ht="30" customHeight="1">
      <c r="A2725" s="16" t="n">
        <v>45892</v>
      </c>
      <c r="B2725" s="17" t="inlineStr">
        <is>
          <t>MH2508-58</t>
        </is>
      </c>
      <c r="C2725" s="16" t="n">
        <v>45892</v>
      </c>
      <c r="D2725" s="17" t="inlineStr">
        <is>
          <t>00003316</t>
        </is>
      </c>
      <c r="E2725" s="16" t="n">
        <v>45892</v>
      </c>
      <c r="F2725" s="16" t="inlineStr">
        <is>
          <t>XK2508-48</t>
        </is>
      </c>
      <c r="G2725" s="16" t="n">
        <v>45892</v>
      </c>
      <c r="H2725" s="18" t="inlineStr">
        <is>
          <t>CÔNG TY CỔ PHẦN CÔNG NGHIỆP VÀ THƯƠNG MẠI CƯỜNG THỊNH</t>
        </is>
      </c>
      <c r="I2725" s="18" t="inlineStr">
        <is>
          <t>Bulong Din 933 8.8 ZP M16x40</t>
        </is>
      </c>
      <c r="J2725" s="18" t="inlineStr">
        <is>
          <t>Cái</t>
        </is>
      </c>
      <c r="K2725" s="19" t="n">
        <v>3030</v>
      </c>
      <c r="L2725" s="20" t="n"/>
      <c r="M2725" s="20" t="n"/>
      <c r="N2725" s="22" t="n">
        <v>506</v>
      </c>
      <c r="O2725" s="22" t="n">
        <v>1533180</v>
      </c>
      <c r="P2725" s="22" t="n">
        <v>506</v>
      </c>
      <c r="Q2725" s="22" t="n">
        <v>1533180</v>
      </c>
      <c r="R2725" s="42">
        <f>+L2725+N2725-P2725</f>
        <v/>
      </c>
      <c r="S2725" s="42">
        <f>+M2725+O2725-Q2725</f>
        <v/>
      </c>
    </row>
    <row r="2726" ht="30" customHeight="1">
      <c r="A2726" s="16" t="n">
        <v>45892</v>
      </c>
      <c r="B2726" s="17" t="inlineStr">
        <is>
          <t>MH2508-58</t>
        </is>
      </c>
      <c r="C2726" s="16" t="n">
        <v>45892</v>
      </c>
      <c r="D2726" s="17" t="inlineStr">
        <is>
          <t>00003316</t>
        </is>
      </c>
      <c r="E2726" s="16" t="n">
        <v>45892</v>
      </c>
      <c r="F2726" s="16" t="inlineStr">
        <is>
          <t>XK2508-48</t>
        </is>
      </c>
      <c r="G2726" s="16" t="n">
        <v>45892</v>
      </c>
      <c r="H2726" s="18" t="inlineStr">
        <is>
          <t>CÔNG TY CỔ PHẦN CÔNG NGHIỆP VÀ THƯƠNG MẠI CƯỜNG THỊNH</t>
        </is>
      </c>
      <c r="I2726" s="18" t="inlineStr">
        <is>
          <t>Đai ốc Din 934 8 ZP M16</t>
        </is>
      </c>
      <c r="J2726" s="18" t="inlineStr">
        <is>
          <t>Cái</t>
        </is>
      </c>
      <c r="K2726" s="19" t="n">
        <v>1090</v>
      </c>
      <c r="L2726" s="20" t="n"/>
      <c r="M2726" s="20" t="n"/>
      <c r="N2726" s="22" t="n">
        <v>506</v>
      </c>
      <c r="O2726" s="22" t="n">
        <v>551540</v>
      </c>
      <c r="P2726" s="22" t="n">
        <v>506</v>
      </c>
      <c r="Q2726" s="22" t="n">
        <v>551540</v>
      </c>
      <c r="R2726" s="42">
        <f>+L2726+N2726-P2726</f>
        <v/>
      </c>
      <c r="S2726" s="42">
        <f>+M2726+O2726-Q2726</f>
        <v/>
      </c>
    </row>
    <row r="2727" ht="30" customHeight="1">
      <c r="A2727" s="16" t="n">
        <v>45892</v>
      </c>
      <c r="B2727" s="17" t="inlineStr">
        <is>
          <t>MH2508-58</t>
        </is>
      </c>
      <c r="C2727" s="16" t="n">
        <v>45892</v>
      </c>
      <c r="D2727" s="17" t="inlineStr">
        <is>
          <t>00003316</t>
        </is>
      </c>
      <c r="E2727" s="16" t="n">
        <v>45892</v>
      </c>
      <c r="F2727" s="16" t="inlineStr">
        <is>
          <t>XK2508-48</t>
        </is>
      </c>
      <c r="G2727" s="16" t="n">
        <v>45892</v>
      </c>
      <c r="H2727" s="18" t="inlineStr">
        <is>
          <t>CÔNG TY CỔ PHẦN CÔNG NGHIỆP VÀ THƯƠNG MẠI CƯỜNG THỊNH</t>
        </is>
      </c>
      <c r="I2727" s="18" t="inlineStr">
        <is>
          <t>Long đền thường ZP M16B30D2</t>
        </is>
      </c>
      <c r="J2727" s="18" t="inlineStr">
        <is>
          <t>Cái</t>
        </is>
      </c>
      <c r="K2727" s="19" t="n">
        <v>330</v>
      </c>
      <c r="L2727" s="20" t="n"/>
      <c r="M2727" s="20" t="n"/>
      <c r="N2727" s="22" t="n">
        <v>506</v>
      </c>
      <c r="O2727" s="22" t="n">
        <v>166980</v>
      </c>
      <c r="P2727" s="22" t="n">
        <v>506</v>
      </c>
      <c r="Q2727" s="22" t="n">
        <v>166980</v>
      </c>
      <c r="R2727" s="42">
        <f>+L2727+N2727-P2727</f>
        <v/>
      </c>
      <c r="S2727" s="42">
        <f>+M2727+O2727-Q2727</f>
        <v/>
      </c>
    </row>
    <row r="2728" ht="30" customHeight="1">
      <c r="A2728" s="16" t="n">
        <v>45892</v>
      </c>
      <c r="B2728" s="17" t="inlineStr">
        <is>
          <t>MH2508-58</t>
        </is>
      </c>
      <c r="C2728" s="16" t="n">
        <v>45892</v>
      </c>
      <c r="D2728" s="17" t="inlineStr">
        <is>
          <t>00003316</t>
        </is>
      </c>
      <c r="E2728" s="16" t="n">
        <v>45892</v>
      </c>
      <c r="F2728" s="16" t="inlineStr">
        <is>
          <t>XK2508-48</t>
        </is>
      </c>
      <c r="G2728" s="16" t="n">
        <v>45892</v>
      </c>
      <c r="H2728" s="18" t="inlineStr">
        <is>
          <t>CÔNG TY CỔ PHẦN CÔNG NGHIỆP VÀ THƯƠNG MẠI CƯỜNG THỊNH</t>
        </is>
      </c>
      <c r="I2728" s="18" t="inlineStr">
        <is>
          <t>Bulong thường 4.6 ZP M12x30</t>
        </is>
      </c>
      <c r="J2728" s="18" t="inlineStr">
        <is>
          <t>Cái</t>
        </is>
      </c>
      <c r="K2728" s="19" t="n">
        <v>950</v>
      </c>
      <c r="L2728" s="20" t="n"/>
      <c r="M2728" s="20" t="n"/>
      <c r="N2728" s="22" t="n">
        <v>746</v>
      </c>
      <c r="O2728" s="22" t="n">
        <v>708700</v>
      </c>
      <c r="P2728" s="22" t="n">
        <v>746</v>
      </c>
      <c r="Q2728" s="22" t="n">
        <v>708700</v>
      </c>
      <c r="R2728" s="42">
        <f>+L2728+N2728-P2728</f>
        <v/>
      </c>
      <c r="S2728" s="42">
        <f>+M2728+O2728-Q2728</f>
        <v/>
      </c>
    </row>
    <row r="2729" ht="30" customHeight="1">
      <c r="A2729" s="16" t="n">
        <v>45892</v>
      </c>
      <c r="B2729" s="17" t="inlineStr">
        <is>
          <t>MH2508-58</t>
        </is>
      </c>
      <c r="C2729" s="16" t="n">
        <v>45892</v>
      </c>
      <c r="D2729" s="17" t="inlineStr">
        <is>
          <t>00003316</t>
        </is>
      </c>
      <c r="E2729" s="16" t="n">
        <v>45892</v>
      </c>
      <c r="F2729" s="16" t="inlineStr">
        <is>
          <t>XK2508-48</t>
        </is>
      </c>
      <c r="G2729" s="16" t="n">
        <v>45892</v>
      </c>
      <c r="H2729" s="18" t="inlineStr">
        <is>
          <t>CÔNG TY CỔ PHẦN CÔNG NGHIỆP VÀ THƯƠNG MẠI CƯỜNG THỊNH</t>
        </is>
      </c>
      <c r="I2729" s="18" t="inlineStr">
        <is>
          <t>Đai ốc thường 4 ZP M12 (9mm)</t>
        </is>
      </c>
      <c r="J2729" s="18" t="inlineStr">
        <is>
          <t>Cái</t>
        </is>
      </c>
      <c r="K2729" s="19" t="n">
        <v>360</v>
      </c>
      <c r="L2729" s="20" t="n"/>
      <c r="M2729" s="20" t="n"/>
      <c r="N2729" s="22" t="n">
        <v>746</v>
      </c>
      <c r="O2729" s="22" t="n">
        <v>268560</v>
      </c>
      <c r="P2729" s="22" t="n">
        <v>746</v>
      </c>
      <c r="Q2729" s="22" t="n">
        <v>268560</v>
      </c>
      <c r="R2729" s="42">
        <f>+L2729+N2729-P2729</f>
        <v/>
      </c>
      <c r="S2729" s="42">
        <f>+M2729+O2729-Q2729</f>
        <v/>
      </c>
    </row>
    <row r="2730" ht="30" customHeight="1">
      <c r="A2730" s="16" t="n">
        <v>45892</v>
      </c>
      <c r="B2730" s="17" t="inlineStr">
        <is>
          <t>MH2508-58</t>
        </is>
      </c>
      <c r="C2730" s="16" t="n">
        <v>45892</v>
      </c>
      <c r="D2730" s="17" t="inlineStr">
        <is>
          <t>00003316</t>
        </is>
      </c>
      <c r="E2730" s="16" t="n">
        <v>45892</v>
      </c>
      <c r="F2730" s="16" t="inlineStr">
        <is>
          <t>XK2508-48</t>
        </is>
      </c>
      <c r="G2730" s="16" t="n">
        <v>45892</v>
      </c>
      <c r="H2730" s="18" t="inlineStr">
        <is>
          <t>CÔNG TY CỔ PHẦN CÔNG NGHIỆP VÀ THƯƠNG MẠI CƯỜNG THỊNH</t>
        </is>
      </c>
      <c r="I2730" s="18" t="inlineStr">
        <is>
          <t>Long đền thường ZP M12B23D1</t>
        </is>
      </c>
      <c r="J2730" s="18" t="inlineStr">
        <is>
          <t>Cái</t>
        </is>
      </c>
      <c r="K2730" s="19" t="n">
        <v>100</v>
      </c>
      <c r="L2730" s="20" t="n"/>
      <c r="M2730" s="20" t="n"/>
      <c r="N2730" s="22" t="n">
        <v>1492</v>
      </c>
      <c r="O2730" s="22" t="n">
        <v>149200</v>
      </c>
      <c r="P2730" s="22" t="n">
        <v>1492</v>
      </c>
      <c r="Q2730" s="22" t="n">
        <v>149200</v>
      </c>
      <c r="R2730" s="42">
        <f>+L2730+N2730-P2730</f>
        <v/>
      </c>
      <c r="S2730" s="42">
        <f>+M2730+O2730-Q2730</f>
        <v/>
      </c>
    </row>
    <row r="2731" ht="30" customHeight="1">
      <c r="A2731" s="16" t="n">
        <v>45892</v>
      </c>
      <c r="B2731" s="17" t="inlineStr">
        <is>
          <t>MH2508-58</t>
        </is>
      </c>
      <c r="C2731" s="16" t="n">
        <v>45892</v>
      </c>
      <c r="D2731" s="17" t="inlineStr">
        <is>
          <t>00003316</t>
        </is>
      </c>
      <c r="E2731" s="16" t="n">
        <v>45892</v>
      </c>
      <c r="F2731" s="16" t="inlineStr">
        <is>
          <t>XK2508-48</t>
        </is>
      </c>
      <c r="G2731" s="16" t="n">
        <v>45892</v>
      </c>
      <c r="H2731" s="18" t="inlineStr">
        <is>
          <t>CÔNG TY CỔ PHẦN CÔNG NGHIỆP VÀ THƯƠNG MẠI CƯỜNG THỊNH</t>
        </is>
      </c>
      <c r="I2731" s="18" t="inlineStr">
        <is>
          <t>Bulong Din 933 8.8 ZP M20x60</t>
        </is>
      </c>
      <c r="J2731" s="18" t="inlineStr">
        <is>
          <t>Cái</t>
        </is>
      </c>
      <c r="K2731" s="19" t="n">
        <v>6360</v>
      </c>
      <c r="L2731" s="20" t="n"/>
      <c r="M2731" s="20" t="n"/>
      <c r="N2731" s="22" t="n">
        <v>1364</v>
      </c>
      <c r="O2731" s="22" t="n">
        <v>8675040</v>
      </c>
      <c r="P2731" s="22" t="n">
        <v>1364</v>
      </c>
      <c r="Q2731" s="22" t="n">
        <v>8675040</v>
      </c>
      <c r="R2731" s="42">
        <f>+L2731+N2731-P2731</f>
        <v/>
      </c>
      <c r="S2731" s="42">
        <f>+M2731+O2731-Q2731</f>
        <v/>
      </c>
    </row>
    <row r="2732" ht="30" customHeight="1">
      <c r="A2732" s="16" t="n">
        <v>45892</v>
      </c>
      <c r="B2732" s="17" t="inlineStr">
        <is>
          <t>MH2508-58</t>
        </is>
      </c>
      <c r="C2732" s="16" t="n">
        <v>45892</v>
      </c>
      <c r="D2732" s="17" t="inlineStr">
        <is>
          <t>00003316</t>
        </is>
      </c>
      <c r="E2732" s="16" t="n">
        <v>45892</v>
      </c>
      <c r="F2732" s="16" t="inlineStr">
        <is>
          <t>XK2508-48</t>
        </is>
      </c>
      <c r="G2732" s="16" t="n">
        <v>45892</v>
      </c>
      <c r="H2732" s="18" t="inlineStr">
        <is>
          <t>CÔNG TY CỔ PHẦN CÔNG NGHIỆP VÀ THƯƠNG MẠI CƯỜNG THỊNH</t>
        </is>
      </c>
      <c r="I2732" s="18" t="inlineStr">
        <is>
          <t>Đai ốc Din 934 8 ZP M20</t>
        </is>
      </c>
      <c r="J2732" s="18" t="inlineStr">
        <is>
          <t>Cái</t>
        </is>
      </c>
      <c r="K2732" s="19" t="n">
        <v>2030</v>
      </c>
      <c r="L2732" s="20" t="n"/>
      <c r="M2732" s="20" t="n"/>
      <c r="N2732" s="22" t="n">
        <v>1364</v>
      </c>
      <c r="O2732" s="22" t="n">
        <v>2768920</v>
      </c>
      <c r="P2732" s="22" t="n">
        <v>1364</v>
      </c>
      <c r="Q2732" s="22" t="n">
        <v>2768920</v>
      </c>
      <c r="R2732" s="42">
        <f>+L2732+N2732-P2732</f>
        <v/>
      </c>
      <c r="S2732" s="42">
        <f>+M2732+O2732-Q2732</f>
        <v/>
      </c>
    </row>
    <row r="2733" ht="30" customHeight="1">
      <c r="A2733" s="16" t="n">
        <v>45892</v>
      </c>
      <c r="B2733" s="17" t="inlineStr">
        <is>
          <t>MH2508-58</t>
        </is>
      </c>
      <c r="C2733" s="16" t="n">
        <v>45892</v>
      </c>
      <c r="D2733" s="17" t="inlineStr">
        <is>
          <t>00003316</t>
        </is>
      </c>
      <c r="E2733" s="16" t="n">
        <v>45892</v>
      </c>
      <c r="F2733" s="16" t="inlineStr">
        <is>
          <t>XK2508-48</t>
        </is>
      </c>
      <c r="G2733" s="16" t="n">
        <v>45892</v>
      </c>
      <c r="H2733" s="18" t="inlineStr">
        <is>
          <t>CÔNG TY CỔ PHẦN CÔNG NGHIỆP VÀ THƯƠNG MẠI CƯỜNG THỊNH</t>
        </is>
      </c>
      <c r="I2733" s="18" t="inlineStr">
        <is>
          <t>Long đền thường ZP M20B35D2</t>
        </is>
      </c>
      <c r="J2733" s="18" t="inlineStr">
        <is>
          <t>Cái</t>
        </is>
      </c>
      <c r="K2733" s="19" t="n">
        <v>350</v>
      </c>
      <c r="L2733" s="20" t="n"/>
      <c r="M2733" s="20" t="n"/>
      <c r="N2733" s="22" t="n">
        <v>1364</v>
      </c>
      <c r="O2733" s="22" t="n">
        <v>477400</v>
      </c>
      <c r="P2733" s="22" t="n">
        <v>1364</v>
      </c>
      <c r="Q2733" s="22" t="n">
        <v>477400</v>
      </c>
      <c r="R2733" s="42">
        <f>+L2733+N2733-P2733</f>
        <v/>
      </c>
      <c r="S2733" s="42">
        <f>+M2733+O2733-Q2733</f>
        <v/>
      </c>
    </row>
    <row r="2734" ht="30" customHeight="1">
      <c r="A2734" s="16" t="n">
        <v>45892</v>
      </c>
      <c r="B2734" s="17" t="inlineStr">
        <is>
          <t>MH2508-58</t>
        </is>
      </c>
      <c r="C2734" s="16" t="n">
        <v>45892</v>
      </c>
      <c r="D2734" s="17" t="inlineStr">
        <is>
          <t>00003316</t>
        </is>
      </c>
      <c r="E2734" s="16" t="n">
        <v>45892</v>
      </c>
      <c r="F2734" s="16" t="inlineStr">
        <is>
          <t>XK2508-48</t>
        </is>
      </c>
      <c r="G2734" s="16" t="n">
        <v>45892</v>
      </c>
      <c r="H2734" s="18" t="inlineStr">
        <is>
          <t>CÔNG TY CỔ PHẦN CÔNG NGHIỆP VÀ THƯƠNG MẠI CƯỜNG THỊNH</t>
        </is>
      </c>
      <c r="I2734" s="18" t="inlineStr">
        <is>
          <t>Bulong Din 933 8.8 ZP M20x50</t>
        </is>
      </c>
      <c r="J2734" s="18" t="inlineStr">
        <is>
          <t>Cái</t>
        </is>
      </c>
      <c r="K2734" s="19" t="n">
        <v>5760</v>
      </c>
      <c r="L2734" s="20" t="n"/>
      <c r="M2734" s="20" t="n"/>
      <c r="N2734" s="22" t="n">
        <v>58</v>
      </c>
      <c r="O2734" s="22" t="n">
        <v>334080</v>
      </c>
      <c r="P2734" s="22" t="n">
        <v>58</v>
      </c>
      <c r="Q2734" s="22" t="n">
        <v>334080</v>
      </c>
      <c r="R2734" s="42">
        <f>+L2734+N2734-P2734</f>
        <v/>
      </c>
      <c r="S2734" s="42">
        <f>+M2734+O2734-Q2734</f>
        <v/>
      </c>
    </row>
    <row r="2735" ht="30" customHeight="1">
      <c r="A2735" s="16" t="n">
        <v>45892</v>
      </c>
      <c r="B2735" s="17" t="inlineStr">
        <is>
          <t>MH2508-58</t>
        </is>
      </c>
      <c r="C2735" s="16" t="n">
        <v>45892</v>
      </c>
      <c r="D2735" s="17" t="inlineStr">
        <is>
          <t>00003316</t>
        </is>
      </c>
      <c r="E2735" s="16" t="n">
        <v>45892</v>
      </c>
      <c r="F2735" s="16" t="inlineStr">
        <is>
          <t>XK2508-48</t>
        </is>
      </c>
      <c r="G2735" s="16" t="n">
        <v>45892</v>
      </c>
      <c r="H2735" s="18" t="inlineStr">
        <is>
          <t>CÔNG TY CỔ PHẦN CÔNG NGHIỆP VÀ THƯƠNG MẠI CƯỜNG THỊNH</t>
        </is>
      </c>
      <c r="I2735" s="18" t="inlineStr">
        <is>
          <t>Đai ốc Din 934 8 ZP M20</t>
        </is>
      </c>
      <c r="J2735" s="18" t="inlineStr">
        <is>
          <t>Cái</t>
        </is>
      </c>
      <c r="K2735" s="19" t="n">
        <v>2030</v>
      </c>
      <c r="L2735" s="20" t="n"/>
      <c r="M2735" s="20" t="n"/>
      <c r="N2735" s="22" t="n">
        <v>58</v>
      </c>
      <c r="O2735" s="22" t="n">
        <v>117740</v>
      </c>
      <c r="P2735" s="22" t="n">
        <v>58</v>
      </c>
      <c r="Q2735" s="22" t="n">
        <v>117740</v>
      </c>
      <c r="R2735" s="42">
        <f>+L2735+N2735-P2735</f>
        <v/>
      </c>
      <c r="S2735" s="42">
        <f>+M2735+O2735-Q2735</f>
        <v/>
      </c>
    </row>
    <row r="2736" ht="30" customHeight="1">
      <c r="A2736" s="16" t="n">
        <v>45892</v>
      </c>
      <c r="B2736" s="17" t="inlineStr">
        <is>
          <t>MH2508-58</t>
        </is>
      </c>
      <c r="C2736" s="16" t="n">
        <v>45892</v>
      </c>
      <c r="D2736" s="17" t="inlineStr">
        <is>
          <t>00003316</t>
        </is>
      </c>
      <c r="E2736" s="16" t="n">
        <v>45892</v>
      </c>
      <c r="F2736" s="16" t="inlineStr">
        <is>
          <t>XK2508-48</t>
        </is>
      </c>
      <c r="G2736" s="16" t="n">
        <v>45892</v>
      </c>
      <c r="H2736" s="18" t="inlineStr">
        <is>
          <t>CÔNG TY CỔ PHẦN CÔNG NGHIỆP VÀ THƯƠNG MẠI CƯỜNG THỊNH</t>
        </is>
      </c>
      <c r="I2736" s="18" t="inlineStr">
        <is>
          <t>Long đền thường ZP M20B35D2</t>
        </is>
      </c>
      <c r="J2736" s="18" t="inlineStr">
        <is>
          <t>Cái</t>
        </is>
      </c>
      <c r="K2736" s="19" t="n">
        <v>350</v>
      </c>
      <c r="L2736" s="20" t="n"/>
      <c r="M2736" s="20" t="n"/>
      <c r="N2736" s="22" t="n">
        <v>58</v>
      </c>
      <c r="O2736" s="22" t="n">
        <v>20300</v>
      </c>
      <c r="P2736" s="22" t="n">
        <v>58</v>
      </c>
      <c r="Q2736" s="22" t="n">
        <v>20300</v>
      </c>
      <c r="R2736" s="42">
        <f>+L2736+N2736-P2736</f>
        <v/>
      </c>
      <c r="S2736" s="42">
        <f>+M2736+O2736-Q2736</f>
        <v/>
      </c>
    </row>
    <row r="2737" ht="30" customHeight="1">
      <c r="A2737" s="16" t="n">
        <v>45892</v>
      </c>
      <c r="B2737" s="17" t="inlineStr">
        <is>
          <t>MH2508-58</t>
        </is>
      </c>
      <c r="C2737" s="16" t="n">
        <v>45892</v>
      </c>
      <c r="D2737" s="17" t="inlineStr">
        <is>
          <t>00003316</t>
        </is>
      </c>
      <c r="E2737" s="16" t="n">
        <v>45892</v>
      </c>
      <c r="F2737" s="16" t="inlineStr">
        <is>
          <t>XK2508-48</t>
        </is>
      </c>
      <c r="G2737" s="16" t="n">
        <v>45892</v>
      </c>
      <c r="H2737" s="18" t="inlineStr">
        <is>
          <t>CÔNG TY CỔ PHẦN CÔNG NGHIỆP VÀ THƯƠNG MẠI CƯỜNG THỊNH</t>
        </is>
      </c>
      <c r="I2737" s="18" t="inlineStr">
        <is>
          <t>Bulong Din 933 8.8 ZP M16x50</t>
        </is>
      </c>
      <c r="J2737" s="18" t="inlineStr">
        <is>
          <t>Cái</t>
        </is>
      </c>
      <c r="K2737" s="19" t="n">
        <v>3470</v>
      </c>
      <c r="L2737" s="20" t="n"/>
      <c r="M2737" s="20" t="n"/>
      <c r="N2737" s="22" t="n">
        <v>99</v>
      </c>
      <c r="O2737" s="22" t="n">
        <v>343530</v>
      </c>
      <c r="P2737" s="22" t="n">
        <v>99</v>
      </c>
      <c r="Q2737" s="22" t="n">
        <v>343530</v>
      </c>
      <c r="R2737" s="42">
        <f>+L2737+N2737-P2737</f>
        <v/>
      </c>
      <c r="S2737" s="42">
        <f>+M2737+O2737-Q2737</f>
        <v/>
      </c>
    </row>
    <row r="2738" ht="30" customHeight="1">
      <c r="A2738" s="16" t="n">
        <v>45892</v>
      </c>
      <c r="B2738" s="17" t="inlineStr">
        <is>
          <t>MH2508-58</t>
        </is>
      </c>
      <c r="C2738" s="16" t="n">
        <v>45892</v>
      </c>
      <c r="D2738" s="17" t="inlineStr">
        <is>
          <t>00003316</t>
        </is>
      </c>
      <c r="E2738" s="16" t="n">
        <v>45892</v>
      </c>
      <c r="F2738" s="16" t="inlineStr">
        <is>
          <t>XK2508-48</t>
        </is>
      </c>
      <c r="G2738" s="16" t="n">
        <v>45892</v>
      </c>
      <c r="H2738" s="18" t="inlineStr">
        <is>
          <t>CÔNG TY CỔ PHẦN CÔNG NGHIỆP VÀ THƯƠNG MẠI CƯỜNG THỊNH</t>
        </is>
      </c>
      <c r="I2738" s="18" t="inlineStr">
        <is>
          <t>Đai ốc Din 934 8 ZP M16</t>
        </is>
      </c>
      <c r="J2738" s="18" t="inlineStr">
        <is>
          <t>Cái</t>
        </is>
      </c>
      <c r="K2738" s="19" t="n">
        <v>1090</v>
      </c>
      <c r="L2738" s="20" t="n"/>
      <c r="M2738" s="20" t="n"/>
      <c r="N2738" s="22" t="n">
        <v>99</v>
      </c>
      <c r="O2738" s="22" t="n">
        <v>107910</v>
      </c>
      <c r="P2738" s="22" t="n">
        <v>99</v>
      </c>
      <c r="Q2738" s="22" t="n">
        <v>107910</v>
      </c>
      <c r="R2738" s="42">
        <f>+L2738+N2738-P2738</f>
        <v/>
      </c>
      <c r="S2738" s="42">
        <f>+M2738+O2738-Q2738</f>
        <v/>
      </c>
    </row>
    <row r="2739" ht="30" customHeight="1">
      <c r="A2739" s="16" t="n">
        <v>45892</v>
      </c>
      <c r="B2739" s="17" t="inlineStr">
        <is>
          <t>MH2508-58</t>
        </is>
      </c>
      <c r="C2739" s="16" t="n">
        <v>45892</v>
      </c>
      <c r="D2739" s="17" t="inlineStr">
        <is>
          <t>00003316</t>
        </is>
      </c>
      <c r="E2739" s="16" t="n">
        <v>45892</v>
      </c>
      <c r="F2739" s="16" t="inlineStr">
        <is>
          <t>XK2508-48</t>
        </is>
      </c>
      <c r="G2739" s="16" t="n">
        <v>45892</v>
      </c>
      <c r="H2739" s="18" t="inlineStr">
        <is>
          <t>CÔNG TY CỔ PHẦN CÔNG NGHIỆP VÀ THƯƠNG MẠI CƯỜNG THỊNH</t>
        </is>
      </c>
      <c r="I2739" s="18" t="inlineStr">
        <is>
          <t>Long đền thường ZP M16B30D2</t>
        </is>
      </c>
      <c r="J2739" s="18" t="inlineStr">
        <is>
          <t>Cái</t>
        </is>
      </c>
      <c r="K2739" s="19" t="n">
        <v>330</v>
      </c>
      <c r="L2739" s="20" t="n"/>
      <c r="M2739" s="20" t="n"/>
      <c r="N2739" s="22" t="n">
        <v>99</v>
      </c>
      <c r="O2739" s="22" t="n">
        <v>32670</v>
      </c>
      <c r="P2739" s="22" t="n">
        <v>99</v>
      </c>
      <c r="Q2739" s="22" t="n">
        <v>32670</v>
      </c>
      <c r="R2739" s="42">
        <f>+L2739+N2739-P2739</f>
        <v/>
      </c>
      <c r="S2739" s="42">
        <f>+M2739+O2739-Q2739</f>
        <v/>
      </c>
    </row>
    <row r="2740" ht="30" customHeight="1">
      <c r="A2740" s="16" t="n">
        <v>45892</v>
      </c>
      <c r="B2740" s="17" t="inlineStr">
        <is>
          <t>MH2508-58</t>
        </is>
      </c>
      <c r="C2740" s="16" t="n">
        <v>45892</v>
      </c>
      <c r="D2740" s="17" t="inlineStr">
        <is>
          <t>00003316</t>
        </is>
      </c>
      <c r="E2740" s="16" t="n">
        <v>45892</v>
      </c>
      <c r="F2740" s="16" t="inlineStr">
        <is>
          <t>XK2508-48</t>
        </is>
      </c>
      <c r="G2740" s="16" t="n">
        <v>45892</v>
      </c>
      <c r="H2740" s="18" t="inlineStr">
        <is>
          <t>CÔNG TY CỔ PHẦN CÔNG NGHIỆP VÀ THƯƠNG MẠI CƯỜNG THỊNH</t>
        </is>
      </c>
      <c r="I2740" s="18" t="inlineStr">
        <is>
          <t>Vít B2 Dacromet 12-14x20</t>
        </is>
      </c>
      <c r="J2740" s="18" t="inlineStr">
        <is>
          <t>Cái</t>
        </is>
      </c>
      <c r="K2740" s="19" t="n">
        <v>600</v>
      </c>
      <c r="L2740" s="20" t="n"/>
      <c r="M2740" s="20" t="n"/>
      <c r="N2740" s="22" t="n">
        <v>896</v>
      </c>
      <c r="O2740" s="22" t="n">
        <v>537600</v>
      </c>
      <c r="P2740" s="22" t="n">
        <v>896</v>
      </c>
      <c r="Q2740" s="22" t="n">
        <v>537600</v>
      </c>
      <c r="R2740" s="42">
        <f>+L2740+N2740-P2740</f>
        <v/>
      </c>
      <c r="S2740" s="42">
        <f>+M2740+O2740-Q2740</f>
        <v/>
      </c>
    </row>
    <row r="2741" ht="30" customHeight="1">
      <c r="A2741" s="16" t="n">
        <v>45892</v>
      </c>
      <c r="B2741" s="17" t="inlineStr">
        <is>
          <t>MH2508-59</t>
        </is>
      </c>
      <c r="C2741" s="16" t="n">
        <v>45892</v>
      </c>
      <c r="D2741" s="17" t="inlineStr">
        <is>
          <t>00003318</t>
        </is>
      </c>
      <c r="E2741" s="16" t="n">
        <v>45892</v>
      </c>
      <c r="F2741" s="16" t="inlineStr">
        <is>
          <t>XK2508-49</t>
        </is>
      </c>
      <c r="G2741" s="16" t="n">
        <v>45892</v>
      </c>
      <c r="H2741" s="18" t="inlineStr">
        <is>
          <t>CÔNG TY CỔ PHẦN CÔNG NGHIỆP VÀ THƯƠNG MẠI CƯỜNG THỊNH</t>
        </is>
      </c>
      <c r="I2741" s="18" t="inlineStr">
        <is>
          <t>Ty giằng 2 đầu ren 4.6 ZP M16</t>
        </is>
      </c>
      <c r="J2741" s="18" t="inlineStr">
        <is>
          <t>Mét</t>
        </is>
      </c>
      <c r="K2741" s="19" t="n">
        <v>48000</v>
      </c>
      <c r="L2741" s="20" t="n"/>
      <c r="M2741" s="20" t="n"/>
      <c r="N2741" s="22" t="n">
        <v>187.8</v>
      </c>
      <c r="O2741" s="22" t="n">
        <v>9014400</v>
      </c>
      <c r="P2741" s="22" t="n">
        <v>187.8</v>
      </c>
      <c r="Q2741" s="22" t="n">
        <v>9014400</v>
      </c>
      <c r="R2741" s="42">
        <f>+L2741+N2741-P2741</f>
        <v/>
      </c>
      <c r="S2741" s="42">
        <f>+M2741+O2741-Q2741</f>
        <v/>
      </c>
    </row>
    <row r="2742" ht="30" customHeight="1">
      <c r="A2742" s="16" t="n">
        <v>45892</v>
      </c>
      <c r="B2742" s="17" t="inlineStr">
        <is>
          <t>MH2508-59</t>
        </is>
      </c>
      <c r="C2742" s="16" t="n">
        <v>45892</v>
      </c>
      <c r="D2742" s="17" t="inlineStr">
        <is>
          <t>00003318</t>
        </is>
      </c>
      <c r="E2742" s="16" t="n">
        <v>45892</v>
      </c>
      <c r="F2742" s="16" t="inlineStr">
        <is>
          <t>XK2508-49</t>
        </is>
      </c>
      <c r="G2742" s="16" t="n">
        <v>45892</v>
      </c>
      <c r="H2742" s="18" t="inlineStr">
        <is>
          <t>CÔNG TY CỔ PHẦN CÔNG NGHIỆP VÀ THƯƠNG MẠI CƯỜNG THỊNH</t>
        </is>
      </c>
      <c r="I2742" s="18" t="inlineStr">
        <is>
          <t>Đai ốc Din 934 5 ZP M16</t>
        </is>
      </c>
      <c r="J2742" s="18" t="inlineStr">
        <is>
          <t>Cái</t>
        </is>
      </c>
      <c r="K2742" s="19" t="n">
        <v>990</v>
      </c>
      <c r="L2742" s="20" t="n"/>
      <c r="M2742" s="20" t="n"/>
      <c r="N2742" s="22" t="n">
        <v>100</v>
      </c>
      <c r="O2742" s="22" t="n">
        <v>99000</v>
      </c>
      <c r="P2742" s="22" t="n">
        <v>100</v>
      </c>
      <c r="Q2742" s="22" t="n">
        <v>99000</v>
      </c>
      <c r="R2742" s="42">
        <f>+L2742+N2742-P2742</f>
        <v/>
      </c>
      <c r="S2742" s="42">
        <f>+M2742+O2742-Q2742</f>
        <v/>
      </c>
    </row>
    <row r="2743" ht="30" customHeight="1">
      <c r="A2743" s="16" t="n">
        <v>45892</v>
      </c>
      <c r="B2743" s="17" t="inlineStr">
        <is>
          <t>MH2508-59</t>
        </is>
      </c>
      <c r="C2743" s="16" t="n">
        <v>45892</v>
      </c>
      <c r="D2743" s="17" t="inlineStr">
        <is>
          <t>00003318</t>
        </is>
      </c>
      <c r="E2743" s="16" t="n">
        <v>45892</v>
      </c>
      <c r="F2743" s="16" t="inlineStr">
        <is>
          <t>XK2508-49</t>
        </is>
      </c>
      <c r="G2743" s="16" t="n">
        <v>45892</v>
      </c>
      <c r="H2743" s="18" t="inlineStr">
        <is>
          <t>CÔNG TY CỔ PHẦN CÔNG NGHIỆP VÀ THƯƠNG MẠI CƯỜNG THỊNH</t>
        </is>
      </c>
      <c r="I2743" s="18" t="inlineStr">
        <is>
          <t>Long đền thường ZP M16B42D2</t>
        </is>
      </c>
      <c r="J2743" s="18" t="inlineStr">
        <is>
          <t>Cái</t>
        </is>
      </c>
      <c r="K2743" s="19" t="n">
        <v>700</v>
      </c>
      <c r="L2743" s="20" t="n"/>
      <c r="M2743" s="20" t="n"/>
      <c r="N2743" s="22" t="n">
        <v>100</v>
      </c>
      <c r="O2743" s="22" t="n">
        <v>70000</v>
      </c>
      <c r="P2743" s="22" t="n">
        <v>100</v>
      </c>
      <c r="Q2743" s="22" t="n">
        <v>70000</v>
      </c>
      <c r="R2743" s="42">
        <f>+L2743+N2743-P2743</f>
        <v/>
      </c>
      <c r="S2743" s="42">
        <f>+M2743+O2743-Q2743</f>
        <v/>
      </c>
    </row>
    <row r="2744" ht="30" customHeight="1">
      <c r="A2744" s="16" t="n">
        <v>45892</v>
      </c>
      <c r="B2744" s="17" t="inlineStr">
        <is>
          <t>MH2508-59</t>
        </is>
      </c>
      <c r="C2744" s="16" t="n">
        <v>45892</v>
      </c>
      <c r="D2744" s="17" t="inlineStr">
        <is>
          <t>00003318</t>
        </is>
      </c>
      <c r="E2744" s="16" t="n">
        <v>45892</v>
      </c>
      <c r="F2744" s="16" t="inlineStr">
        <is>
          <t>XK2508-49</t>
        </is>
      </c>
      <c r="G2744" s="16" t="n">
        <v>45892</v>
      </c>
      <c r="H2744" s="18" t="inlineStr">
        <is>
          <t>CÔNG TY CỔ PHẦN CÔNG NGHIỆP VÀ THƯƠNG MẠI CƯỜNG THỊNH</t>
        </is>
      </c>
      <c r="I2744" s="18" t="inlineStr">
        <is>
          <t>Long đền móng ngựa ZP M16</t>
        </is>
      </c>
      <c r="J2744" s="18" t="inlineStr">
        <is>
          <t>Cái</t>
        </is>
      </c>
      <c r="K2744" s="19" t="n">
        <v>14830</v>
      </c>
      <c r="L2744" s="20" t="n"/>
      <c r="M2744" s="20" t="n"/>
      <c r="N2744" s="22" t="n">
        <v>100</v>
      </c>
      <c r="O2744" s="22" t="n">
        <v>1483000</v>
      </c>
      <c r="P2744" s="22" t="n">
        <v>100</v>
      </c>
      <c r="Q2744" s="22" t="n">
        <v>1483000</v>
      </c>
      <c r="R2744" s="42">
        <f>+L2744+N2744-P2744</f>
        <v/>
      </c>
      <c r="S2744" s="42">
        <f>+M2744+O2744-Q2744</f>
        <v/>
      </c>
    </row>
    <row r="2745" ht="30" customHeight="1">
      <c r="A2745" s="16" t="n">
        <v>45892</v>
      </c>
      <c r="B2745" s="17" t="inlineStr">
        <is>
          <t>MH2508-60</t>
        </is>
      </c>
      <c r="C2745" s="16" t="n">
        <v>45892</v>
      </c>
      <c r="D2745" s="17" t="inlineStr">
        <is>
          <t>00003317</t>
        </is>
      </c>
      <c r="E2745" s="16" t="n">
        <v>45892</v>
      </c>
      <c r="F2745" s="16" t="inlineStr">
        <is>
          <t>XK2508-50</t>
        </is>
      </c>
      <c r="G2745" s="16" t="n">
        <v>45892</v>
      </c>
      <c r="H2745" s="18" t="inlineStr">
        <is>
          <t>CÔNG TY CỔ PHẦN CÔNG NGHIỆP VÀ THƯƠNG MẠI CƯỜNG THỊNH</t>
        </is>
      </c>
      <c r="I2745" s="18" t="inlineStr">
        <is>
          <t>Ty giằng 2 đầu ren 4.6 ZP M16</t>
        </is>
      </c>
      <c r="J2745" s="18" t="inlineStr">
        <is>
          <t>Mét</t>
        </is>
      </c>
      <c r="K2745" s="19" t="n">
        <v>48000</v>
      </c>
      <c r="L2745" s="20" t="n"/>
      <c r="M2745" s="20" t="n"/>
      <c r="N2745" s="22" t="n">
        <v>202.6</v>
      </c>
      <c r="O2745" s="22" t="n">
        <v>9724800</v>
      </c>
      <c r="P2745" s="22" t="n">
        <v>202.6</v>
      </c>
      <c r="Q2745" s="22" t="n">
        <v>9724800</v>
      </c>
      <c r="R2745" s="42">
        <f>+L2745+N2745-P2745</f>
        <v/>
      </c>
      <c r="S2745" s="42">
        <f>+M2745+O2745-Q2745</f>
        <v/>
      </c>
    </row>
    <row r="2746" ht="30" customHeight="1">
      <c r="A2746" s="16" t="n">
        <v>45892</v>
      </c>
      <c r="B2746" s="17" t="inlineStr">
        <is>
          <t>MH2508-60</t>
        </is>
      </c>
      <c r="C2746" s="16" t="n">
        <v>45892</v>
      </c>
      <c r="D2746" s="17" t="inlineStr">
        <is>
          <t>00003317</t>
        </is>
      </c>
      <c r="E2746" s="16" t="n">
        <v>45892</v>
      </c>
      <c r="F2746" s="16" t="inlineStr">
        <is>
          <t>XK2508-50</t>
        </is>
      </c>
      <c r="G2746" s="16" t="n">
        <v>45892</v>
      </c>
      <c r="H2746" s="18" t="inlineStr">
        <is>
          <t>CÔNG TY CỔ PHẦN CÔNG NGHIỆP VÀ THƯƠNG MẠI CƯỜNG THỊNH</t>
        </is>
      </c>
      <c r="I2746" s="18" t="inlineStr">
        <is>
          <t>Đai ốc Din 934 5 ZP M16</t>
        </is>
      </c>
      <c r="J2746" s="18" t="inlineStr">
        <is>
          <t>Cái</t>
        </is>
      </c>
      <c r="K2746" s="19" t="n">
        <v>990</v>
      </c>
      <c r="L2746" s="20" t="n"/>
      <c r="M2746" s="20" t="n"/>
      <c r="N2746" s="22" t="n">
        <v>112</v>
      </c>
      <c r="O2746" s="22" t="n">
        <v>110880</v>
      </c>
      <c r="P2746" s="22" t="n">
        <v>112</v>
      </c>
      <c r="Q2746" s="22" t="n">
        <v>110880</v>
      </c>
      <c r="R2746" s="42">
        <f>+L2746+N2746-P2746</f>
        <v/>
      </c>
      <c r="S2746" s="42">
        <f>+M2746+O2746-Q2746</f>
        <v/>
      </c>
    </row>
    <row r="2747" ht="30" customHeight="1">
      <c r="A2747" s="16" t="n">
        <v>45892</v>
      </c>
      <c r="B2747" s="17" t="inlineStr">
        <is>
          <t>MH2508-60</t>
        </is>
      </c>
      <c r="C2747" s="16" t="n">
        <v>45892</v>
      </c>
      <c r="D2747" s="17" t="inlineStr">
        <is>
          <t>00003317</t>
        </is>
      </c>
      <c r="E2747" s="16" t="n">
        <v>45892</v>
      </c>
      <c r="F2747" s="16" t="inlineStr">
        <is>
          <t>XK2508-50</t>
        </is>
      </c>
      <c r="G2747" s="16" t="n">
        <v>45892</v>
      </c>
      <c r="H2747" s="18" t="inlineStr">
        <is>
          <t>CÔNG TY CỔ PHẦN CÔNG NGHIỆP VÀ THƯƠNG MẠI CƯỜNG THỊNH</t>
        </is>
      </c>
      <c r="I2747" s="18" t="inlineStr">
        <is>
          <t>Long đền thường ZP M16B42D2</t>
        </is>
      </c>
      <c r="J2747" s="18" t="inlineStr">
        <is>
          <t>Cái</t>
        </is>
      </c>
      <c r="K2747" s="19" t="n">
        <v>700</v>
      </c>
      <c r="L2747" s="20" t="n"/>
      <c r="M2747" s="20" t="n"/>
      <c r="N2747" s="22" t="n">
        <v>112</v>
      </c>
      <c r="O2747" s="22" t="n">
        <v>78400</v>
      </c>
      <c r="P2747" s="22" t="n">
        <v>112</v>
      </c>
      <c r="Q2747" s="22" t="n">
        <v>78400</v>
      </c>
      <c r="R2747" s="42">
        <f>+L2747+N2747-P2747</f>
        <v/>
      </c>
      <c r="S2747" s="42">
        <f>+M2747+O2747-Q2747</f>
        <v/>
      </c>
    </row>
    <row r="2748" ht="30" customHeight="1">
      <c r="A2748" s="16" t="n">
        <v>45892</v>
      </c>
      <c r="B2748" s="17" t="inlineStr">
        <is>
          <t>MH2508-60</t>
        </is>
      </c>
      <c r="C2748" s="16" t="n">
        <v>45892</v>
      </c>
      <c r="D2748" s="17" t="inlineStr">
        <is>
          <t>00003317</t>
        </is>
      </c>
      <c r="E2748" s="16" t="n">
        <v>45892</v>
      </c>
      <c r="F2748" s="16" t="inlineStr">
        <is>
          <t>XK2508-50</t>
        </is>
      </c>
      <c r="G2748" s="16" t="n">
        <v>45892</v>
      </c>
      <c r="H2748" s="18" t="inlineStr">
        <is>
          <t>CÔNG TY CỔ PHẦN CÔNG NGHIỆP VÀ THƯƠNG MẠI CƯỜNG THỊNH</t>
        </is>
      </c>
      <c r="I2748" s="18" t="inlineStr">
        <is>
          <t>Long đền móng ngựa ZP M16</t>
        </is>
      </c>
      <c r="J2748" s="18" t="inlineStr">
        <is>
          <t>Cái</t>
        </is>
      </c>
      <c r="K2748" s="19" t="n">
        <v>14830</v>
      </c>
      <c r="L2748" s="20" t="n"/>
      <c r="M2748" s="20" t="n"/>
      <c r="N2748" s="22" t="n">
        <v>112</v>
      </c>
      <c r="O2748" s="22" t="n">
        <v>1660960</v>
      </c>
      <c r="P2748" s="22" t="n">
        <v>112</v>
      </c>
      <c r="Q2748" s="22" t="n">
        <v>1660960</v>
      </c>
      <c r="R2748" s="42">
        <f>+L2748+N2748-P2748</f>
        <v/>
      </c>
      <c r="S2748" s="42">
        <f>+M2748+O2748-Q2748</f>
        <v/>
      </c>
    </row>
    <row r="2749" ht="15" customHeight="1">
      <c r="A2749" s="16" t="n">
        <v>45894</v>
      </c>
      <c r="B2749" s="17" t="inlineStr">
        <is>
          <t>MH2508-61</t>
        </is>
      </c>
      <c r="C2749" s="16" t="n">
        <v>45894</v>
      </c>
      <c r="D2749" s="17" t="inlineStr">
        <is>
          <t>00000645</t>
        </is>
      </c>
      <c r="E2749" s="16" t="n">
        <v>45894</v>
      </c>
      <c r="F2749" s="16" t="inlineStr">
        <is>
          <t>XK2508-51</t>
        </is>
      </c>
      <c r="G2749" s="16" t="n">
        <v>45894</v>
      </c>
      <c r="H2749" s="18" t="inlineStr">
        <is>
          <t>CÔNG TY TNHH TÂN MỸ HẠNH</t>
        </is>
      </c>
      <c r="I2749" s="18" t="inlineStr">
        <is>
          <t>Thép dày mạ kẽm</t>
        </is>
      </c>
      <c r="J2749" s="18" t="inlineStr">
        <is>
          <t>kg</t>
        </is>
      </c>
      <c r="K2749" s="19" t="n">
        <v>22696</v>
      </c>
      <c r="L2749" s="20" t="n"/>
      <c r="M2749" s="20" t="n"/>
      <c r="N2749" s="22" t="n">
        <v>1399.1838</v>
      </c>
      <c r="O2749" s="22" t="n">
        <v>31755876</v>
      </c>
      <c r="P2749" s="22" t="n">
        <v>1399.1838</v>
      </c>
      <c r="Q2749" s="22" t="n">
        <v>31755876</v>
      </c>
      <c r="R2749" s="42">
        <f>+L2749+N2749-P2749</f>
        <v/>
      </c>
      <c r="S2749" s="42">
        <f>+M2749+O2749-Q2749</f>
        <v/>
      </c>
    </row>
    <row r="2750" ht="15" customHeight="1">
      <c r="A2750" s="16" t="n">
        <v>45894</v>
      </c>
      <c r="B2750" s="17" t="inlineStr">
        <is>
          <t>MH2508-61</t>
        </is>
      </c>
      <c r="C2750" s="16" t="n">
        <v>45894</v>
      </c>
      <c r="D2750" s="17" t="inlineStr">
        <is>
          <t>00000645</t>
        </is>
      </c>
      <c r="E2750" s="16" t="n">
        <v>45894</v>
      </c>
      <c r="F2750" s="16" t="inlineStr">
        <is>
          <t>XK2508-51</t>
        </is>
      </c>
      <c r="G2750" s="16" t="n">
        <v>45894</v>
      </c>
      <c r="H2750" s="18" t="inlineStr">
        <is>
          <t>CÔNG TY TNHH TÂN MỸ HẠNH</t>
        </is>
      </c>
      <c r="I2750" s="18" t="inlineStr">
        <is>
          <t>Xà gồ kẽm Z</t>
        </is>
      </c>
      <c r="J2750" s="18" t="inlineStr">
        <is>
          <t>kg</t>
        </is>
      </c>
      <c r="K2750" s="19" t="n">
        <v>18976</v>
      </c>
      <c r="L2750" s="20" t="n"/>
      <c r="M2750" s="20" t="n"/>
      <c r="N2750" s="22" t="n">
        <v>8110.359</v>
      </c>
      <c r="O2750" s="22" t="n">
        <v>153902172</v>
      </c>
      <c r="P2750" s="22" t="n">
        <v>8110.359</v>
      </c>
      <c r="Q2750" s="22" t="n">
        <v>153902172</v>
      </c>
      <c r="R2750" s="42">
        <f>+L2750+N2750-P2750</f>
        <v/>
      </c>
      <c r="S2750" s="42">
        <f>+M2750+O2750-Q2750</f>
        <v/>
      </c>
    </row>
    <row r="2751" ht="15" customHeight="1">
      <c r="A2751" s="16" t="n">
        <v>45894</v>
      </c>
      <c r="B2751" s="17" t="inlineStr">
        <is>
          <t>MH2508-61</t>
        </is>
      </c>
      <c r="C2751" s="16" t="n">
        <v>45894</v>
      </c>
      <c r="D2751" s="17" t="inlineStr">
        <is>
          <t>00000645</t>
        </is>
      </c>
      <c r="E2751" s="16" t="n">
        <v>45894</v>
      </c>
      <c r="F2751" s="16" t="inlineStr">
        <is>
          <t>XK2508-51</t>
        </is>
      </c>
      <c r="G2751" s="16" t="n">
        <v>45894</v>
      </c>
      <c r="H2751" s="18" t="inlineStr">
        <is>
          <t>CÔNG TY TNHH TÂN MỸ HẠNH</t>
        </is>
      </c>
      <c r="I2751" s="18" t="inlineStr">
        <is>
          <t>Xà gồ kẽm C</t>
        </is>
      </c>
      <c r="J2751" s="18" t="inlineStr">
        <is>
          <t>kg</t>
        </is>
      </c>
      <c r="K2751" s="19" t="n">
        <v>18971</v>
      </c>
      <c r="L2751" s="20" t="n"/>
      <c r="M2751" s="20" t="n"/>
      <c r="N2751" s="22" t="n">
        <v>10819</v>
      </c>
      <c r="O2751" s="22" t="n">
        <v>205247249</v>
      </c>
      <c r="P2751" s="22" t="n">
        <v>10819</v>
      </c>
      <c r="Q2751" s="22" t="n">
        <v>205247249</v>
      </c>
      <c r="R2751" s="42">
        <f>+L2751+N2751-P2751</f>
        <v/>
      </c>
      <c r="S2751" s="42">
        <f>+M2751+O2751-Q2751</f>
        <v/>
      </c>
    </row>
    <row r="2752" ht="15" customHeight="1">
      <c r="A2752" s="16" t="n">
        <v>45894</v>
      </c>
      <c r="B2752" s="17" t="inlineStr">
        <is>
          <t>MH2508-62</t>
        </is>
      </c>
      <c r="C2752" s="16" t="n">
        <v>45894</v>
      </c>
      <c r="D2752" s="17" t="inlineStr">
        <is>
          <t>00000643</t>
        </is>
      </c>
      <c r="E2752" s="16" t="n">
        <v>45894</v>
      </c>
      <c r="F2752" s="16" t="inlineStr">
        <is>
          <t>XK2508-52</t>
        </is>
      </c>
      <c r="G2752" s="16" t="n">
        <v>45894</v>
      </c>
      <c r="H2752" s="18" t="inlineStr">
        <is>
          <t>CÔNG TY TNHH TÂN MỸ HẠNH</t>
        </is>
      </c>
      <c r="I2752" s="18" t="inlineStr">
        <is>
          <t>Thép dày mạ kẽm</t>
        </is>
      </c>
      <c r="J2752" s="18" t="inlineStr">
        <is>
          <t>kg</t>
        </is>
      </c>
      <c r="K2752" s="19" t="n">
        <v>22696</v>
      </c>
      <c r="L2752" s="20" t="n"/>
      <c r="M2752" s="20" t="n"/>
      <c r="N2752" s="22" t="n">
        <v>186.2426</v>
      </c>
      <c r="O2752" s="22" t="n">
        <v>4226962</v>
      </c>
      <c r="P2752" s="22" t="n">
        <v>186.2426</v>
      </c>
      <c r="Q2752" s="22" t="n">
        <v>4226962</v>
      </c>
      <c r="R2752" s="42">
        <f>+L2752+N2752-P2752</f>
        <v/>
      </c>
      <c r="S2752" s="42">
        <f>+M2752+O2752-Q2752</f>
        <v/>
      </c>
    </row>
    <row r="2753" ht="15" customHeight="1">
      <c r="A2753" s="16" t="n">
        <v>45894</v>
      </c>
      <c r="B2753" s="17" t="inlineStr">
        <is>
          <t>MH2508-62</t>
        </is>
      </c>
      <c r="C2753" s="16" t="n">
        <v>45894</v>
      </c>
      <c r="D2753" s="17" t="inlineStr">
        <is>
          <t>00000643</t>
        </is>
      </c>
      <c r="E2753" s="16" t="n">
        <v>45894</v>
      </c>
      <c r="F2753" s="16" t="inlineStr">
        <is>
          <t>XK2508-52</t>
        </is>
      </c>
      <c r="G2753" s="16" t="n">
        <v>45894</v>
      </c>
      <c r="H2753" s="18" t="inlineStr">
        <is>
          <t>CÔNG TY TNHH TÂN MỸ HẠNH</t>
        </is>
      </c>
      <c r="I2753" s="18" t="inlineStr">
        <is>
          <t>Xà gồ kẽm Z</t>
        </is>
      </c>
      <c r="J2753" s="18" t="inlineStr">
        <is>
          <t>kg</t>
        </is>
      </c>
      <c r="K2753" s="19" t="n">
        <v>18976</v>
      </c>
      <c r="L2753" s="20" t="n"/>
      <c r="M2753" s="20" t="n"/>
      <c r="N2753" s="22" t="n">
        <v>1406.6</v>
      </c>
      <c r="O2753" s="22" t="n">
        <v>26691642</v>
      </c>
      <c r="P2753" s="22" t="n">
        <v>1406.6</v>
      </c>
      <c r="Q2753" s="22" t="n">
        <v>26691642</v>
      </c>
      <c r="R2753" s="42">
        <f>+L2753+N2753-P2753</f>
        <v/>
      </c>
      <c r="S2753" s="42">
        <f>+M2753+O2753-Q2753</f>
        <v/>
      </c>
    </row>
    <row r="2754" ht="30" customHeight="1">
      <c r="A2754" s="16" t="n">
        <v>45894</v>
      </c>
      <c r="B2754" s="17" t="inlineStr">
        <is>
          <t>MH2508-63</t>
        </is>
      </c>
      <c r="C2754" s="16" t="n">
        <v>45894</v>
      </c>
      <c r="D2754" s="17" t="inlineStr">
        <is>
          <t>00003352</t>
        </is>
      </c>
      <c r="E2754" s="16" t="n">
        <v>45894</v>
      </c>
      <c r="F2754" s="16" t="inlineStr">
        <is>
          <t>XK2508-53</t>
        </is>
      </c>
      <c r="G2754" s="16" t="n">
        <v>45894</v>
      </c>
      <c r="H2754" s="18" t="inlineStr">
        <is>
          <t>CÔNG TY CỔ PHẦN CÔNG NGHIỆP VÀ THƯƠNG MẠI CƯỜNG THỊNH</t>
        </is>
      </c>
      <c r="I2754" s="18" t="inlineStr">
        <is>
          <t>Bulong neo I 8.8 ZP M24x530</t>
        </is>
      </c>
      <c r="J2754" s="18" t="inlineStr">
        <is>
          <t>Cái</t>
        </is>
      </c>
      <c r="K2754" s="19" t="n">
        <v>67510</v>
      </c>
      <c r="L2754" s="20" t="n"/>
      <c r="M2754" s="20" t="n"/>
      <c r="N2754" s="22" t="n">
        <v>983</v>
      </c>
      <c r="O2754" s="22" t="n">
        <v>66362330</v>
      </c>
      <c r="P2754" s="22" t="n">
        <v>983</v>
      </c>
      <c r="Q2754" s="22" t="n">
        <v>66362330</v>
      </c>
      <c r="R2754" s="42">
        <f>+L2754+N2754-P2754</f>
        <v/>
      </c>
      <c r="S2754" s="42">
        <f>+M2754+O2754-Q2754</f>
        <v/>
      </c>
    </row>
    <row r="2755" ht="30" customHeight="1">
      <c r="A2755" s="16" t="n">
        <v>45894</v>
      </c>
      <c r="B2755" s="17" t="inlineStr">
        <is>
          <t>MH2508-63</t>
        </is>
      </c>
      <c r="C2755" s="16" t="n">
        <v>45894</v>
      </c>
      <c r="D2755" s="17" t="inlineStr">
        <is>
          <t>00003352</t>
        </is>
      </c>
      <c r="E2755" s="16" t="n">
        <v>45894</v>
      </c>
      <c r="F2755" s="16" t="inlineStr">
        <is>
          <t>XK2508-53</t>
        </is>
      </c>
      <c r="G2755" s="16" t="n">
        <v>45894</v>
      </c>
      <c r="H2755" s="18" t="inlineStr">
        <is>
          <t>CÔNG TY CỔ PHẦN CÔNG NGHIỆP VÀ THƯƠNG MẠI CƯỜNG THỊNH</t>
        </is>
      </c>
      <c r="I2755" s="18" t="inlineStr">
        <is>
          <t>Đai ốc Din 934 8 ZP M24</t>
        </is>
      </c>
      <c r="J2755" s="18" t="inlineStr">
        <is>
          <t>Cái</t>
        </is>
      </c>
      <c r="K2755" s="19" t="n">
        <v>3000</v>
      </c>
      <c r="L2755" s="20" t="n"/>
      <c r="M2755" s="20" t="n"/>
      <c r="N2755" s="22" t="n">
        <v>3932</v>
      </c>
      <c r="O2755" s="22" t="n">
        <v>11796000</v>
      </c>
      <c r="P2755" s="22" t="n">
        <v>3932</v>
      </c>
      <c r="Q2755" s="22" t="n">
        <v>11796000</v>
      </c>
      <c r="R2755" s="42">
        <f>+L2755+N2755-P2755</f>
        <v/>
      </c>
      <c r="S2755" s="42">
        <f>+M2755+O2755-Q2755</f>
        <v/>
      </c>
    </row>
    <row r="2756" ht="30" customHeight="1">
      <c r="A2756" s="16" t="n">
        <v>45894</v>
      </c>
      <c r="B2756" s="17" t="inlineStr">
        <is>
          <t>MH2508-63</t>
        </is>
      </c>
      <c r="C2756" s="16" t="n">
        <v>45894</v>
      </c>
      <c r="D2756" s="17" t="inlineStr">
        <is>
          <t>00003352</t>
        </is>
      </c>
      <c r="E2756" s="16" t="n">
        <v>45894</v>
      </c>
      <c r="F2756" s="16" t="inlineStr">
        <is>
          <t>XK2508-53</t>
        </is>
      </c>
      <c r="G2756" s="16" t="n">
        <v>45894</v>
      </c>
      <c r="H2756" s="18" t="inlineStr">
        <is>
          <t>CÔNG TY CỔ PHẦN CÔNG NGHIỆP VÀ THƯƠNG MẠI CƯỜNG THỊNH</t>
        </is>
      </c>
      <c r="I2756" s="18" t="inlineStr">
        <is>
          <t>Long đền thường ZP M24B45D2</t>
        </is>
      </c>
      <c r="J2756" s="18" t="inlineStr">
        <is>
          <t>Cái</t>
        </is>
      </c>
      <c r="K2756" s="19" t="n">
        <v>770</v>
      </c>
      <c r="L2756" s="20" t="n"/>
      <c r="M2756" s="20" t="n"/>
      <c r="N2756" s="22" t="n">
        <v>983</v>
      </c>
      <c r="O2756" s="22" t="n">
        <v>756910</v>
      </c>
      <c r="P2756" s="22" t="n">
        <v>983</v>
      </c>
      <c r="Q2756" s="22" t="n">
        <v>756910</v>
      </c>
      <c r="R2756" s="42">
        <f>+L2756+N2756-P2756</f>
        <v/>
      </c>
      <c r="S2756" s="42">
        <f>+M2756+O2756-Q2756</f>
        <v/>
      </c>
    </row>
    <row r="2757" ht="30" customHeight="1">
      <c r="A2757" s="16" t="n">
        <v>45894</v>
      </c>
      <c r="B2757" s="17" t="inlineStr">
        <is>
          <t>MH2508-63</t>
        </is>
      </c>
      <c r="C2757" s="16" t="n">
        <v>45894</v>
      </c>
      <c r="D2757" s="17" t="inlineStr">
        <is>
          <t>00003352</t>
        </is>
      </c>
      <c r="E2757" s="16" t="n">
        <v>45894</v>
      </c>
      <c r="F2757" s="16" t="inlineStr">
        <is>
          <t>XK2508-53</t>
        </is>
      </c>
      <c r="G2757" s="16" t="n">
        <v>45894</v>
      </c>
      <c r="H2757" s="18" t="inlineStr">
        <is>
          <t>CÔNG TY CỔ PHẦN CÔNG NGHIỆP VÀ THƯƠNG MẠI CƯỜNG THỊNH</t>
        </is>
      </c>
      <c r="I2757" s="18" t="inlineStr">
        <is>
          <t>Bulong neo I 8.8 ZP M30x645</t>
        </is>
      </c>
      <c r="J2757" s="18" t="inlineStr">
        <is>
          <t>Cái</t>
        </is>
      </c>
      <c r="K2757" s="19" t="n">
        <v>128000</v>
      </c>
      <c r="L2757" s="20" t="n"/>
      <c r="M2757" s="20" t="n"/>
      <c r="N2757" s="22" t="n">
        <v>227</v>
      </c>
      <c r="O2757" s="22" t="n">
        <v>29056000</v>
      </c>
      <c r="P2757" s="22" t="n">
        <v>227</v>
      </c>
      <c r="Q2757" s="22" t="n">
        <v>29056000</v>
      </c>
      <c r="R2757" s="42">
        <f>+L2757+N2757-P2757</f>
        <v/>
      </c>
      <c r="S2757" s="42">
        <f>+M2757+O2757-Q2757</f>
        <v/>
      </c>
    </row>
    <row r="2758" ht="30" customHeight="1">
      <c r="A2758" s="16" t="n">
        <v>45894</v>
      </c>
      <c r="B2758" s="17" t="inlineStr">
        <is>
          <t>MH2508-63</t>
        </is>
      </c>
      <c r="C2758" s="16" t="n">
        <v>45894</v>
      </c>
      <c r="D2758" s="17" t="inlineStr">
        <is>
          <t>00003352</t>
        </is>
      </c>
      <c r="E2758" s="16" t="n">
        <v>45894</v>
      </c>
      <c r="F2758" s="16" t="inlineStr">
        <is>
          <t>XK2508-53</t>
        </is>
      </c>
      <c r="G2758" s="16" t="n">
        <v>45894</v>
      </c>
      <c r="H2758" s="18" t="inlineStr">
        <is>
          <t>CÔNG TY CỔ PHẦN CÔNG NGHIỆP VÀ THƯƠNG MẠI CƯỜNG THỊNH</t>
        </is>
      </c>
      <c r="I2758" s="18" t="inlineStr">
        <is>
          <t>Đai ốc Din 934 8 ZP M30</t>
        </is>
      </c>
      <c r="J2758" s="18" t="inlineStr">
        <is>
          <t>Cái</t>
        </is>
      </c>
      <c r="K2758" s="19" t="n">
        <v>6950</v>
      </c>
      <c r="L2758" s="20" t="n"/>
      <c r="M2758" s="20" t="n"/>
      <c r="N2758" s="22" t="n">
        <v>908</v>
      </c>
      <c r="O2758" s="22" t="n">
        <v>6310600</v>
      </c>
      <c r="P2758" s="22" t="n">
        <v>908</v>
      </c>
      <c r="Q2758" s="22" t="n">
        <v>6310600</v>
      </c>
      <c r="R2758" s="42">
        <f>+L2758+N2758-P2758</f>
        <v/>
      </c>
      <c r="S2758" s="42">
        <f>+M2758+O2758-Q2758</f>
        <v/>
      </c>
    </row>
    <row r="2759" ht="30" customHeight="1">
      <c r="A2759" s="16" t="n">
        <v>45894</v>
      </c>
      <c r="B2759" s="17" t="inlineStr">
        <is>
          <t>MH2508-63</t>
        </is>
      </c>
      <c r="C2759" s="16" t="n">
        <v>45894</v>
      </c>
      <c r="D2759" s="17" t="inlineStr">
        <is>
          <t>00003352</t>
        </is>
      </c>
      <c r="E2759" s="16" t="n">
        <v>45894</v>
      </c>
      <c r="F2759" s="16" t="inlineStr">
        <is>
          <t>XK2508-53</t>
        </is>
      </c>
      <c r="G2759" s="16" t="n">
        <v>45894</v>
      </c>
      <c r="H2759" s="18" t="inlineStr">
        <is>
          <t>CÔNG TY CỔ PHẦN CÔNG NGHIỆP VÀ THƯƠNG MẠI CƯỜNG THỊNH</t>
        </is>
      </c>
      <c r="I2759" s="18" t="inlineStr">
        <is>
          <t>Long đền thường ZP M30B60D2</t>
        </is>
      </c>
      <c r="J2759" s="18" t="inlineStr">
        <is>
          <t>Cái</t>
        </is>
      </c>
      <c r="K2759" s="19" t="n">
        <v>1170</v>
      </c>
      <c r="L2759" s="20" t="n"/>
      <c r="M2759" s="20" t="n"/>
      <c r="N2759" s="22" t="n">
        <v>227</v>
      </c>
      <c r="O2759" s="22" t="n">
        <v>265590</v>
      </c>
      <c r="P2759" s="22" t="n">
        <v>227</v>
      </c>
      <c r="Q2759" s="22" t="n">
        <v>265590</v>
      </c>
      <c r="R2759" s="42">
        <f>+L2759+N2759-P2759</f>
        <v/>
      </c>
      <c r="S2759" s="42">
        <f>+M2759+O2759-Q2759</f>
        <v/>
      </c>
    </row>
    <row r="2760" ht="30" customHeight="1">
      <c r="A2760" s="16" t="n">
        <v>45894</v>
      </c>
      <c r="B2760" s="17" t="inlineStr">
        <is>
          <t>MH2508-64</t>
        </is>
      </c>
      <c r="C2760" s="16" t="n">
        <v>45894</v>
      </c>
      <c r="D2760" s="17" t="inlineStr">
        <is>
          <t>00003353</t>
        </is>
      </c>
      <c r="E2760" s="16" t="n">
        <v>45894</v>
      </c>
      <c r="F2760" s="16" t="inlineStr">
        <is>
          <t>XK2508-54</t>
        </is>
      </c>
      <c r="G2760" s="16" t="n">
        <v>45894</v>
      </c>
      <c r="H2760" s="18" t="inlineStr">
        <is>
          <t>CÔNG TY CỔ PHẦN CÔNG NGHIỆP VÀ THƯƠNG MẠI CƯỜNG THỊNH</t>
        </is>
      </c>
      <c r="I2760" s="18" t="inlineStr">
        <is>
          <t>Bulong Din 933 8.8 ZP M30x100</t>
        </is>
      </c>
      <c r="J2760" s="18" t="inlineStr">
        <is>
          <t>Cái</t>
        </is>
      </c>
      <c r="K2760" s="19" t="n">
        <v>25720</v>
      </c>
      <c r="L2760" s="20" t="n"/>
      <c r="M2760" s="20" t="n"/>
      <c r="N2760" s="22" t="n">
        <v>437</v>
      </c>
      <c r="O2760" s="22" t="n">
        <v>11239640</v>
      </c>
      <c r="P2760" s="22" t="n">
        <v>437</v>
      </c>
      <c r="Q2760" s="22" t="n">
        <v>11239640</v>
      </c>
      <c r="R2760" s="42">
        <f>+L2760+N2760-P2760</f>
        <v/>
      </c>
      <c r="S2760" s="42">
        <f>+M2760+O2760-Q2760</f>
        <v/>
      </c>
    </row>
    <row r="2761" ht="30" customHeight="1">
      <c r="A2761" s="16" t="n">
        <v>45894</v>
      </c>
      <c r="B2761" s="17" t="inlineStr">
        <is>
          <t>MH2508-64</t>
        </is>
      </c>
      <c r="C2761" s="16" t="n">
        <v>45894</v>
      </c>
      <c r="D2761" s="17" t="inlineStr">
        <is>
          <t>00003353</t>
        </is>
      </c>
      <c r="E2761" s="16" t="n">
        <v>45894</v>
      </c>
      <c r="F2761" s="16" t="inlineStr">
        <is>
          <t>XK2508-54</t>
        </is>
      </c>
      <c r="G2761" s="16" t="n">
        <v>45894</v>
      </c>
      <c r="H2761" s="18" t="inlineStr">
        <is>
          <t>CÔNG TY CỔ PHẦN CÔNG NGHIỆP VÀ THƯƠNG MẠI CƯỜNG THỊNH</t>
        </is>
      </c>
      <c r="I2761" s="18" t="inlineStr">
        <is>
          <t>Đai ốc Din 934 8 ZP M30</t>
        </is>
      </c>
      <c r="J2761" s="18" t="inlineStr">
        <is>
          <t>Cái</t>
        </is>
      </c>
      <c r="K2761" s="19" t="n">
        <v>8000</v>
      </c>
      <c r="L2761" s="20" t="n"/>
      <c r="M2761" s="20" t="n"/>
      <c r="N2761" s="22" t="n">
        <v>437</v>
      </c>
      <c r="O2761" s="22" t="n">
        <v>3496000</v>
      </c>
      <c r="P2761" s="22" t="n">
        <v>437</v>
      </c>
      <c r="Q2761" s="22" t="n">
        <v>3496000</v>
      </c>
      <c r="R2761" s="42">
        <f>+L2761+N2761-P2761</f>
        <v/>
      </c>
      <c r="S2761" s="42">
        <f>+M2761+O2761-Q2761</f>
        <v/>
      </c>
    </row>
    <row r="2762" ht="30" customHeight="1">
      <c r="A2762" s="16" t="n">
        <v>45894</v>
      </c>
      <c r="B2762" s="17" t="inlineStr">
        <is>
          <t>MH2508-64</t>
        </is>
      </c>
      <c r="C2762" s="16" t="n">
        <v>45894</v>
      </c>
      <c r="D2762" s="17" t="inlineStr">
        <is>
          <t>00003353</t>
        </is>
      </c>
      <c r="E2762" s="16" t="n">
        <v>45894</v>
      </c>
      <c r="F2762" s="16" t="inlineStr">
        <is>
          <t>XK2508-54</t>
        </is>
      </c>
      <c r="G2762" s="16" t="n">
        <v>45894</v>
      </c>
      <c r="H2762" s="18" t="inlineStr">
        <is>
          <t>CÔNG TY CỔ PHẦN CÔNG NGHIỆP VÀ THƯƠNG MẠI CƯỜNG THỊNH</t>
        </is>
      </c>
      <c r="I2762" s="18" t="inlineStr">
        <is>
          <t>Long đền thường ZP M30B50D2</t>
        </is>
      </c>
      <c r="J2762" s="18" t="inlineStr">
        <is>
          <t>Cái</t>
        </is>
      </c>
      <c r="K2762" s="19" t="n">
        <v>1150</v>
      </c>
      <c r="L2762" s="20" t="n"/>
      <c r="M2762" s="20" t="n"/>
      <c r="N2762" s="22" t="n">
        <v>437</v>
      </c>
      <c r="O2762" s="22" t="n">
        <v>502550</v>
      </c>
      <c r="P2762" s="22" t="n">
        <v>437</v>
      </c>
      <c r="Q2762" s="22" t="n">
        <v>502550</v>
      </c>
      <c r="R2762" s="42">
        <f>+L2762+N2762-P2762</f>
        <v/>
      </c>
      <c r="S2762" s="42">
        <f>+M2762+O2762-Q2762</f>
        <v/>
      </c>
    </row>
    <row r="2763" ht="30" customHeight="1">
      <c r="A2763" s="16" t="n">
        <v>45894</v>
      </c>
      <c r="B2763" s="17" t="inlineStr">
        <is>
          <t>MH2508-64</t>
        </is>
      </c>
      <c r="C2763" s="16" t="n">
        <v>45894</v>
      </c>
      <c r="D2763" s="17" t="inlineStr">
        <is>
          <t>00003353</t>
        </is>
      </c>
      <c r="E2763" s="16" t="n">
        <v>45894</v>
      </c>
      <c r="F2763" s="16" t="inlineStr">
        <is>
          <t>XK2508-54</t>
        </is>
      </c>
      <c r="G2763" s="16" t="n">
        <v>45894</v>
      </c>
      <c r="H2763" s="18" t="inlineStr">
        <is>
          <t>CÔNG TY CỔ PHẦN CÔNG NGHIỆP VÀ THƯƠNG MẠI CƯỜNG THỊNH</t>
        </is>
      </c>
      <c r="I2763" s="18" t="inlineStr">
        <is>
          <t>Bulong Din 933 8.8 ZP M30x180</t>
        </is>
      </c>
      <c r="J2763" s="18" t="inlineStr">
        <is>
          <t>Cái</t>
        </is>
      </c>
      <c r="K2763" s="19" t="n">
        <v>94758.63</v>
      </c>
      <c r="L2763" s="20" t="n"/>
      <c r="M2763" s="20" t="n"/>
      <c r="N2763" s="22" t="n">
        <v>124</v>
      </c>
      <c r="O2763" s="22" t="n">
        <v>11750070</v>
      </c>
      <c r="P2763" s="22" t="n">
        <v>124</v>
      </c>
      <c r="Q2763" s="22" t="n">
        <v>11750070</v>
      </c>
      <c r="R2763" s="42">
        <f>+L2763+N2763-P2763</f>
        <v/>
      </c>
      <c r="S2763" s="42">
        <f>+M2763+O2763-Q2763</f>
        <v/>
      </c>
    </row>
    <row r="2764" ht="30" customHeight="1">
      <c r="A2764" s="16" t="n">
        <v>45894</v>
      </c>
      <c r="B2764" s="17" t="inlineStr">
        <is>
          <t>MH2508-64</t>
        </is>
      </c>
      <c r="C2764" s="16" t="n">
        <v>45894</v>
      </c>
      <c r="D2764" s="17" t="inlineStr">
        <is>
          <t>00003353</t>
        </is>
      </c>
      <c r="E2764" s="16" t="n">
        <v>45894</v>
      </c>
      <c r="F2764" s="16" t="inlineStr">
        <is>
          <t>XK2508-54</t>
        </is>
      </c>
      <c r="G2764" s="16" t="n">
        <v>45894</v>
      </c>
      <c r="H2764" s="18" t="inlineStr">
        <is>
          <t>CÔNG TY CỔ PHẦN CÔNG NGHIỆP VÀ THƯƠNG MẠI CƯỜNG THỊNH</t>
        </is>
      </c>
      <c r="I2764" s="18" t="inlineStr">
        <is>
          <t>Đai ốc Din 934 8 ZP M30</t>
        </is>
      </c>
      <c r="J2764" s="18" t="inlineStr">
        <is>
          <t>Cái</t>
        </is>
      </c>
      <c r="K2764" s="19" t="n">
        <v>8000</v>
      </c>
      <c r="L2764" s="20" t="n"/>
      <c r="M2764" s="20" t="n"/>
      <c r="N2764" s="22" t="n">
        <v>248</v>
      </c>
      <c r="O2764" s="22" t="n">
        <v>1984000</v>
      </c>
      <c r="P2764" s="22" t="n">
        <v>248</v>
      </c>
      <c r="Q2764" s="22" t="n">
        <v>1984000</v>
      </c>
      <c r="R2764" s="42">
        <f>+L2764+N2764-P2764</f>
        <v/>
      </c>
      <c r="S2764" s="42">
        <f>+M2764+O2764-Q2764</f>
        <v/>
      </c>
    </row>
    <row r="2765" ht="30" customHeight="1">
      <c r="A2765" s="16" t="n">
        <v>45894</v>
      </c>
      <c r="B2765" s="17" t="inlineStr">
        <is>
          <t>MH2508-64</t>
        </is>
      </c>
      <c r="C2765" s="16" t="n">
        <v>45894</v>
      </c>
      <c r="D2765" s="17" t="inlineStr">
        <is>
          <t>00003353</t>
        </is>
      </c>
      <c r="E2765" s="16" t="n">
        <v>45894</v>
      </c>
      <c r="F2765" s="16" t="inlineStr">
        <is>
          <t>XK2508-54</t>
        </is>
      </c>
      <c r="G2765" s="16" t="n">
        <v>45894</v>
      </c>
      <c r="H2765" s="18" t="inlineStr">
        <is>
          <t>CÔNG TY CỔ PHẦN CÔNG NGHIỆP VÀ THƯƠNG MẠI CƯỜNG THỊNH</t>
        </is>
      </c>
      <c r="I2765" s="18" t="inlineStr">
        <is>
          <t>Long đền thường ZP M30B50D2</t>
        </is>
      </c>
      <c r="J2765" s="18" t="inlineStr">
        <is>
          <t>Cái</t>
        </is>
      </c>
      <c r="K2765" s="19" t="n">
        <v>1150</v>
      </c>
      <c r="L2765" s="20" t="n"/>
      <c r="M2765" s="20" t="n"/>
      <c r="N2765" s="22" t="n">
        <v>248</v>
      </c>
      <c r="O2765" s="22" t="n">
        <v>285200</v>
      </c>
      <c r="P2765" s="22" t="n">
        <v>248</v>
      </c>
      <c r="Q2765" s="22" t="n">
        <v>285200</v>
      </c>
      <c r="R2765" s="42">
        <f>+L2765+N2765-P2765</f>
        <v/>
      </c>
      <c r="S2765" s="42">
        <f>+M2765+O2765-Q2765</f>
        <v/>
      </c>
    </row>
    <row r="2766" ht="15" customHeight="1">
      <c r="A2766" s="16" t="n">
        <v>45894</v>
      </c>
      <c r="B2766" s="17" t="inlineStr">
        <is>
          <t>MH2508-65</t>
        </is>
      </c>
      <c r="C2766" s="16" t="n">
        <v>45894</v>
      </c>
      <c r="D2766" s="17" t="inlineStr">
        <is>
          <t>00000644</t>
        </is>
      </c>
      <c r="E2766" s="16" t="n">
        <v>45894</v>
      </c>
      <c r="F2766" s="16" t="inlineStr">
        <is>
          <t>XK2508-55</t>
        </is>
      </c>
      <c r="G2766" s="16" t="n">
        <v>45894</v>
      </c>
      <c r="H2766" s="18" t="inlineStr">
        <is>
          <t>CÔNG TY TNHH TÂN MỸ HẠNH</t>
        </is>
      </c>
      <c r="I2766" s="18" t="inlineStr">
        <is>
          <t>Thép dày mạ kẽm</t>
        </is>
      </c>
      <c r="J2766" s="18" t="inlineStr">
        <is>
          <t>kg</t>
        </is>
      </c>
      <c r="K2766" s="19" t="n">
        <v>22696</v>
      </c>
      <c r="L2766" s="20" t="n"/>
      <c r="M2766" s="20" t="n"/>
      <c r="N2766" s="22" t="n">
        <v>151.319</v>
      </c>
      <c r="O2766" s="22" t="n">
        <v>3434336</v>
      </c>
      <c r="P2766" s="22" t="n">
        <v>151.319</v>
      </c>
      <c r="Q2766" s="22" t="n">
        <v>3434336</v>
      </c>
      <c r="R2766" s="42">
        <f>+L2766+N2766-P2766</f>
        <v/>
      </c>
      <c r="S2766" s="42">
        <f>+M2766+O2766-Q2766</f>
        <v/>
      </c>
    </row>
    <row r="2767" ht="15" customHeight="1">
      <c r="A2767" s="16" t="n">
        <v>45894</v>
      </c>
      <c r="B2767" s="17" t="inlineStr">
        <is>
          <t>MH2508-65</t>
        </is>
      </c>
      <c r="C2767" s="16" t="n">
        <v>45894</v>
      </c>
      <c r="D2767" s="17" t="inlineStr">
        <is>
          <t>00000644</t>
        </is>
      </c>
      <c r="E2767" s="16" t="n">
        <v>45894</v>
      </c>
      <c r="F2767" s="16" t="inlineStr">
        <is>
          <t>XK2508-55</t>
        </is>
      </c>
      <c r="G2767" s="16" t="n">
        <v>45894</v>
      </c>
      <c r="H2767" s="18" t="inlineStr">
        <is>
          <t>CÔNG TY TNHH TÂN MỸ HẠNH</t>
        </is>
      </c>
      <c r="I2767" s="18" t="inlineStr">
        <is>
          <t>Xà gồ kẽm Z</t>
        </is>
      </c>
      <c r="J2767" s="18" t="inlineStr">
        <is>
          <t>kg</t>
        </is>
      </c>
      <c r="K2767" s="19" t="n">
        <v>18976</v>
      </c>
      <c r="L2767" s="20" t="n"/>
      <c r="M2767" s="20" t="n"/>
      <c r="N2767" s="22" t="n">
        <v>1153.631</v>
      </c>
      <c r="O2767" s="22" t="n">
        <v>21891302</v>
      </c>
      <c r="P2767" s="22" t="n">
        <v>1153.631</v>
      </c>
      <c r="Q2767" s="22" t="n">
        <v>21891302</v>
      </c>
      <c r="R2767" s="42">
        <f>+L2767+N2767-P2767</f>
        <v/>
      </c>
      <c r="S2767" s="42">
        <f>+M2767+O2767-Q2767</f>
        <v/>
      </c>
    </row>
    <row r="2768" ht="15" customHeight="1">
      <c r="A2768" s="16" t="n">
        <v>45894</v>
      </c>
      <c r="B2768" s="17" t="inlineStr">
        <is>
          <t>MH2508-66</t>
        </is>
      </c>
      <c r="C2768" s="16" t="n">
        <v>45894</v>
      </c>
      <c r="D2768" s="17" t="inlineStr">
        <is>
          <t>00000642</t>
        </is>
      </c>
      <c r="E2768" s="16" t="n">
        <v>45894</v>
      </c>
      <c r="F2768" s="16" t="inlineStr">
        <is>
          <t>XK2508-56</t>
        </is>
      </c>
      <c r="G2768" s="16" t="n">
        <v>45894</v>
      </c>
      <c r="H2768" s="18" t="inlineStr">
        <is>
          <t>CÔNG TY TNHH TÂN MỸ HẠNH</t>
        </is>
      </c>
      <c r="I2768" s="18" t="inlineStr">
        <is>
          <t>Thép dày mạ kẽm</t>
        </is>
      </c>
      <c r="J2768" s="18" t="inlineStr">
        <is>
          <t>kg</t>
        </is>
      </c>
      <c r="K2768" s="19" t="n">
        <v>22696</v>
      </c>
      <c r="L2768" s="20" t="n"/>
      <c r="M2768" s="20" t="n"/>
      <c r="N2768" s="22" t="n">
        <v>69.8389</v>
      </c>
      <c r="O2768" s="22" t="n">
        <v>1585064</v>
      </c>
      <c r="P2768" s="22" t="n">
        <v>69.8389</v>
      </c>
      <c r="Q2768" s="22" t="n">
        <v>1585064</v>
      </c>
      <c r="R2768" s="42">
        <f>+L2768+N2768-P2768</f>
        <v/>
      </c>
      <c r="S2768" s="42">
        <f>+M2768+O2768-Q2768</f>
        <v/>
      </c>
    </row>
    <row r="2769" ht="15" customHeight="1">
      <c r="A2769" s="16" t="n">
        <v>45894</v>
      </c>
      <c r="B2769" s="17" t="inlineStr">
        <is>
          <t>MH2508-66</t>
        </is>
      </c>
      <c r="C2769" s="16" t="n">
        <v>45894</v>
      </c>
      <c r="D2769" s="17" t="inlineStr">
        <is>
          <t>00000642</t>
        </is>
      </c>
      <c r="E2769" s="16" t="n">
        <v>45894</v>
      </c>
      <c r="F2769" s="16" t="inlineStr">
        <is>
          <t>XK2508-56</t>
        </is>
      </c>
      <c r="G2769" s="16" t="n">
        <v>45894</v>
      </c>
      <c r="H2769" s="18" t="inlineStr">
        <is>
          <t>CÔNG TY TNHH TÂN MỸ HẠNH</t>
        </is>
      </c>
      <c r="I2769" s="18" t="inlineStr">
        <is>
          <t>Xà gồ kẽm Z</t>
        </is>
      </c>
      <c r="J2769" s="18" t="inlineStr">
        <is>
          <t>kg</t>
        </is>
      </c>
      <c r="K2769" s="19" t="n">
        <v>18976</v>
      </c>
      <c r="L2769" s="20" t="n"/>
      <c r="M2769" s="20" t="n"/>
      <c r="N2769" s="22" t="n">
        <v>534.654</v>
      </c>
      <c r="O2769" s="22" t="n">
        <v>10145594</v>
      </c>
      <c r="P2769" s="22" t="n">
        <v>534.654</v>
      </c>
      <c r="Q2769" s="22" t="n">
        <v>10145594</v>
      </c>
      <c r="R2769" s="42">
        <f>+L2769+N2769-P2769</f>
        <v/>
      </c>
      <c r="S2769" s="42">
        <f>+M2769+O2769-Q2769</f>
        <v/>
      </c>
    </row>
    <row r="2770" ht="15" customHeight="1">
      <c r="A2770" s="16" t="n">
        <v>45894</v>
      </c>
      <c r="B2770" s="17" t="inlineStr">
        <is>
          <t>MH2508-67</t>
        </is>
      </c>
      <c r="C2770" s="16" t="n">
        <v>45894</v>
      </c>
      <c r="D2770" s="17" t="inlineStr">
        <is>
          <t>00000229</t>
        </is>
      </c>
      <c r="E2770" s="16" t="n">
        <v>45894</v>
      </c>
      <c r="F2770" s="16" t="inlineStr">
        <is>
          <t>XK2508-57</t>
        </is>
      </c>
      <c r="G2770" s="16" t="n">
        <v>45894</v>
      </c>
      <c r="H2770" s="18" t="inlineStr">
        <is>
          <t>CÔNG TY TNHH CƠ KHÍ ĐỨC HIỆP</t>
        </is>
      </c>
      <c r="I2770" s="18" t="inlineStr">
        <is>
          <t>Bulong neo i M24x600 5.6</t>
        </is>
      </c>
      <c r="J2770" s="18" t="inlineStr">
        <is>
          <t>Cái</t>
        </is>
      </c>
      <c r="K2770" s="19" t="n">
        <v>67500</v>
      </c>
      <c r="L2770" s="20" t="n"/>
      <c r="M2770" s="20" t="n"/>
      <c r="N2770" s="22" t="n">
        <v>60</v>
      </c>
      <c r="O2770" s="22" t="n">
        <v>4050000</v>
      </c>
      <c r="P2770" s="22" t="n">
        <v>60</v>
      </c>
      <c r="Q2770" s="22" t="n">
        <v>4050000</v>
      </c>
      <c r="R2770" s="42">
        <f>+L2770+N2770-P2770</f>
        <v/>
      </c>
      <c r="S2770" s="42">
        <f>+M2770+O2770-Q2770</f>
        <v/>
      </c>
    </row>
    <row r="2771" ht="15" customHeight="1">
      <c r="A2771" s="16" t="n">
        <v>45894</v>
      </c>
      <c r="B2771" s="17" t="inlineStr">
        <is>
          <t>MH2508-67</t>
        </is>
      </c>
      <c r="C2771" s="16" t="n">
        <v>45894</v>
      </c>
      <c r="D2771" s="17" t="inlineStr">
        <is>
          <t>00000229</t>
        </is>
      </c>
      <c r="E2771" s="16" t="n">
        <v>45894</v>
      </c>
      <c r="F2771" s="16" t="inlineStr">
        <is>
          <t>XK2508-57</t>
        </is>
      </c>
      <c r="G2771" s="16" t="n">
        <v>45894</v>
      </c>
      <c r="H2771" s="18" t="inlineStr">
        <is>
          <t>CÔNG TY TNHH CƠ KHÍ ĐỨC HIỆP</t>
        </is>
      </c>
      <c r="I2771" s="18" t="inlineStr">
        <is>
          <t>Bulong neo i M36x900 5.6</t>
        </is>
      </c>
      <c r="J2771" s="18" t="inlineStr">
        <is>
          <t>Cái</t>
        </is>
      </c>
      <c r="K2771" s="19" t="n">
        <v>232200</v>
      </c>
      <c r="L2771" s="20" t="n"/>
      <c r="M2771" s="20" t="n"/>
      <c r="N2771" s="22" t="n">
        <v>196</v>
      </c>
      <c r="O2771" s="22" t="n">
        <v>45511200</v>
      </c>
      <c r="P2771" s="22" t="n">
        <v>196</v>
      </c>
      <c r="Q2771" s="22" t="n">
        <v>45511200</v>
      </c>
      <c r="R2771" s="42">
        <f>+L2771+N2771-P2771</f>
        <v/>
      </c>
      <c r="S2771" s="42">
        <f>+M2771+O2771-Q2771</f>
        <v/>
      </c>
    </row>
    <row r="2772" ht="30" customHeight="1">
      <c r="A2772" s="16" t="n">
        <v>45896</v>
      </c>
      <c r="B2772" s="17" t="inlineStr">
        <is>
          <t>MH2508-69</t>
        </is>
      </c>
      <c r="C2772" s="16" t="n">
        <v>45896</v>
      </c>
      <c r="D2772" s="17" t="inlineStr">
        <is>
          <t>00003369</t>
        </is>
      </c>
      <c r="E2772" s="16" t="n">
        <v>45896</v>
      </c>
      <c r="F2772" s="16" t="inlineStr">
        <is>
          <t>XK2508-58</t>
        </is>
      </c>
      <c r="G2772" s="16" t="n">
        <v>45896</v>
      </c>
      <c r="H2772" s="18" t="inlineStr">
        <is>
          <t>CÔNG TY CỔ PHẦN CÔNG NGHIỆP VÀ THƯƠNG MẠI CƯỜNG THỊNH</t>
        </is>
      </c>
      <c r="I2772" s="18" t="inlineStr">
        <is>
          <t>Ty giằng 2 đầu ren 4.6 Ф11.3-11.5mm ZP M12</t>
        </is>
      </c>
      <c r="J2772" s="18" t="inlineStr">
        <is>
          <t>Mét</t>
        </is>
      </c>
      <c r="K2772" s="19" t="n">
        <v>20500</v>
      </c>
      <c r="L2772" s="20" t="n"/>
      <c r="M2772" s="20" t="n"/>
      <c r="N2772" s="22" t="n">
        <v>89.7</v>
      </c>
      <c r="O2772" s="22" t="n">
        <v>1838850</v>
      </c>
      <c r="P2772" s="22" t="n">
        <v>89.7</v>
      </c>
      <c r="Q2772" s="22" t="n">
        <v>1838850</v>
      </c>
      <c r="R2772" s="42">
        <f>+L2772+N2772-P2772</f>
        <v/>
      </c>
      <c r="S2772" s="42">
        <f>+M2772+O2772-Q2772</f>
        <v/>
      </c>
    </row>
    <row r="2773" ht="30" customHeight="1">
      <c r="A2773" s="16" t="n">
        <v>45896</v>
      </c>
      <c r="B2773" s="17" t="inlineStr">
        <is>
          <t>MH2508-69</t>
        </is>
      </c>
      <c r="C2773" s="16" t="n">
        <v>45896</v>
      </c>
      <c r="D2773" s="17" t="inlineStr">
        <is>
          <t>00003369</t>
        </is>
      </c>
      <c r="E2773" s="16" t="n">
        <v>45896</v>
      </c>
      <c r="F2773" s="16" t="inlineStr">
        <is>
          <t>XK2508-58</t>
        </is>
      </c>
      <c r="G2773" s="16" t="n">
        <v>45896</v>
      </c>
      <c r="H2773" s="18" t="inlineStr">
        <is>
          <t>CÔNG TY CỔ PHẦN CÔNG NGHIỆP VÀ THƯƠNG MẠI CƯỜNG THỊNH</t>
        </is>
      </c>
      <c r="I2773" s="18" t="inlineStr">
        <is>
          <t>Đai ốc thường 4 ZP M12 (9mm)</t>
        </is>
      </c>
      <c r="J2773" s="18" t="inlineStr">
        <is>
          <t>Cái</t>
        </is>
      </c>
      <c r="K2773" s="19" t="n">
        <v>360</v>
      </c>
      <c r="L2773" s="20" t="n"/>
      <c r="M2773" s="20" t="n"/>
      <c r="N2773" s="22" t="n">
        <v>544</v>
      </c>
      <c r="O2773" s="22" t="n">
        <v>195840</v>
      </c>
      <c r="P2773" s="22" t="n">
        <v>544</v>
      </c>
      <c r="Q2773" s="22" t="n">
        <v>195840</v>
      </c>
      <c r="R2773" s="42">
        <f>+L2773+N2773-P2773</f>
        <v/>
      </c>
      <c r="S2773" s="42">
        <f>+M2773+O2773-Q2773</f>
        <v/>
      </c>
    </row>
    <row r="2774" ht="30" customHeight="1">
      <c r="A2774" s="16" t="n">
        <v>45896</v>
      </c>
      <c r="B2774" s="17" t="inlineStr">
        <is>
          <t>MH2508-69</t>
        </is>
      </c>
      <c r="C2774" s="16" t="n">
        <v>45896</v>
      </c>
      <c r="D2774" s="17" t="inlineStr">
        <is>
          <t>00003369</t>
        </is>
      </c>
      <c r="E2774" s="16" t="n">
        <v>45896</v>
      </c>
      <c r="F2774" s="16" t="inlineStr">
        <is>
          <t>XK2508-58</t>
        </is>
      </c>
      <c r="G2774" s="16" t="n">
        <v>45896</v>
      </c>
      <c r="H2774" s="18" t="inlineStr">
        <is>
          <t>CÔNG TY CỔ PHẦN CÔNG NGHIỆP VÀ THƯƠNG MẠI CƯỜNG THỊNH</t>
        </is>
      </c>
      <c r="I2774" s="18" t="inlineStr">
        <is>
          <t>Long đền thường ZP M12B26D1.5</t>
        </is>
      </c>
      <c r="J2774" s="18" t="inlineStr">
        <is>
          <t>Cái</t>
        </is>
      </c>
      <c r="K2774" s="19" t="n">
        <v>170</v>
      </c>
      <c r="L2774" s="20" t="n"/>
      <c r="M2774" s="20" t="n"/>
      <c r="N2774" s="22" t="n">
        <v>544</v>
      </c>
      <c r="O2774" s="22" t="n">
        <v>92480</v>
      </c>
      <c r="P2774" s="22" t="n">
        <v>544</v>
      </c>
      <c r="Q2774" s="22" t="n">
        <v>92480</v>
      </c>
      <c r="R2774" s="42">
        <f>+L2774+N2774-P2774</f>
        <v/>
      </c>
      <c r="S2774" s="42">
        <f>+M2774+O2774-Q2774</f>
        <v/>
      </c>
    </row>
    <row r="2775" ht="30" customHeight="1">
      <c r="A2775" s="16" t="n">
        <v>45896</v>
      </c>
      <c r="B2775" s="17" t="inlineStr">
        <is>
          <t>MH2508-69</t>
        </is>
      </c>
      <c r="C2775" s="16" t="n">
        <v>45896</v>
      </c>
      <c r="D2775" s="17" t="inlineStr">
        <is>
          <t>00003369</t>
        </is>
      </c>
      <c r="E2775" s="16" t="n">
        <v>45896</v>
      </c>
      <c r="F2775" s="16" t="inlineStr">
        <is>
          <t>XK2508-58</t>
        </is>
      </c>
      <c r="G2775" s="16" t="n">
        <v>45896</v>
      </c>
      <c r="H2775" s="18" t="inlineStr">
        <is>
          <t>CÔNG TY CỔ PHẦN CÔNG NGHIỆP VÀ THƯƠNG MẠI CƯỜNG THỊNH</t>
        </is>
      </c>
      <c r="I2775" s="18" t="inlineStr">
        <is>
          <t>Ty giằng 2 đầu ren 4.6 Ф11.3-11.5mm ZP M12</t>
        </is>
      </c>
      <c r="J2775" s="18" t="inlineStr">
        <is>
          <t>Mét</t>
        </is>
      </c>
      <c r="K2775" s="19" t="n">
        <v>22500</v>
      </c>
      <c r="L2775" s="20" t="n"/>
      <c r="M2775" s="20" t="n"/>
      <c r="N2775" s="22" t="n">
        <v>52.3</v>
      </c>
      <c r="O2775" s="22" t="n">
        <v>1176750</v>
      </c>
      <c r="P2775" s="22" t="n">
        <v>52.3</v>
      </c>
      <c r="Q2775" s="22" t="n">
        <v>1176750</v>
      </c>
      <c r="R2775" s="42">
        <f>+L2775+N2775-P2775</f>
        <v/>
      </c>
      <c r="S2775" s="42">
        <f>+M2775+O2775-Q2775</f>
        <v/>
      </c>
    </row>
    <row r="2776" ht="30" customHeight="1">
      <c r="A2776" s="16" t="n">
        <v>45896</v>
      </c>
      <c r="B2776" s="17" t="inlineStr">
        <is>
          <t>MH2508-69</t>
        </is>
      </c>
      <c r="C2776" s="16" t="n">
        <v>45896</v>
      </c>
      <c r="D2776" s="17" t="inlineStr">
        <is>
          <t>00003369</t>
        </is>
      </c>
      <c r="E2776" s="16" t="n">
        <v>45896</v>
      </c>
      <c r="F2776" s="16" t="inlineStr">
        <is>
          <t>XK2508-58</t>
        </is>
      </c>
      <c r="G2776" s="16" t="n">
        <v>45896</v>
      </c>
      <c r="H2776" s="18" t="inlineStr">
        <is>
          <t>CÔNG TY CỔ PHẦN CÔNG NGHIỆP VÀ THƯƠNG MẠI CƯỜNG THỊNH</t>
        </is>
      </c>
      <c r="I2776" s="18" t="inlineStr">
        <is>
          <t>Ty giằng 2 đầu ren 4.6 ZP M16</t>
        </is>
      </c>
      <c r="J2776" s="18" t="inlineStr">
        <is>
          <t>Mét</t>
        </is>
      </c>
      <c r="K2776" s="19" t="n">
        <v>48000</v>
      </c>
      <c r="L2776" s="20" t="n"/>
      <c r="M2776" s="20" t="n"/>
      <c r="N2776" s="22" t="n">
        <v>63.1</v>
      </c>
      <c r="O2776" s="22" t="n">
        <v>3028800</v>
      </c>
      <c r="P2776" s="22" t="n">
        <v>63.1</v>
      </c>
      <c r="Q2776" s="22" t="n">
        <v>3028800</v>
      </c>
      <c r="R2776" s="42">
        <f>+L2776+N2776-P2776</f>
        <v/>
      </c>
      <c r="S2776" s="42">
        <f>+M2776+O2776-Q2776</f>
        <v/>
      </c>
    </row>
    <row r="2777" ht="30" customHeight="1">
      <c r="A2777" s="16" t="n">
        <v>45896</v>
      </c>
      <c r="B2777" s="17" t="inlineStr">
        <is>
          <t>MH2508-69</t>
        </is>
      </c>
      <c r="C2777" s="16" t="n">
        <v>45896</v>
      </c>
      <c r="D2777" s="17" t="inlineStr">
        <is>
          <t>00003369</t>
        </is>
      </c>
      <c r="E2777" s="16" t="n">
        <v>45896</v>
      </c>
      <c r="F2777" s="16" t="inlineStr">
        <is>
          <t>XK2508-58</t>
        </is>
      </c>
      <c r="G2777" s="16" t="n">
        <v>45896</v>
      </c>
      <c r="H2777" s="18" t="inlineStr">
        <is>
          <t>CÔNG TY CỔ PHẦN CÔNG NGHIỆP VÀ THƯƠNG MẠI CƯỜNG THỊNH</t>
        </is>
      </c>
      <c r="I2777" s="18" t="inlineStr">
        <is>
          <t>Đai ốc Din 934 5 ZP M16</t>
        </is>
      </c>
      <c r="J2777" s="18" t="inlineStr">
        <is>
          <t>Cái</t>
        </is>
      </c>
      <c r="K2777" s="19" t="n">
        <v>990</v>
      </c>
      <c r="L2777" s="20" t="n"/>
      <c r="M2777" s="20" t="n"/>
      <c r="N2777" s="22" t="n">
        <v>24</v>
      </c>
      <c r="O2777" s="22" t="n">
        <v>23760</v>
      </c>
      <c r="P2777" s="22" t="n">
        <v>24</v>
      </c>
      <c r="Q2777" s="22" t="n">
        <v>23760</v>
      </c>
      <c r="R2777" s="42">
        <f>+L2777+N2777-P2777</f>
        <v/>
      </c>
      <c r="S2777" s="42">
        <f>+M2777+O2777-Q2777</f>
        <v/>
      </c>
    </row>
    <row r="2778" ht="30" customHeight="1">
      <c r="A2778" s="16" t="n">
        <v>45896</v>
      </c>
      <c r="B2778" s="17" t="inlineStr">
        <is>
          <t>MH2508-69</t>
        </is>
      </c>
      <c r="C2778" s="16" t="n">
        <v>45896</v>
      </c>
      <c r="D2778" s="17" t="inlineStr">
        <is>
          <t>00003369</t>
        </is>
      </c>
      <c r="E2778" s="16" t="n">
        <v>45896</v>
      </c>
      <c r="F2778" s="16" t="inlineStr">
        <is>
          <t>XK2508-58</t>
        </is>
      </c>
      <c r="G2778" s="16" t="n">
        <v>45896</v>
      </c>
      <c r="H2778" s="18" t="inlineStr">
        <is>
          <t>CÔNG TY CỔ PHẦN CÔNG NGHIỆP VÀ THƯƠNG MẠI CƯỜNG THỊNH</t>
        </is>
      </c>
      <c r="I2778" s="18" t="inlineStr">
        <is>
          <t>Long đền thường ZP M16B42D2</t>
        </is>
      </c>
      <c r="J2778" s="18" t="inlineStr">
        <is>
          <t>Cái</t>
        </is>
      </c>
      <c r="K2778" s="19" t="n">
        <v>700</v>
      </c>
      <c r="L2778" s="20" t="n"/>
      <c r="M2778" s="20" t="n"/>
      <c r="N2778" s="22" t="n">
        <v>24</v>
      </c>
      <c r="O2778" s="22" t="n">
        <v>16800</v>
      </c>
      <c r="P2778" s="22" t="n">
        <v>24</v>
      </c>
      <c r="Q2778" s="22" t="n">
        <v>16800</v>
      </c>
      <c r="R2778" s="42">
        <f>+L2778+N2778-P2778</f>
        <v/>
      </c>
      <c r="S2778" s="42">
        <f>+M2778+O2778-Q2778</f>
        <v/>
      </c>
    </row>
    <row r="2779" ht="30" customHeight="1">
      <c r="A2779" s="16" t="n">
        <v>45896</v>
      </c>
      <c r="B2779" s="17" t="inlineStr">
        <is>
          <t>MH2508-69</t>
        </is>
      </c>
      <c r="C2779" s="16" t="n">
        <v>45896</v>
      </c>
      <c r="D2779" s="17" t="inlineStr">
        <is>
          <t>00003369</t>
        </is>
      </c>
      <c r="E2779" s="16" t="n">
        <v>45896</v>
      </c>
      <c r="F2779" s="16" t="inlineStr">
        <is>
          <t>XK2508-58</t>
        </is>
      </c>
      <c r="G2779" s="16" t="n">
        <v>45896</v>
      </c>
      <c r="H2779" s="18" t="inlineStr">
        <is>
          <t>CÔNG TY CỔ PHẦN CÔNG NGHIỆP VÀ THƯƠNG MẠI CƯỜNG THỊNH</t>
        </is>
      </c>
      <c r="I2779" s="18" t="inlineStr">
        <is>
          <t>Long đền móng ngựa ZP M16</t>
        </is>
      </c>
      <c r="J2779" s="18" t="inlineStr">
        <is>
          <t>Cái</t>
        </is>
      </c>
      <c r="K2779" s="19" t="n">
        <v>14830</v>
      </c>
      <c r="L2779" s="20" t="n"/>
      <c r="M2779" s="20" t="n"/>
      <c r="N2779" s="22" t="n">
        <v>24</v>
      </c>
      <c r="O2779" s="22" t="n">
        <v>355920</v>
      </c>
      <c r="P2779" s="22" t="n">
        <v>24</v>
      </c>
      <c r="Q2779" s="22" t="n">
        <v>355920</v>
      </c>
      <c r="R2779" s="42">
        <f>+L2779+N2779-P2779</f>
        <v/>
      </c>
      <c r="S2779" s="42">
        <f>+M2779+O2779-Q2779</f>
        <v/>
      </c>
    </row>
    <row r="2780" ht="30" customHeight="1">
      <c r="A2780" s="16" t="n">
        <v>45897</v>
      </c>
      <c r="B2780" s="17" t="inlineStr">
        <is>
          <t>MH2508-70</t>
        </is>
      </c>
      <c r="C2780" s="16" t="n">
        <v>45897</v>
      </c>
      <c r="D2780" s="17" t="inlineStr">
        <is>
          <t>00000689</t>
        </is>
      </c>
      <c r="E2780" s="16" t="n">
        <v>45897</v>
      </c>
      <c r="F2780" s="16" t="inlineStr">
        <is>
          <t>XK2508-59</t>
        </is>
      </c>
      <c r="G2780" s="16" t="n">
        <v>45897</v>
      </c>
      <c r="H2780" s="18" t="inlineStr">
        <is>
          <t>CHI NHÁNH MIỀN NAM - CÔNG TY TNHH SƠN KANSAI VIỆT NAM</t>
        </is>
      </c>
      <c r="I2780" s="18" t="inlineStr">
        <is>
          <t>Sơn lót Alkyd RAD Light Grey Primer PL02-200B-LIGHTGREY/20L</t>
        </is>
      </c>
      <c r="J2780" s="18" t="inlineStr">
        <is>
          <t>Thùng</t>
        </is>
      </c>
      <c r="K2780" s="19" t="n">
        <v>1840000</v>
      </c>
      <c r="L2780" s="20" t="n"/>
      <c r="M2780" s="20" t="n"/>
      <c r="N2780" s="22" t="n">
        <v>5</v>
      </c>
      <c r="O2780" s="22" t="n">
        <v>9200000</v>
      </c>
      <c r="P2780" s="22" t="n">
        <v>5</v>
      </c>
      <c r="Q2780" s="22" t="n">
        <v>9200000</v>
      </c>
      <c r="R2780" s="42">
        <f>+L2780+N2780-P2780</f>
        <v/>
      </c>
      <c r="S2780" s="42">
        <f>+M2780+O2780-Q2780</f>
        <v/>
      </c>
    </row>
    <row r="2781" ht="15" customHeight="1">
      <c r="A2781" s="16" t="n">
        <v>45897</v>
      </c>
      <c r="B2781" s="17" t="inlineStr">
        <is>
          <t>MH2508-71</t>
        </is>
      </c>
      <c r="C2781" s="16" t="n">
        <v>45897</v>
      </c>
      <c r="D2781" s="17" t="inlineStr">
        <is>
          <t>00008038</t>
        </is>
      </c>
      <c r="E2781" s="16" t="n">
        <v>45897</v>
      </c>
      <c r="F2781" s="16" t="inlineStr">
        <is>
          <t>XK2508-60</t>
        </is>
      </c>
      <c r="G2781" s="16" t="n">
        <v>45897</v>
      </c>
      <c r="H2781" s="18" t="inlineStr">
        <is>
          <t>CÔNG TY TNHH SƠN JOTUN VIỆT NAM</t>
        </is>
      </c>
      <c r="I2781" s="18" t="inlineStr">
        <is>
          <t>SƠN FUTURA CLASSIC STD 0121 18.24L</t>
        </is>
      </c>
      <c r="J2781" s="18" t="inlineStr">
        <is>
          <t>Lít</t>
        </is>
      </c>
      <c r="K2781" s="19" t="n">
        <v>155000</v>
      </c>
      <c r="L2781" s="20" t="n"/>
      <c r="M2781" s="20" t="n"/>
      <c r="N2781" s="22" t="n">
        <v>91.2</v>
      </c>
      <c r="O2781" s="22" t="n">
        <v>14136000</v>
      </c>
      <c r="P2781" s="22" t="n">
        <v>91.2</v>
      </c>
      <c r="Q2781" s="22" t="n">
        <v>14136000</v>
      </c>
      <c r="R2781" s="42">
        <f>+L2781+N2781-P2781</f>
        <v/>
      </c>
      <c r="S2781" s="42">
        <f>+M2781+O2781-Q2781</f>
        <v/>
      </c>
    </row>
    <row r="2782" ht="15" customHeight="1">
      <c r="A2782" s="16" t="n">
        <v>45897</v>
      </c>
      <c r="B2782" s="17" t="inlineStr">
        <is>
          <t>MH2508-71</t>
        </is>
      </c>
      <c r="C2782" s="16" t="n">
        <v>45897</v>
      </c>
      <c r="D2782" s="17" t="inlineStr">
        <is>
          <t>00008038</t>
        </is>
      </c>
      <c r="E2782" s="16" t="n">
        <v>45897</v>
      </c>
      <c r="F2782" s="16" t="inlineStr">
        <is>
          <t>XK2508-60</t>
        </is>
      </c>
      <c r="G2782" s="16" t="n">
        <v>45897</v>
      </c>
      <c r="H2782" s="18" t="inlineStr">
        <is>
          <t>CÔNG TY TNHH SƠN JOTUN VIỆT NAM</t>
        </is>
      </c>
      <c r="I2782" s="18" t="inlineStr">
        <is>
          <t>SƠN FUTURA CLASSIC STD 0121 4.56L</t>
        </is>
      </c>
      <c r="J2782" s="18" t="inlineStr">
        <is>
          <t>Lít</t>
        </is>
      </c>
      <c r="K2782" s="19" t="n">
        <v>155000</v>
      </c>
      <c r="L2782" s="20" t="n"/>
      <c r="M2782" s="20" t="n"/>
      <c r="N2782" s="22" t="n">
        <v>9.119999999999999</v>
      </c>
      <c r="O2782" s="22" t="n">
        <v>1413600</v>
      </c>
      <c r="P2782" s="22" t="n">
        <v>9.119999999999999</v>
      </c>
      <c r="Q2782" s="22" t="n">
        <v>1413600</v>
      </c>
      <c r="R2782" s="42">
        <f>+L2782+N2782-P2782</f>
        <v/>
      </c>
      <c r="S2782" s="42">
        <f>+M2782+O2782-Q2782</f>
        <v/>
      </c>
    </row>
    <row r="2783" ht="15" customHeight="1">
      <c r="A2783" s="16" t="n">
        <v>45897</v>
      </c>
      <c r="B2783" s="17" t="inlineStr">
        <is>
          <t>MH2508-71</t>
        </is>
      </c>
      <c r="C2783" s="16" t="n">
        <v>45897</v>
      </c>
      <c r="D2783" s="17" t="inlineStr">
        <is>
          <t>00008038</t>
        </is>
      </c>
      <c r="E2783" s="16" t="n">
        <v>45897</v>
      </c>
      <c r="F2783" s="16" t="inlineStr">
        <is>
          <t>XK2508-60</t>
        </is>
      </c>
      <c r="G2783" s="16" t="n">
        <v>45897</v>
      </c>
      <c r="H2783" s="18" t="inlineStr">
        <is>
          <t>CÔNG TY TNHH SƠN JOTUN VIỆT NAM</t>
        </is>
      </c>
      <c r="I2783" s="18" t="inlineStr">
        <is>
          <t>DUNG MÔI JOTUN THINNER NO. 10 5L</t>
        </is>
      </c>
      <c r="J2783" s="18" t="inlineStr">
        <is>
          <t>Lít</t>
        </is>
      </c>
      <c r="K2783" s="19" t="n">
        <v>60000</v>
      </c>
      <c r="L2783" s="20" t="n"/>
      <c r="M2783" s="20" t="n"/>
      <c r="N2783" s="22" t="n">
        <v>15</v>
      </c>
      <c r="O2783" s="22" t="n">
        <v>900000</v>
      </c>
      <c r="P2783" s="22" t="n">
        <v>15</v>
      </c>
      <c r="Q2783" s="22" t="n">
        <v>900000</v>
      </c>
      <c r="R2783" s="42">
        <f>+L2783+N2783-P2783</f>
        <v/>
      </c>
      <c r="S2783" s="42">
        <f>+M2783+O2783-Q2783</f>
        <v/>
      </c>
    </row>
    <row r="2784" ht="15" customHeight="1">
      <c r="A2784" s="16" t="n">
        <v>45897</v>
      </c>
      <c r="B2784" s="17" t="inlineStr">
        <is>
          <t>MH2508-71</t>
        </is>
      </c>
      <c r="C2784" s="16" t="n">
        <v>45897</v>
      </c>
      <c r="D2784" s="17" t="inlineStr">
        <is>
          <t>00008038</t>
        </is>
      </c>
      <c r="E2784" s="16" t="n">
        <v>45897</v>
      </c>
      <c r="F2784" s="16" t="inlineStr">
        <is>
          <t>XK2508-60</t>
        </is>
      </c>
      <c r="G2784" s="16" t="n">
        <v>45897</v>
      </c>
      <c r="H2784" s="18" t="inlineStr">
        <is>
          <t>CÔNG TY TNHH SƠN JOTUN VIỆT NAM</t>
        </is>
      </c>
      <c r="I2784" s="18" t="inlineStr">
        <is>
          <t>DUNG MÔI JOTUN THINNER NO. 17 5L</t>
        </is>
      </c>
      <c r="J2784" s="18" t="inlineStr">
        <is>
          <t>Lít</t>
        </is>
      </c>
      <c r="K2784" s="19" t="n">
        <v>60000</v>
      </c>
      <c r="L2784" s="20" t="n"/>
      <c r="M2784" s="20" t="n"/>
      <c r="N2784" s="22" t="n">
        <v>15</v>
      </c>
      <c r="O2784" s="22" t="n">
        <v>900000</v>
      </c>
      <c r="P2784" s="22" t="n">
        <v>15</v>
      </c>
      <c r="Q2784" s="22" t="n">
        <v>900000</v>
      </c>
      <c r="R2784" s="42">
        <f>+L2784+N2784-P2784</f>
        <v/>
      </c>
      <c r="S2784" s="42">
        <f>+M2784+O2784-Q2784</f>
        <v/>
      </c>
    </row>
    <row r="2785" ht="15" customHeight="1">
      <c r="A2785" s="16" t="n">
        <v>45898</v>
      </c>
      <c r="B2785" s="17" t="inlineStr">
        <is>
          <t>MH2508-73</t>
        </is>
      </c>
      <c r="C2785" s="16" t="n">
        <v>45898</v>
      </c>
      <c r="D2785" s="17" t="inlineStr">
        <is>
          <t>00008089</t>
        </is>
      </c>
      <c r="E2785" s="16" t="n">
        <v>45898</v>
      </c>
      <c r="F2785" s="16" t="inlineStr">
        <is>
          <t>XK2508-61</t>
        </is>
      </c>
      <c r="G2785" s="16" t="n">
        <v>45898</v>
      </c>
      <c r="H2785" s="18" t="inlineStr">
        <is>
          <t>CÔNG TY TNHH SƠN JOTUN VIỆT NAM</t>
        </is>
      </c>
      <c r="I2785" s="18" t="inlineStr">
        <is>
          <t>SƠN FUTURA CLASSIC RAL 9010 18.22L</t>
        </is>
      </c>
      <c r="J2785" s="18" t="inlineStr">
        <is>
          <t>Lít</t>
        </is>
      </c>
      <c r="K2785" s="19" t="n">
        <v>155000</v>
      </c>
      <c r="L2785" s="20" t="n"/>
      <c r="M2785" s="20" t="n"/>
      <c r="N2785" s="22" t="n">
        <v>91.09999999999999</v>
      </c>
      <c r="O2785" s="22" t="n">
        <v>14120500</v>
      </c>
      <c r="P2785" s="22" t="n">
        <v>91.09999999999999</v>
      </c>
      <c r="Q2785" s="22" t="n">
        <v>14120500</v>
      </c>
      <c r="R2785" s="42">
        <f>+L2785+N2785-P2785</f>
        <v/>
      </c>
      <c r="S2785" s="42">
        <f>+M2785+O2785-Q2785</f>
        <v/>
      </c>
    </row>
    <row r="2786" ht="15" customHeight="1">
      <c r="A2786" s="16" t="n">
        <v>45898</v>
      </c>
      <c r="B2786" s="17" t="inlineStr">
        <is>
          <t>MH2508-74</t>
        </is>
      </c>
      <c r="C2786" s="16" t="n">
        <v>45898</v>
      </c>
      <c r="D2786" s="17" t="inlineStr">
        <is>
          <t>00008088</t>
        </is>
      </c>
      <c r="E2786" s="16" t="n">
        <v>45898</v>
      </c>
      <c r="F2786" s="16" t="inlineStr">
        <is>
          <t>XK2508-62</t>
        </is>
      </c>
      <c r="G2786" s="16" t="n">
        <v>45898</v>
      </c>
      <c r="H2786" s="18" t="inlineStr">
        <is>
          <t>CÔNG TY TNHH SƠN JOTUN VIỆT NAM</t>
        </is>
      </c>
      <c r="I2786" s="18" t="inlineStr">
        <is>
          <t>SƠN FUTURA CLASSIC RAL 3028 4.99L</t>
        </is>
      </c>
      <c r="J2786" s="18" t="inlineStr">
        <is>
          <t>Lít</t>
        </is>
      </c>
      <c r="K2786" s="19" t="n">
        <v>175000</v>
      </c>
      <c r="L2786" s="20" t="n"/>
      <c r="M2786" s="20" t="n"/>
      <c r="N2786" s="22" t="n">
        <v>29.94</v>
      </c>
      <c r="O2786" s="22" t="n">
        <v>5239500</v>
      </c>
      <c r="P2786" s="22" t="n">
        <v>29.94</v>
      </c>
      <c r="Q2786" s="22" t="n">
        <v>5239500</v>
      </c>
      <c r="R2786" s="42">
        <f>+L2786+N2786-P2786</f>
        <v/>
      </c>
      <c r="S2786" s="42">
        <f>+M2786+O2786-Q2786</f>
        <v/>
      </c>
    </row>
    <row r="2787" ht="15" customHeight="1">
      <c r="A2787" s="16" t="n">
        <v>45898</v>
      </c>
      <c r="B2787" s="17" t="inlineStr">
        <is>
          <t>MH2508-74</t>
        </is>
      </c>
      <c r="C2787" s="16" t="n">
        <v>45898</v>
      </c>
      <c r="D2787" s="17" t="inlineStr">
        <is>
          <t>00008088</t>
        </is>
      </c>
      <c r="E2787" s="16" t="n">
        <v>45898</v>
      </c>
      <c r="F2787" s="16" t="inlineStr">
        <is>
          <t>XK2508-62</t>
        </is>
      </c>
      <c r="G2787" s="16" t="n">
        <v>45898</v>
      </c>
      <c r="H2787" s="18" t="inlineStr">
        <is>
          <t>CÔNG TY TNHH SƠN JOTUN VIỆT NAM</t>
        </is>
      </c>
      <c r="I2787" s="18" t="inlineStr">
        <is>
          <t>SƠN FUTURA CLASSIC RAL 7012 4.73L</t>
        </is>
      </c>
      <c r="J2787" s="18" t="inlineStr">
        <is>
          <t>Lít</t>
        </is>
      </c>
      <c r="K2787" s="19" t="n">
        <v>155000</v>
      </c>
      <c r="L2787" s="20" t="n"/>
      <c r="M2787" s="20" t="n"/>
      <c r="N2787" s="22" t="n">
        <v>28.38</v>
      </c>
      <c r="O2787" s="22" t="n">
        <v>4398900</v>
      </c>
      <c r="P2787" s="22" t="n">
        <v>28.38</v>
      </c>
      <c r="Q2787" s="22" t="n">
        <v>4398900</v>
      </c>
      <c r="R2787" s="42">
        <f>+L2787+N2787-P2787</f>
        <v/>
      </c>
      <c r="S2787" s="42">
        <f>+M2787+O2787-Q2787</f>
        <v/>
      </c>
    </row>
    <row r="2788" ht="30" customHeight="1">
      <c r="A2788" s="16" t="n">
        <v>45898</v>
      </c>
      <c r="B2788" s="17" t="inlineStr">
        <is>
          <t>MH2508-76</t>
        </is>
      </c>
      <c r="C2788" s="16" t="n">
        <v>45898</v>
      </c>
      <c r="D2788" s="17" t="inlineStr">
        <is>
          <t>00001759</t>
        </is>
      </c>
      <c r="E2788" s="16" t="n">
        <v>45898</v>
      </c>
      <c r="F2788" s="16" t="inlineStr">
        <is>
          <t>XK2508-63</t>
        </is>
      </c>
      <c r="G2788" s="16" t="n">
        <v>45898</v>
      </c>
      <c r="H2788" s="18" t="inlineStr">
        <is>
          <t>CÔNG TY TNHH DỊCH VỤ - THƯƠNG MẠI THÉP THIÊN LONG</t>
        </is>
      </c>
      <c r="I2788" s="18" t="inlineStr">
        <is>
          <t>Thép hộp 150x150</t>
        </is>
      </c>
      <c r="J2788" s="18" t="inlineStr">
        <is>
          <t>kg</t>
        </is>
      </c>
      <c r="K2788" s="19" t="n">
        <v>16272.72</v>
      </c>
      <c r="L2788" s="20" t="n"/>
      <c r="M2788" s="20" t="n"/>
      <c r="N2788" s="22" t="n">
        <v>2084.03</v>
      </c>
      <c r="O2788" s="22" t="n">
        <v>33912837</v>
      </c>
      <c r="P2788" s="22" t="n">
        <v>2084.03</v>
      </c>
      <c r="Q2788" s="22" t="n">
        <v>33912837</v>
      </c>
      <c r="R2788" s="42">
        <f>+L2788+N2788-P2788</f>
        <v/>
      </c>
      <c r="S2788" s="42">
        <f>+M2788+O2788-Q2788</f>
        <v/>
      </c>
    </row>
    <row r="2789" ht="30" customHeight="1">
      <c r="A2789" s="16" t="n">
        <v>45898</v>
      </c>
      <c r="B2789" s="17" t="inlineStr">
        <is>
          <t>MH2508-76</t>
        </is>
      </c>
      <c r="C2789" s="16" t="n">
        <v>45898</v>
      </c>
      <c r="D2789" s="17" t="inlineStr">
        <is>
          <t>00001759</t>
        </is>
      </c>
      <c r="E2789" s="16" t="n">
        <v>45898</v>
      </c>
      <c r="F2789" s="16" t="inlineStr">
        <is>
          <t>XK2508-63</t>
        </is>
      </c>
      <c r="G2789" s="16" t="n">
        <v>45898</v>
      </c>
      <c r="H2789" s="18" t="inlineStr">
        <is>
          <t>CÔNG TY TNHH DỊCH VỤ - THƯƠNG MẠI THÉP THIÊN LONG</t>
        </is>
      </c>
      <c r="I2789" s="18" t="inlineStr">
        <is>
          <t>Thép hộp 200x200</t>
        </is>
      </c>
      <c r="J2789" s="18" t="inlineStr">
        <is>
          <t>kg</t>
        </is>
      </c>
      <c r="K2789" s="19" t="n">
        <v>16636.36</v>
      </c>
      <c r="L2789" s="20" t="n"/>
      <c r="M2789" s="20" t="n"/>
      <c r="N2789" s="22" t="n">
        <v>3247.2</v>
      </c>
      <c r="O2789" s="22" t="n">
        <v>54021588</v>
      </c>
      <c r="P2789" s="22" t="n">
        <v>3247.2</v>
      </c>
      <c r="Q2789" s="22" t="n">
        <v>54021588</v>
      </c>
      <c r="R2789" s="42">
        <f>+L2789+N2789-P2789</f>
        <v/>
      </c>
      <c r="S2789" s="42">
        <f>+M2789+O2789-Q2789</f>
        <v/>
      </c>
    </row>
    <row r="2790" ht="30" customHeight="1">
      <c r="A2790" s="16" t="n">
        <v>45898</v>
      </c>
      <c r="B2790" s="17" t="inlineStr">
        <is>
          <t>MH2508-77</t>
        </is>
      </c>
      <c r="C2790" s="16" t="n">
        <v>45898</v>
      </c>
      <c r="D2790" s="17" t="inlineStr">
        <is>
          <t>00001758</t>
        </is>
      </c>
      <c r="E2790" s="16" t="n">
        <v>45898</v>
      </c>
      <c r="F2790" s="16" t="inlineStr">
        <is>
          <t>XK2508-64</t>
        </is>
      </c>
      <c r="G2790" s="16" t="n">
        <v>45898</v>
      </c>
      <c r="H2790" s="18" t="inlineStr">
        <is>
          <t>CÔNG TY TNHH DỊCH VỤ - THƯƠNG MẠI THÉP THIÊN LONG</t>
        </is>
      </c>
      <c r="I2790" s="18" t="inlineStr">
        <is>
          <t>Thép ống đen 141.3</t>
        </is>
      </c>
      <c r="J2790" s="18" t="inlineStr">
        <is>
          <t>kg</t>
        </is>
      </c>
      <c r="K2790" s="19" t="n">
        <v>16636.36</v>
      </c>
      <c r="L2790" s="20" t="n"/>
      <c r="M2790" s="20" t="n"/>
      <c r="N2790" s="22" t="n">
        <v>804.6</v>
      </c>
      <c r="O2790" s="22" t="n">
        <v>13385615</v>
      </c>
      <c r="P2790" s="22" t="n">
        <v>804.6</v>
      </c>
      <c r="Q2790" s="22" t="n">
        <v>13385615</v>
      </c>
      <c r="R2790" s="42">
        <f>+L2790+N2790-P2790</f>
        <v/>
      </c>
      <c r="S2790" s="42">
        <f>+M2790+O2790-Q2790</f>
        <v/>
      </c>
    </row>
    <row r="2791" ht="30" customHeight="1">
      <c r="A2791" s="16" t="n">
        <v>45898</v>
      </c>
      <c r="B2791" s="17" t="inlineStr">
        <is>
          <t>MH2508-77</t>
        </is>
      </c>
      <c r="C2791" s="16" t="n">
        <v>45898</v>
      </c>
      <c r="D2791" s="17" t="inlineStr">
        <is>
          <t>00001758</t>
        </is>
      </c>
      <c r="E2791" s="16" t="n">
        <v>45898</v>
      </c>
      <c r="F2791" s="16" t="inlineStr">
        <is>
          <t>XK2508-64</t>
        </is>
      </c>
      <c r="G2791" s="16" t="n">
        <v>45898</v>
      </c>
      <c r="H2791" s="18" t="inlineStr">
        <is>
          <t>CÔNG TY TNHH DỊCH VỤ - THƯƠNG MẠI THÉP THIÊN LONG</t>
        </is>
      </c>
      <c r="I2791" s="18" t="inlineStr">
        <is>
          <t>Thép ống đen 168.3</t>
        </is>
      </c>
      <c r="J2791" s="18" t="inlineStr">
        <is>
          <t>kg</t>
        </is>
      </c>
      <c r="K2791" s="19" t="n">
        <v>16818.18</v>
      </c>
      <c r="L2791" s="20" t="n"/>
      <c r="M2791" s="20" t="n"/>
      <c r="N2791" s="22" t="n">
        <v>1606.32</v>
      </c>
      <c r="O2791" s="22" t="n">
        <v>27015379</v>
      </c>
      <c r="P2791" s="22" t="n">
        <v>1606.32</v>
      </c>
      <c r="Q2791" s="22" t="n">
        <v>27015379</v>
      </c>
      <c r="R2791" s="42">
        <f>+L2791+N2791-P2791</f>
        <v/>
      </c>
      <c r="S2791" s="42">
        <f>+M2791+O2791-Q2791</f>
        <v/>
      </c>
    </row>
    <row r="2792" ht="30" customHeight="1">
      <c r="A2792" s="16" t="n">
        <v>45898</v>
      </c>
      <c r="B2792" s="17" t="inlineStr">
        <is>
          <t>MH2508-77</t>
        </is>
      </c>
      <c r="C2792" s="16" t="n">
        <v>45898</v>
      </c>
      <c r="D2792" s="17" t="inlineStr">
        <is>
          <t>00001758</t>
        </is>
      </c>
      <c r="E2792" s="16" t="n">
        <v>45898</v>
      </c>
      <c r="F2792" s="16" t="inlineStr">
        <is>
          <t>XK2508-64</t>
        </is>
      </c>
      <c r="G2792" s="16" t="n">
        <v>45898</v>
      </c>
      <c r="H2792" s="18" t="inlineStr">
        <is>
          <t>CÔNG TY TNHH DỊCH VỤ - THƯƠNG MẠI THÉP THIÊN LONG</t>
        </is>
      </c>
      <c r="I2792" s="18" t="inlineStr">
        <is>
          <t>Thép ống đen 114.3</t>
        </is>
      </c>
      <c r="J2792" s="18" t="inlineStr">
        <is>
          <t>kg</t>
        </is>
      </c>
      <c r="K2792" s="19" t="n">
        <v>16636.36</v>
      </c>
      <c r="L2792" s="20" t="n"/>
      <c r="M2792" s="20" t="n"/>
      <c r="N2792" s="22" t="n">
        <v>2462.78</v>
      </c>
      <c r="O2792" s="22" t="n">
        <v>40971695</v>
      </c>
      <c r="P2792" s="22" t="n">
        <v>2462.78</v>
      </c>
      <c r="Q2792" s="22" t="n">
        <v>40971695</v>
      </c>
      <c r="R2792" s="42">
        <f>+L2792+N2792-P2792</f>
        <v/>
      </c>
      <c r="S2792" s="42">
        <f>+M2792+O2792-Q2792</f>
        <v/>
      </c>
    </row>
    <row r="2793" ht="30" customHeight="1">
      <c r="A2793" s="16" t="n">
        <v>45898</v>
      </c>
      <c r="B2793" s="17" t="inlineStr">
        <is>
          <t>MH2508-77</t>
        </is>
      </c>
      <c r="C2793" s="16" t="n">
        <v>45898</v>
      </c>
      <c r="D2793" s="17" t="inlineStr">
        <is>
          <t>00001758</t>
        </is>
      </c>
      <c r="E2793" s="16" t="n">
        <v>45898</v>
      </c>
      <c r="F2793" s="16" t="inlineStr">
        <is>
          <t>XK2508-64</t>
        </is>
      </c>
      <c r="G2793" s="16" t="n">
        <v>45898</v>
      </c>
      <c r="H2793" s="18" t="inlineStr">
        <is>
          <t>CÔNG TY TNHH DỊCH VỤ - THƯƠNG MẠI THÉP THIÊN LONG</t>
        </is>
      </c>
      <c r="I2793" s="18" t="inlineStr">
        <is>
          <t>Thép tấm 25ly</t>
        </is>
      </c>
      <c r="J2793" s="18" t="inlineStr">
        <is>
          <t>kg</t>
        </is>
      </c>
      <c r="K2793" s="19" t="n">
        <v>15181.81</v>
      </c>
      <c r="L2793" s="20" t="n"/>
      <c r="M2793" s="20" t="n"/>
      <c r="N2793" s="22" t="n">
        <v>4710</v>
      </c>
      <c r="O2793" s="22" t="n">
        <v>71506325</v>
      </c>
      <c r="P2793" s="22" t="n">
        <v>4710</v>
      </c>
      <c r="Q2793" s="22" t="n">
        <v>71506325</v>
      </c>
      <c r="R2793" s="42">
        <f>+L2793+N2793-P2793</f>
        <v/>
      </c>
      <c r="S2793" s="42">
        <f>+M2793+O2793-Q2793</f>
        <v/>
      </c>
    </row>
    <row r="2794" ht="30" customHeight="1">
      <c r="A2794" s="16" t="n">
        <v>45898</v>
      </c>
      <c r="B2794" s="17" t="inlineStr">
        <is>
          <t>MH2508-77</t>
        </is>
      </c>
      <c r="C2794" s="16" t="n">
        <v>45898</v>
      </c>
      <c r="D2794" s="17" t="inlineStr">
        <is>
          <t>00001758</t>
        </is>
      </c>
      <c r="E2794" s="16" t="n">
        <v>45898</v>
      </c>
      <c r="F2794" s="16" t="inlineStr">
        <is>
          <t>XK2508-64</t>
        </is>
      </c>
      <c r="G2794" s="16" t="n">
        <v>45898</v>
      </c>
      <c r="H2794" s="18" t="inlineStr">
        <is>
          <t>CÔNG TY TNHH DỊCH VỤ - THƯƠNG MẠI THÉP THIÊN LONG</t>
        </is>
      </c>
      <c r="I2794" s="18" t="inlineStr">
        <is>
          <t>Thép tấm 30ly</t>
        </is>
      </c>
      <c r="J2794" s="18" t="inlineStr">
        <is>
          <t>kg</t>
        </is>
      </c>
      <c r="K2794" s="19" t="n">
        <v>15090.9</v>
      </c>
      <c r="L2794" s="20" t="n"/>
      <c r="M2794" s="20" t="n"/>
      <c r="N2794" s="22" t="n">
        <v>5652</v>
      </c>
      <c r="O2794" s="22" t="n">
        <v>85293767</v>
      </c>
      <c r="P2794" s="22" t="n">
        <v>5652</v>
      </c>
      <c r="Q2794" s="22" t="n">
        <v>85293767</v>
      </c>
      <c r="R2794" s="42">
        <f>+L2794+N2794-P2794</f>
        <v/>
      </c>
      <c r="S2794" s="42">
        <f>+M2794+O2794-Q2794</f>
        <v/>
      </c>
    </row>
    <row r="2795" ht="30" customHeight="1">
      <c r="A2795" s="16" t="n">
        <v>45898</v>
      </c>
      <c r="B2795" s="17" t="inlineStr">
        <is>
          <t>MH2508-79</t>
        </is>
      </c>
      <c r="C2795" s="16" t="n">
        <v>45898</v>
      </c>
      <c r="D2795" s="17" t="inlineStr">
        <is>
          <t>00001760</t>
        </is>
      </c>
      <c r="E2795" s="16" t="n">
        <v>45898</v>
      </c>
      <c r="F2795" s="16" t="inlineStr">
        <is>
          <t>XK2508-65</t>
        </is>
      </c>
      <c r="G2795" s="16" t="n">
        <v>45898</v>
      </c>
      <c r="H2795" s="18" t="inlineStr">
        <is>
          <t>CÔNG TY TNHH DỊCH VỤ - THƯƠNG MẠI THÉP THIÊN LONG</t>
        </is>
      </c>
      <c r="I2795" s="18" t="inlineStr">
        <is>
          <t>Thép hình U250</t>
        </is>
      </c>
      <c r="J2795" s="18" t="inlineStr">
        <is>
          <t>kg</t>
        </is>
      </c>
      <c r="K2795" s="19" t="n">
        <v>14681.81</v>
      </c>
      <c r="L2795" s="20" t="n"/>
      <c r="M2795" s="20" t="n"/>
      <c r="N2795" s="22" t="n">
        <v>1644.6</v>
      </c>
      <c r="O2795" s="22" t="n">
        <v>24145705</v>
      </c>
      <c r="P2795" s="22" t="n">
        <v>1644.6</v>
      </c>
      <c r="Q2795" s="22" t="n">
        <v>24145705</v>
      </c>
      <c r="R2795" s="42">
        <f>+L2795+N2795-P2795</f>
        <v/>
      </c>
      <c r="S2795" s="42">
        <f>+M2795+O2795-Q2795</f>
        <v/>
      </c>
    </row>
    <row r="2796" ht="30" customHeight="1">
      <c r="A2796" s="16" t="n">
        <v>45898</v>
      </c>
      <c r="B2796" s="17" t="inlineStr">
        <is>
          <t>MH2508-79</t>
        </is>
      </c>
      <c r="C2796" s="16" t="n">
        <v>45898</v>
      </c>
      <c r="D2796" s="17" t="inlineStr">
        <is>
          <t>00001760</t>
        </is>
      </c>
      <c r="E2796" s="16" t="n">
        <v>45898</v>
      </c>
      <c r="F2796" s="16" t="inlineStr">
        <is>
          <t>XK2508-65</t>
        </is>
      </c>
      <c r="G2796" s="16" t="n">
        <v>45898</v>
      </c>
      <c r="H2796" s="18" t="inlineStr">
        <is>
          <t>CÔNG TY TNHH DỊCH VỤ - THƯƠNG MẠI THÉP THIÊN LONG</t>
        </is>
      </c>
      <c r="I2796" s="18" t="inlineStr">
        <is>
          <t>Thép hình U120</t>
        </is>
      </c>
      <c r="J2796" s="18" t="inlineStr">
        <is>
          <t>kg</t>
        </is>
      </c>
      <c r="K2796" s="19" t="n">
        <v>14181.81</v>
      </c>
      <c r="L2796" s="20" t="n"/>
      <c r="M2796" s="20" t="n"/>
      <c r="N2796" s="22" t="n">
        <v>167.4</v>
      </c>
      <c r="O2796" s="22" t="n">
        <v>2374035</v>
      </c>
      <c r="P2796" s="22" t="n">
        <v>167.4</v>
      </c>
      <c r="Q2796" s="22" t="n">
        <v>2374035</v>
      </c>
      <c r="R2796" s="42">
        <f>+L2796+N2796-P2796</f>
        <v/>
      </c>
      <c r="S2796" s="42">
        <f>+M2796+O2796-Q2796</f>
        <v/>
      </c>
    </row>
    <row r="2797" ht="15" customHeight="1">
      <c r="A2797" s="16" t="n">
        <v>45899</v>
      </c>
      <c r="B2797" s="17" t="inlineStr">
        <is>
          <t>MH2508-80</t>
        </is>
      </c>
      <c r="C2797" s="16" t="n">
        <v>45899</v>
      </c>
      <c r="D2797" s="17" t="inlineStr">
        <is>
          <t>72</t>
        </is>
      </c>
      <c r="E2797" s="16" t="n">
        <v>45899</v>
      </c>
      <c r="F2797" s="16" t="inlineStr">
        <is>
          <t>XK2509-01</t>
        </is>
      </c>
      <c r="G2797" s="16" t="n">
        <v>45901</v>
      </c>
      <c r="H2797" s="18" t="inlineStr">
        <is>
          <t>CÔNG TY TNHH KỆ SẮT DUY TÂM</t>
        </is>
      </c>
      <c r="I2797" s="18" t="inlineStr">
        <is>
          <t>Kệ thép Cao 4m5 rộng 1m dài 2m7 lọt lòng ( 2 tầng )bộ độc lập</t>
        </is>
      </c>
      <c r="J2797" s="18" t="inlineStr">
        <is>
          <t>Cái</t>
        </is>
      </c>
      <c r="K2797" s="19" t="n">
        <v>6900000</v>
      </c>
      <c r="L2797" s="20" t="n"/>
      <c r="M2797" s="20" t="n"/>
      <c r="N2797" s="22" t="n">
        <v>2</v>
      </c>
      <c r="O2797" s="22" t="n">
        <v>13800000</v>
      </c>
      <c r="P2797" s="22" t="n">
        <v>2</v>
      </c>
      <c r="Q2797" s="22" t="n">
        <v>13800000</v>
      </c>
      <c r="R2797" s="42">
        <f>+L2797+N2797-P2797</f>
        <v/>
      </c>
      <c r="S2797" s="42">
        <f>+M2797+O2797-Q2797</f>
        <v/>
      </c>
    </row>
    <row r="2798" ht="15" customHeight="1">
      <c r="A2798" s="16" t="n">
        <v>45899</v>
      </c>
      <c r="B2798" s="17" t="inlineStr">
        <is>
          <t>MH2508-80</t>
        </is>
      </c>
      <c r="C2798" s="16" t="n">
        <v>45899</v>
      </c>
      <c r="D2798" s="17" t="inlineStr">
        <is>
          <t>72</t>
        </is>
      </c>
      <c r="E2798" s="16" t="n">
        <v>45899</v>
      </c>
      <c r="F2798" s="16" t="inlineStr">
        <is>
          <t>XK2509-01</t>
        </is>
      </c>
      <c r="G2798" s="16" t="n">
        <v>45901</v>
      </c>
      <c r="H2798" s="18" t="inlineStr">
        <is>
          <t>CÔNG TY TNHH KỆ SẮT DUY TÂM</t>
        </is>
      </c>
      <c r="I2798" s="18" t="inlineStr">
        <is>
          <t>Kệ thép Cao 4m5 rộng 1m dài 2m7 lọt lòng ( 2 tầng )bộ nối tiếp</t>
        </is>
      </c>
      <c r="J2798" s="18" t="inlineStr">
        <is>
          <t>Cái</t>
        </is>
      </c>
      <c r="K2798" s="19" t="n">
        <v>6000000</v>
      </c>
      <c r="L2798" s="20" t="n"/>
      <c r="M2798" s="20" t="n"/>
      <c r="N2798" s="22" t="n">
        <v>7</v>
      </c>
      <c r="O2798" s="22" t="n">
        <v>42000000</v>
      </c>
      <c r="P2798" s="22" t="n">
        <v>7</v>
      </c>
      <c r="Q2798" s="22" t="n">
        <v>42000000</v>
      </c>
      <c r="R2798" s="42">
        <f>+L2798+N2798-P2798</f>
        <v/>
      </c>
      <c r="S2798" s="42">
        <f>+M2798+O2798-Q2798</f>
        <v/>
      </c>
    </row>
    <row r="2799" ht="15" customHeight="1">
      <c r="A2799" s="16" t="n">
        <v>45899</v>
      </c>
      <c r="B2799" s="17" t="inlineStr">
        <is>
          <t>MH2508-80</t>
        </is>
      </c>
      <c r="C2799" s="16" t="n">
        <v>45899</v>
      </c>
      <c r="D2799" s="17" t="inlineStr">
        <is>
          <t>72</t>
        </is>
      </c>
      <c r="E2799" s="16" t="n">
        <v>45899</v>
      </c>
      <c r="F2799" s="16" t="inlineStr">
        <is>
          <t>XK2509-01</t>
        </is>
      </c>
      <c r="G2799" s="16" t="n">
        <v>45901</v>
      </c>
      <c r="H2799" s="18" t="inlineStr">
        <is>
          <t>CÔNG TY TNHH KỆ SẮT DUY TÂM</t>
        </is>
      </c>
      <c r="I2799" s="18" t="inlineStr">
        <is>
          <t>Kệ thép Cao 4m5 rộng 1m dài 1m4 lọt lòng ( 2 tầng )bộ nối tiếp</t>
        </is>
      </c>
      <c r="J2799" s="18" t="inlineStr">
        <is>
          <t>Cái</t>
        </is>
      </c>
      <c r="K2799" s="19" t="n">
        <v>5260000</v>
      </c>
      <c r="L2799" s="20" t="n"/>
      <c r="M2799" s="20" t="n"/>
      <c r="N2799" s="22" t="n">
        <v>2</v>
      </c>
      <c r="O2799" s="22" t="n">
        <v>10520000</v>
      </c>
      <c r="P2799" s="22" t="n">
        <v>2</v>
      </c>
      <c r="Q2799" s="22" t="n">
        <v>10520000</v>
      </c>
      <c r="R2799" s="42">
        <f>+L2799+N2799-P2799</f>
        <v/>
      </c>
      <c r="S2799" s="42">
        <f>+M2799+O2799-Q2799</f>
        <v/>
      </c>
    </row>
    <row r="2800" ht="15" customHeight="1">
      <c r="A2800" s="16" t="n">
        <v>45899</v>
      </c>
      <c r="B2800" s="17" t="inlineStr">
        <is>
          <t>MH2508-80</t>
        </is>
      </c>
      <c r="C2800" s="16" t="n">
        <v>45899</v>
      </c>
      <c r="D2800" s="17" t="inlineStr">
        <is>
          <t>72</t>
        </is>
      </c>
      <c r="E2800" s="16" t="n">
        <v>45899</v>
      </c>
      <c r="F2800" s="16" t="inlineStr">
        <is>
          <t>XK2509-01</t>
        </is>
      </c>
      <c r="G2800" s="16" t="n">
        <v>45901</v>
      </c>
      <c r="H2800" s="18" t="inlineStr">
        <is>
          <t>CÔNG TY TNHH KỆ SẮT DUY TÂM</t>
        </is>
      </c>
      <c r="I2800" s="18" t="inlineStr">
        <is>
          <t>Ốp bảo vệ</t>
        </is>
      </c>
      <c r="J2800" s="18" t="inlineStr">
        <is>
          <t>Cái</t>
        </is>
      </c>
      <c r="K2800" s="19" t="n">
        <v>180000</v>
      </c>
      <c r="L2800" s="20" t="n"/>
      <c r="M2800" s="20" t="n"/>
      <c r="N2800" s="22" t="n">
        <v>13</v>
      </c>
      <c r="O2800" s="22" t="n">
        <v>2340000</v>
      </c>
      <c r="P2800" s="22" t="n">
        <v>13</v>
      </c>
      <c r="Q2800" s="22" t="n">
        <v>2340000</v>
      </c>
      <c r="R2800" s="42">
        <f>+L2800+N2800-P2800</f>
        <v/>
      </c>
      <c r="S2800" s="42">
        <f>+M2800+O2800-Q2800</f>
        <v/>
      </c>
    </row>
    <row r="2801" ht="30" customHeight="1">
      <c r="A2801" s="16" t="n">
        <v>45903</v>
      </c>
      <c r="B2801" s="17" t="inlineStr">
        <is>
          <t>MH2509-04</t>
        </is>
      </c>
      <c r="C2801" s="16" t="n">
        <v>45903</v>
      </c>
      <c r="D2801" s="17" t="inlineStr">
        <is>
          <t>00004982</t>
        </is>
      </c>
      <c r="E2801" s="16" t="n">
        <v>45903</v>
      </c>
      <c r="F2801" s="16" t="inlineStr">
        <is>
          <t>XK2509-02</t>
        </is>
      </c>
      <c r="G2801" s="16" t="n">
        <v>45903</v>
      </c>
      <c r="H2801" s="18" t="inlineStr">
        <is>
          <t>CÔNG TY TNHH MTV SẢN XUẤT THƯƠNG MẠI DỊCH VỤ THANH HUYỀN</t>
        </is>
      </c>
      <c r="I2801" s="18" t="inlineStr">
        <is>
          <t>Tôn nhựa</t>
        </is>
      </c>
      <c r="J2801" s="18" t="inlineStr">
        <is>
          <t>Mét</t>
        </is>
      </c>
      <c r="K2801" s="19" t="n">
        <v>121296.3</v>
      </c>
      <c r="L2801" s="20" t="n"/>
      <c r="M2801" s="20" t="n"/>
      <c r="N2801" s="22" t="n">
        <v>72</v>
      </c>
      <c r="O2801" s="22" t="n">
        <v>8733333</v>
      </c>
      <c r="P2801" s="22" t="n">
        <v>72</v>
      </c>
      <c r="Q2801" s="22" t="n">
        <v>8733333</v>
      </c>
      <c r="R2801" s="42">
        <f>+L2801+N2801-P2801</f>
        <v/>
      </c>
      <c r="S2801" s="42">
        <f>+M2801+O2801-Q2801</f>
        <v/>
      </c>
    </row>
    <row r="2802" ht="30" customHeight="1">
      <c r="A2802" s="16" t="n">
        <v>45903</v>
      </c>
      <c r="B2802" s="17" t="inlineStr">
        <is>
          <t>MH2509-06</t>
        </is>
      </c>
      <c r="C2802" s="16" t="n">
        <v>45903</v>
      </c>
      <c r="D2802" s="17" t="inlineStr">
        <is>
          <t>00004981</t>
        </is>
      </c>
      <c r="E2802" s="16" t="n">
        <v>45903</v>
      </c>
      <c r="F2802" s="16" t="inlineStr">
        <is>
          <t>XK2509-03</t>
        </is>
      </c>
      <c r="G2802" s="16" t="n">
        <v>45903</v>
      </c>
      <c r="H2802" s="18" t="inlineStr">
        <is>
          <t>CÔNG TY TNHH MTV SẢN XUẤT THƯƠNG MẠI DỊCH VỤ THANH HUYỀN</t>
        </is>
      </c>
      <c r="I2802" s="18" t="inlineStr">
        <is>
          <t>Thép lá mạ</t>
        </is>
      </c>
      <c r="J2802" s="18" t="inlineStr">
        <is>
          <t>kg</t>
        </is>
      </c>
      <c r="K2802" s="19" t="n">
        <v>18382.17</v>
      </c>
      <c r="L2802" s="20" t="n"/>
      <c r="M2802" s="20" t="n"/>
      <c r="N2802" s="22" t="n">
        <v>1265</v>
      </c>
      <c r="O2802" s="22" t="n">
        <v>23253445</v>
      </c>
      <c r="P2802" s="22" t="n">
        <v>1265</v>
      </c>
      <c r="Q2802" s="22" t="n">
        <v>23253445</v>
      </c>
      <c r="R2802" s="42">
        <f>+L2802+N2802-P2802</f>
        <v/>
      </c>
      <c r="S2802" s="42">
        <f>+M2802+O2802-Q2802</f>
        <v/>
      </c>
    </row>
    <row r="2803" ht="30" customHeight="1">
      <c r="A2803" s="16" t="n">
        <v>45904</v>
      </c>
      <c r="B2803" s="17" t="inlineStr">
        <is>
          <t>MH2509-08</t>
        </is>
      </c>
      <c r="C2803" s="16" t="n">
        <v>45904</v>
      </c>
      <c r="D2803" s="17" t="inlineStr">
        <is>
          <t>00005010</t>
        </is>
      </c>
      <c r="E2803" s="16" t="n">
        <v>45904</v>
      </c>
      <c r="F2803" s="16" t="inlineStr">
        <is>
          <t>XK2509-04</t>
        </is>
      </c>
      <c r="G2803" s="16" t="n">
        <v>45904</v>
      </c>
      <c r="H2803" s="18" t="inlineStr">
        <is>
          <t>CÔNG TY TNHH MTV SẢN XUẤT THƯƠNG MẠI DỊCH VỤ THANH HUYỀN</t>
        </is>
      </c>
      <c r="I2803" s="18" t="inlineStr">
        <is>
          <t>Thép mạ kẽm chấn</t>
        </is>
      </c>
      <c r="J2803" s="18" t="inlineStr">
        <is>
          <t>kg</t>
        </is>
      </c>
      <c r="K2803" s="19" t="n">
        <v>21744.3</v>
      </c>
      <c r="L2803" s="20" t="n"/>
      <c r="M2803" s="20" t="n"/>
      <c r="N2803" s="22" t="n">
        <v>4163</v>
      </c>
      <c r="O2803" s="22" t="n">
        <v>90521511</v>
      </c>
      <c r="P2803" s="22" t="n">
        <v>4163</v>
      </c>
      <c r="Q2803" s="22" t="n">
        <v>90521511</v>
      </c>
      <c r="R2803" s="42">
        <f>+L2803+N2803-P2803</f>
        <v/>
      </c>
      <c r="S2803" s="42">
        <f>+M2803+O2803-Q2803</f>
        <v/>
      </c>
    </row>
    <row r="2804" ht="30" customHeight="1">
      <c r="A2804" s="16" t="n">
        <v>45904</v>
      </c>
      <c r="B2804" s="17" t="inlineStr">
        <is>
          <t>MH2509-08</t>
        </is>
      </c>
      <c r="C2804" s="16" t="n">
        <v>45904</v>
      </c>
      <c r="D2804" s="17" t="inlineStr">
        <is>
          <t>00005010</t>
        </is>
      </c>
      <c r="E2804" s="16" t="n">
        <v>45904</v>
      </c>
      <c r="F2804" s="16" t="inlineStr">
        <is>
          <t>XK2509-04</t>
        </is>
      </c>
      <c r="G2804" s="16" t="n">
        <v>45904</v>
      </c>
      <c r="H2804" s="18" t="inlineStr">
        <is>
          <t>CÔNG TY TNHH MTV SẢN XUẤT THƯƠNG MẠI DỊCH VỤ THANH HUYỀN</t>
        </is>
      </c>
      <c r="I2804" s="18" t="inlineStr">
        <is>
          <t>Xà gồ mạ kẽm</t>
        </is>
      </c>
      <c r="J2804" s="18" t="inlineStr">
        <is>
          <t>kg</t>
        </is>
      </c>
      <c r="K2804" s="19" t="n">
        <v>17738.92</v>
      </c>
      <c r="L2804" s="20" t="n"/>
      <c r="M2804" s="20" t="n"/>
      <c r="N2804" s="22" t="n">
        <v>33371</v>
      </c>
      <c r="O2804" s="22" t="n">
        <v>591965466</v>
      </c>
      <c r="P2804" s="22" t="n">
        <v>33371</v>
      </c>
      <c r="Q2804" s="22" t="n">
        <v>591965466</v>
      </c>
      <c r="R2804" s="42">
        <f>+L2804+N2804-P2804</f>
        <v/>
      </c>
      <c r="S2804" s="42">
        <f>+M2804+O2804-Q2804</f>
        <v/>
      </c>
    </row>
    <row r="2805" ht="30" customHeight="1">
      <c r="A2805" s="16" t="n">
        <v>45904</v>
      </c>
      <c r="B2805" s="17" t="inlineStr">
        <is>
          <t>MH2509-09</t>
        </is>
      </c>
      <c r="C2805" s="16" t="n">
        <v>45904</v>
      </c>
      <c r="D2805" s="17" t="inlineStr">
        <is>
          <t>00005023</t>
        </is>
      </c>
      <c r="E2805" s="16" t="n">
        <v>45904</v>
      </c>
      <c r="F2805" s="16" t="inlineStr">
        <is>
          <t>XK2509-05</t>
        </is>
      </c>
      <c r="G2805" s="16" t="n">
        <v>45904</v>
      </c>
      <c r="H2805" s="18" t="inlineStr">
        <is>
          <t>CÔNG TY TNHH MTV SẢN XUẤT THƯƠNG MẠI DỊCH VỤ THANH HUYỀN</t>
        </is>
      </c>
      <c r="I2805" s="18" t="inlineStr">
        <is>
          <t>Thép mạ kẽm chấn</t>
        </is>
      </c>
      <c r="J2805" s="18" t="inlineStr">
        <is>
          <t>kg</t>
        </is>
      </c>
      <c r="K2805" s="19" t="n">
        <v>21716.14</v>
      </c>
      <c r="L2805" s="20" t="n"/>
      <c r="M2805" s="20" t="n"/>
      <c r="N2805" s="22" t="n">
        <v>98</v>
      </c>
      <c r="O2805" s="22" t="n">
        <v>2128182</v>
      </c>
      <c r="P2805" s="22" t="n">
        <v>98</v>
      </c>
      <c r="Q2805" s="22" t="n">
        <v>2128182</v>
      </c>
      <c r="R2805" s="42">
        <f>+L2805+N2805-P2805</f>
        <v/>
      </c>
      <c r="S2805" s="42">
        <f>+M2805+O2805-Q2805</f>
        <v/>
      </c>
    </row>
    <row r="2806" ht="30" customHeight="1">
      <c r="A2806" s="16" t="n">
        <v>45904</v>
      </c>
      <c r="B2806" s="17" t="inlineStr">
        <is>
          <t>MH2509-09</t>
        </is>
      </c>
      <c r="C2806" s="16" t="n">
        <v>45904</v>
      </c>
      <c r="D2806" s="17" t="inlineStr">
        <is>
          <t>00005023</t>
        </is>
      </c>
      <c r="E2806" s="16" t="n">
        <v>45904</v>
      </c>
      <c r="F2806" s="16" t="inlineStr">
        <is>
          <t>XK2509-05</t>
        </is>
      </c>
      <c r="G2806" s="16" t="n">
        <v>45904</v>
      </c>
      <c r="H2806" s="18" t="inlineStr">
        <is>
          <t>CÔNG TY TNHH MTV SẢN XUẤT THƯƠNG MẠI DỊCH VỤ THANH HUYỀN</t>
        </is>
      </c>
      <c r="I2806" s="18" t="inlineStr">
        <is>
          <t>Xà gồ mạ kẽm</t>
        </is>
      </c>
      <c r="J2806" s="18" t="inlineStr">
        <is>
          <t>kg</t>
        </is>
      </c>
      <c r="K2806" s="19" t="n">
        <v>17810.22</v>
      </c>
      <c r="L2806" s="20" t="n"/>
      <c r="M2806" s="20" t="n"/>
      <c r="N2806" s="22" t="n">
        <v>1427</v>
      </c>
      <c r="O2806" s="22" t="n">
        <v>25415190</v>
      </c>
      <c r="P2806" s="22" t="n">
        <v>1427</v>
      </c>
      <c r="Q2806" s="22" t="n">
        <v>25415190</v>
      </c>
      <c r="R2806" s="42">
        <f>+L2806+N2806-P2806</f>
        <v/>
      </c>
      <c r="S2806" s="42">
        <f>+M2806+O2806-Q2806</f>
        <v/>
      </c>
    </row>
    <row r="2807" ht="30" customHeight="1">
      <c r="A2807" s="16" t="n">
        <v>45904</v>
      </c>
      <c r="B2807" s="17" t="inlineStr">
        <is>
          <t>MH2509-10</t>
        </is>
      </c>
      <c r="C2807" s="16" t="n">
        <v>45904</v>
      </c>
      <c r="D2807" s="17" t="inlineStr">
        <is>
          <t>34</t>
        </is>
      </c>
      <c r="E2807" s="16" t="n">
        <v>45904</v>
      </c>
      <c r="F2807" s="16" t="inlineStr">
        <is>
          <t>XK2509-06</t>
        </is>
      </c>
      <c r="G2807" s="16" t="n">
        <v>45904</v>
      </c>
      <c r="H2807" s="18" t="inlineStr">
        <is>
          <t>CÔNG TY TNHH XÂY DỰNG CƠ KHÍ VÀ CHẾ TẠO MÁY DŨNG SƠN</t>
        </is>
      </c>
      <c r="I2807" s="18" t="inlineStr">
        <is>
          <t>Thép lan can</t>
        </is>
      </c>
      <c r="J2807" s="18" t="inlineStr">
        <is>
          <t>Bộ</t>
        </is>
      </c>
      <c r="K2807" s="19" t="n">
        <v>165377500</v>
      </c>
      <c r="L2807" s="20" t="n"/>
      <c r="M2807" s="20" t="n"/>
      <c r="N2807" s="22" t="n">
        <v>1</v>
      </c>
      <c r="O2807" s="22" t="n">
        <v>165377500</v>
      </c>
      <c r="P2807" s="22" t="n">
        <v>1</v>
      </c>
      <c r="Q2807" s="22" t="n">
        <v>165377500</v>
      </c>
      <c r="R2807" s="42">
        <f>+L2807+N2807-P2807</f>
        <v/>
      </c>
      <c r="S2807" s="42">
        <f>+M2807+O2807-Q2807</f>
        <v/>
      </c>
    </row>
    <row r="2808" ht="15" customHeight="1">
      <c r="A2808" s="16" t="n">
        <v>45905</v>
      </c>
      <c r="B2808" s="17" t="inlineStr">
        <is>
          <t>MH2509-12</t>
        </is>
      </c>
      <c r="C2808" s="16" t="n">
        <v>45905</v>
      </c>
      <c r="D2808" s="17" t="inlineStr">
        <is>
          <t>00008239</t>
        </is>
      </c>
      <c r="E2808" s="16" t="n">
        <v>45905</v>
      </c>
      <c r="F2808" s="16" t="inlineStr">
        <is>
          <t>XK2509-07</t>
        </is>
      </c>
      <c r="G2808" s="16" t="n">
        <v>45905</v>
      </c>
      <c r="H2808" s="18" t="inlineStr">
        <is>
          <t>CÔNG TY TNHH SƠN JOTUN VIỆT NAM</t>
        </is>
      </c>
      <c r="I2808" s="18" t="inlineStr">
        <is>
          <t>SƠN FUTURA CLASSIC RAL 9016 18.21L</t>
        </is>
      </c>
      <c r="J2808" s="18" t="inlineStr">
        <is>
          <t>Lít</t>
        </is>
      </c>
      <c r="K2808" s="19" t="n">
        <v>155000</v>
      </c>
      <c r="L2808" s="20" t="n"/>
      <c r="M2808" s="20" t="n"/>
      <c r="N2808" s="22" t="n">
        <v>345.99</v>
      </c>
      <c r="O2808" s="22" t="n">
        <v>53628450</v>
      </c>
      <c r="P2808" s="22" t="n">
        <v>345.99</v>
      </c>
      <c r="Q2808" s="22" t="n">
        <v>53628450</v>
      </c>
      <c r="R2808" s="42">
        <f>+L2808+N2808-P2808</f>
        <v/>
      </c>
      <c r="S2808" s="42">
        <f>+M2808+O2808-Q2808</f>
        <v/>
      </c>
    </row>
    <row r="2809" ht="15" customHeight="1">
      <c r="A2809" s="16" t="n">
        <v>45905</v>
      </c>
      <c r="B2809" s="17" t="inlineStr">
        <is>
          <t>MH2509-12</t>
        </is>
      </c>
      <c r="C2809" s="16" t="n">
        <v>45905</v>
      </c>
      <c r="D2809" s="17" t="inlineStr">
        <is>
          <t>00008239</t>
        </is>
      </c>
      <c r="E2809" s="16" t="n">
        <v>45905</v>
      </c>
      <c r="F2809" s="16" t="inlineStr">
        <is>
          <t>XK2509-07</t>
        </is>
      </c>
      <c r="G2809" s="16" t="n">
        <v>45905</v>
      </c>
      <c r="H2809" s="18" t="inlineStr">
        <is>
          <t>CÔNG TY TNHH SƠN JOTUN VIỆT NAM</t>
        </is>
      </c>
      <c r="I2809" s="18" t="inlineStr">
        <is>
          <t>DUNG MÔI JOTUN THINNER NO. 17 20L</t>
        </is>
      </c>
      <c r="J2809" s="18" t="inlineStr">
        <is>
          <t>Lít</t>
        </is>
      </c>
      <c r="K2809" s="19" t="n">
        <v>60000</v>
      </c>
      <c r="L2809" s="20" t="n"/>
      <c r="M2809" s="20" t="n"/>
      <c r="N2809" s="22" t="n">
        <v>60</v>
      </c>
      <c r="O2809" s="22" t="n">
        <v>3600000</v>
      </c>
      <c r="P2809" s="22" t="n">
        <v>60</v>
      </c>
      <c r="Q2809" s="22" t="n">
        <v>3600000</v>
      </c>
      <c r="R2809" s="42">
        <f>+L2809+N2809-P2809</f>
        <v/>
      </c>
      <c r="S2809" s="42">
        <f>+M2809+O2809-Q2809</f>
        <v/>
      </c>
    </row>
    <row r="2810" ht="15" customHeight="1">
      <c r="A2810" s="16" t="n">
        <v>45905</v>
      </c>
      <c r="B2810" s="17" t="inlineStr">
        <is>
          <t>MH2509-12</t>
        </is>
      </c>
      <c r="C2810" s="16" t="n">
        <v>45905</v>
      </c>
      <c r="D2810" s="17" t="inlineStr">
        <is>
          <t>00008239</t>
        </is>
      </c>
      <c r="E2810" s="16" t="n">
        <v>45905</v>
      </c>
      <c r="F2810" s="16" t="inlineStr">
        <is>
          <t>XK2509-07</t>
        </is>
      </c>
      <c r="G2810" s="16" t="n">
        <v>45905</v>
      </c>
      <c r="H2810" s="18" t="inlineStr">
        <is>
          <t>CÔNG TY TNHH SƠN JOTUN VIỆT NAM</t>
        </is>
      </c>
      <c r="I2810" s="18" t="inlineStr">
        <is>
          <t>DUNG MÔI JOTUN THINNER NO. 10 20L</t>
        </is>
      </c>
      <c r="J2810" s="18" t="inlineStr">
        <is>
          <t>Lít</t>
        </is>
      </c>
      <c r="K2810" s="19" t="n">
        <v>60000</v>
      </c>
      <c r="L2810" s="20" t="n"/>
      <c r="M2810" s="20" t="n"/>
      <c r="N2810" s="22" t="n">
        <v>60</v>
      </c>
      <c r="O2810" s="22" t="n">
        <v>3600000</v>
      </c>
      <c r="P2810" s="22" t="n">
        <v>60</v>
      </c>
      <c r="Q2810" s="22" t="n">
        <v>3600000</v>
      </c>
      <c r="R2810" s="42">
        <f>+L2810+N2810-P2810</f>
        <v/>
      </c>
      <c r="S2810" s="42">
        <f>+M2810+O2810-Q2810</f>
        <v/>
      </c>
    </row>
    <row r="2811" ht="30" customHeight="1">
      <c r="A2811" s="16" t="n">
        <v>45905</v>
      </c>
      <c r="B2811" s="17" t="inlineStr">
        <is>
          <t>MH2509-13</t>
        </is>
      </c>
      <c r="C2811" s="16" t="n">
        <v>45905</v>
      </c>
      <c r="D2811" s="17" t="inlineStr">
        <is>
          <t>00001794</t>
        </is>
      </c>
      <c r="E2811" s="16" t="n">
        <v>45905</v>
      </c>
      <c r="F2811" s="16" t="inlineStr">
        <is>
          <t>XK2509-08</t>
        </is>
      </c>
      <c r="G2811" s="16" t="n">
        <v>45905</v>
      </c>
      <c r="H2811" s="18" t="inlineStr">
        <is>
          <t>CÔNG TY TNHH DỊCH VỤ - THƯƠNG MẠI THÉP THIÊN LONG</t>
        </is>
      </c>
      <c r="I2811" s="18" t="inlineStr">
        <is>
          <t>Thép vuông 150</t>
        </is>
      </c>
      <c r="J2811" s="18" t="inlineStr">
        <is>
          <t>kg</t>
        </is>
      </c>
      <c r="K2811" s="19" t="n">
        <v>16272.72</v>
      </c>
      <c r="L2811" s="20" t="n"/>
      <c r="M2811" s="20" t="n"/>
      <c r="N2811" s="22" t="n">
        <v>5539.2</v>
      </c>
      <c r="O2811" s="22" t="n">
        <v>90137851</v>
      </c>
      <c r="P2811" s="22" t="n">
        <v>5539.2</v>
      </c>
      <c r="Q2811" s="22" t="n">
        <v>90137851</v>
      </c>
      <c r="R2811" s="42">
        <f>+L2811+N2811-P2811</f>
        <v/>
      </c>
      <c r="S2811" s="42">
        <f>+M2811+O2811-Q2811</f>
        <v/>
      </c>
    </row>
    <row r="2812" ht="30" customHeight="1">
      <c r="A2812" s="16" t="n">
        <v>45905</v>
      </c>
      <c r="B2812" s="17" t="inlineStr">
        <is>
          <t>MH2509-14</t>
        </is>
      </c>
      <c r="C2812" s="16" t="n">
        <v>45905</v>
      </c>
      <c r="D2812" s="17" t="inlineStr">
        <is>
          <t>00001795</t>
        </is>
      </c>
      <c r="E2812" s="16" t="n">
        <v>45905</v>
      </c>
      <c r="F2812" s="16" t="inlineStr">
        <is>
          <t>XK2509-09</t>
        </is>
      </c>
      <c r="G2812" s="16" t="n">
        <v>45905</v>
      </c>
      <c r="H2812" s="18" t="inlineStr">
        <is>
          <t>CÔNG TY TNHH DỊCH VỤ - THƯƠNG MẠI THÉP THIÊN LONG</t>
        </is>
      </c>
      <c r="I2812" s="18" t="inlineStr">
        <is>
          <t>Thép vuông 100</t>
        </is>
      </c>
      <c r="J2812" s="18" t="inlineStr">
        <is>
          <t>kg</t>
        </is>
      </c>
      <c r="K2812" s="19" t="n">
        <v>16090.9</v>
      </c>
      <c r="L2812" s="20" t="n"/>
      <c r="M2812" s="20" t="n"/>
      <c r="N2812" s="22" t="n">
        <v>3381.06</v>
      </c>
      <c r="O2812" s="22" t="n">
        <v>54404298</v>
      </c>
      <c r="P2812" s="22" t="n">
        <v>3381.06</v>
      </c>
      <c r="Q2812" s="22" t="n">
        <v>54404298</v>
      </c>
      <c r="R2812" s="42">
        <f>+L2812+N2812-P2812</f>
        <v/>
      </c>
      <c r="S2812" s="42">
        <f>+M2812+O2812-Q2812</f>
        <v/>
      </c>
    </row>
    <row r="2813" ht="30" customHeight="1">
      <c r="A2813" s="16" t="n">
        <v>45905</v>
      </c>
      <c r="B2813" s="17" t="inlineStr">
        <is>
          <t>MH2509-14</t>
        </is>
      </c>
      <c r="C2813" s="16" t="n">
        <v>45905</v>
      </c>
      <c r="D2813" s="17" t="inlineStr">
        <is>
          <t>00001795</t>
        </is>
      </c>
      <c r="E2813" s="16" t="n">
        <v>45905</v>
      </c>
      <c r="F2813" s="16" t="inlineStr">
        <is>
          <t>XK2509-09</t>
        </is>
      </c>
      <c r="G2813" s="16" t="n">
        <v>45905</v>
      </c>
      <c r="H2813" s="18" t="inlineStr">
        <is>
          <t>CÔNG TY TNHH DỊCH VỤ - THƯƠNG MẠI THÉP THIÊN LONG</t>
        </is>
      </c>
      <c r="I2813" s="18" t="inlineStr">
        <is>
          <t>Thép hình H150</t>
        </is>
      </c>
      <c r="J2813" s="18" t="inlineStr">
        <is>
          <t>kg</t>
        </is>
      </c>
      <c r="K2813" s="19" t="n">
        <v>16909.09</v>
      </c>
      <c r="L2813" s="20" t="n"/>
      <c r="M2813" s="20" t="n"/>
      <c r="N2813" s="22" t="n">
        <v>5712</v>
      </c>
      <c r="O2813" s="22" t="n">
        <v>96584722</v>
      </c>
      <c r="P2813" s="22" t="n">
        <v>5712</v>
      </c>
      <c r="Q2813" s="22" t="n">
        <v>96584722</v>
      </c>
      <c r="R2813" s="42">
        <f>+L2813+N2813-P2813</f>
        <v/>
      </c>
      <c r="S2813" s="42">
        <f>+M2813+O2813-Q2813</f>
        <v/>
      </c>
    </row>
    <row r="2814" ht="30" customHeight="1">
      <c r="A2814" s="16" t="n">
        <v>45905</v>
      </c>
      <c r="B2814" s="17" t="inlineStr">
        <is>
          <t>MH2509-14</t>
        </is>
      </c>
      <c r="C2814" s="16" t="n">
        <v>45905</v>
      </c>
      <c r="D2814" s="17" t="inlineStr">
        <is>
          <t>00001795</t>
        </is>
      </c>
      <c r="E2814" s="16" t="n">
        <v>45905</v>
      </c>
      <c r="F2814" s="16" t="inlineStr">
        <is>
          <t>XK2509-09</t>
        </is>
      </c>
      <c r="G2814" s="16" t="n">
        <v>45905</v>
      </c>
      <c r="H2814" s="18" t="inlineStr">
        <is>
          <t>CÔNG TY TNHH DỊCH VỤ - THƯƠNG MẠI THÉP THIÊN LONG</t>
        </is>
      </c>
      <c r="I2814" s="18" t="inlineStr">
        <is>
          <t>Thép hình H200</t>
        </is>
      </c>
      <c r="J2814" s="18" t="inlineStr">
        <is>
          <t>kg</t>
        </is>
      </c>
      <c r="K2814" s="19" t="n">
        <v>16909.09</v>
      </c>
      <c r="L2814" s="20" t="n"/>
      <c r="M2814" s="20" t="n"/>
      <c r="N2814" s="22" t="n">
        <v>3067.2</v>
      </c>
      <c r="O2814" s="22" t="n">
        <v>51863561</v>
      </c>
      <c r="P2814" s="22" t="n">
        <v>3067.2</v>
      </c>
      <c r="Q2814" s="22" t="n">
        <v>51863561</v>
      </c>
      <c r="R2814" s="42">
        <f>+L2814+N2814-P2814</f>
        <v/>
      </c>
      <c r="S2814" s="42">
        <f>+M2814+O2814-Q2814</f>
        <v/>
      </c>
    </row>
    <row r="2815" ht="30" customHeight="1">
      <c r="A2815" s="16" t="n">
        <v>45905</v>
      </c>
      <c r="B2815" s="17" t="inlineStr">
        <is>
          <t>MH2509-15</t>
        </is>
      </c>
      <c r="C2815" s="16" t="n">
        <v>45905</v>
      </c>
      <c r="D2815" s="17" t="inlineStr">
        <is>
          <t>00001796</t>
        </is>
      </c>
      <c r="E2815" s="16" t="n">
        <v>45905</v>
      </c>
      <c r="F2815" s="16" t="inlineStr">
        <is>
          <t>XK2509-10</t>
        </is>
      </c>
      <c r="G2815" s="16" t="n">
        <v>45905</v>
      </c>
      <c r="H2815" s="18" t="inlineStr">
        <is>
          <t>CÔNG TY TNHH DỊCH VỤ - THƯƠNG MẠI THÉP THIÊN LONG</t>
        </is>
      </c>
      <c r="I2815" s="18" t="inlineStr">
        <is>
          <t>Thép vuông 100</t>
        </is>
      </c>
      <c r="J2815" s="18" t="inlineStr">
        <is>
          <t>kg</t>
        </is>
      </c>
      <c r="K2815" s="19" t="n">
        <v>16090.9</v>
      </c>
      <c r="L2815" s="20" t="n"/>
      <c r="M2815" s="20" t="n"/>
      <c r="N2815" s="22" t="n">
        <v>1507.77</v>
      </c>
      <c r="O2815" s="22" t="n">
        <v>24261376</v>
      </c>
      <c r="P2815" s="22" t="n">
        <v>1507.77</v>
      </c>
      <c r="Q2815" s="22" t="n">
        <v>24261376</v>
      </c>
      <c r="R2815" s="42">
        <f>+L2815+N2815-P2815</f>
        <v/>
      </c>
      <c r="S2815" s="42">
        <f>+M2815+O2815-Q2815</f>
        <v/>
      </c>
    </row>
    <row r="2816" ht="30" customHeight="1">
      <c r="A2816" s="16" t="n">
        <v>45905</v>
      </c>
      <c r="B2816" s="17" t="inlineStr">
        <is>
          <t>MH2509-15</t>
        </is>
      </c>
      <c r="C2816" s="16" t="n">
        <v>45905</v>
      </c>
      <c r="D2816" s="17" t="inlineStr">
        <is>
          <t>00001796</t>
        </is>
      </c>
      <c r="E2816" s="16" t="n">
        <v>45905</v>
      </c>
      <c r="F2816" s="16" t="inlineStr">
        <is>
          <t>XK2509-10</t>
        </is>
      </c>
      <c r="G2816" s="16" t="n">
        <v>45905</v>
      </c>
      <c r="H2816" s="18" t="inlineStr">
        <is>
          <t>CÔNG TY TNHH DỊCH VỤ - THƯƠNG MẠI THÉP THIÊN LONG</t>
        </is>
      </c>
      <c r="I2816" s="18" t="inlineStr">
        <is>
          <t>Thép hình H150</t>
        </is>
      </c>
      <c r="J2816" s="18" t="inlineStr">
        <is>
          <t>kg</t>
        </is>
      </c>
      <c r="K2816" s="19" t="n">
        <v>16909.09</v>
      </c>
      <c r="L2816" s="20" t="n"/>
      <c r="M2816" s="20" t="n"/>
      <c r="N2816" s="22" t="n">
        <v>6720</v>
      </c>
      <c r="O2816" s="22" t="n">
        <v>113629085</v>
      </c>
      <c r="P2816" s="22" t="n">
        <v>6720</v>
      </c>
      <c r="Q2816" s="22" t="n">
        <v>113629085</v>
      </c>
      <c r="R2816" s="42">
        <f>+L2816+N2816-P2816</f>
        <v/>
      </c>
      <c r="S2816" s="42">
        <f>+M2816+O2816-Q2816</f>
        <v/>
      </c>
    </row>
    <row r="2817" ht="15" customHeight="1">
      <c r="A2817" s="16" t="n">
        <v>45906</v>
      </c>
      <c r="B2817" s="17" t="inlineStr">
        <is>
          <t>MH2509-16</t>
        </is>
      </c>
      <c r="C2817" s="16" t="n">
        <v>45906</v>
      </c>
      <c r="D2817" s="17" t="inlineStr">
        <is>
          <t>00000250</t>
        </is>
      </c>
      <c r="E2817" s="16" t="n">
        <v>45906</v>
      </c>
      <c r="F2817" s="16" t="inlineStr">
        <is>
          <t>XK2509-11</t>
        </is>
      </c>
      <c r="G2817" s="16" t="n">
        <v>45906</v>
      </c>
      <c r="H2817" s="18" t="inlineStr">
        <is>
          <t>CÔNG TY TNHH CƠ KHÍ ĐỨC HIỆP</t>
        </is>
      </c>
      <c r="I2817" s="18" t="inlineStr">
        <is>
          <t>Bulong neo I M24x530, DIN976, MKĐP, 8.8 (T+4E+P)</t>
        </is>
      </c>
      <c r="J2817" s="18" t="inlineStr">
        <is>
          <t>Bộ</t>
        </is>
      </c>
      <c r="K2817" s="19" t="n">
        <v>80300</v>
      </c>
      <c r="L2817" s="20" t="n"/>
      <c r="M2817" s="20" t="n"/>
      <c r="N2817" s="22" t="n">
        <v>1500</v>
      </c>
      <c r="O2817" s="22" t="n">
        <v>120450000</v>
      </c>
      <c r="P2817" s="22" t="n">
        <v>1500</v>
      </c>
      <c r="Q2817" s="22" t="n">
        <v>120450000</v>
      </c>
      <c r="R2817" s="42">
        <f>+L2817+N2817-P2817</f>
        <v/>
      </c>
      <c r="S2817" s="42">
        <f>+M2817+O2817-Q2817</f>
        <v/>
      </c>
    </row>
    <row r="2818" ht="15" customHeight="1">
      <c r="A2818" s="16" t="n">
        <v>45906</v>
      </c>
      <c r="B2818" s="17" t="inlineStr">
        <is>
          <t>MH2509-16</t>
        </is>
      </c>
      <c r="C2818" s="16" t="n">
        <v>45906</v>
      </c>
      <c r="D2818" s="17" t="inlineStr">
        <is>
          <t>00000250</t>
        </is>
      </c>
      <c r="E2818" s="16" t="n">
        <v>45906</v>
      </c>
      <c r="F2818" s="16" t="inlineStr">
        <is>
          <t>XK2509-11</t>
        </is>
      </c>
      <c r="G2818" s="16" t="n">
        <v>45906</v>
      </c>
      <c r="H2818" s="17" t="inlineStr">
        <is>
          <t>CÔNG TY TNHH CƠ KHÍ ĐỨC HIỆP</t>
        </is>
      </c>
      <c r="I2818" s="18" t="inlineStr">
        <is>
          <t>Bulong neo I M24x530, DIN976, MKĐP,4.6 (T+4E+P)</t>
        </is>
      </c>
      <c r="J2818" s="18" t="inlineStr">
        <is>
          <t>Bộ</t>
        </is>
      </c>
      <c r="K2818" s="19" t="n">
        <v>55000</v>
      </c>
      <c r="L2818" s="21" t="n"/>
      <c r="M2818" s="22" t="n"/>
      <c r="N2818" s="22" t="n">
        <v>400</v>
      </c>
      <c r="O2818" s="22" t="n">
        <v>22000000</v>
      </c>
      <c r="P2818" s="22" t="n">
        <v>400</v>
      </c>
      <c r="Q2818" s="22" t="n">
        <v>22000000</v>
      </c>
      <c r="R2818" s="42">
        <f>+L2818+N2818-P2818</f>
        <v/>
      </c>
      <c r="S2818" s="42">
        <f>+M2818+O2818-Q2818</f>
        <v/>
      </c>
    </row>
    <row r="2819" ht="15" customHeight="1">
      <c r="A2819" s="16" t="n">
        <v>45906</v>
      </c>
      <c r="B2819" s="17" t="inlineStr">
        <is>
          <t>MH2509-16</t>
        </is>
      </c>
      <c r="C2819" s="16" t="n">
        <v>45906</v>
      </c>
      <c r="D2819" s="17" t="inlineStr">
        <is>
          <t>00000250</t>
        </is>
      </c>
      <c r="E2819" s="16" t="n">
        <v>45906</v>
      </c>
      <c r="F2819" s="16" t="inlineStr">
        <is>
          <t>XK2509-11</t>
        </is>
      </c>
      <c r="G2819" s="16" t="n">
        <v>45906</v>
      </c>
      <c r="H2819" s="17" t="inlineStr">
        <is>
          <t>CÔNG TY TNHH CƠ KHÍ ĐỨC HIỆP</t>
        </is>
      </c>
      <c r="I2819" s="18" t="inlineStr">
        <is>
          <t>Bulong neo I M30x645, DIN976, MKĐP, 4.6 (T+4E+P)</t>
        </is>
      </c>
      <c r="J2819" s="18" t="inlineStr">
        <is>
          <t>Bộ</t>
        </is>
      </c>
      <c r="K2819" s="19" t="n">
        <v>107500</v>
      </c>
      <c r="L2819" s="21" t="n"/>
      <c r="M2819" s="22" t="n"/>
      <c r="N2819" s="22" t="n">
        <v>400</v>
      </c>
      <c r="O2819" s="22" t="n">
        <v>43000000</v>
      </c>
      <c r="P2819" s="22" t="n">
        <v>400</v>
      </c>
      <c r="Q2819" s="22" t="n">
        <v>43000000</v>
      </c>
      <c r="R2819" s="42">
        <f>+L2819+N2819-P2819</f>
        <v/>
      </c>
      <c r="S2819" s="42">
        <f>+M2819+O2819-Q2819</f>
        <v/>
      </c>
    </row>
    <row r="2820" ht="15" customHeight="1">
      <c r="A2820" s="16" t="n">
        <v>45906</v>
      </c>
      <c r="B2820" s="17" t="inlineStr">
        <is>
          <t>MH2509-17</t>
        </is>
      </c>
      <c r="C2820" s="16" t="n">
        <v>45906</v>
      </c>
      <c r="D2820" s="17" t="inlineStr">
        <is>
          <t>00000248</t>
        </is>
      </c>
      <c r="E2820" s="16" t="n">
        <v>45906</v>
      </c>
      <c r="F2820" s="16" t="inlineStr">
        <is>
          <t>XK2509-12</t>
        </is>
      </c>
      <c r="G2820" s="16" t="n">
        <v>45906</v>
      </c>
      <c r="H2820" s="17" t="inlineStr">
        <is>
          <t>CÔNG TY TNHH CƠ KHÍ ĐỨC HIỆP</t>
        </is>
      </c>
      <c r="I2820" s="18" t="inlineStr">
        <is>
          <t>Bulong neo I M24x530, DIN976, MKĐP, 4.6 (T+4E+P)</t>
        </is>
      </c>
      <c r="J2820" s="18" t="inlineStr">
        <is>
          <t>Cái</t>
        </is>
      </c>
      <c r="K2820" s="19" t="n">
        <v>55000</v>
      </c>
      <c r="L2820" s="21" t="n"/>
      <c r="M2820" s="22" t="n"/>
      <c r="N2820" s="22" t="n">
        <v>248</v>
      </c>
      <c r="O2820" s="22" t="n">
        <v>13640000</v>
      </c>
      <c r="P2820" s="22" t="n">
        <v>248</v>
      </c>
      <c r="Q2820" s="22" t="n">
        <v>13640000</v>
      </c>
      <c r="R2820" s="42">
        <f>+L2820+N2820-P2820</f>
        <v/>
      </c>
      <c r="S2820" s="42">
        <f>+M2820+O2820-Q2820</f>
        <v/>
      </c>
    </row>
    <row r="2821" ht="15" customHeight="1">
      <c r="A2821" s="16" t="n">
        <v>45908</v>
      </c>
      <c r="B2821" s="17" t="inlineStr">
        <is>
          <t>MH2509-18</t>
        </is>
      </c>
      <c r="C2821" s="16" t="n">
        <v>45908</v>
      </c>
      <c r="D2821" s="17" t="inlineStr">
        <is>
          <t>00008279</t>
        </is>
      </c>
      <c r="E2821" s="16" t="n">
        <v>45908</v>
      </c>
      <c r="F2821" s="16" t="inlineStr">
        <is>
          <t>XK2509-13</t>
        </is>
      </c>
      <c r="G2821" s="16" t="n">
        <v>45908</v>
      </c>
      <c r="H2821" s="17" t="inlineStr">
        <is>
          <t>CÔNG TY TNHH SƠN JOTUN VIỆT NAM</t>
        </is>
      </c>
      <c r="I2821" s="18" t="inlineStr">
        <is>
          <t>SƠN FUTURA CLASSIC RAL 9005 19.06L</t>
        </is>
      </c>
      <c r="J2821" s="18" t="inlineStr">
        <is>
          <t>Lít</t>
        </is>
      </c>
      <c r="K2821" s="19" t="n">
        <v>155000</v>
      </c>
      <c r="L2821" s="21" t="n"/>
      <c r="M2821" s="22" t="n"/>
      <c r="N2821" s="22" t="n">
        <v>1105.48</v>
      </c>
      <c r="O2821" s="22" t="n">
        <v>171349400</v>
      </c>
      <c r="P2821" s="22" t="n">
        <v>1105.48</v>
      </c>
      <c r="Q2821" s="22" t="n">
        <v>171349400</v>
      </c>
      <c r="R2821" s="42">
        <f>+L2821+N2821-P2821</f>
        <v/>
      </c>
      <c r="S2821" s="42">
        <f>+M2821+O2821-Q2821</f>
        <v/>
      </c>
    </row>
    <row r="2822" ht="15" customHeight="1">
      <c r="A2822" s="16" t="n">
        <v>45908</v>
      </c>
      <c r="B2822" s="17" t="inlineStr">
        <is>
          <t>MH2509-18</t>
        </is>
      </c>
      <c r="C2822" s="16" t="n">
        <v>45908</v>
      </c>
      <c r="D2822" s="17" t="inlineStr">
        <is>
          <t>00008279</t>
        </is>
      </c>
      <c r="E2822" s="16" t="n">
        <v>45908</v>
      </c>
      <c r="F2822" s="16" t="inlineStr">
        <is>
          <t>XK2509-13</t>
        </is>
      </c>
      <c r="G2822" s="16" t="n">
        <v>45908</v>
      </c>
      <c r="H2822" s="17" t="inlineStr">
        <is>
          <t>CÔNG TY TNHH SƠN JOTUN VIỆT NAM</t>
        </is>
      </c>
      <c r="I2822" s="18" t="inlineStr">
        <is>
          <t>SƠN FUTURA CLASSIC RAL 9005 4.77L</t>
        </is>
      </c>
      <c r="J2822" s="18" t="inlineStr">
        <is>
          <t>Lít</t>
        </is>
      </c>
      <c r="K2822" s="19" t="n">
        <v>155000</v>
      </c>
      <c r="L2822" s="21" t="n"/>
      <c r="M2822" s="22" t="n"/>
      <c r="N2822" s="22" t="n">
        <v>42.93</v>
      </c>
      <c r="O2822" s="22" t="n">
        <v>6654150</v>
      </c>
      <c r="P2822" s="22" t="n">
        <v>42.93</v>
      </c>
      <c r="Q2822" s="22" t="n">
        <v>6654150</v>
      </c>
      <c r="R2822" s="42">
        <f>+L2822+N2822-P2822</f>
        <v/>
      </c>
      <c r="S2822" s="42">
        <f>+M2822+O2822-Q2822</f>
        <v/>
      </c>
    </row>
    <row r="2823" ht="15" customHeight="1">
      <c r="A2823" s="16" t="n">
        <v>45908</v>
      </c>
      <c r="B2823" s="17" t="inlineStr">
        <is>
          <t>MH2509-18</t>
        </is>
      </c>
      <c r="C2823" s="16" t="n">
        <v>45908</v>
      </c>
      <c r="D2823" s="17" t="inlineStr">
        <is>
          <t>00008279</t>
        </is>
      </c>
      <c r="E2823" s="16" t="n">
        <v>45908</v>
      </c>
      <c r="F2823" s="16" t="inlineStr">
        <is>
          <t>XK2509-13</t>
        </is>
      </c>
      <c r="G2823" s="16" t="n">
        <v>45908</v>
      </c>
      <c r="H2823" s="17" t="inlineStr">
        <is>
          <t>CÔNG TY TNHH SƠN JOTUN VIỆT NAM</t>
        </is>
      </c>
      <c r="I2823" s="18" t="inlineStr">
        <is>
          <t>DUNG MÔI JOTUN THINNER NO. 17 20L</t>
        </is>
      </c>
      <c r="J2823" s="18" t="inlineStr">
        <is>
          <t>Lít</t>
        </is>
      </c>
      <c r="K2823" s="19" t="n">
        <v>60000</v>
      </c>
      <c r="L2823" s="21" t="n"/>
      <c r="M2823" s="22" t="n"/>
      <c r="N2823" s="22" t="n">
        <v>180</v>
      </c>
      <c r="O2823" s="22" t="n">
        <v>10800000</v>
      </c>
      <c r="P2823" s="22" t="n">
        <v>180</v>
      </c>
      <c r="Q2823" s="22" t="n">
        <v>10800000</v>
      </c>
      <c r="R2823" s="42">
        <f>+L2823+N2823-P2823</f>
        <v/>
      </c>
      <c r="S2823" s="42">
        <f>+M2823+O2823-Q2823</f>
        <v/>
      </c>
    </row>
    <row r="2824" ht="15" customHeight="1">
      <c r="A2824" s="16" t="n">
        <v>45908</v>
      </c>
      <c r="B2824" s="17" t="inlineStr">
        <is>
          <t>MH2509-18</t>
        </is>
      </c>
      <c r="C2824" s="16" t="n">
        <v>45908</v>
      </c>
      <c r="D2824" s="17" t="inlineStr">
        <is>
          <t>00008279</t>
        </is>
      </c>
      <c r="E2824" s="16" t="n">
        <v>45908</v>
      </c>
      <c r="F2824" s="16" t="inlineStr">
        <is>
          <t>XK2509-13</t>
        </is>
      </c>
      <c r="G2824" s="16" t="n">
        <v>45908</v>
      </c>
      <c r="H2824" s="17" t="inlineStr">
        <is>
          <t>CÔNG TY TNHH SƠN JOTUN VIỆT NAM</t>
        </is>
      </c>
      <c r="I2824" s="18" t="inlineStr">
        <is>
          <t>DUNG MÔI JOTUN THINNER NO. 10 20L</t>
        </is>
      </c>
      <c r="J2824" s="18" t="inlineStr">
        <is>
          <t>Lít</t>
        </is>
      </c>
      <c r="K2824" s="19" t="n">
        <v>60000</v>
      </c>
      <c r="L2824" s="21" t="n"/>
      <c r="M2824" s="22" t="n"/>
      <c r="N2824" s="22" t="n">
        <v>160</v>
      </c>
      <c r="O2824" s="22" t="n">
        <v>9600000</v>
      </c>
      <c r="P2824" s="22" t="n">
        <v>160</v>
      </c>
      <c r="Q2824" s="22" t="n">
        <v>9600000</v>
      </c>
      <c r="R2824" s="42">
        <f>+L2824+N2824-P2824</f>
        <v/>
      </c>
      <c r="S2824" s="42">
        <f>+M2824+O2824-Q2824</f>
        <v/>
      </c>
    </row>
    <row r="2825" ht="15" customHeight="1">
      <c r="A2825" s="16" t="n">
        <v>45908</v>
      </c>
      <c r="B2825" s="17" t="inlineStr">
        <is>
          <t>MH2509-18</t>
        </is>
      </c>
      <c r="C2825" s="16" t="n">
        <v>45908</v>
      </c>
      <c r="D2825" s="17" t="inlineStr">
        <is>
          <t>00008279</t>
        </is>
      </c>
      <c r="E2825" s="16" t="n">
        <v>45908</v>
      </c>
      <c r="F2825" s="16" t="inlineStr">
        <is>
          <t>XK2509-13</t>
        </is>
      </c>
      <c r="G2825" s="16" t="n">
        <v>45908</v>
      </c>
      <c r="H2825" s="17" t="inlineStr">
        <is>
          <t>CÔNG TY TNHH SƠN JOTUN VIỆT NAM</t>
        </is>
      </c>
      <c r="I2825" s="18" t="inlineStr">
        <is>
          <t>DUNG MÔI JOTUN THINNER NO. 10 5L</t>
        </is>
      </c>
      <c r="J2825" s="18" t="inlineStr">
        <is>
          <t>Lít</t>
        </is>
      </c>
      <c r="K2825" s="19" t="n">
        <v>60000</v>
      </c>
      <c r="L2825" s="21" t="n"/>
      <c r="M2825" s="22" t="n"/>
      <c r="N2825" s="22" t="n">
        <v>15</v>
      </c>
      <c r="O2825" s="22" t="n">
        <v>900000</v>
      </c>
      <c r="P2825" s="22" t="n">
        <v>15</v>
      </c>
      <c r="Q2825" s="22" t="n">
        <v>900000</v>
      </c>
      <c r="R2825" s="42">
        <f>+L2825+N2825-P2825</f>
        <v/>
      </c>
      <c r="S2825" s="42">
        <f>+M2825+O2825-Q2825</f>
        <v/>
      </c>
    </row>
    <row r="2826" ht="15" customHeight="1">
      <c r="A2826" s="16" t="n">
        <v>45908</v>
      </c>
      <c r="B2826" s="17" t="inlineStr">
        <is>
          <t>MH2509-19</t>
        </is>
      </c>
      <c r="C2826" s="16" t="n">
        <v>45908</v>
      </c>
      <c r="D2826" s="17" t="inlineStr">
        <is>
          <t>00008280</t>
        </is>
      </c>
      <c r="E2826" s="16" t="n">
        <v>45908</v>
      </c>
      <c r="F2826" s="16" t="inlineStr">
        <is>
          <t>XK2509-14</t>
        </is>
      </c>
      <c r="G2826" s="16" t="n">
        <v>45908</v>
      </c>
      <c r="H2826" s="17" t="inlineStr">
        <is>
          <t>CÔNG TY TNHH SƠN JOTUN VIỆT NAM</t>
        </is>
      </c>
      <c r="I2826" s="18" t="inlineStr">
        <is>
          <t>SƠN FUTURA CLASSIC RAL 6018 19.97L</t>
        </is>
      </c>
      <c r="J2826" s="18" t="inlineStr">
        <is>
          <t>Lít</t>
        </is>
      </c>
      <c r="K2826" s="19" t="n">
        <v>185000</v>
      </c>
      <c r="L2826" s="21" t="n"/>
      <c r="M2826" s="22" t="n"/>
      <c r="N2826" s="22" t="n">
        <v>539.1900000000001</v>
      </c>
      <c r="O2826" s="22" t="n">
        <v>99750150</v>
      </c>
      <c r="P2826" s="22" t="n">
        <v>539.1900000000001</v>
      </c>
      <c r="Q2826" s="22" t="n">
        <v>99750150</v>
      </c>
      <c r="R2826" s="42">
        <f>+L2826+N2826-P2826</f>
        <v/>
      </c>
      <c r="S2826" s="42">
        <f>+M2826+O2826-Q2826</f>
        <v/>
      </c>
    </row>
    <row r="2827" ht="15" customHeight="1">
      <c r="A2827" s="16" t="n">
        <v>45908</v>
      </c>
      <c r="B2827" s="17" t="inlineStr">
        <is>
          <t>MH2509-19</t>
        </is>
      </c>
      <c r="C2827" s="16" t="n">
        <v>45908</v>
      </c>
      <c r="D2827" s="17" t="inlineStr">
        <is>
          <t>00008280</t>
        </is>
      </c>
      <c r="E2827" s="16" t="n">
        <v>45908</v>
      </c>
      <c r="F2827" s="16" t="inlineStr">
        <is>
          <t>XK2509-14</t>
        </is>
      </c>
      <c r="G2827" s="16" t="n">
        <v>45908</v>
      </c>
      <c r="H2827" s="17" t="inlineStr">
        <is>
          <t>CÔNG TY TNHH SƠN JOTUN VIỆT NAM</t>
        </is>
      </c>
      <c r="I2827" s="18" t="inlineStr">
        <is>
          <t>SƠN FUTURA CLASSIC RAL 6018 4.99L</t>
        </is>
      </c>
      <c r="J2827" s="18" t="inlineStr">
        <is>
          <t>Lít</t>
        </is>
      </c>
      <c r="K2827" s="19" t="n">
        <v>185000</v>
      </c>
      <c r="L2827" s="21" t="n"/>
      <c r="M2827" s="22" t="n"/>
      <c r="N2827" s="22" t="n">
        <v>34.93</v>
      </c>
      <c r="O2827" s="22" t="n">
        <v>6462050</v>
      </c>
      <c r="P2827" s="22" t="n">
        <v>34.93</v>
      </c>
      <c r="Q2827" s="22" t="n">
        <v>6462050</v>
      </c>
      <c r="R2827" s="42">
        <f>+L2827+N2827-P2827</f>
        <v/>
      </c>
      <c r="S2827" s="42">
        <f>+M2827+O2827-Q2827</f>
        <v/>
      </c>
    </row>
    <row r="2828" ht="15" customHeight="1">
      <c r="A2828" s="16" t="n">
        <v>45908</v>
      </c>
      <c r="B2828" s="17" t="inlineStr">
        <is>
          <t>MH2509-19</t>
        </is>
      </c>
      <c r="C2828" s="16" t="n">
        <v>45908</v>
      </c>
      <c r="D2828" s="17" t="inlineStr">
        <is>
          <t>00008280</t>
        </is>
      </c>
      <c r="E2828" s="16" t="n">
        <v>45908</v>
      </c>
      <c r="F2828" s="16" t="inlineStr">
        <is>
          <t>XK2509-14</t>
        </is>
      </c>
      <c r="G2828" s="16" t="n">
        <v>45908</v>
      </c>
      <c r="H2828" s="17" t="inlineStr">
        <is>
          <t>CÔNG TY TNHH SƠN JOTUN VIỆT NAM</t>
        </is>
      </c>
      <c r="I2828" s="18" t="inlineStr">
        <is>
          <t>DUNG MÔI JOTUN THINNER NO. 17 20L</t>
        </is>
      </c>
      <c r="J2828" s="18" t="inlineStr">
        <is>
          <t>Lít</t>
        </is>
      </c>
      <c r="K2828" s="19" t="n">
        <v>60000</v>
      </c>
      <c r="L2828" s="21" t="n"/>
      <c r="M2828" s="22" t="n"/>
      <c r="N2828" s="22" t="n">
        <v>80</v>
      </c>
      <c r="O2828" s="22" t="n">
        <v>4800000</v>
      </c>
      <c r="P2828" s="22" t="n">
        <v>80</v>
      </c>
      <c r="Q2828" s="22" t="n">
        <v>4800000</v>
      </c>
      <c r="R2828" s="42">
        <f>+L2828+N2828-P2828</f>
        <v/>
      </c>
      <c r="S2828" s="42">
        <f>+M2828+O2828-Q2828</f>
        <v/>
      </c>
    </row>
    <row r="2829" ht="15" customHeight="1">
      <c r="A2829" s="16" t="n">
        <v>45908</v>
      </c>
      <c r="B2829" s="17" t="inlineStr">
        <is>
          <t>MH2509-19</t>
        </is>
      </c>
      <c r="C2829" s="16" t="n">
        <v>45908</v>
      </c>
      <c r="D2829" s="17" t="inlineStr">
        <is>
          <t>00008280</t>
        </is>
      </c>
      <c r="E2829" s="16" t="n">
        <v>45908</v>
      </c>
      <c r="F2829" s="16" t="inlineStr">
        <is>
          <t>XK2509-14</t>
        </is>
      </c>
      <c r="G2829" s="16" t="n">
        <v>45908</v>
      </c>
      <c r="H2829" s="17" t="inlineStr">
        <is>
          <t>CÔNG TY TNHH SƠN JOTUN VIỆT NAM</t>
        </is>
      </c>
      <c r="I2829" s="18" t="inlineStr">
        <is>
          <t>DUNG MÔI JOTUN THINNER NO. 17 5L</t>
        </is>
      </c>
      <c r="J2829" s="18" t="inlineStr">
        <is>
          <t>Lít</t>
        </is>
      </c>
      <c r="K2829" s="19" t="n">
        <v>60000</v>
      </c>
      <c r="L2829" s="21" t="n"/>
      <c r="M2829" s="22" t="n"/>
      <c r="N2829" s="22" t="n">
        <v>10</v>
      </c>
      <c r="O2829" s="22" t="n">
        <v>600000</v>
      </c>
      <c r="P2829" s="22" t="n">
        <v>10</v>
      </c>
      <c r="Q2829" s="22" t="n">
        <v>600000</v>
      </c>
      <c r="R2829" s="42">
        <f>+L2829+N2829-P2829</f>
        <v/>
      </c>
      <c r="S2829" s="42">
        <f>+M2829+O2829-Q2829</f>
        <v/>
      </c>
    </row>
    <row r="2830" ht="15" customHeight="1">
      <c r="A2830" s="16" t="n">
        <v>45908</v>
      </c>
      <c r="B2830" s="17" t="inlineStr">
        <is>
          <t>MH2509-19</t>
        </is>
      </c>
      <c r="C2830" s="16" t="n">
        <v>45908</v>
      </c>
      <c r="D2830" s="17" t="inlineStr">
        <is>
          <t>00008280</t>
        </is>
      </c>
      <c r="E2830" s="16" t="n">
        <v>45908</v>
      </c>
      <c r="F2830" s="16" t="inlineStr">
        <is>
          <t>XK2509-14</t>
        </is>
      </c>
      <c r="G2830" s="16" t="n">
        <v>45908</v>
      </c>
      <c r="H2830" s="17" t="inlineStr">
        <is>
          <t>CÔNG TY TNHH SƠN JOTUN VIỆT NAM</t>
        </is>
      </c>
      <c r="I2830" s="18" t="inlineStr">
        <is>
          <t>DUNG MÔI JOTUN THINNER NO. 10 20L</t>
        </is>
      </c>
      <c r="J2830" s="18" t="inlineStr">
        <is>
          <t>Lít</t>
        </is>
      </c>
      <c r="K2830" s="19" t="n">
        <v>60000</v>
      </c>
      <c r="L2830" s="21" t="n"/>
      <c r="M2830" s="22" t="n"/>
      <c r="N2830" s="22" t="n">
        <v>80</v>
      </c>
      <c r="O2830" s="22" t="n">
        <v>4800000</v>
      </c>
      <c r="P2830" s="22" t="n">
        <v>80</v>
      </c>
      <c r="Q2830" s="22" t="n">
        <v>4800000</v>
      </c>
      <c r="R2830" s="42">
        <f>+L2830+N2830-P2830</f>
        <v/>
      </c>
      <c r="S2830" s="42">
        <f>+M2830+O2830-Q2830</f>
        <v/>
      </c>
    </row>
    <row r="2831" ht="15" customHeight="1">
      <c r="A2831" s="16" t="n">
        <v>45908</v>
      </c>
      <c r="B2831" s="17" t="inlineStr">
        <is>
          <t>MH2509-19</t>
        </is>
      </c>
      <c r="C2831" s="16" t="n">
        <v>45908</v>
      </c>
      <c r="D2831" s="17" t="inlineStr">
        <is>
          <t>00008280</t>
        </is>
      </c>
      <c r="E2831" s="16" t="n">
        <v>45908</v>
      </c>
      <c r="F2831" s="16" t="inlineStr">
        <is>
          <t>XK2509-14</t>
        </is>
      </c>
      <c r="G2831" s="16" t="n">
        <v>45908</v>
      </c>
      <c r="H2831" s="17" t="inlineStr">
        <is>
          <t>CÔNG TY TNHH SƠN JOTUN VIỆT NAM</t>
        </is>
      </c>
      <c r="I2831" s="18" t="inlineStr">
        <is>
          <t>DUNG MÔI JOTUN THINNER NO. 10 5L</t>
        </is>
      </c>
      <c r="J2831" s="18" t="inlineStr">
        <is>
          <t>Lít</t>
        </is>
      </c>
      <c r="K2831" s="19" t="n">
        <v>60000</v>
      </c>
      <c r="L2831" s="21" t="n"/>
      <c r="M2831" s="22" t="n"/>
      <c r="N2831" s="22" t="n">
        <v>10</v>
      </c>
      <c r="O2831" s="22" t="n">
        <v>600000</v>
      </c>
      <c r="P2831" s="22" t="n">
        <v>10</v>
      </c>
      <c r="Q2831" s="22" t="n">
        <v>600000</v>
      </c>
      <c r="R2831" s="42">
        <f>+L2831+N2831-P2831</f>
        <v/>
      </c>
      <c r="S2831" s="42">
        <f>+M2831+O2831-Q2831</f>
        <v/>
      </c>
    </row>
    <row r="2832" ht="30" customHeight="1">
      <c r="A2832" s="16" t="n">
        <v>45908</v>
      </c>
      <c r="B2832" s="17" t="inlineStr">
        <is>
          <t>MH2509-20</t>
        </is>
      </c>
      <c r="C2832" s="16" t="n">
        <v>45908</v>
      </c>
      <c r="D2832" s="17" t="inlineStr">
        <is>
          <t>00001821</t>
        </is>
      </c>
      <c r="E2832" s="16" t="n">
        <v>45908</v>
      </c>
      <c r="F2832" s="16" t="inlineStr">
        <is>
          <t>XK2509-15</t>
        </is>
      </c>
      <c r="G2832" s="16" t="n">
        <v>45908</v>
      </c>
      <c r="H2832" s="17" t="inlineStr">
        <is>
          <t>CÔNG TY TNHH DỊCH VỤ - THƯƠNG MẠI THÉP THIÊN LONG</t>
        </is>
      </c>
      <c r="I2832" s="18" t="inlineStr">
        <is>
          <t>Thép tấm 5ly</t>
        </is>
      </c>
      <c r="J2832" s="18" t="inlineStr">
        <is>
          <t>kg</t>
        </is>
      </c>
      <c r="K2832" s="19" t="n">
        <v>13636.36</v>
      </c>
      <c r="L2832" s="21" t="n"/>
      <c r="M2832" s="22" t="n"/>
      <c r="N2832" s="22" t="n">
        <v>16014</v>
      </c>
      <c r="O2832" s="22" t="n">
        <v>218372669</v>
      </c>
      <c r="P2832" s="22" t="n">
        <v>16014</v>
      </c>
      <c r="Q2832" s="22" t="n">
        <v>218372669</v>
      </c>
      <c r="R2832" s="42">
        <f>+L2832+N2832-P2832</f>
        <v/>
      </c>
      <c r="S2832" s="42">
        <f>+M2832+O2832-Q2832</f>
        <v/>
      </c>
    </row>
    <row r="2833" ht="30" customHeight="1">
      <c r="A2833" s="16" t="n">
        <v>45908</v>
      </c>
      <c r="B2833" s="17" t="inlineStr">
        <is>
          <t>MH2509-20</t>
        </is>
      </c>
      <c r="C2833" s="16" t="n">
        <v>45908</v>
      </c>
      <c r="D2833" s="17" t="inlineStr">
        <is>
          <t>00001821</t>
        </is>
      </c>
      <c r="E2833" s="16" t="n">
        <v>45908</v>
      </c>
      <c r="F2833" s="16" t="inlineStr">
        <is>
          <t>XK2509-15</t>
        </is>
      </c>
      <c r="G2833" s="16" t="n">
        <v>45908</v>
      </c>
      <c r="H2833" s="17" t="inlineStr">
        <is>
          <t>CÔNG TY TNHH DỊCH VỤ - THƯƠNG MẠI THÉP THIÊN LONG</t>
        </is>
      </c>
      <c r="I2833" s="18" t="inlineStr">
        <is>
          <t>Thép tấm 6ly</t>
        </is>
      </c>
      <c r="J2833" s="18" t="inlineStr">
        <is>
          <t>kg</t>
        </is>
      </c>
      <c r="K2833" s="19" t="n">
        <v>13636.36</v>
      </c>
      <c r="L2833" s="21" t="n"/>
      <c r="M2833" s="22" t="n"/>
      <c r="N2833" s="22" t="n">
        <v>9608.4</v>
      </c>
      <c r="O2833" s="22" t="n">
        <v>131023601</v>
      </c>
      <c r="P2833" s="22" t="n">
        <v>9608.4</v>
      </c>
      <c r="Q2833" s="22" t="n">
        <v>131023601</v>
      </c>
      <c r="R2833" s="42">
        <f>+L2833+N2833-P2833</f>
        <v/>
      </c>
      <c r="S2833" s="42">
        <f>+M2833+O2833-Q2833</f>
        <v/>
      </c>
    </row>
    <row r="2834" ht="30" customHeight="1">
      <c r="A2834" s="16" t="n">
        <v>45908</v>
      </c>
      <c r="B2834" s="17" t="inlineStr">
        <is>
          <t>MH2509-20</t>
        </is>
      </c>
      <c r="C2834" s="16" t="n">
        <v>45908</v>
      </c>
      <c r="D2834" s="17" t="inlineStr">
        <is>
          <t>00001821</t>
        </is>
      </c>
      <c r="E2834" s="16" t="n">
        <v>45908</v>
      </c>
      <c r="F2834" s="16" t="inlineStr">
        <is>
          <t>XK2509-15</t>
        </is>
      </c>
      <c r="G2834" s="16" t="n">
        <v>45908</v>
      </c>
      <c r="H2834" s="17" t="inlineStr">
        <is>
          <t>CÔNG TY TNHH DỊCH VỤ - THƯƠNG MẠI THÉP THIÊN LONG</t>
        </is>
      </c>
      <c r="I2834" s="18" t="inlineStr">
        <is>
          <t>Thép tấm 8ly</t>
        </is>
      </c>
      <c r="J2834" s="18" t="inlineStr">
        <is>
          <t>kg</t>
        </is>
      </c>
      <c r="K2834" s="19" t="n">
        <v>13636.36</v>
      </c>
      <c r="L2834" s="21" t="n"/>
      <c r="M2834" s="22" t="n"/>
      <c r="N2834" s="22" t="n">
        <v>10550.4</v>
      </c>
      <c r="O2834" s="22" t="n">
        <v>143869053</v>
      </c>
      <c r="P2834" s="22" t="n">
        <v>10550.4</v>
      </c>
      <c r="Q2834" s="22" t="n">
        <v>143869053</v>
      </c>
      <c r="R2834" s="42">
        <f>+L2834+N2834-P2834</f>
        <v/>
      </c>
      <c r="S2834" s="42">
        <f>+M2834+O2834-Q2834</f>
        <v/>
      </c>
    </row>
    <row r="2835" ht="30" customHeight="1">
      <c r="A2835" s="16" t="n">
        <v>45908</v>
      </c>
      <c r="B2835" s="17" t="inlineStr">
        <is>
          <t>MH2509-21</t>
        </is>
      </c>
      <c r="C2835" s="16" t="n">
        <v>45908</v>
      </c>
      <c r="D2835" s="17" t="inlineStr">
        <is>
          <t>00001820</t>
        </is>
      </c>
      <c r="E2835" s="16" t="n">
        <v>45908</v>
      </c>
      <c r="F2835" s="16" t="inlineStr">
        <is>
          <t>XK2509-16</t>
        </is>
      </c>
      <c r="G2835" s="16" t="n">
        <v>45908</v>
      </c>
      <c r="H2835" s="17" t="inlineStr">
        <is>
          <t>CÔNG TY TNHH DỊCH VỤ - THƯƠNG MẠI THÉP THIÊN LONG</t>
        </is>
      </c>
      <c r="I2835" s="18" t="inlineStr">
        <is>
          <t>Thép tấm 5ly</t>
        </is>
      </c>
      <c r="J2835" s="18" t="inlineStr">
        <is>
          <t>kg</t>
        </is>
      </c>
      <c r="K2835" s="19" t="n">
        <v>13636.36</v>
      </c>
      <c r="L2835" s="21" t="n"/>
      <c r="M2835" s="22" t="n"/>
      <c r="N2835" s="22" t="n">
        <v>20253</v>
      </c>
      <c r="O2835" s="22" t="n">
        <v>276177199</v>
      </c>
      <c r="P2835" s="22" t="n">
        <v>20253</v>
      </c>
      <c r="Q2835" s="22" t="n">
        <v>276177199</v>
      </c>
      <c r="R2835" s="42">
        <f>+L2835+N2835-P2835</f>
        <v/>
      </c>
      <c r="S2835" s="42">
        <f>+M2835+O2835-Q2835</f>
        <v/>
      </c>
    </row>
    <row r="2836" ht="30" customHeight="1">
      <c r="A2836" s="16" t="n">
        <v>45908</v>
      </c>
      <c r="B2836" s="17" t="inlineStr">
        <is>
          <t>MH2509-21</t>
        </is>
      </c>
      <c r="C2836" s="16" t="n">
        <v>45908</v>
      </c>
      <c r="D2836" s="17" t="inlineStr">
        <is>
          <t>00001820</t>
        </is>
      </c>
      <c r="E2836" s="16" t="n">
        <v>45908</v>
      </c>
      <c r="F2836" s="16" t="inlineStr">
        <is>
          <t>XK2509-16</t>
        </is>
      </c>
      <c r="G2836" s="16" t="n">
        <v>45908</v>
      </c>
      <c r="H2836" s="17" t="inlineStr">
        <is>
          <t>CÔNG TY TNHH DỊCH VỤ - THƯƠNG MẠI THÉP THIÊN LONG</t>
        </is>
      </c>
      <c r="I2836" s="18" t="inlineStr">
        <is>
          <t>Thép tấm 6ly</t>
        </is>
      </c>
      <c r="J2836" s="18" t="inlineStr">
        <is>
          <t>kg</t>
        </is>
      </c>
      <c r="K2836" s="19" t="n">
        <v>13636.36</v>
      </c>
      <c r="L2836" s="21" t="n"/>
      <c r="M2836" s="22" t="n"/>
      <c r="N2836" s="22" t="n">
        <v>20347.2</v>
      </c>
      <c r="O2836" s="22" t="n">
        <v>277461744</v>
      </c>
      <c r="P2836" s="22" t="n">
        <v>20347.2</v>
      </c>
      <c r="Q2836" s="22" t="n">
        <v>277461744</v>
      </c>
      <c r="R2836" s="42">
        <f>+L2836+N2836-P2836</f>
        <v/>
      </c>
      <c r="S2836" s="42">
        <f>+M2836+O2836-Q2836</f>
        <v/>
      </c>
    </row>
    <row r="2837" ht="30" customHeight="1">
      <c r="A2837" s="16" t="n">
        <v>45908</v>
      </c>
      <c r="B2837" s="17" t="inlineStr">
        <is>
          <t>MH2509-21</t>
        </is>
      </c>
      <c r="C2837" s="16" t="n">
        <v>45908</v>
      </c>
      <c r="D2837" s="17" t="inlineStr">
        <is>
          <t>00001820</t>
        </is>
      </c>
      <c r="E2837" s="16" t="n">
        <v>45908</v>
      </c>
      <c r="F2837" s="16" t="inlineStr">
        <is>
          <t>XK2509-16</t>
        </is>
      </c>
      <c r="G2837" s="16" t="n">
        <v>45908</v>
      </c>
      <c r="H2837" s="17" t="inlineStr">
        <is>
          <t>CÔNG TY TNHH DỊCH VỤ - THƯƠNG MẠI THÉP THIÊN LONG</t>
        </is>
      </c>
      <c r="I2837" s="18" t="inlineStr">
        <is>
          <t>Thép tấm 8ly</t>
        </is>
      </c>
      <c r="J2837" s="18" t="inlineStr">
        <is>
          <t>kg</t>
        </is>
      </c>
      <c r="K2837" s="19" t="n">
        <v>13636.36</v>
      </c>
      <c r="L2837" s="21" t="n"/>
      <c r="M2837" s="22" t="n"/>
      <c r="N2837" s="22" t="n">
        <v>13564.8</v>
      </c>
      <c r="O2837" s="22" t="n">
        <v>184974496</v>
      </c>
      <c r="P2837" s="22" t="n">
        <v>13564.8</v>
      </c>
      <c r="Q2837" s="22" t="n">
        <v>184974496</v>
      </c>
      <c r="R2837" s="42">
        <f>+L2837+N2837-P2837</f>
        <v/>
      </c>
      <c r="S2837" s="42">
        <f>+M2837+O2837-Q2837</f>
        <v/>
      </c>
    </row>
    <row r="2838" ht="30" customHeight="1">
      <c r="A2838" s="16" t="n">
        <v>45909</v>
      </c>
      <c r="B2838" s="17" t="inlineStr">
        <is>
          <t>MH2509-22</t>
        </is>
      </c>
      <c r="C2838" s="16" t="n">
        <v>45909</v>
      </c>
      <c r="D2838" s="17" t="inlineStr">
        <is>
          <t>00003548</t>
        </is>
      </c>
      <c r="E2838" s="16" t="n">
        <v>45909</v>
      </c>
      <c r="F2838" s="16" t="inlineStr">
        <is>
          <t>XK2509-17</t>
        </is>
      </c>
      <c r="G2838" s="16" t="n">
        <v>45909</v>
      </c>
      <c r="H2838" s="17" t="inlineStr">
        <is>
          <t>CÔNG TY CỔ PHẦN CÔNG NGHIỆP VÀ THƯƠNG MẠI CƯỜNG THỊNH</t>
        </is>
      </c>
      <c r="I2838" s="18" t="inlineStr">
        <is>
          <t>Ty giằng 2 đầu ren 4.6 Ф11.3-11.5mm ZP M12</t>
        </is>
      </c>
      <c r="J2838" s="18" t="inlineStr">
        <is>
          <t>Mét</t>
        </is>
      </c>
      <c r="K2838" s="19" t="n">
        <v>20500</v>
      </c>
      <c r="L2838" s="21" t="n"/>
      <c r="M2838" s="22" t="n"/>
      <c r="N2838" s="22" t="n">
        <v>1098</v>
      </c>
      <c r="O2838" s="22" t="n">
        <v>22509000</v>
      </c>
      <c r="P2838" s="22" t="n">
        <v>1098</v>
      </c>
      <c r="Q2838" s="22" t="n">
        <v>22509000</v>
      </c>
      <c r="R2838" s="42">
        <f>+L2838+N2838-P2838</f>
        <v/>
      </c>
      <c r="S2838" s="42">
        <f>+M2838+O2838-Q2838</f>
        <v/>
      </c>
    </row>
    <row r="2839" ht="30" customHeight="1">
      <c r="A2839" s="16" t="n">
        <v>45909</v>
      </c>
      <c r="B2839" s="17" t="inlineStr">
        <is>
          <t>MH2509-22</t>
        </is>
      </c>
      <c r="C2839" s="16" t="n">
        <v>45909</v>
      </c>
      <c r="D2839" s="17" t="inlineStr">
        <is>
          <t>00003548</t>
        </is>
      </c>
      <c r="E2839" s="16" t="n">
        <v>45909</v>
      </c>
      <c r="F2839" s="16" t="inlineStr">
        <is>
          <t>XK2509-17</t>
        </is>
      </c>
      <c r="G2839" s="16" t="n">
        <v>45909</v>
      </c>
      <c r="H2839" s="17" t="inlineStr">
        <is>
          <t>CÔNG TY CỔ PHẦN CÔNG NGHIỆP VÀ THƯƠNG MẠI CƯỜNG THỊNH</t>
        </is>
      </c>
      <c r="I2839" s="18" t="inlineStr">
        <is>
          <t>Đai ốc thường 4 ZP M12 (9mm)</t>
        </is>
      </c>
      <c r="J2839" s="18" t="inlineStr">
        <is>
          <t>Cái</t>
        </is>
      </c>
      <c r="K2839" s="19" t="n">
        <v>360</v>
      </c>
      <c r="L2839" s="21" t="n"/>
      <c r="M2839" s="22" t="n"/>
      <c r="N2839" s="22" t="n">
        <v>4524</v>
      </c>
      <c r="O2839" s="22" t="n">
        <v>1628640</v>
      </c>
      <c r="P2839" s="22" t="n">
        <v>4524</v>
      </c>
      <c r="Q2839" s="22" t="n">
        <v>1628640</v>
      </c>
      <c r="R2839" s="42">
        <f>+L2839+N2839-P2839</f>
        <v/>
      </c>
      <c r="S2839" s="42">
        <f>+M2839+O2839-Q2839</f>
        <v/>
      </c>
    </row>
    <row r="2840" ht="30" customHeight="1">
      <c r="A2840" s="16" t="n">
        <v>45909</v>
      </c>
      <c r="B2840" s="17" t="inlineStr">
        <is>
          <t>MH2509-22</t>
        </is>
      </c>
      <c r="C2840" s="16" t="n">
        <v>45909</v>
      </c>
      <c r="D2840" s="17" t="inlineStr">
        <is>
          <t>00003548</t>
        </is>
      </c>
      <c r="E2840" s="16" t="n">
        <v>45909</v>
      </c>
      <c r="F2840" s="16" t="inlineStr">
        <is>
          <t>XK2509-17</t>
        </is>
      </c>
      <c r="G2840" s="16" t="n">
        <v>45909</v>
      </c>
      <c r="H2840" s="17" t="inlineStr">
        <is>
          <t>CÔNG TY CỔ PHẦN CÔNG NGHIỆP VÀ THƯƠNG MẠI CƯỜNG THỊNH</t>
        </is>
      </c>
      <c r="I2840" s="18" t="inlineStr">
        <is>
          <t>Long đền thường ZP M12B26D1.5</t>
        </is>
      </c>
      <c r="J2840" s="18" t="inlineStr">
        <is>
          <t>Cái</t>
        </is>
      </c>
      <c r="K2840" s="19" t="n">
        <v>170</v>
      </c>
      <c r="L2840" s="21" t="n"/>
      <c r="M2840" s="22" t="n"/>
      <c r="N2840" s="22" t="n">
        <v>4524</v>
      </c>
      <c r="O2840" s="22" t="n">
        <v>769080</v>
      </c>
      <c r="P2840" s="22" t="n">
        <v>4524</v>
      </c>
      <c r="Q2840" s="22" t="n">
        <v>769080</v>
      </c>
      <c r="R2840" s="42">
        <f>+L2840+N2840-P2840</f>
        <v/>
      </c>
      <c r="S2840" s="42">
        <f>+M2840+O2840-Q2840</f>
        <v/>
      </c>
    </row>
    <row r="2841" ht="30" customHeight="1">
      <c r="A2841" s="16" t="n">
        <v>45909</v>
      </c>
      <c r="B2841" s="17" t="inlineStr">
        <is>
          <t>MH2509-22</t>
        </is>
      </c>
      <c r="C2841" s="16" t="n">
        <v>45909</v>
      </c>
      <c r="D2841" s="17" t="inlineStr">
        <is>
          <t>00003548</t>
        </is>
      </c>
      <c r="E2841" s="16" t="n">
        <v>45909</v>
      </c>
      <c r="F2841" s="16" t="inlineStr">
        <is>
          <t>XK2509-17</t>
        </is>
      </c>
      <c r="G2841" s="16" t="n">
        <v>45909</v>
      </c>
      <c r="H2841" s="17" t="inlineStr">
        <is>
          <t>CÔNG TY CỔ PHẦN CÔNG NGHIỆP VÀ THƯƠNG MẠI CƯỜNG THỊNH</t>
        </is>
      </c>
      <c r="I2841" s="18" t="inlineStr">
        <is>
          <t>Ty giằng 2 đầu ren 4.6 Ф11.3-11.5mm ZP M12</t>
        </is>
      </c>
      <c r="J2841" s="18" t="inlineStr">
        <is>
          <t>Mét</t>
        </is>
      </c>
      <c r="K2841" s="19" t="n">
        <v>22500</v>
      </c>
      <c r="L2841" s="21" t="n"/>
      <c r="M2841" s="22" t="n"/>
      <c r="N2841" s="22" t="n">
        <v>95.8</v>
      </c>
      <c r="O2841" s="22" t="n">
        <v>2155500</v>
      </c>
      <c r="P2841" s="22" t="n">
        <v>95.8</v>
      </c>
      <c r="Q2841" s="22" t="n">
        <v>2155500</v>
      </c>
      <c r="R2841" s="42">
        <f>+L2841+N2841-P2841</f>
        <v/>
      </c>
      <c r="S2841" s="42">
        <f>+M2841+O2841-Q2841</f>
        <v/>
      </c>
    </row>
    <row r="2842" ht="30" customHeight="1">
      <c r="A2842" s="16" t="n">
        <v>45909</v>
      </c>
      <c r="B2842" s="17" t="inlineStr">
        <is>
          <t>MH2509-22</t>
        </is>
      </c>
      <c r="C2842" s="16" t="n">
        <v>45909</v>
      </c>
      <c r="D2842" s="17" t="inlineStr">
        <is>
          <t>00003548</t>
        </is>
      </c>
      <c r="E2842" s="16" t="n">
        <v>45909</v>
      </c>
      <c r="F2842" s="16" t="inlineStr">
        <is>
          <t>XK2509-17</t>
        </is>
      </c>
      <c r="G2842" s="16" t="n">
        <v>45909</v>
      </c>
      <c r="H2842" s="17" t="inlineStr">
        <is>
          <t>CÔNG TY CỔ PHẦN CÔNG NGHIỆP VÀ THƯƠNG MẠI CƯỜNG THỊNH</t>
        </is>
      </c>
      <c r="I2842" s="18" t="inlineStr">
        <is>
          <t>Ty giằng 2 đầu ren 4.6 ZP M16</t>
        </is>
      </c>
      <c r="J2842" s="18" t="inlineStr">
        <is>
          <t>Mét</t>
        </is>
      </c>
      <c r="K2842" s="19" t="n">
        <v>48000</v>
      </c>
      <c r="L2842" s="21" t="n"/>
      <c r="M2842" s="22" t="n"/>
      <c r="N2842" s="22" t="n">
        <v>677.4</v>
      </c>
      <c r="O2842" s="22" t="n">
        <v>32515200</v>
      </c>
      <c r="P2842" s="22" t="n">
        <v>677.4</v>
      </c>
      <c r="Q2842" s="22" t="n">
        <v>32515200</v>
      </c>
      <c r="R2842" s="42">
        <f>+L2842+N2842-P2842</f>
        <v/>
      </c>
      <c r="S2842" s="42">
        <f>+M2842+O2842-Q2842</f>
        <v/>
      </c>
    </row>
    <row r="2843" ht="30" customHeight="1">
      <c r="A2843" s="16" t="n">
        <v>45909</v>
      </c>
      <c r="B2843" s="17" t="inlineStr">
        <is>
          <t>MH2509-22</t>
        </is>
      </c>
      <c r="C2843" s="16" t="n">
        <v>45909</v>
      </c>
      <c r="D2843" s="17" t="inlineStr">
        <is>
          <t>00003548</t>
        </is>
      </c>
      <c r="E2843" s="16" t="n">
        <v>45909</v>
      </c>
      <c r="F2843" s="16" t="inlineStr">
        <is>
          <t>XK2509-17</t>
        </is>
      </c>
      <c r="G2843" s="16" t="n">
        <v>45909</v>
      </c>
      <c r="H2843" s="17" t="inlineStr">
        <is>
          <t>CÔNG TY CỔ PHẦN CÔNG NGHIỆP VÀ THƯƠNG MẠI CƯỜNG THỊNH</t>
        </is>
      </c>
      <c r="I2843" s="18" t="inlineStr">
        <is>
          <t>Đai ốc Din 934 5 ZP M16</t>
        </is>
      </c>
      <c r="J2843" s="18" t="inlineStr">
        <is>
          <t>Cái</t>
        </is>
      </c>
      <c r="K2843" s="19" t="n">
        <v>990</v>
      </c>
      <c r="L2843" s="21" t="n"/>
      <c r="M2843" s="22" t="n"/>
      <c r="N2843" s="22" t="n">
        <v>120</v>
      </c>
      <c r="O2843" s="22" t="n">
        <v>118800</v>
      </c>
      <c r="P2843" s="22" t="n">
        <v>120</v>
      </c>
      <c r="Q2843" s="22" t="n">
        <v>118800</v>
      </c>
      <c r="R2843" s="42">
        <f>+L2843+N2843-P2843</f>
        <v/>
      </c>
      <c r="S2843" s="42">
        <f>+M2843+O2843-Q2843</f>
        <v/>
      </c>
    </row>
    <row r="2844" ht="30" customHeight="1">
      <c r="A2844" s="16" t="n">
        <v>45909</v>
      </c>
      <c r="B2844" s="17" t="inlineStr">
        <is>
          <t>MH2509-22</t>
        </is>
      </c>
      <c r="C2844" s="16" t="n">
        <v>45909</v>
      </c>
      <c r="D2844" s="17" t="inlineStr">
        <is>
          <t>00003548</t>
        </is>
      </c>
      <c r="E2844" s="16" t="n">
        <v>45909</v>
      </c>
      <c r="F2844" s="16" t="inlineStr">
        <is>
          <t>XK2509-17</t>
        </is>
      </c>
      <c r="G2844" s="16" t="n">
        <v>45909</v>
      </c>
      <c r="H2844" s="17" t="inlineStr">
        <is>
          <t>CÔNG TY CỔ PHẦN CÔNG NGHIỆP VÀ THƯƠNG MẠI CƯỜNG THỊNH</t>
        </is>
      </c>
      <c r="I2844" s="18" t="inlineStr">
        <is>
          <t>Long đền móng ngựa ZP M16</t>
        </is>
      </c>
      <c r="J2844" s="18" t="inlineStr">
        <is>
          <t>Cái</t>
        </is>
      </c>
      <c r="K2844" s="19" t="n">
        <v>14830</v>
      </c>
      <c r="L2844" s="21" t="n"/>
      <c r="M2844" s="22" t="n"/>
      <c r="N2844" s="22" t="n">
        <v>120</v>
      </c>
      <c r="O2844" s="22" t="n">
        <v>1779600</v>
      </c>
      <c r="P2844" s="22" t="n">
        <v>120</v>
      </c>
      <c r="Q2844" s="22" t="n">
        <v>1779600</v>
      </c>
      <c r="R2844" s="42">
        <f>+L2844+N2844-P2844</f>
        <v/>
      </c>
      <c r="S2844" s="42">
        <f>+M2844+O2844-Q2844</f>
        <v/>
      </c>
    </row>
    <row r="2845" ht="30" customHeight="1">
      <c r="A2845" s="16" t="n">
        <v>45909</v>
      </c>
      <c r="B2845" s="17" t="inlineStr">
        <is>
          <t>MH2509-22</t>
        </is>
      </c>
      <c r="C2845" s="16" t="n">
        <v>45909</v>
      </c>
      <c r="D2845" s="17" t="inlineStr">
        <is>
          <t>00003548</t>
        </is>
      </c>
      <c r="E2845" s="16" t="n">
        <v>45909</v>
      </c>
      <c r="F2845" s="16" t="inlineStr">
        <is>
          <t>XK2509-17</t>
        </is>
      </c>
      <c r="G2845" s="16" t="n">
        <v>45909</v>
      </c>
      <c r="H2845" s="17" t="inlineStr">
        <is>
          <t>CÔNG TY CỔ PHẦN CÔNG NGHIỆP VÀ THƯƠNG MẠI CƯỜNG THỊNH</t>
        </is>
      </c>
      <c r="I2845" s="18" t="inlineStr">
        <is>
          <t>Long đền thường ZP M16B42D2</t>
        </is>
      </c>
      <c r="J2845" s="18" t="inlineStr">
        <is>
          <t>Cái</t>
        </is>
      </c>
      <c r="K2845" s="19" t="n">
        <v>700</v>
      </c>
      <c r="L2845" s="21" t="n"/>
      <c r="M2845" s="22" t="n"/>
      <c r="N2845" s="22" t="n">
        <v>120</v>
      </c>
      <c r="O2845" s="22" t="n">
        <v>84000</v>
      </c>
      <c r="P2845" s="22" t="n">
        <v>120</v>
      </c>
      <c r="Q2845" s="22" t="n">
        <v>84000</v>
      </c>
      <c r="R2845" s="42">
        <f>+L2845+N2845-P2845</f>
        <v/>
      </c>
      <c r="S2845" s="42">
        <f>+M2845+O2845-Q2845</f>
        <v/>
      </c>
    </row>
    <row r="2846" ht="30" customHeight="1">
      <c r="A2846" s="16" t="n">
        <v>45909</v>
      </c>
      <c r="B2846" s="17" t="inlineStr">
        <is>
          <t>MH2509-22</t>
        </is>
      </c>
      <c r="C2846" s="16" t="n">
        <v>45909</v>
      </c>
      <c r="D2846" s="17" t="inlineStr">
        <is>
          <t>00003548</t>
        </is>
      </c>
      <c r="E2846" s="16" t="n">
        <v>45909</v>
      </c>
      <c r="F2846" s="16" t="inlineStr">
        <is>
          <t>XK2509-17</t>
        </is>
      </c>
      <c r="G2846" s="16" t="n">
        <v>45909</v>
      </c>
      <c r="H2846" s="17" t="inlineStr">
        <is>
          <t>CÔNG TY CỔ PHẦN CÔNG NGHIỆP VÀ THƯƠNG MẠI CƯỜNG THỊNH</t>
        </is>
      </c>
      <c r="I2846" s="18" t="inlineStr">
        <is>
          <t>Nối Ty ZP M16x100 (23mm)</t>
        </is>
      </c>
      <c r="J2846" s="18" t="inlineStr">
        <is>
          <t>Cái</t>
        </is>
      </c>
      <c r="K2846" s="19" t="n">
        <v>19960</v>
      </c>
      <c r="L2846" s="21" t="n"/>
      <c r="M2846" s="22" t="n"/>
      <c r="N2846" s="22" t="n">
        <v>70</v>
      </c>
      <c r="O2846" s="22" t="n">
        <v>1397200</v>
      </c>
      <c r="P2846" s="22" t="n">
        <v>70</v>
      </c>
      <c r="Q2846" s="22" t="n">
        <v>1397200</v>
      </c>
      <c r="R2846" s="42">
        <f>+L2846+N2846-P2846</f>
        <v/>
      </c>
      <c r="S2846" s="42">
        <f>+M2846+O2846-Q2846</f>
        <v/>
      </c>
    </row>
    <row r="2847" ht="30" customHeight="1">
      <c r="A2847" s="16" t="n">
        <v>45909</v>
      </c>
      <c r="B2847" s="17" t="inlineStr">
        <is>
          <t>MH2509-23</t>
        </is>
      </c>
      <c r="C2847" s="16" t="n">
        <v>45909</v>
      </c>
      <c r="D2847" s="17" t="inlineStr">
        <is>
          <t>00003546</t>
        </is>
      </c>
      <c r="E2847" s="16" t="n">
        <v>45909</v>
      </c>
      <c r="F2847" s="16" t="inlineStr">
        <is>
          <t>XK2509-18</t>
        </is>
      </c>
      <c r="G2847" s="16" t="n">
        <v>45909</v>
      </c>
      <c r="H2847" s="17" t="inlineStr">
        <is>
          <t>CÔNG TY CỔ PHẦN CÔNG NGHIỆP VÀ THƯƠNG MẠI CƯỜNG THỊNH</t>
        </is>
      </c>
      <c r="I2847" s="18" t="inlineStr">
        <is>
          <t>Ty giằng 2 đầu ren 4.6 ZP M20</t>
        </is>
      </c>
      <c r="J2847" s="18" t="inlineStr">
        <is>
          <t>Mét</t>
        </is>
      </c>
      <c r="K2847" s="19" t="n">
        <v>69000</v>
      </c>
      <c r="L2847" s="21" t="n"/>
      <c r="M2847" s="22" t="n"/>
      <c r="N2847" s="22" t="n">
        <v>225.9</v>
      </c>
      <c r="O2847" s="22" t="n">
        <v>15587100</v>
      </c>
      <c r="P2847" s="22" t="n">
        <v>225.9</v>
      </c>
      <c r="Q2847" s="22" t="n">
        <v>15587100</v>
      </c>
      <c r="R2847" s="42">
        <f>+L2847+N2847-P2847</f>
        <v/>
      </c>
      <c r="S2847" s="42">
        <f>+M2847+O2847-Q2847</f>
        <v/>
      </c>
    </row>
    <row r="2848" ht="30" customHeight="1">
      <c r="A2848" s="16" t="n">
        <v>45909</v>
      </c>
      <c r="B2848" s="17" t="inlineStr">
        <is>
          <t>MH2509-23</t>
        </is>
      </c>
      <c r="C2848" s="16" t="n">
        <v>45909</v>
      </c>
      <c r="D2848" s="17" t="inlineStr">
        <is>
          <t>00003546</t>
        </is>
      </c>
      <c r="E2848" s="16" t="n">
        <v>45909</v>
      </c>
      <c r="F2848" s="16" t="inlineStr">
        <is>
          <t>XK2509-18</t>
        </is>
      </c>
      <c r="G2848" s="16" t="n">
        <v>45909</v>
      </c>
      <c r="H2848" s="17" t="inlineStr">
        <is>
          <t>CÔNG TY CỔ PHẦN CÔNG NGHIỆP VÀ THƯƠNG MẠI CƯỜNG THỊNH</t>
        </is>
      </c>
      <c r="I2848" s="18" t="inlineStr">
        <is>
          <t>Đai ốc Din 934 5 ZP M20</t>
        </is>
      </c>
      <c r="J2848" s="18" t="inlineStr">
        <is>
          <t>Cái</t>
        </is>
      </c>
      <c r="K2848" s="19" t="n">
        <v>1850</v>
      </c>
      <c r="L2848" s="21" t="n"/>
      <c r="M2848" s="22" t="n"/>
      <c r="N2848" s="22" t="n">
        <v>68</v>
      </c>
      <c r="O2848" s="22" t="n">
        <v>125800</v>
      </c>
      <c r="P2848" s="22" t="n">
        <v>68</v>
      </c>
      <c r="Q2848" s="22" t="n">
        <v>125800</v>
      </c>
      <c r="R2848" s="42">
        <f>+L2848+N2848-P2848</f>
        <v/>
      </c>
      <c r="S2848" s="42">
        <f>+M2848+O2848-Q2848</f>
        <v/>
      </c>
    </row>
    <row r="2849" ht="30" customHeight="1">
      <c r="A2849" s="16" t="n">
        <v>45909</v>
      </c>
      <c r="B2849" s="17" t="inlineStr">
        <is>
          <t>MH2509-23</t>
        </is>
      </c>
      <c r="C2849" s="16" t="n">
        <v>45909</v>
      </c>
      <c r="D2849" s="17" t="inlineStr">
        <is>
          <t>00003546</t>
        </is>
      </c>
      <c r="E2849" s="16" t="n">
        <v>45909</v>
      </c>
      <c r="F2849" s="16" t="inlineStr">
        <is>
          <t>XK2509-18</t>
        </is>
      </c>
      <c r="G2849" s="16" t="n">
        <v>45909</v>
      </c>
      <c r="H2849" s="17" t="inlineStr">
        <is>
          <t>CÔNG TY CỔ PHẦN CÔNG NGHIỆP VÀ THƯƠNG MẠI CƯỜNG THỊNH</t>
        </is>
      </c>
      <c r="I2849" s="18" t="inlineStr">
        <is>
          <t>Long đền thường ZP M20B42D2</t>
        </is>
      </c>
      <c r="J2849" s="18" t="inlineStr">
        <is>
          <t>Cái</t>
        </is>
      </c>
      <c r="K2849" s="19" t="n">
        <v>700</v>
      </c>
      <c r="L2849" s="21" t="n"/>
      <c r="M2849" s="22" t="n"/>
      <c r="N2849" s="22" t="n">
        <v>68</v>
      </c>
      <c r="O2849" s="22" t="n">
        <v>47600</v>
      </c>
      <c r="P2849" s="22" t="n">
        <v>68</v>
      </c>
      <c r="Q2849" s="22" t="n">
        <v>47600</v>
      </c>
      <c r="R2849" s="42">
        <f>+L2849+N2849-P2849</f>
        <v/>
      </c>
      <c r="S2849" s="42">
        <f>+M2849+O2849-Q2849</f>
        <v/>
      </c>
    </row>
    <row r="2850" ht="30" customHeight="1">
      <c r="A2850" s="16" t="n">
        <v>45909</v>
      </c>
      <c r="B2850" s="17" t="inlineStr">
        <is>
          <t>MH2509-23</t>
        </is>
      </c>
      <c r="C2850" s="16" t="n">
        <v>45909</v>
      </c>
      <c r="D2850" s="17" t="inlineStr">
        <is>
          <t>00003546</t>
        </is>
      </c>
      <c r="E2850" s="16" t="n">
        <v>45909</v>
      </c>
      <c r="F2850" s="16" t="inlineStr">
        <is>
          <t>XK2509-18</t>
        </is>
      </c>
      <c r="G2850" s="16" t="n">
        <v>45909</v>
      </c>
      <c r="H2850" s="17" t="inlineStr">
        <is>
          <t>CÔNG TY CỔ PHẦN CÔNG NGHIỆP VÀ THƯƠNG MẠI CƯỜNG THỊNH</t>
        </is>
      </c>
      <c r="I2850" s="18" t="inlineStr">
        <is>
          <t>Long đền móng ngựa ZP M20</t>
        </is>
      </c>
      <c r="J2850" s="18" t="inlineStr">
        <is>
          <t>Cái</t>
        </is>
      </c>
      <c r="K2850" s="19" t="n">
        <v>15590</v>
      </c>
      <c r="L2850" s="21" t="n"/>
      <c r="M2850" s="22" t="n"/>
      <c r="N2850" s="22" t="n">
        <v>68</v>
      </c>
      <c r="O2850" s="22" t="n">
        <v>1060120</v>
      </c>
      <c r="P2850" s="22" t="n">
        <v>68</v>
      </c>
      <c r="Q2850" s="22" t="n">
        <v>1060120</v>
      </c>
      <c r="R2850" s="42">
        <f>+L2850+N2850-P2850</f>
        <v/>
      </c>
      <c r="S2850" s="42">
        <f>+M2850+O2850-Q2850</f>
        <v/>
      </c>
    </row>
    <row r="2851" ht="30" customHeight="1">
      <c r="A2851" s="16" t="n">
        <v>45909</v>
      </c>
      <c r="B2851" s="17" t="inlineStr">
        <is>
          <t>MH2509-23</t>
        </is>
      </c>
      <c r="C2851" s="16" t="n">
        <v>45909</v>
      </c>
      <c r="D2851" s="17" t="inlineStr">
        <is>
          <t>00003546</t>
        </is>
      </c>
      <c r="E2851" s="16" t="n">
        <v>45909</v>
      </c>
      <c r="F2851" s="16" t="inlineStr">
        <is>
          <t>XK2509-18</t>
        </is>
      </c>
      <c r="G2851" s="16" t="n">
        <v>45909</v>
      </c>
      <c r="H2851" s="17" t="inlineStr">
        <is>
          <t>CÔNG TY CỔ PHẦN CÔNG NGHIỆP VÀ THƯƠNG MẠI CƯỜNG THỊNH</t>
        </is>
      </c>
      <c r="I2851" s="18" t="inlineStr">
        <is>
          <t>Nối Ty ZP M20x100(28mm)</t>
        </is>
      </c>
      <c r="J2851" s="18" t="inlineStr">
        <is>
          <t>Cái</t>
        </is>
      </c>
      <c r="K2851" s="19" t="n">
        <v>24470</v>
      </c>
      <c r="L2851" s="21" t="n"/>
      <c r="M2851" s="22" t="n"/>
      <c r="N2851" s="22" t="n">
        <v>26</v>
      </c>
      <c r="O2851" s="22" t="n">
        <v>636220</v>
      </c>
      <c r="P2851" s="22" t="n">
        <v>26</v>
      </c>
      <c r="Q2851" s="22" t="n">
        <v>636220</v>
      </c>
      <c r="R2851" s="42">
        <f>+L2851+N2851-P2851</f>
        <v/>
      </c>
      <c r="S2851" s="42">
        <f>+M2851+O2851-Q2851</f>
        <v/>
      </c>
    </row>
    <row r="2852" ht="30" customHeight="1">
      <c r="A2852" s="16" t="n">
        <v>45909</v>
      </c>
      <c r="B2852" s="17" t="inlineStr">
        <is>
          <t>MH2509-23</t>
        </is>
      </c>
      <c r="C2852" s="16" t="n">
        <v>45909</v>
      </c>
      <c r="D2852" s="17" t="inlineStr">
        <is>
          <t>00003546</t>
        </is>
      </c>
      <c r="E2852" s="16" t="n">
        <v>45909</v>
      </c>
      <c r="F2852" s="16" t="inlineStr">
        <is>
          <t>XK2509-18</t>
        </is>
      </c>
      <c r="G2852" s="16" t="n">
        <v>45909</v>
      </c>
      <c r="H2852" s="17" t="inlineStr">
        <is>
          <t>CÔNG TY CỔ PHẦN CÔNG NGHIỆP VÀ THƯƠNG MẠI CƯỜNG THỊNH</t>
        </is>
      </c>
      <c r="I2852" s="18" t="inlineStr">
        <is>
          <t>Ty giằng 2 đầu ren 4.6 Ф11.3-11.5mm ZP M12</t>
        </is>
      </c>
      <c r="J2852" s="18" t="inlineStr">
        <is>
          <t>Mét</t>
        </is>
      </c>
      <c r="K2852" s="19" t="n">
        <v>20500</v>
      </c>
      <c r="L2852" s="21" t="n"/>
      <c r="M2852" s="22" t="n"/>
      <c r="N2852" s="22" t="n">
        <v>209.2</v>
      </c>
      <c r="O2852" s="22" t="n">
        <v>4288600</v>
      </c>
      <c r="P2852" s="22" t="n">
        <v>209.2</v>
      </c>
      <c r="Q2852" s="22" t="n">
        <v>4288600</v>
      </c>
      <c r="R2852" s="42">
        <f>+L2852+N2852-P2852</f>
        <v/>
      </c>
      <c r="S2852" s="42">
        <f>+M2852+O2852-Q2852</f>
        <v/>
      </c>
    </row>
    <row r="2853" ht="30" customHeight="1">
      <c r="A2853" s="16" t="n">
        <v>45909</v>
      </c>
      <c r="B2853" s="17" t="inlineStr">
        <is>
          <t>MH2509-23</t>
        </is>
      </c>
      <c r="C2853" s="16" t="n">
        <v>45909</v>
      </c>
      <c r="D2853" s="17" t="inlineStr">
        <is>
          <t>00003546</t>
        </is>
      </c>
      <c r="E2853" s="16" t="n">
        <v>45909</v>
      </c>
      <c r="F2853" s="16" t="inlineStr">
        <is>
          <t>XK2509-18</t>
        </is>
      </c>
      <c r="G2853" s="16" t="n">
        <v>45909</v>
      </c>
      <c r="H2853" s="17" t="inlineStr">
        <is>
          <t>CÔNG TY CỔ PHẦN CÔNG NGHIỆP VÀ THƯƠNG MẠI CƯỜNG THỊNH</t>
        </is>
      </c>
      <c r="I2853" s="18" t="inlineStr">
        <is>
          <t>Đai ốc thường 4 ZP M12 (9mm)</t>
        </is>
      </c>
      <c r="J2853" s="18" t="inlineStr">
        <is>
          <t>Cái</t>
        </is>
      </c>
      <c r="K2853" s="19" t="n">
        <v>360</v>
      </c>
      <c r="L2853" s="21" t="n"/>
      <c r="M2853" s="22" t="n"/>
      <c r="N2853" s="22" t="n">
        <v>1124</v>
      </c>
      <c r="O2853" s="22" t="n">
        <v>404640</v>
      </c>
      <c r="P2853" s="22" t="n">
        <v>1124</v>
      </c>
      <c r="Q2853" s="22" t="n">
        <v>404640</v>
      </c>
      <c r="R2853" s="42">
        <f>+L2853+N2853-P2853</f>
        <v/>
      </c>
      <c r="S2853" s="42">
        <f>+M2853+O2853-Q2853</f>
        <v/>
      </c>
    </row>
    <row r="2854" ht="30" customHeight="1">
      <c r="A2854" s="16" t="n">
        <v>45909</v>
      </c>
      <c r="B2854" s="17" t="inlineStr">
        <is>
          <t>MH2509-23</t>
        </is>
      </c>
      <c r="C2854" s="16" t="n">
        <v>45909</v>
      </c>
      <c r="D2854" s="17" t="inlineStr">
        <is>
          <t>00003546</t>
        </is>
      </c>
      <c r="E2854" s="16" t="n">
        <v>45909</v>
      </c>
      <c r="F2854" s="16" t="inlineStr">
        <is>
          <t>XK2509-18</t>
        </is>
      </c>
      <c r="G2854" s="16" t="n">
        <v>45909</v>
      </c>
      <c r="H2854" s="17" t="inlineStr">
        <is>
          <t>CÔNG TY CỔ PHẦN CÔNG NGHIỆP VÀ THƯƠNG MẠI CƯỜNG THỊNH</t>
        </is>
      </c>
      <c r="I2854" s="18" t="inlineStr">
        <is>
          <t>Long đền thường ZP M12B26D1.5</t>
        </is>
      </c>
      <c r="J2854" s="18" t="inlineStr">
        <is>
          <t>Cái</t>
        </is>
      </c>
      <c r="K2854" s="19" t="n">
        <v>170</v>
      </c>
      <c r="L2854" s="21" t="n"/>
      <c r="M2854" s="22" t="n"/>
      <c r="N2854" s="22" t="n">
        <v>1124</v>
      </c>
      <c r="O2854" s="22" t="n">
        <v>191080</v>
      </c>
      <c r="P2854" s="22" t="n">
        <v>1124</v>
      </c>
      <c r="Q2854" s="22" t="n">
        <v>191080</v>
      </c>
      <c r="R2854" s="42">
        <f>+L2854+N2854-P2854</f>
        <v/>
      </c>
      <c r="S2854" s="42">
        <f>+M2854+O2854-Q2854</f>
        <v/>
      </c>
    </row>
    <row r="2855" ht="30" customHeight="1">
      <c r="A2855" s="16" t="n">
        <v>45909</v>
      </c>
      <c r="B2855" s="17" t="inlineStr">
        <is>
          <t>MH2509-23</t>
        </is>
      </c>
      <c r="C2855" s="16" t="n">
        <v>45909</v>
      </c>
      <c r="D2855" s="17" t="inlineStr">
        <is>
          <t>00003546</t>
        </is>
      </c>
      <c r="E2855" s="16" t="n">
        <v>45909</v>
      </c>
      <c r="F2855" s="16" t="inlineStr">
        <is>
          <t>XK2509-18</t>
        </is>
      </c>
      <c r="G2855" s="16" t="n">
        <v>45909</v>
      </c>
      <c r="H2855" s="17" t="inlineStr">
        <is>
          <t>CÔNG TY CỔ PHẦN CÔNG NGHIỆP VÀ THƯƠNG MẠI CƯỜNG THỊNH</t>
        </is>
      </c>
      <c r="I2855" s="18" t="inlineStr">
        <is>
          <t>Ty giằng 2 đầu ren 4.6 Ф11.3-11.5mm ZP M12</t>
        </is>
      </c>
      <c r="J2855" s="18" t="inlineStr">
        <is>
          <t>Mét</t>
        </is>
      </c>
      <c r="K2855" s="19" t="n">
        <v>22500</v>
      </c>
      <c r="L2855" s="21" t="n"/>
      <c r="M2855" s="22" t="n"/>
      <c r="N2855" s="22" t="n">
        <v>43.5</v>
      </c>
      <c r="O2855" s="22" t="n">
        <v>978750</v>
      </c>
      <c r="P2855" s="22" t="n">
        <v>43.5</v>
      </c>
      <c r="Q2855" s="22" t="n">
        <v>978750</v>
      </c>
      <c r="R2855" s="42">
        <f>+L2855+N2855-P2855</f>
        <v/>
      </c>
      <c r="S2855" s="42">
        <f>+M2855+O2855-Q2855</f>
        <v/>
      </c>
    </row>
    <row r="2856" ht="30" customHeight="1">
      <c r="A2856" s="16" t="n">
        <v>45909</v>
      </c>
      <c r="B2856" s="17" t="inlineStr">
        <is>
          <t>MH2509-24</t>
        </is>
      </c>
      <c r="C2856" s="16" t="n">
        <v>45909</v>
      </c>
      <c r="D2856" s="17" t="inlineStr">
        <is>
          <t>00003545</t>
        </is>
      </c>
      <c r="E2856" s="16" t="n">
        <v>45909</v>
      </c>
      <c r="F2856" s="16" t="inlineStr">
        <is>
          <t>XK2509-19</t>
        </is>
      </c>
      <c r="G2856" s="16" t="n">
        <v>45909</v>
      </c>
      <c r="H2856" s="17" t="inlineStr">
        <is>
          <t>CÔNG TY CỔ PHẦN CÔNG NGHIỆP VÀ THƯƠNG MẠI CƯỜNG THỊNH</t>
        </is>
      </c>
      <c r="I2856" s="18" t="inlineStr">
        <is>
          <t>Ty giằng 2 đầu ren 4.6 ZP M20</t>
        </is>
      </c>
      <c r="J2856" s="18" t="inlineStr">
        <is>
          <t>Mét</t>
        </is>
      </c>
      <c r="K2856" s="19" t="n">
        <v>69000</v>
      </c>
      <c r="L2856" s="21" t="n"/>
      <c r="M2856" s="22" t="n"/>
      <c r="N2856" s="22" t="n">
        <v>1158.6</v>
      </c>
      <c r="O2856" s="22" t="n">
        <v>79943400</v>
      </c>
      <c r="P2856" s="22" t="n">
        <v>1158.6</v>
      </c>
      <c r="Q2856" s="22" t="n">
        <v>79943400</v>
      </c>
      <c r="R2856" s="42">
        <f>+L2856+N2856-P2856</f>
        <v/>
      </c>
      <c r="S2856" s="42">
        <f>+M2856+O2856-Q2856</f>
        <v/>
      </c>
    </row>
    <row r="2857" ht="30" customHeight="1">
      <c r="A2857" s="16" t="n">
        <v>45909</v>
      </c>
      <c r="B2857" s="17" t="inlineStr">
        <is>
          <t>MH2509-24</t>
        </is>
      </c>
      <c r="C2857" s="16" t="n">
        <v>45909</v>
      </c>
      <c r="D2857" s="17" t="inlineStr">
        <is>
          <t>00003545</t>
        </is>
      </c>
      <c r="E2857" s="16" t="n">
        <v>45909</v>
      </c>
      <c r="F2857" s="16" t="inlineStr">
        <is>
          <t>XK2509-19</t>
        </is>
      </c>
      <c r="G2857" s="16" t="n">
        <v>45909</v>
      </c>
      <c r="H2857" s="17" t="inlineStr">
        <is>
          <t>CÔNG TY CỔ PHẦN CÔNG NGHIỆP VÀ THƯƠNG MẠI CƯỜNG THỊNH</t>
        </is>
      </c>
      <c r="I2857" s="18" t="inlineStr">
        <is>
          <t>Đai ốc Din 934 5 ZP M20</t>
        </is>
      </c>
      <c r="J2857" s="18" t="inlineStr">
        <is>
          <t>Cái</t>
        </is>
      </c>
      <c r="K2857" s="19" t="n">
        <v>1850</v>
      </c>
      <c r="L2857" s="21" t="n"/>
      <c r="M2857" s="22" t="n"/>
      <c r="N2857" s="22" t="n">
        <v>228</v>
      </c>
      <c r="O2857" s="22" t="n">
        <v>421800</v>
      </c>
      <c r="P2857" s="22" t="n">
        <v>228</v>
      </c>
      <c r="Q2857" s="22" t="n">
        <v>421800</v>
      </c>
      <c r="R2857" s="42">
        <f>+L2857+N2857-P2857</f>
        <v/>
      </c>
      <c r="S2857" s="42">
        <f>+M2857+O2857-Q2857</f>
        <v/>
      </c>
    </row>
    <row r="2858" ht="30" customHeight="1">
      <c r="A2858" s="16" t="n">
        <v>45909</v>
      </c>
      <c r="B2858" s="17" t="inlineStr">
        <is>
          <t>MH2509-24</t>
        </is>
      </c>
      <c r="C2858" s="16" t="n">
        <v>45909</v>
      </c>
      <c r="D2858" s="17" t="inlineStr">
        <is>
          <t>00003545</t>
        </is>
      </c>
      <c r="E2858" s="16" t="n">
        <v>45909</v>
      </c>
      <c r="F2858" s="16" t="inlineStr">
        <is>
          <t>XK2509-19</t>
        </is>
      </c>
      <c r="G2858" s="16" t="n">
        <v>45909</v>
      </c>
      <c r="H2858" s="17" t="inlineStr">
        <is>
          <t>CÔNG TY CỔ PHẦN CÔNG NGHIỆP VÀ THƯƠNG MẠI CƯỜNG THỊNH</t>
        </is>
      </c>
      <c r="I2858" s="18" t="inlineStr">
        <is>
          <t>Long đền thường ZP M20B42D2</t>
        </is>
      </c>
      <c r="J2858" s="18" t="inlineStr">
        <is>
          <t>Cái</t>
        </is>
      </c>
      <c r="K2858" s="19" t="n">
        <v>700</v>
      </c>
      <c r="L2858" s="21" t="n"/>
      <c r="M2858" s="22" t="n"/>
      <c r="N2858" s="22" t="n">
        <v>228</v>
      </c>
      <c r="O2858" s="22" t="n">
        <v>159600</v>
      </c>
      <c r="P2858" s="22" t="n">
        <v>228</v>
      </c>
      <c r="Q2858" s="22" t="n">
        <v>159600</v>
      </c>
      <c r="R2858" s="42">
        <f>+L2858+N2858-P2858</f>
        <v/>
      </c>
      <c r="S2858" s="42">
        <f>+M2858+O2858-Q2858</f>
        <v/>
      </c>
    </row>
    <row r="2859" ht="30" customHeight="1">
      <c r="A2859" s="16" t="n">
        <v>45909</v>
      </c>
      <c r="B2859" s="17" t="inlineStr">
        <is>
          <t>MH2509-24</t>
        </is>
      </c>
      <c r="C2859" s="16" t="n">
        <v>45909</v>
      </c>
      <c r="D2859" s="17" t="inlineStr">
        <is>
          <t>00003545</t>
        </is>
      </c>
      <c r="E2859" s="16" t="n">
        <v>45909</v>
      </c>
      <c r="F2859" s="16" t="inlineStr">
        <is>
          <t>XK2509-19</t>
        </is>
      </c>
      <c r="G2859" s="16" t="n">
        <v>45909</v>
      </c>
      <c r="H2859" s="17" t="inlineStr">
        <is>
          <t>CÔNG TY CỔ PHẦN CÔNG NGHIỆP VÀ THƯƠNG MẠI CƯỜNG THỊNH</t>
        </is>
      </c>
      <c r="I2859" s="18" t="inlineStr">
        <is>
          <t>Long đền móng ngựa ZP M20</t>
        </is>
      </c>
      <c r="J2859" s="18" t="inlineStr">
        <is>
          <t>Cái</t>
        </is>
      </c>
      <c r="K2859" s="19" t="n">
        <v>15590</v>
      </c>
      <c r="L2859" s="21" t="n"/>
      <c r="M2859" s="22" t="n"/>
      <c r="N2859" s="22" t="n">
        <v>228</v>
      </c>
      <c r="O2859" s="22" t="n">
        <v>3554520</v>
      </c>
      <c r="P2859" s="22" t="n">
        <v>228</v>
      </c>
      <c r="Q2859" s="22" t="n">
        <v>3554520</v>
      </c>
      <c r="R2859" s="42">
        <f>+L2859+N2859-P2859</f>
        <v/>
      </c>
      <c r="S2859" s="42">
        <f>+M2859+O2859-Q2859</f>
        <v/>
      </c>
    </row>
    <row r="2860" ht="30" customHeight="1">
      <c r="A2860" s="16" t="n">
        <v>45909</v>
      </c>
      <c r="B2860" s="17" t="inlineStr">
        <is>
          <t>MH2509-24</t>
        </is>
      </c>
      <c r="C2860" s="16" t="n">
        <v>45909</v>
      </c>
      <c r="D2860" s="17" t="inlineStr">
        <is>
          <t>00003545</t>
        </is>
      </c>
      <c r="E2860" s="16" t="n">
        <v>45909</v>
      </c>
      <c r="F2860" s="16" t="inlineStr">
        <is>
          <t>XK2509-19</t>
        </is>
      </c>
      <c r="G2860" s="16" t="n">
        <v>45909</v>
      </c>
      <c r="H2860" s="17" t="inlineStr">
        <is>
          <t>CÔNG TY CỔ PHẦN CÔNG NGHIỆP VÀ THƯƠNG MẠI CƯỜNG THỊNH</t>
        </is>
      </c>
      <c r="I2860" s="18" t="inlineStr">
        <is>
          <t>Nối Ty ZP M20x100(28mm)</t>
        </is>
      </c>
      <c r="J2860" s="18" t="inlineStr">
        <is>
          <t>Cái</t>
        </is>
      </c>
      <c r="K2860" s="19" t="n">
        <v>24470</v>
      </c>
      <c r="L2860" s="21" t="n"/>
      <c r="M2860" s="22" t="n"/>
      <c r="N2860" s="22" t="n">
        <v>236</v>
      </c>
      <c r="O2860" s="22" t="n">
        <v>5774920</v>
      </c>
      <c r="P2860" s="22" t="n">
        <v>236</v>
      </c>
      <c r="Q2860" s="22" t="n">
        <v>5774920</v>
      </c>
      <c r="R2860" s="42">
        <f>+L2860+N2860-P2860</f>
        <v/>
      </c>
      <c r="S2860" s="42">
        <f>+M2860+O2860-Q2860</f>
        <v/>
      </c>
    </row>
    <row r="2861" ht="30" customHeight="1">
      <c r="A2861" s="16" t="n">
        <v>45909</v>
      </c>
      <c r="B2861" s="17" t="inlineStr">
        <is>
          <t>MH2509-24</t>
        </is>
      </c>
      <c r="C2861" s="16" t="n">
        <v>45909</v>
      </c>
      <c r="D2861" s="17" t="inlineStr">
        <is>
          <t>00003545</t>
        </is>
      </c>
      <c r="E2861" s="16" t="n">
        <v>45909</v>
      </c>
      <c r="F2861" s="16" t="inlineStr">
        <is>
          <t>XK2509-19</t>
        </is>
      </c>
      <c r="G2861" s="16" t="n">
        <v>45909</v>
      </c>
      <c r="H2861" s="17" t="inlineStr">
        <is>
          <t>CÔNG TY CỔ PHẦN CÔNG NGHIỆP VÀ THƯƠNG MẠI CƯỜNG THỊNH</t>
        </is>
      </c>
      <c r="I2861" s="18" t="inlineStr">
        <is>
          <t>Ty giằng 2 đầu ren 4.6 Ф11.3-11.5mm ZP M12</t>
        </is>
      </c>
      <c r="J2861" s="18" t="inlineStr">
        <is>
          <t>Mét</t>
        </is>
      </c>
      <c r="K2861" s="19" t="n">
        <v>20500</v>
      </c>
      <c r="L2861" s="21" t="n"/>
      <c r="M2861" s="22" t="n"/>
      <c r="N2861" s="22" t="n">
        <v>2790.7</v>
      </c>
      <c r="O2861" s="22" t="n">
        <v>57209350</v>
      </c>
      <c r="P2861" s="22" t="n">
        <v>2790.7</v>
      </c>
      <c r="Q2861" s="22" t="n">
        <v>57209350</v>
      </c>
      <c r="R2861" s="42">
        <f>+L2861+N2861-P2861</f>
        <v/>
      </c>
      <c r="S2861" s="42">
        <f>+M2861+O2861-Q2861</f>
        <v/>
      </c>
    </row>
    <row r="2862" ht="30" customHeight="1">
      <c r="A2862" s="16" t="n">
        <v>45909</v>
      </c>
      <c r="B2862" s="17" t="inlineStr">
        <is>
          <t>MH2509-24</t>
        </is>
      </c>
      <c r="C2862" s="16" t="n">
        <v>45909</v>
      </c>
      <c r="D2862" s="17" t="inlineStr">
        <is>
          <t>00003545</t>
        </is>
      </c>
      <c r="E2862" s="16" t="n">
        <v>45909</v>
      </c>
      <c r="F2862" s="16" t="inlineStr">
        <is>
          <t>XK2509-19</t>
        </is>
      </c>
      <c r="G2862" s="16" t="n">
        <v>45909</v>
      </c>
      <c r="H2862" s="17" t="inlineStr">
        <is>
          <t>CÔNG TY CỔ PHẦN CÔNG NGHIỆP VÀ THƯƠNG MẠI CƯỜNG THỊNH</t>
        </is>
      </c>
      <c r="I2862" s="18" t="inlineStr">
        <is>
          <t>Đai ốc thường 4 ZP M12 (9mm)</t>
        </is>
      </c>
      <c r="J2862" s="18" t="inlineStr">
        <is>
          <t>Cái</t>
        </is>
      </c>
      <c r="K2862" s="19" t="n">
        <v>360</v>
      </c>
      <c r="L2862" s="21" t="n"/>
      <c r="M2862" s="22" t="n"/>
      <c r="N2862" s="22" t="n">
        <v>11922</v>
      </c>
      <c r="O2862" s="22" t="n">
        <v>4291920</v>
      </c>
      <c r="P2862" s="22" t="n">
        <v>11922</v>
      </c>
      <c r="Q2862" s="22" t="n">
        <v>4291920</v>
      </c>
      <c r="R2862" s="42">
        <f>+L2862+N2862-P2862</f>
        <v/>
      </c>
      <c r="S2862" s="42">
        <f>+M2862+O2862-Q2862</f>
        <v/>
      </c>
    </row>
    <row r="2863" ht="30" customHeight="1">
      <c r="A2863" s="16" t="n">
        <v>45909</v>
      </c>
      <c r="B2863" s="17" t="inlineStr">
        <is>
          <t>MH2509-24</t>
        </is>
      </c>
      <c r="C2863" s="16" t="n">
        <v>45909</v>
      </c>
      <c r="D2863" s="17" t="inlineStr">
        <is>
          <t>00003545</t>
        </is>
      </c>
      <c r="E2863" s="16" t="n">
        <v>45909</v>
      </c>
      <c r="F2863" s="16" t="inlineStr">
        <is>
          <t>XK2509-19</t>
        </is>
      </c>
      <c r="G2863" s="16" t="n">
        <v>45909</v>
      </c>
      <c r="H2863" s="17" t="inlineStr">
        <is>
          <t>CÔNG TY CỔ PHẦN CÔNG NGHIỆP VÀ THƯƠNG MẠI CƯỜNG THỊNH</t>
        </is>
      </c>
      <c r="I2863" s="18" t="inlineStr">
        <is>
          <t>Long đền thường ZP M12B26D1.5</t>
        </is>
      </c>
      <c r="J2863" s="18" t="inlineStr">
        <is>
          <t>Cái</t>
        </is>
      </c>
      <c r="K2863" s="19" t="n">
        <v>170</v>
      </c>
      <c r="L2863" s="21" t="n"/>
      <c r="M2863" s="22" t="n"/>
      <c r="N2863" s="22" t="n">
        <v>11922</v>
      </c>
      <c r="O2863" s="22" t="n">
        <v>2026740</v>
      </c>
      <c r="P2863" s="22" t="n">
        <v>11922</v>
      </c>
      <c r="Q2863" s="22" t="n">
        <v>2026740</v>
      </c>
      <c r="R2863" s="42">
        <f>+L2863+N2863-P2863</f>
        <v/>
      </c>
      <c r="S2863" s="42">
        <f>+M2863+O2863-Q2863</f>
        <v/>
      </c>
    </row>
    <row r="2864" ht="30" customHeight="1">
      <c r="A2864" s="16" t="n">
        <v>45909</v>
      </c>
      <c r="B2864" s="17" t="inlineStr">
        <is>
          <t>MH2509-24</t>
        </is>
      </c>
      <c r="C2864" s="16" t="n">
        <v>45909</v>
      </c>
      <c r="D2864" s="17" t="inlineStr">
        <is>
          <t>00003545</t>
        </is>
      </c>
      <c r="E2864" s="16" t="n">
        <v>45909</v>
      </c>
      <c r="F2864" s="16" t="inlineStr">
        <is>
          <t>XK2509-19</t>
        </is>
      </c>
      <c r="G2864" s="16" t="n">
        <v>45909</v>
      </c>
      <c r="H2864" s="17" t="inlineStr">
        <is>
          <t>CÔNG TY CỔ PHẦN CÔNG NGHIỆP VÀ THƯƠNG MẠI CƯỜNG THỊNH</t>
        </is>
      </c>
      <c r="I2864" s="18" t="inlineStr">
        <is>
          <t>Ty giằng 2 đầu ren 4.6 Ф11.3-11.5mm ZP M12</t>
        </is>
      </c>
      <c r="J2864" s="18" t="inlineStr">
        <is>
          <t>Mét</t>
        </is>
      </c>
      <c r="K2864" s="19" t="n">
        <v>22500</v>
      </c>
      <c r="L2864" s="21" t="n"/>
      <c r="M2864" s="22" t="n"/>
      <c r="N2864" s="22" t="n">
        <v>538.4</v>
      </c>
      <c r="O2864" s="22" t="n">
        <v>12114000</v>
      </c>
      <c r="P2864" s="22" t="n">
        <v>538.4</v>
      </c>
      <c r="Q2864" s="22" t="n">
        <v>12114000</v>
      </c>
      <c r="R2864" s="42">
        <f>+L2864+N2864-P2864</f>
        <v/>
      </c>
      <c r="S2864" s="42">
        <f>+M2864+O2864-Q2864</f>
        <v/>
      </c>
    </row>
    <row r="2865" ht="30" customHeight="1">
      <c r="A2865" s="16" t="n">
        <v>45909</v>
      </c>
      <c r="B2865" s="17" t="inlineStr">
        <is>
          <t>MH2509-24</t>
        </is>
      </c>
      <c r="C2865" s="16" t="n">
        <v>45909</v>
      </c>
      <c r="D2865" s="17" t="inlineStr">
        <is>
          <t>00003545</t>
        </is>
      </c>
      <c r="E2865" s="16" t="n">
        <v>45909</v>
      </c>
      <c r="F2865" s="16" t="inlineStr">
        <is>
          <t>XK2509-19</t>
        </is>
      </c>
      <c r="G2865" s="16" t="n">
        <v>45909</v>
      </c>
      <c r="H2865" s="17" t="inlineStr">
        <is>
          <t>CÔNG TY CỔ PHẦN CÔNG NGHIỆP VÀ THƯƠNG MẠI CƯỜNG THỊNH</t>
        </is>
      </c>
      <c r="I2865" s="18" t="inlineStr">
        <is>
          <t>Ty giằng 2 đầu ren 4.6 ZP M16</t>
        </is>
      </c>
      <c r="J2865" s="18" t="inlineStr">
        <is>
          <t>Mét</t>
        </is>
      </c>
      <c r="K2865" s="19" t="n">
        <v>48000</v>
      </c>
      <c r="L2865" s="21" t="n"/>
      <c r="M2865" s="22" t="n"/>
      <c r="N2865" s="22" t="n">
        <v>427.9</v>
      </c>
      <c r="O2865" s="22" t="n">
        <v>20539200</v>
      </c>
      <c r="P2865" s="22" t="n">
        <v>427.9</v>
      </c>
      <c r="Q2865" s="22" t="n">
        <v>20539200</v>
      </c>
      <c r="R2865" s="42">
        <f>+L2865+N2865-P2865</f>
        <v/>
      </c>
      <c r="S2865" s="42">
        <f>+M2865+O2865-Q2865</f>
        <v/>
      </c>
    </row>
    <row r="2866" ht="30" customHeight="1">
      <c r="A2866" s="16" t="n">
        <v>45909</v>
      </c>
      <c r="B2866" s="17" t="inlineStr">
        <is>
          <t>MH2509-24</t>
        </is>
      </c>
      <c r="C2866" s="16" t="n">
        <v>45909</v>
      </c>
      <c r="D2866" s="17" t="inlineStr">
        <is>
          <t>00003545</t>
        </is>
      </c>
      <c r="E2866" s="16" t="n">
        <v>45909</v>
      </c>
      <c r="F2866" s="16" t="inlineStr">
        <is>
          <t>XK2509-19</t>
        </is>
      </c>
      <c r="G2866" s="16" t="n">
        <v>45909</v>
      </c>
      <c r="H2866" s="17" t="inlineStr">
        <is>
          <t>CÔNG TY CỔ PHẦN CÔNG NGHIỆP VÀ THƯƠNG MẠI CƯỜNG THỊNH</t>
        </is>
      </c>
      <c r="I2866" s="18" t="inlineStr">
        <is>
          <t>Đai ốc Din 934 5 ZP M16</t>
        </is>
      </c>
      <c r="J2866" s="18" t="inlineStr">
        <is>
          <t>Cái</t>
        </is>
      </c>
      <c r="K2866" s="19" t="n">
        <v>990</v>
      </c>
      <c r="L2866" s="21" t="n"/>
      <c r="M2866" s="22" t="n"/>
      <c r="N2866" s="22" t="n">
        <v>76</v>
      </c>
      <c r="O2866" s="22" t="n">
        <v>75240</v>
      </c>
      <c r="P2866" s="22" t="n">
        <v>76</v>
      </c>
      <c r="Q2866" s="22" t="n">
        <v>75240</v>
      </c>
      <c r="R2866" s="42">
        <f>+L2866+N2866-P2866</f>
        <v/>
      </c>
      <c r="S2866" s="42">
        <f>+M2866+O2866-Q2866</f>
        <v/>
      </c>
    </row>
    <row r="2867" ht="30" customHeight="1">
      <c r="A2867" s="16" t="n">
        <v>45909</v>
      </c>
      <c r="B2867" s="17" t="inlineStr">
        <is>
          <t>MH2509-24</t>
        </is>
      </c>
      <c r="C2867" s="16" t="n">
        <v>45909</v>
      </c>
      <c r="D2867" s="17" t="inlineStr">
        <is>
          <t>00003545</t>
        </is>
      </c>
      <c r="E2867" s="16" t="n">
        <v>45909</v>
      </c>
      <c r="F2867" s="16" t="inlineStr">
        <is>
          <t>XK2509-19</t>
        </is>
      </c>
      <c r="G2867" s="16" t="n">
        <v>45909</v>
      </c>
      <c r="H2867" s="17" t="inlineStr">
        <is>
          <t>CÔNG TY CỔ PHẦN CÔNG NGHIỆP VÀ THƯƠNG MẠI CƯỜNG THỊNH</t>
        </is>
      </c>
      <c r="I2867" s="18" t="inlineStr">
        <is>
          <t>Long đền móng ngựa ZP M16</t>
        </is>
      </c>
      <c r="J2867" s="18" t="inlineStr">
        <is>
          <t>Cái</t>
        </is>
      </c>
      <c r="K2867" s="19" t="n">
        <v>14830</v>
      </c>
      <c r="L2867" s="21" t="n"/>
      <c r="M2867" s="22" t="n"/>
      <c r="N2867" s="22" t="n">
        <v>76</v>
      </c>
      <c r="O2867" s="22" t="n">
        <v>1127080</v>
      </c>
      <c r="P2867" s="22" t="n">
        <v>76</v>
      </c>
      <c r="Q2867" s="22" t="n">
        <v>1127080</v>
      </c>
      <c r="R2867" s="42">
        <f>+L2867+N2867-P2867</f>
        <v/>
      </c>
      <c r="S2867" s="42">
        <f>+M2867+O2867-Q2867</f>
        <v/>
      </c>
    </row>
    <row r="2868" ht="30" customHeight="1">
      <c r="A2868" s="16" t="n">
        <v>45909</v>
      </c>
      <c r="B2868" s="17" t="inlineStr">
        <is>
          <t>MH2509-24</t>
        </is>
      </c>
      <c r="C2868" s="16" t="n">
        <v>45909</v>
      </c>
      <c r="D2868" s="17" t="inlineStr">
        <is>
          <t>00003545</t>
        </is>
      </c>
      <c r="E2868" s="16" t="n">
        <v>45909</v>
      </c>
      <c r="F2868" s="16" t="inlineStr">
        <is>
          <t>XK2509-19</t>
        </is>
      </c>
      <c r="G2868" s="16" t="n">
        <v>45909</v>
      </c>
      <c r="H2868" s="17" t="inlineStr">
        <is>
          <t>CÔNG TY CỔ PHẦN CÔNG NGHIỆP VÀ THƯƠNG MẠI CƯỜNG THỊNH</t>
        </is>
      </c>
      <c r="I2868" s="18" t="inlineStr">
        <is>
          <t>Long đền thường ZP M16B42D2</t>
        </is>
      </c>
      <c r="J2868" s="18" t="inlineStr">
        <is>
          <t>Cái</t>
        </is>
      </c>
      <c r="K2868" s="19" t="n">
        <v>700</v>
      </c>
      <c r="L2868" s="21" t="n"/>
      <c r="M2868" s="22" t="n"/>
      <c r="N2868" s="22" t="n">
        <v>76</v>
      </c>
      <c r="O2868" s="22" t="n">
        <v>53200</v>
      </c>
      <c r="P2868" s="22" t="n">
        <v>76</v>
      </c>
      <c r="Q2868" s="22" t="n">
        <v>53200</v>
      </c>
      <c r="R2868" s="42">
        <f>+L2868+N2868-P2868</f>
        <v/>
      </c>
      <c r="S2868" s="42">
        <f>+M2868+O2868-Q2868</f>
        <v/>
      </c>
    </row>
    <row r="2869" ht="30" customHeight="1">
      <c r="A2869" s="16" t="n">
        <v>45909</v>
      </c>
      <c r="B2869" s="17" t="inlineStr">
        <is>
          <t>MH2509-24</t>
        </is>
      </c>
      <c r="C2869" s="16" t="n">
        <v>45909</v>
      </c>
      <c r="D2869" s="17" t="inlineStr">
        <is>
          <t>00003545</t>
        </is>
      </c>
      <c r="E2869" s="16" t="n">
        <v>45909</v>
      </c>
      <c r="F2869" s="16" t="inlineStr">
        <is>
          <t>XK2509-19</t>
        </is>
      </c>
      <c r="G2869" s="16" t="n">
        <v>45909</v>
      </c>
      <c r="H2869" s="17" t="inlineStr">
        <is>
          <t>CÔNG TY CỔ PHẦN CÔNG NGHIỆP VÀ THƯƠNG MẠI CƯỜNG THỊNH</t>
        </is>
      </c>
      <c r="I2869" s="18" t="inlineStr">
        <is>
          <t>Nối Ty ZP M16x100 (23mm)</t>
        </is>
      </c>
      <c r="J2869" s="18" t="inlineStr">
        <is>
          <t>Cái</t>
        </is>
      </c>
      <c r="K2869" s="19" t="n">
        <v>19960</v>
      </c>
      <c r="L2869" s="21" t="n"/>
      <c r="M2869" s="22" t="n"/>
      <c r="N2869" s="22" t="n">
        <v>82</v>
      </c>
      <c r="O2869" s="22" t="n">
        <v>1636720</v>
      </c>
      <c r="P2869" s="22" t="n">
        <v>82</v>
      </c>
      <c r="Q2869" s="22" t="n">
        <v>1636720</v>
      </c>
      <c r="R2869" s="42">
        <f>+L2869+N2869-P2869</f>
        <v/>
      </c>
      <c r="S2869" s="42">
        <f>+M2869+O2869-Q2869</f>
        <v/>
      </c>
    </row>
    <row r="2870" ht="30" customHeight="1">
      <c r="A2870" s="16" t="n">
        <v>45909</v>
      </c>
      <c r="B2870" s="17" t="inlineStr">
        <is>
          <t>MH2509-25</t>
        </is>
      </c>
      <c r="C2870" s="16" t="n">
        <v>45909</v>
      </c>
      <c r="D2870" s="17" t="inlineStr">
        <is>
          <t>00003547</t>
        </is>
      </c>
      <c r="E2870" s="16" t="n">
        <v>45909</v>
      </c>
      <c r="F2870" s="16" t="inlineStr">
        <is>
          <t>XK2509-20</t>
        </is>
      </c>
      <c r="G2870" s="16" t="n">
        <v>45909</v>
      </c>
      <c r="H2870" s="17" t="inlineStr">
        <is>
          <t>CÔNG TY CỔ PHẦN CÔNG NGHIỆP VÀ THƯƠNG MẠI CƯỜNG THỊNH</t>
        </is>
      </c>
      <c r="I2870" s="18" t="inlineStr">
        <is>
          <t>Bulong thường 4.6 ZP M12x30</t>
        </is>
      </c>
      <c r="J2870" s="18" t="inlineStr">
        <is>
          <t>Cái</t>
        </is>
      </c>
      <c r="K2870" s="19" t="n">
        <v>950</v>
      </c>
      <c r="L2870" s="21" t="n"/>
      <c r="M2870" s="22" t="n"/>
      <c r="N2870" s="22" t="n">
        <v>4627</v>
      </c>
      <c r="O2870" s="22" t="n">
        <v>4395650</v>
      </c>
      <c r="P2870" s="22" t="n">
        <v>4627</v>
      </c>
      <c r="Q2870" s="22" t="n">
        <v>4395650</v>
      </c>
      <c r="R2870" s="42">
        <f>+L2870+N2870-P2870</f>
        <v/>
      </c>
      <c r="S2870" s="42">
        <f>+M2870+O2870-Q2870</f>
        <v/>
      </c>
    </row>
    <row r="2871" ht="30" customHeight="1">
      <c r="A2871" s="16" t="n">
        <v>45909</v>
      </c>
      <c r="B2871" s="17" t="inlineStr">
        <is>
          <t>MH2509-25</t>
        </is>
      </c>
      <c r="C2871" s="16" t="n">
        <v>45909</v>
      </c>
      <c r="D2871" s="17" t="inlineStr">
        <is>
          <t>00003547</t>
        </is>
      </c>
      <c r="E2871" s="16" t="n">
        <v>45909</v>
      </c>
      <c r="F2871" s="16" t="inlineStr">
        <is>
          <t>XK2509-20</t>
        </is>
      </c>
      <c r="G2871" s="16" t="n">
        <v>45909</v>
      </c>
      <c r="H2871" s="17" t="inlineStr">
        <is>
          <t>CÔNG TY CỔ PHẦN CÔNG NGHIỆP VÀ THƯƠNG MẠI CƯỜNG THỊNH</t>
        </is>
      </c>
      <c r="I2871" s="18" t="inlineStr">
        <is>
          <t>Đai ốc thường 4 ZP M12 (8mm)</t>
        </is>
      </c>
      <c r="J2871" s="18" t="inlineStr">
        <is>
          <t>Cái</t>
        </is>
      </c>
      <c r="K2871" s="19" t="n">
        <v>360</v>
      </c>
      <c r="L2871" s="21" t="n"/>
      <c r="M2871" s="22" t="n"/>
      <c r="N2871" s="22" t="n">
        <v>4627</v>
      </c>
      <c r="O2871" s="22" t="n">
        <v>1665720</v>
      </c>
      <c r="P2871" s="22" t="n">
        <v>4627</v>
      </c>
      <c r="Q2871" s="22" t="n">
        <v>1665720</v>
      </c>
      <c r="R2871" s="42">
        <f>+L2871+N2871-P2871</f>
        <v/>
      </c>
      <c r="S2871" s="42">
        <f>+M2871+O2871-Q2871</f>
        <v/>
      </c>
    </row>
    <row r="2872" ht="30" customHeight="1">
      <c r="A2872" s="16" t="n">
        <v>45909</v>
      </c>
      <c r="B2872" s="17" t="inlineStr">
        <is>
          <t>MH2509-25</t>
        </is>
      </c>
      <c r="C2872" s="16" t="n">
        <v>45909</v>
      </c>
      <c r="D2872" s="17" t="inlineStr">
        <is>
          <t>00003547</t>
        </is>
      </c>
      <c r="E2872" s="16" t="n">
        <v>45909</v>
      </c>
      <c r="F2872" s="16" t="inlineStr">
        <is>
          <t>XK2509-20</t>
        </is>
      </c>
      <c r="G2872" s="16" t="n">
        <v>45909</v>
      </c>
      <c r="H2872" s="17" t="inlineStr">
        <is>
          <t>CÔNG TY CỔ PHẦN CÔNG NGHIỆP VÀ THƯƠNG MẠI CƯỜNG THỊNH</t>
        </is>
      </c>
      <c r="I2872" s="18" t="inlineStr">
        <is>
          <t>Long đền thường ZP M12B23D1</t>
        </is>
      </c>
      <c r="J2872" s="18" t="inlineStr">
        <is>
          <t>Cái</t>
        </is>
      </c>
      <c r="K2872" s="19" t="n">
        <v>100</v>
      </c>
      <c r="L2872" s="21" t="n"/>
      <c r="M2872" s="22" t="n"/>
      <c r="N2872" s="22" t="n">
        <v>9254</v>
      </c>
      <c r="O2872" s="22" t="n">
        <v>925400</v>
      </c>
      <c r="P2872" s="22" t="n">
        <v>9254</v>
      </c>
      <c r="Q2872" s="22" t="n">
        <v>925400</v>
      </c>
      <c r="R2872" s="42">
        <f>+L2872+N2872-P2872</f>
        <v/>
      </c>
      <c r="S2872" s="42">
        <f>+M2872+O2872-Q2872</f>
        <v/>
      </c>
    </row>
    <row r="2873" ht="30" customHeight="1">
      <c r="A2873" s="16" t="n">
        <v>45909</v>
      </c>
      <c r="B2873" s="17" t="inlineStr">
        <is>
          <t>MH2509-25</t>
        </is>
      </c>
      <c r="C2873" s="16" t="n">
        <v>45909</v>
      </c>
      <c r="D2873" s="17" t="inlineStr">
        <is>
          <t>00003547</t>
        </is>
      </c>
      <c r="E2873" s="16" t="n">
        <v>45909</v>
      </c>
      <c r="F2873" s="16" t="inlineStr">
        <is>
          <t>XK2509-20</t>
        </is>
      </c>
      <c r="G2873" s="16" t="n">
        <v>45909</v>
      </c>
      <c r="H2873" s="17" t="inlineStr">
        <is>
          <t>CÔNG TY CỔ PHẦN CÔNG NGHIỆP VÀ THƯƠNG MẠI CƯỜNG THỊNH</t>
        </is>
      </c>
      <c r="I2873" s="18" t="inlineStr">
        <is>
          <t>Bulong thường 4.6 ZP M12x50</t>
        </is>
      </c>
      <c r="J2873" s="18" t="inlineStr">
        <is>
          <t>Cái</t>
        </is>
      </c>
      <c r="K2873" s="19" t="n">
        <v>1300</v>
      </c>
      <c r="L2873" s="21" t="n"/>
      <c r="M2873" s="22" t="n"/>
      <c r="N2873" s="22" t="n">
        <v>985</v>
      </c>
      <c r="O2873" s="22" t="n">
        <v>1280500</v>
      </c>
      <c r="P2873" s="22" t="n">
        <v>985</v>
      </c>
      <c r="Q2873" s="22" t="n">
        <v>1280500</v>
      </c>
      <c r="R2873" s="42">
        <f>+L2873+N2873-P2873</f>
        <v/>
      </c>
      <c r="S2873" s="42">
        <f>+M2873+O2873-Q2873</f>
        <v/>
      </c>
    </row>
    <row r="2874" ht="30" customHeight="1">
      <c r="A2874" s="16" t="n">
        <v>45909</v>
      </c>
      <c r="B2874" s="17" t="inlineStr">
        <is>
          <t>MH2509-25</t>
        </is>
      </c>
      <c r="C2874" s="16" t="n">
        <v>45909</v>
      </c>
      <c r="D2874" s="17" t="inlineStr">
        <is>
          <t>00003547</t>
        </is>
      </c>
      <c r="E2874" s="16" t="n">
        <v>45909</v>
      </c>
      <c r="F2874" s="16" t="inlineStr">
        <is>
          <t>XK2509-20</t>
        </is>
      </c>
      <c r="G2874" s="16" t="n">
        <v>45909</v>
      </c>
      <c r="H2874" s="17" t="inlineStr">
        <is>
          <t>CÔNG TY CỔ PHẦN CÔNG NGHIỆP VÀ THƯƠNG MẠI CƯỜNG THỊNH</t>
        </is>
      </c>
      <c r="I2874" s="18" t="inlineStr">
        <is>
          <t>Đai ốc thường 4 ZP M12 (9mm)</t>
        </is>
      </c>
      <c r="J2874" s="18" t="inlineStr">
        <is>
          <t>Cái</t>
        </is>
      </c>
      <c r="K2874" s="19" t="n">
        <v>360</v>
      </c>
      <c r="L2874" s="21" t="n"/>
      <c r="M2874" s="22" t="n"/>
      <c r="N2874" s="22" t="n">
        <v>985</v>
      </c>
      <c r="O2874" s="22" t="n">
        <v>354600</v>
      </c>
      <c r="P2874" s="22" t="n">
        <v>985</v>
      </c>
      <c r="Q2874" s="22" t="n">
        <v>354600</v>
      </c>
      <c r="R2874" s="42">
        <f>+L2874+N2874-P2874</f>
        <v/>
      </c>
      <c r="S2874" s="42">
        <f>+M2874+O2874-Q2874</f>
        <v/>
      </c>
    </row>
    <row r="2875" ht="30" customHeight="1">
      <c r="A2875" s="16" t="n">
        <v>45909</v>
      </c>
      <c r="B2875" s="17" t="inlineStr">
        <is>
          <t>MH2509-25</t>
        </is>
      </c>
      <c r="C2875" s="16" t="n">
        <v>45909</v>
      </c>
      <c r="D2875" s="17" t="inlineStr">
        <is>
          <t>00003547</t>
        </is>
      </c>
      <c r="E2875" s="16" t="n">
        <v>45909</v>
      </c>
      <c r="F2875" s="16" t="inlineStr">
        <is>
          <t>XK2509-20</t>
        </is>
      </c>
      <c r="G2875" s="16" t="n">
        <v>45909</v>
      </c>
      <c r="H2875" s="17" t="inlineStr">
        <is>
          <t>CÔNG TY CỔ PHẦN CÔNG NGHIỆP VÀ THƯƠNG MẠI CƯỜNG THỊNH</t>
        </is>
      </c>
      <c r="I2875" s="18" t="inlineStr">
        <is>
          <t>Long đền thường ZP M12B23D1</t>
        </is>
      </c>
      <c r="J2875" s="18" t="inlineStr">
        <is>
          <t>Cái</t>
        </is>
      </c>
      <c r="K2875" s="19" t="n">
        <v>100</v>
      </c>
      <c r="L2875" s="21" t="n"/>
      <c r="M2875" s="22" t="n"/>
      <c r="N2875" s="22" t="n">
        <v>1970</v>
      </c>
      <c r="O2875" s="22" t="n">
        <v>197000</v>
      </c>
      <c r="P2875" s="22" t="n">
        <v>1970</v>
      </c>
      <c r="Q2875" s="22" t="n">
        <v>197000</v>
      </c>
      <c r="R2875" s="42">
        <f>+L2875+N2875-P2875</f>
        <v/>
      </c>
      <c r="S2875" s="42">
        <f>+M2875+O2875-Q2875</f>
        <v/>
      </c>
    </row>
    <row r="2876" ht="30" customHeight="1">
      <c r="A2876" s="16" t="n">
        <v>45909</v>
      </c>
      <c r="B2876" s="17" t="inlineStr">
        <is>
          <t>MH2509-25</t>
        </is>
      </c>
      <c r="C2876" s="16" t="n">
        <v>45909</v>
      </c>
      <c r="D2876" s="17" t="inlineStr">
        <is>
          <t>00003547</t>
        </is>
      </c>
      <c r="E2876" s="16" t="n">
        <v>45909</v>
      </c>
      <c r="F2876" s="16" t="inlineStr">
        <is>
          <t>XK2509-20</t>
        </is>
      </c>
      <c r="G2876" s="16" t="n">
        <v>45909</v>
      </c>
      <c r="H2876" s="17" t="inlineStr">
        <is>
          <t>CÔNG TY CỔ PHẦN CÔNG NGHIỆP VÀ THƯƠNG MẠI CƯỜNG THỊNH</t>
        </is>
      </c>
      <c r="I2876" s="18" t="inlineStr">
        <is>
          <t>Bulong Din 933 8.8 ZP M20x60</t>
        </is>
      </c>
      <c r="J2876" s="18" t="inlineStr">
        <is>
          <t>Cái</t>
        </is>
      </c>
      <c r="K2876" s="19" t="n">
        <v>6360</v>
      </c>
      <c r="L2876" s="21" t="n"/>
      <c r="M2876" s="22" t="n"/>
      <c r="N2876" s="22" t="n">
        <v>464</v>
      </c>
      <c r="O2876" s="22" t="n">
        <v>2951040</v>
      </c>
      <c r="P2876" s="22" t="n">
        <v>464</v>
      </c>
      <c r="Q2876" s="22" t="n">
        <v>2951040</v>
      </c>
      <c r="R2876" s="42">
        <f>+L2876+N2876-P2876</f>
        <v/>
      </c>
      <c r="S2876" s="42">
        <f>+M2876+O2876-Q2876</f>
        <v/>
      </c>
    </row>
    <row r="2877" ht="30" customHeight="1">
      <c r="A2877" s="16" t="n">
        <v>45909</v>
      </c>
      <c r="B2877" s="17" t="inlineStr">
        <is>
          <t>MH2509-25</t>
        </is>
      </c>
      <c r="C2877" s="16" t="n">
        <v>45909</v>
      </c>
      <c r="D2877" s="17" t="inlineStr">
        <is>
          <t>00003547</t>
        </is>
      </c>
      <c r="E2877" s="16" t="n">
        <v>45909</v>
      </c>
      <c r="F2877" s="16" t="inlineStr">
        <is>
          <t>XK2509-20</t>
        </is>
      </c>
      <c r="G2877" s="16" t="n">
        <v>45909</v>
      </c>
      <c r="H2877" s="17" t="inlineStr">
        <is>
          <t>CÔNG TY CỔ PHẦN CÔNG NGHIỆP VÀ THƯƠNG MẠI CƯỜNG THỊNH</t>
        </is>
      </c>
      <c r="I2877" s="18" t="inlineStr">
        <is>
          <t>Đai ốc Din 934 8 ZP M20</t>
        </is>
      </c>
      <c r="J2877" s="18" t="inlineStr">
        <is>
          <t>Cái</t>
        </is>
      </c>
      <c r="K2877" s="19" t="n">
        <v>2030</v>
      </c>
      <c r="L2877" s="21" t="n"/>
      <c r="M2877" s="22" t="n"/>
      <c r="N2877" s="22" t="n">
        <v>464</v>
      </c>
      <c r="O2877" s="22" t="n">
        <v>941920</v>
      </c>
      <c r="P2877" s="22" t="n">
        <v>464</v>
      </c>
      <c r="Q2877" s="22" t="n">
        <v>941920</v>
      </c>
      <c r="R2877" s="42">
        <f>+L2877+N2877-P2877</f>
        <v/>
      </c>
      <c r="S2877" s="42">
        <f>+M2877+O2877-Q2877</f>
        <v/>
      </c>
    </row>
    <row r="2878" ht="30" customHeight="1">
      <c r="A2878" s="16" t="n">
        <v>45909</v>
      </c>
      <c r="B2878" s="17" t="inlineStr">
        <is>
          <t>MH2509-25</t>
        </is>
      </c>
      <c r="C2878" s="16" t="n">
        <v>45909</v>
      </c>
      <c r="D2878" s="17" t="inlineStr">
        <is>
          <t>00003547</t>
        </is>
      </c>
      <c r="E2878" s="16" t="n">
        <v>45909</v>
      </c>
      <c r="F2878" s="16" t="inlineStr">
        <is>
          <t>XK2509-20</t>
        </is>
      </c>
      <c r="G2878" s="16" t="n">
        <v>45909</v>
      </c>
      <c r="H2878" s="17" t="inlineStr">
        <is>
          <t>CÔNG TY CỔ PHẦN CÔNG NGHIỆP VÀ THƯƠNG MẠI CƯỜNG THỊNH</t>
        </is>
      </c>
      <c r="I2878" s="18" t="inlineStr">
        <is>
          <t>Long đền thường ZP M20B35D2</t>
        </is>
      </c>
      <c r="J2878" s="18" t="inlineStr">
        <is>
          <t>Cái</t>
        </is>
      </c>
      <c r="K2878" s="19" t="n">
        <v>350</v>
      </c>
      <c r="L2878" s="21" t="n"/>
      <c r="M2878" s="22" t="n"/>
      <c r="N2878" s="22" t="n">
        <v>464</v>
      </c>
      <c r="O2878" s="22" t="n">
        <v>162400</v>
      </c>
      <c r="P2878" s="22" t="n">
        <v>464</v>
      </c>
      <c r="Q2878" s="22" t="n">
        <v>162400</v>
      </c>
      <c r="R2878" s="42">
        <f>+L2878+N2878-P2878</f>
        <v/>
      </c>
      <c r="S2878" s="42">
        <f>+M2878+O2878-Q2878</f>
        <v/>
      </c>
    </row>
    <row r="2879" ht="30" customHeight="1">
      <c r="A2879" s="16" t="n">
        <v>45909</v>
      </c>
      <c r="B2879" s="17" t="inlineStr">
        <is>
          <t>MH2509-25</t>
        </is>
      </c>
      <c r="C2879" s="16" t="n">
        <v>45909</v>
      </c>
      <c r="D2879" s="17" t="inlineStr">
        <is>
          <t>00003547</t>
        </is>
      </c>
      <c r="E2879" s="16" t="n">
        <v>45909</v>
      </c>
      <c r="F2879" s="16" t="inlineStr">
        <is>
          <t>XK2509-20</t>
        </is>
      </c>
      <c r="G2879" s="16" t="n">
        <v>45909</v>
      </c>
      <c r="H2879" s="17" t="inlineStr">
        <is>
          <t>CÔNG TY CỔ PHẦN CÔNG NGHIỆP VÀ THƯƠNG MẠI CƯỜNG THỊNH</t>
        </is>
      </c>
      <c r="I2879" s="18" t="inlineStr">
        <is>
          <t>Bulong Din 933 8.8 ZP M16x50</t>
        </is>
      </c>
      <c r="J2879" s="18" t="inlineStr">
        <is>
          <t>Cái</t>
        </is>
      </c>
      <c r="K2879" s="19" t="n">
        <v>3470</v>
      </c>
      <c r="L2879" s="21" t="n"/>
      <c r="M2879" s="22" t="n"/>
      <c r="N2879" s="22" t="n">
        <v>21</v>
      </c>
      <c r="O2879" s="22" t="n">
        <v>72870</v>
      </c>
      <c r="P2879" s="22" t="n">
        <v>21</v>
      </c>
      <c r="Q2879" s="22" t="n">
        <v>72870</v>
      </c>
      <c r="R2879" s="42">
        <f>+L2879+N2879-P2879</f>
        <v/>
      </c>
      <c r="S2879" s="42">
        <f>+M2879+O2879-Q2879</f>
        <v/>
      </c>
    </row>
    <row r="2880" ht="30" customHeight="1">
      <c r="A2880" s="16" t="n">
        <v>45909</v>
      </c>
      <c r="B2880" s="17" t="inlineStr">
        <is>
          <t>MH2509-25</t>
        </is>
      </c>
      <c r="C2880" s="16" t="n">
        <v>45909</v>
      </c>
      <c r="D2880" s="17" t="inlineStr">
        <is>
          <t>00003547</t>
        </is>
      </c>
      <c r="E2880" s="16" t="n">
        <v>45909</v>
      </c>
      <c r="F2880" s="16" t="inlineStr">
        <is>
          <t>XK2509-20</t>
        </is>
      </c>
      <c r="G2880" s="16" t="n">
        <v>45909</v>
      </c>
      <c r="H2880" s="17" t="inlineStr">
        <is>
          <t>CÔNG TY CỔ PHẦN CÔNG NGHIỆP VÀ THƯƠNG MẠI CƯỜNG THỊNH</t>
        </is>
      </c>
      <c r="I2880" s="18" t="inlineStr">
        <is>
          <t>Đai ốc Din 934 8 ZP M16</t>
        </is>
      </c>
      <c r="J2880" s="18" t="inlineStr">
        <is>
          <t>Cái</t>
        </is>
      </c>
      <c r="K2880" s="19" t="n">
        <v>1080</v>
      </c>
      <c r="L2880" s="21" t="n"/>
      <c r="M2880" s="22" t="n"/>
      <c r="N2880" s="22" t="n">
        <v>21</v>
      </c>
      <c r="O2880" s="22" t="n">
        <v>22680</v>
      </c>
      <c r="P2880" s="22" t="n">
        <v>21</v>
      </c>
      <c r="Q2880" s="22" t="n">
        <v>22680</v>
      </c>
      <c r="R2880" s="42">
        <f>+L2880+N2880-P2880</f>
        <v/>
      </c>
      <c r="S2880" s="42">
        <f>+M2880+O2880-Q2880</f>
        <v/>
      </c>
    </row>
    <row r="2881" ht="30" customHeight="1">
      <c r="A2881" s="16" t="n">
        <v>45909</v>
      </c>
      <c r="B2881" s="17" t="inlineStr">
        <is>
          <t>MH2509-25</t>
        </is>
      </c>
      <c r="C2881" s="16" t="n">
        <v>45909</v>
      </c>
      <c r="D2881" s="17" t="inlineStr">
        <is>
          <t>00003547</t>
        </is>
      </c>
      <c r="E2881" s="16" t="n">
        <v>45909</v>
      </c>
      <c r="F2881" s="16" t="inlineStr">
        <is>
          <t>XK2509-20</t>
        </is>
      </c>
      <c r="G2881" s="16" t="n">
        <v>45909</v>
      </c>
      <c r="H2881" s="17" t="inlineStr">
        <is>
          <t>CÔNG TY CỔ PHẦN CÔNG NGHIỆP VÀ THƯƠNG MẠI CƯỜNG THỊNH</t>
        </is>
      </c>
      <c r="I2881" s="18" t="inlineStr">
        <is>
          <t>Long đền thường ZP M16B30D2</t>
        </is>
      </c>
      <c r="J2881" s="18" t="inlineStr">
        <is>
          <t>Cái</t>
        </is>
      </c>
      <c r="K2881" s="19" t="n">
        <v>340</v>
      </c>
      <c r="L2881" s="21" t="n"/>
      <c r="M2881" s="22" t="n"/>
      <c r="N2881" s="22" t="n">
        <v>21</v>
      </c>
      <c r="O2881" s="22" t="n">
        <v>7140</v>
      </c>
      <c r="P2881" s="22" t="n">
        <v>21</v>
      </c>
      <c r="Q2881" s="22" t="n">
        <v>7140</v>
      </c>
      <c r="R2881" s="42">
        <f>+L2881+N2881-P2881</f>
        <v/>
      </c>
      <c r="S2881" s="42">
        <f>+M2881+O2881-Q2881</f>
        <v/>
      </c>
    </row>
    <row r="2882" ht="30" customHeight="1">
      <c r="A2882" s="16" t="n">
        <v>45909</v>
      </c>
      <c r="B2882" s="17" t="inlineStr">
        <is>
          <t>MH2509-25</t>
        </is>
      </c>
      <c r="C2882" s="16" t="n">
        <v>45909</v>
      </c>
      <c r="D2882" s="17" t="inlineStr">
        <is>
          <t>00003547</t>
        </is>
      </c>
      <c r="E2882" s="16" t="n">
        <v>45909</v>
      </c>
      <c r="F2882" s="16" t="inlineStr">
        <is>
          <t>XK2509-20</t>
        </is>
      </c>
      <c r="G2882" s="16" t="n">
        <v>45909</v>
      </c>
      <c r="H2882" s="17" t="inlineStr">
        <is>
          <t>CÔNG TY CỔ PHẦN CÔNG NGHIỆP VÀ THƯƠNG MẠI CƯỜNG THỊNH</t>
        </is>
      </c>
      <c r="I2882" s="18" t="inlineStr">
        <is>
          <t>Vít B2 Dacromet 10-24x22 WAF (bake)</t>
        </is>
      </c>
      <c r="J2882" s="18" t="inlineStr">
        <is>
          <t>Cái</t>
        </is>
      </c>
      <c r="K2882" s="19" t="n">
        <v>380</v>
      </c>
      <c r="L2882" s="21" t="n"/>
      <c r="M2882" s="22" t="n"/>
      <c r="N2882" s="22" t="n">
        <v>3400</v>
      </c>
      <c r="O2882" s="22" t="n">
        <v>1292000</v>
      </c>
      <c r="P2882" s="22" t="n">
        <v>3400</v>
      </c>
      <c r="Q2882" s="22" t="n">
        <v>1292000</v>
      </c>
      <c r="R2882" s="42">
        <f>+L2882+N2882-P2882</f>
        <v/>
      </c>
      <c r="S2882" s="42">
        <f>+M2882+O2882-Q2882</f>
        <v/>
      </c>
    </row>
    <row r="2883" ht="30" customHeight="1">
      <c r="A2883" s="16" t="n">
        <v>45909</v>
      </c>
      <c r="B2883" s="17" t="inlineStr">
        <is>
          <t>MH2509-25</t>
        </is>
      </c>
      <c r="C2883" s="16" t="n">
        <v>45909</v>
      </c>
      <c r="D2883" s="17" t="inlineStr">
        <is>
          <t>00003547</t>
        </is>
      </c>
      <c r="E2883" s="16" t="n">
        <v>45909</v>
      </c>
      <c r="F2883" s="16" t="inlineStr">
        <is>
          <t>XK2509-20</t>
        </is>
      </c>
      <c r="G2883" s="16" t="n">
        <v>45909</v>
      </c>
      <c r="H2883" s="17" t="inlineStr">
        <is>
          <t>CÔNG TY CỔ PHẦN CÔNG NGHIỆP VÀ THƯƠNG MẠI CƯỜNG THỊNH</t>
        </is>
      </c>
      <c r="I2883" s="18" t="inlineStr">
        <is>
          <t>Bulong nở 4.6 ZP M12x120</t>
        </is>
      </c>
      <c r="J2883" s="18" t="inlineStr">
        <is>
          <t>Bộ</t>
        </is>
      </c>
      <c r="K2883" s="19" t="n">
        <v>9900</v>
      </c>
      <c r="L2883" s="21" t="n"/>
      <c r="M2883" s="22" t="n"/>
      <c r="N2883" s="22" t="n">
        <v>148</v>
      </c>
      <c r="O2883" s="22" t="n">
        <v>1465200</v>
      </c>
      <c r="P2883" s="22" t="n">
        <v>148</v>
      </c>
      <c r="Q2883" s="22" t="n">
        <v>1465200</v>
      </c>
      <c r="R2883" s="42">
        <f>+L2883+N2883-P2883</f>
        <v/>
      </c>
      <c r="S2883" s="42">
        <f>+M2883+O2883-Q2883</f>
        <v/>
      </c>
    </row>
    <row r="2884" ht="30" customHeight="1">
      <c r="A2884" s="16" t="n">
        <v>45909</v>
      </c>
      <c r="B2884" s="17" t="inlineStr">
        <is>
          <t>MH2509-25</t>
        </is>
      </c>
      <c r="C2884" s="16" t="n">
        <v>45909</v>
      </c>
      <c r="D2884" s="17" t="inlineStr">
        <is>
          <t>00003547</t>
        </is>
      </c>
      <c r="E2884" s="16" t="n">
        <v>45909</v>
      </c>
      <c r="F2884" s="16" t="inlineStr">
        <is>
          <t>XK2509-20</t>
        </is>
      </c>
      <c r="G2884" s="16" t="n">
        <v>45909</v>
      </c>
      <c r="H2884" s="17" t="inlineStr">
        <is>
          <t>CÔNG TY CỔ PHẦN CÔNG NGHIỆP VÀ THƯƠNG MẠI CƯỜNG THỊNH</t>
        </is>
      </c>
      <c r="I2884" s="18" t="inlineStr">
        <is>
          <t>Bulong Din 933 8.8 ZP M20x80</t>
        </is>
      </c>
      <c r="J2884" s="18" t="inlineStr">
        <is>
          <t>Cái</t>
        </is>
      </c>
      <c r="K2884" s="19" t="n">
        <v>7630</v>
      </c>
      <c r="L2884" s="21" t="n"/>
      <c r="M2884" s="22" t="n"/>
      <c r="N2884" s="22" t="n">
        <v>210</v>
      </c>
      <c r="O2884" s="22" t="n">
        <v>1602300</v>
      </c>
      <c r="P2884" s="22" t="n">
        <v>210</v>
      </c>
      <c r="Q2884" s="22" t="n">
        <v>1602300</v>
      </c>
      <c r="R2884" s="42">
        <f>+L2884+N2884-P2884</f>
        <v/>
      </c>
      <c r="S2884" s="42">
        <f>+M2884+O2884-Q2884</f>
        <v/>
      </c>
    </row>
    <row r="2885" ht="30" customHeight="1">
      <c r="A2885" s="16" t="n">
        <v>45909</v>
      </c>
      <c r="B2885" s="17" t="inlineStr">
        <is>
          <t>MH2509-25</t>
        </is>
      </c>
      <c r="C2885" s="16" t="n">
        <v>45909</v>
      </c>
      <c r="D2885" s="17" t="inlineStr">
        <is>
          <t>00003547</t>
        </is>
      </c>
      <c r="E2885" s="16" t="n">
        <v>45909</v>
      </c>
      <c r="F2885" s="16" t="inlineStr">
        <is>
          <t>XK2509-20</t>
        </is>
      </c>
      <c r="G2885" s="16" t="n">
        <v>45909</v>
      </c>
      <c r="H2885" s="17" t="inlineStr">
        <is>
          <t>CÔNG TY CỔ PHẦN CÔNG NGHIỆP VÀ THƯƠNG MẠI CƯỜNG THỊNH</t>
        </is>
      </c>
      <c r="I2885" s="18" t="inlineStr">
        <is>
          <t>Đai ốc Din 934 8 ZP M20</t>
        </is>
      </c>
      <c r="J2885" s="18" t="inlineStr">
        <is>
          <t>Cái</t>
        </is>
      </c>
      <c r="K2885" s="19" t="n">
        <v>2040</v>
      </c>
      <c r="L2885" s="21" t="n"/>
      <c r="M2885" s="22" t="n"/>
      <c r="N2885" s="22" t="n">
        <v>210</v>
      </c>
      <c r="O2885" s="22" t="n">
        <v>428400</v>
      </c>
      <c r="P2885" s="22" t="n">
        <v>210</v>
      </c>
      <c r="Q2885" s="22" t="n">
        <v>428400</v>
      </c>
      <c r="R2885" s="42">
        <f>+L2885+N2885-P2885</f>
        <v/>
      </c>
      <c r="S2885" s="42">
        <f>+M2885+O2885-Q2885</f>
        <v/>
      </c>
    </row>
    <row r="2886" ht="30" customHeight="1">
      <c r="A2886" s="16" t="n">
        <v>45909</v>
      </c>
      <c r="B2886" s="17" t="inlineStr">
        <is>
          <t>MH2509-25</t>
        </is>
      </c>
      <c r="C2886" s="16" t="n">
        <v>45909</v>
      </c>
      <c r="D2886" s="17" t="inlineStr">
        <is>
          <t>00003547</t>
        </is>
      </c>
      <c r="E2886" s="16" t="n">
        <v>45909</v>
      </c>
      <c r="F2886" s="16" t="inlineStr">
        <is>
          <t>XK2509-20</t>
        </is>
      </c>
      <c r="G2886" s="16" t="n">
        <v>45909</v>
      </c>
      <c r="H2886" s="17" t="inlineStr">
        <is>
          <t>CÔNG TY CỔ PHẦN CÔNG NGHIỆP VÀ THƯƠNG MẠI CƯỜNG THỊNH</t>
        </is>
      </c>
      <c r="I2886" s="18" t="inlineStr">
        <is>
          <t>Long đền thường ZP M20B35D2</t>
        </is>
      </c>
      <c r="J2886" s="18" t="inlineStr">
        <is>
          <t>Cái</t>
        </is>
      </c>
      <c r="K2886" s="19" t="n">
        <v>380</v>
      </c>
      <c r="L2886" s="21" t="n"/>
      <c r="M2886" s="22" t="n"/>
      <c r="N2886" s="22" t="n">
        <v>210</v>
      </c>
      <c r="O2886" s="22" t="n">
        <v>79800</v>
      </c>
      <c r="P2886" s="22" t="n">
        <v>210</v>
      </c>
      <c r="Q2886" s="22" t="n">
        <v>79800</v>
      </c>
      <c r="R2886" s="42">
        <f>+L2886+N2886-P2886</f>
        <v/>
      </c>
      <c r="S2886" s="42">
        <f>+M2886+O2886-Q2886</f>
        <v/>
      </c>
    </row>
    <row r="2887" ht="30" customHeight="1">
      <c r="A2887" s="16" t="n">
        <v>45910</v>
      </c>
      <c r="B2887" s="17" t="inlineStr">
        <is>
          <t>MH2509-27</t>
        </is>
      </c>
      <c r="C2887" s="16" t="n">
        <v>45910</v>
      </c>
      <c r="D2887" s="17" t="inlineStr">
        <is>
          <t>00003561</t>
        </is>
      </c>
      <c r="E2887" s="16" t="n">
        <v>45910</v>
      </c>
      <c r="F2887" s="16" t="inlineStr">
        <is>
          <t>XK2509-21</t>
        </is>
      </c>
      <c r="G2887" s="16" t="n">
        <v>45910</v>
      </c>
      <c r="H2887" s="17" t="inlineStr">
        <is>
          <t>CÔNG TY CỔ PHẦN CÔNG NGHIỆP VÀ THƯƠNG MẠI CƯỜNG THỊNH</t>
        </is>
      </c>
      <c r="I2887" s="18" t="inlineStr">
        <is>
          <t>Bulong thường 4.6 ZP M12x30</t>
        </is>
      </c>
      <c r="J2887" s="18" t="inlineStr">
        <is>
          <t>Cái</t>
        </is>
      </c>
      <c r="K2887" s="19" t="n">
        <v>950</v>
      </c>
      <c r="L2887" s="21" t="n"/>
      <c r="M2887" s="22" t="n"/>
      <c r="N2887" s="22" t="n">
        <v>8961</v>
      </c>
      <c r="O2887" s="22" t="n">
        <v>8512950</v>
      </c>
      <c r="P2887" s="22" t="n">
        <v>8961</v>
      </c>
      <c r="Q2887" s="22" t="n">
        <v>8512950</v>
      </c>
      <c r="R2887" s="42">
        <f>+L2887+N2887-P2887</f>
        <v/>
      </c>
      <c r="S2887" s="42">
        <f>+M2887+O2887-Q2887</f>
        <v/>
      </c>
    </row>
    <row r="2888" ht="30" customHeight="1">
      <c r="A2888" s="16" t="n">
        <v>45910</v>
      </c>
      <c r="B2888" s="17" t="inlineStr">
        <is>
          <t>MH2509-27</t>
        </is>
      </c>
      <c r="C2888" s="16" t="n">
        <v>45910</v>
      </c>
      <c r="D2888" s="17" t="inlineStr">
        <is>
          <t>00003561</t>
        </is>
      </c>
      <c r="E2888" s="16" t="n">
        <v>45910</v>
      </c>
      <c r="F2888" s="16" t="inlineStr">
        <is>
          <t>XK2509-21</t>
        </is>
      </c>
      <c r="G2888" s="16" t="n">
        <v>45910</v>
      </c>
      <c r="H2888" s="17" t="inlineStr">
        <is>
          <t>CÔNG TY CỔ PHẦN CÔNG NGHIỆP VÀ THƯƠNG MẠI CƯỜNG THỊNH</t>
        </is>
      </c>
      <c r="I2888" s="18" t="inlineStr">
        <is>
          <t>Đai ốc thường 4 ZP M12 (8mm)</t>
        </is>
      </c>
      <c r="J2888" s="18" t="inlineStr">
        <is>
          <t>Cái</t>
        </is>
      </c>
      <c r="K2888" s="19" t="n">
        <v>360</v>
      </c>
      <c r="L2888" s="21" t="n"/>
      <c r="M2888" s="22" t="n"/>
      <c r="N2888" s="22" t="n">
        <v>8961</v>
      </c>
      <c r="O2888" s="22" t="n">
        <v>3225960</v>
      </c>
      <c r="P2888" s="22" t="n">
        <v>8961</v>
      </c>
      <c r="Q2888" s="22" t="n">
        <v>3225960</v>
      </c>
      <c r="R2888" s="42">
        <f>+L2888+N2888-P2888</f>
        <v/>
      </c>
      <c r="S2888" s="42">
        <f>+M2888+O2888-Q2888</f>
        <v/>
      </c>
    </row>
    <row r="2889" ht="30" customHeight="1">
      <c r="A2889" s="16" t="n">
        <v>45910</v>
      </c>
      <c r="B2889" s="17" t="inlineStr">
        <is>
          <t>MH2509-27</t>
        </is>
      </c>
      <c r="C2889" s="16" t="n">
        <v>45910</v>
      </c>
      <c r="D2889" s="17" t="inlineStr">
        <is>
          <t>00003561</t>
        </is>
      </c>
      <c r="E2889" s="16" t="n">
        <v>45910</v>
      </c>
      <c r="F2889" s="16" t="inlineStr">
        <is>
          <t>XK2509-21</t>
        </is>
      </c>
      <c r="G2889" s="16" t="n">
        <v>45910</v>
      </c>
      <c r="H2889" s="17" t="inlineStr">
        <is>
          <t>CÔNG TY CỔ PHẦN CÔNG NGHIỆP VÀ THƯƠNG MẠI CƯỜNG THỊNH</t>
        </is>
      </c>
      <c r="I2889" s="18" t="inlineStr">
        <is>
          <t>Long đền thường ZP M12B23D1</t>
        </is>
      </c>
      <c r="J2889" s="18" t="inlineStr">
        <is>
          <t>Cái</t>
        </is>
      </c>
      <c r="K2889" s="19" t="n">
        <v>100</v>
      </c>
      <c r="L2889" s="21" t="n"/>
      <c r="M2889" s="22" t="n"/>
      <c r="N2889" s="22" t="n">
        <v>17922</v>
      </c>
      <c r="O2889" s="22" t="n">
        <v>1792200</v>
      </c>
      <c r="P2889" s="22" t="n">
        <v>17922</v>
      </c>
      <c r="Q2889" s="22" t="n">
        <v>1792200</v>
      </c>
      <c r="R2889" s="42">
        <f>+L2889+N2889-P2889</f>
        <v/>
      </c>
      <c r="S2889" s="42">
        <f>+M2889+O2889-Q2889</f>
        <v/>
      </c>
    </row>
    <row r="2890" ht="30" customHeight="1">
      <c r="A2890" s="16" t="n">
        <v>45910</v>
      </c>
      <c r="B2890" s="17" t="inlineStr">
        <is>
          <t>MH2509-27</t>
        </is>
      </c>
      <c r="C2890" s="16" t="n">
        <v>45910</v>
      </c>
      <c r="D2890" s="17" t="inlineStr">
        <is>
          <t>00003561</t>
        </is>
      </c>
      <c r="E2890" s="16" t="n">
        <v>45910</v>
      </c>
      <c r="F2890" s="16" t="inlineStr">
        <is>
          <t>XK2509-21</t>
        </is>
      </c>
      <c r="G2890" s="16" t="n">
        <v>45910</v>
      </c>
      <c r="H2890" s="17" t="inlineStr">
        <is>
          <t>CÔNG TY CỔ PHẦN CÔNG NGHIỆP VÀ THƯƠNG MẠI CƯỜNG THỊNH</t>
        </is>
      </c>
      <c r="I2890" s="18" t="inlineStr">
        <is>
          <t>Bulong thường 4.6 ZP M12x50</t>
        </is>
      </c>
      <c r="J2890" s="18" t="inlineStr">
        <is>
          <t>Cái</t>
        </is>
      </c>
      <c r="K2890" s="19" t="n">
        <v>1300</v>
      </c>
      <c r="L2890" s="21" t="n"/>
      <c r="M2890" s="22" t="n"/>
      <c r="N2890" s="22" t="n">
        <v>2441</v>
      </c>
      <c r="O2890" s="22" t="n">
        <v>3173300</v>
      </c>
      <c r="P2890" s="22" t="n">
        <v>2441</v>
      </c>
      <c r="Q2890" s="22" t="n">
        <v>3173300</v>
      </c>
      <c r="R2890" s="42">
        <f>+L2890+N2890-P2890</f>
        <v/>
      </c>
      <c r="S2890" s="42">
        <f>+M2890+O2890-Q2890</f>
        <v/>
      </c>
    </row>
    <row r="2891" ht="30" customHeight="1">
      <c r="A2891" s="16" t="n">
        <v>45910</v>
      </c>
      <c r="B2891" s="17" t="inlineStr">
        <is>
          <t>MH2509-27</t>
        </is>
      </c>
      <c r="C2891" s="16" t="n">
        <v>45910</v>
      </c>
      <c r="D2891" s="17" t="inlineStr">
        <is>
          <t>00003561</t>
        </is>
      </c>
      <c r="E2891" s="16" t="n">
        <v>45910</v>
      </c>
      <c r="F2891" s="16" t="inlineStr">
        <is>
          <t>XK2509-21</t>
        </is>
      </c>
      <c r="G2891" s="16" t="n">
        <v>45910</v>
      </c>
      <c r="H2891" s="17" t="inlineStr">
        <is>
          <t>CÔNG TY CỔ PHẦN CÔNG NGHIỆP VÀ THƯƠNG MẠI CƯỜNG THỊNH</t>
        </is>
      </c>
      <c r="I2891" s="18" t="inlineStr">
        <is>
          <t>Đai ốc thường 4 ZP M12 (9mm)</t>
        </is>
      </c>
      <c r="J2891" s="18" t="inlineStr">
        <is>
          <t>Cái</t>
        </is>
      </c>
      <c r="K2891" s="19" t="n">
        <v>360</v>
      </c>
      <c r="L2891" s="21" t="n"/>
      <c r="M2891" s="22" t="n"/>
      <c r="N2891" s="22" t="n">
        <v>2441</v>
      </c>
      <c r="O2891" s="22" t="n">
        <v>878760</v>
      </c>
      <c r="P2891" s="22" t="n">
        <v>2441</v>
      </c>
      <c r="Q2891" s="22" t="n">
        <v>878760</v>
      </c>
      <c r="R2891" s="42">
        <f>+L2891+N2891-P2891</f>
        <v/>
      </c>
      <c r="S2891" s="42">
        <f>+M2891+O2891-Q2891</f>
        <v/>
      </c>
    </row>
    <row r="2892" ht="30" customHeight="1">
      <c r="A2892" s="16" t="n">
        <v>45910</v>
      </c>
      <c r="B2892" s="17" t="inlineStr">
        <is>
          <t>MH2509-27</t>
        </is>
      </c>
      <c r="C2892" s="16" t="n">
        <v>45910</v>
      </c>
      <c r="D2892" s="17" t="inlineStr">
        <is>
          <t>00003561</t>
        </is>
      </c>
      <c r="E2892" s="16" t="n">
        <v>45910</v>
      </c>
      <c r="F2892" s="16" t="inlineStr">
        <is>
          <t>XK2509-21</t>
        </is>
      </c>
      <c r="G2892" s="16" t="n">
        <v>45910</v>
      </c>
      <c r="H2892" s="17" t="inlineStr">
        <is>
          <t>CÔNG TY CỔ PHẦN CÔNG NGHIỆP VÀ THƯƠNG MẠI CƯỜNG THỊNH</t>
        </is>
      </c>
      <c r="I2892" s="18" t="inlineStr">
        <is>
          <t>Long đền thường ZP M12B23D1</t>
        </is>
      </c>
      <c r="J2892" s="18" t="inlineStr">
        <is>
          <t>Cái</t>
        </is>
      </c>
      <c r="K2892" s="19" t="n">
        <v>100</v>
      </c>
      <c r="L2892" s="21" t="n"/>
      <c r="M2892" s="22" t="n"/>
      <c r="N2892" s="22" t="n">
        <v>4882</v>
      </c>
      <c r="O2892" s="22" t="n">
        <v>488200</v>
      </c>
      <c r="P2892" s="22" t="n">
        <v>4882</v>
      </c>
      <c r="Q2892" s="22" t="n">
        <v>488200</v>
      </c>
      <c r="R2892" s="42">
        <f>+L2892+N2892-P2892</f>
        <v/>
      </c>
      <c r="S2892" s="42">
        <f>+M2892+O2892-Q2892</f>
        <v/>
      </c>
    </row>
    <row r="2893" ht="30" customHeight="1">
      <c r="A2893" s="16" t="n">
        <v>45910</v>
      </c>
      <c r="B2893" s="17" t="inlineStr">
        <is>
          <t>MH2509-27</t>
        </is>
      </c>
      <c r="C2893" s="16" t="n">
        <v>45910</v>
      </c>
      <c r="D2893" s="17" t="inlineStr">
        <is>
          <t>00003561</t>
        </is>
      </c>
      <c r="E2893" s="16" t="n">
        <v>45910</v>
      </c>
      <c r="F2893" s="16" t="inlineStr">
        <is>
          <t>XK2509-21</t>
        </is>
      </c>
      <c r="G2893" s="16" t="n">
        <v>45910</v>
      </c>
      <c r="H2893" s="17" t="inlineStr">
        <is>
          <t>CÔNG TY CỔ PHẦN CÔNG NGHIỆP VÀ THƯƠNG MẠI CƯỜNG THỊNH</t>
        </is>
      </c>
      <c r="I2893" s="18" t="inlineStr">
        <is>
          <t>Bulong Din 933 8.8 ZP M20x60</t>
        </is>
      </c>
      <c r="J2893" s="18" t="inlineStr">
        <is>
          <t>Cái</t>
        </is>
      </c>
      <c r="K2893" s="19" t="n">
        <v>6360</v>
      </c>
      <c r="L2893" s="21" t="n"/>
      <c r="M2893" s="22" t="n"/>
      <c r="N2893" s="22" t="n">
        <v>1818</v>
      </c>
      <c r="O2893" s="22" t="n">
        <v>11562480</v>
      </c>
      <c r="P2893" s="22" t="n">
        <v>1818</v>
      </c>
      <c r="Q2893" s="22" t="n">
        <v>11562480</v>
      </c>
      <c r="R2893" s="42">
        <f>+L2893+N2893-P2893</f>
        <v/>
      </c>
      <c r="S2893" s="42">
        <f>+M2893+O2893-Q2893</f>
        <v/>
      </c>
    </row>
    <row r="2894" ht="30" customHeight="1">
      <c r="A2894" s="16" t="n">
        <v>45910</v>
      </c>
      <c r="B2894" s="17" t="inlineStr">
        <is>
          <t>MH2509-27</t>
        </is>
      </c>
      <c r="C2894" s="16" t="n">
        <v>45910</v>
      </c>
      <c r="D2894" s="17" t="inlineStr">
        <is>
          <t>00003561</t>
        </is>
      </c>
      <c r="E2894" s="16" t="n">
        <v>45910</v>
      </c>
      <c r="F2894" s="16" t="inlineStr">
        <is>
          <t>XK2509-21</t>
        </is>
      </c>
      <c r="G2894" s="16" t="n">
        <v>45910</v>
      </c>
      <c r="H2894" s="17" t="inlineStr">
        <is>
          <t>CÔNG TY CỔ PHẦN CÔNG NGHIỆP VÀ THƯƠNG MẠI CƯỜNG THỊNH</t>
        </is>
      </c>
      <c r="I2894" s="18" t="inlineStr">
        <is>
          <t>Đai ốc Din 934 8 ZP M20</t>
        </is>
      </c>
      <c r="J2894" s="18" t="inlineStr">
        <is>
          <t>Cái</t>
        </is>
      </c>
      <c r="K2894" s="19" t="n">
        <v>2030</v>
      </c>
      <c r="L2894" s="21" t="n"/>
      <c r="M2894" s="22" t="n"/>
      <c r="N2894" s="22" t="n">
        <v>1818</v>
      </c>
      <c r="O2894" s="22" t="n">
        <v>3690540</v>
      </c>
      <c r="P2894" s="22" t="n">
        <v>1818</v>
      </c>
      <c r="Q2894" s="22" t="n">
        <v>3690540</v>
      </c>
      <c r="R2894" s="42">
        <f>+L2894+N2894-P2894</f>
        <v/>
      </c>
      <c r="S2894" s="42">
        <f>+M2894+O2894-Q2894</f>
        <v/>
      </c>
    </row>
    <row r="2895" ht="30" customHeight="1">
      <c r="A2895" s="16" t="n">
        <v>45910</v>
      </c>
      <c r="B2895" s="17" t="inlineStr">
        <is>
          <t>MH2509-27</t>
        </is>
      </c>
      <c r="C2895" s="16" t="n">
        <v>45910</v>
      </c>
      <c r="D2895" s="17" t="inlineStr">
        <is>
          <t>00003561</t>
        </is>
      </c>
      <c r="E2895" s="16" t="n">
        <v>45910</v>
      </c>
      <c r="F2895" s="16" t="inlineStr">
        <is>
          <t>XK2509-21</t>
        </is>
      </c>
      <c r="G2895" s="16" t="n">
        <v>45910</v>
      </c>
      <c r="H2895" s="17" t="inlineStr">
        <is>
          <t>CÔNG TY CỔ PHẦN CÔNG NGHIỆP VÀ THƯƠNG MẠI CƯỜNG THỊNH</t>
        </is>
      </c>
      <c r="I2895" s="18" t="inlineStr">
        <is>
          <t>Long đền thường ZP M20B35D2</t>
        </is>
      </c>
      <c r="J2895" s="18" t="inlineStr">
        <is>
          <t>Cái</t>
        </is>
      </c>
      <c r="K2895" s="19" t="n">
        <v>350</v>
      </c>
      <c r="L2895" s="21" t="n"/>
      <c r="M2895" s="22" t="n"/>
      <c r="N2895" s="22" t="n">
        <v>1818</v>
      </c>
      <c r="O2895" s="22" t="n">
        <v>636300</v>
      </c>
      <c r="P2895" s="22" t="n">
        <v>1818</v>
      </c>
      <c r="Q2895" s="22" t="n">
        <v>636300</v>
      </c>
      <c r="R2895" s="42">
        <f>+L2895+N2895-P2895</f>
        <v/>
      </c>
      <c r="S2895" s="42">
        <f>+M2895+O2895-Q2895</f>
        <v/>
      </c>
    </row>
    <row r="2896" ht="30" customHeight="1">
      <c r="A2896" s="16" t="n">
        <v>45910</v>
      </c>
      <c r="B2896" s="17" t="inlineStr">
        <is>
          <t>MH2509-27</t>
        </is>
      </c>
      <c r="C2896" s="16" t="n">
        <v>45910</v>
      </c>
      <c r="D2896" s="17" t="inlineStr">
        <is>
          <t>00003561</t>
        </is>
      </c>
      <c r="E2896" s="16" t="n">
        <v>45910</v>
      </c>
      <c r="F2896" s="16" t="inlineStr">
        <is>
          <t>XK2509-21</t>
        </is>
      </c>
      <c r="G2896" s="16" t="n">
        <v>45910</v>
      </c>
      <c r="H2896" s="17" t="inlineStr">
        <is>
          <t>CÔNG TY CỔ PHẦN CÔNG NGHIỆP VÀ THƯƠNG MẠI CƯỜNG THỊNH</t>
        </is>
      </c>
      <c r="I2896" s="18" t="inlineStr">
        <is>
          <t>Bulong Din 933 8.8 ZP M16x50</t>
        </is>
      </c>
      <c r="J2896" s="18" t="inlineStr">
        <is>
          <t>Cái</t>
        </is>
      </c>
      <c r="K2896" s="19" t="n">
        <v>3470</v>
      </c>
      <c r="L2896" s="21" t="n"/>
      <c r="M2896" s="22" t="n"/>
      <c r="N2896" s="22" t="n">
        <v>155</v>
      </c>
      <c r="O2896" s="22" t="n">
        <v>537850</v>
      </c>
      <c r="P2896" s="22" t="n">
        <v>155</v>
      </c>
      <c r="Q2896" s="22" t="n">
        <v>537850</v>
      </c>
      <c r="R2896" s="42">
        <f>+L2896+N2896-P2896</f>
        <v/>
      </c>
      <c r="S2896" s="42">
        <f>+M2896+O2896-Q2896</f>
        <v/>
      </c>
    </row>
    <row r="2897" ht="30" customHeight="1">
      <c r="A2897" s="16" t="n">
        <v>45910</v>
      </c>
      <c r="B2897" s="17" t="inlineStr">
        <is>
          <t>MH2509-27</t>
        </is>
      </c>
      <c r="C2897" s="16" t="n">
        <v>45910</v>
      </c>
      <c r="D2897" s="17" t="inlineStr">
        <is>
          <t>00003561</t>
        </is>
      </c>
      <c r="E2897" s="16" t="n">
        <v>45910</v>
      </c>
      <c r="F2897" s="16" t="inlineStr">
        <is>
          <t>XK2509-21</t>
        </is>
      </c>
      <c r="G2897" s="16" t="n">
        <v>45910</v>
      </c>
      <c r="H2897" s="17" t="inlineStr">
        <is>
          <t>CÔNG TY CỔ PHẦN CÔNG NGHIỆP VÀ THƯƠNG MẠI CƯỜNG THỊNH</t>
        </is>
      </c>
      <c r="I2897" s="18" t="inlineStr">
        <is>
          <t>Đai ốc Din 934 8 ZP M16</t>
        </is>
      </c>
      <c r="J2897" s="18" t="inlineStr">
        <is>
          <t>Cái</t>
        </is>
      </c>
      <c r="K2897" s="19" t="n">
        <v>1080</v>
      </c>
      <c r="L2897" s="21" t="n"/>
      <c r="M2897" s="22" t="n"/>
      <c r="N2897" s="22" t="n">
        <v>155</v>
      </c>
      <c r="O2897" s="22" t="n">
        <v>167400</v>
      </c>
      <c r="P2897" s="22" t="n">
        <v>155</v>
      </c>
      <c r="Q2897" s="22" t="n">
        <v>167400</v>
      </c>
      <c r="R2897" s="42">
        <f>+L2897+N2897-P2897</f>
        <v/>
      </c>
      <c r="S2897" s="42">
        <f>+M2897+O2897-Q2897</f>
        <v/>
      </c>
    </row>
    <row r="2898" ht="30" customHeight="1">
      <c r="A2898" s="16" t="n">
        <v>45910</v>
      </c>
      <c r="B2898" s="17" t="inlineStr">
        <is>
          <t>MH2509-27</t>
        </is>
      </c>
      <c r="C2898" s="16" t="n">
        <v>45910</v>
      </c>
      <c r="D2898" s="17" t="inlineStr">
        <is>
          <t>00003561</t>
        </is>
      </c>
      <c r="E2898" s="16" t="n">
        <v>45910</v>
      </c>
      <c r="F2898" s="16" t="inlineStr">
        <is>
          <t>XK2509-21</t>
        </is>
      </c>
      <c r="G2898" s="16" t="n">
        <v>45910</v>
      </c>
      <c r="H2898" s="17" t="inlineStr">
        <is>
          <t>CÔNG TY CỔ PHẦN CÔNG NGHIỆP VÀ THƯƠNG MẠI CƯỜNG THỊNH</t>
        </is>
      </c>
      <c r="I2898" s="18" t="inlineStr">
        <is>
          <t>Long đền thường ZP M16B30D2</t>
        </is>
      </c>
      <c r="J2898" s="18" t="inlineStr">
        <is>
          <t>Cái</t>
        </is>
      </c>
      <c r="K2898" s="19" t="n">
        <v>340</v>
      </c>
      <c r="L2898" s="21" t="n"/>
      <c r="M2898" s="22" t="n"/>
      <c r="N2898" s="22" t="n">
        <v>155</v>
      </c>
      <c r="O2898" s="22" t="n">
        <v>52700</v>
      </c>
      <c r="P2898" s="22" t="n">
        <v>155</v>
      </c>
      <c r="Q2898" s="22" t="n">
        <v>52700</v>
      </c>
      <c r="R2898" s="42">
        <f>+L2898+N2898-P2898</f>
        <v/>
      </c>
      <c r="S2898" s="42">
        <f>+M2898+O2898-Q2898</f>
        <v/>
      </c>
    </row>
    <row r="2899" ht="30" customHeight="1">
      <c r="A2899" s="16" t="n">
        <v>45910</v>
      </c>
      <c r="B2899" s="17" t="inlineStr">
        <is>
          <t>MH2509-27</t>
        </is>
      </c>
      <c r="C2899" s="16" t="n">
        <v>45910</v>
      </c>
      <c r="D2899" s="17" t="inlineStr">
        <is>
          <t>00003561</t>
        </is>
      </c>
      <c r="E2899" s="16" t="n">
        <v>45910</v>
      </c>
      <c r="F2899" s="16" t="inlineStr">
        <is>
          <t>XK2509-21</t>
        </is>
      </c>
      <c r="G2899" s="16" t="n">
        <v>45910</v>
      </c>
      <c r="H2899" s="17" t="inlineStr">
        <is>
          <t>CÔNG TY CỔ PHẦN CÔNG NGHIỆP VÀ THƯƠNG MẠI CƯỜNG THỊNH</t>
        </is>
      </c>
      <c r="I2899" s="18" t="inlineStr">
        <is>
          <t>Bulong Din 933 8.8 ZP M24x70</t>
        </is>
      </c>
      <c r="J2899" s="18" t="inlineStr">
        <is>
          <t>Cái</t>
        </is>
      </c>
      <c r="K2899" s="19" t="n">
        <v>11010</v>
      </c>
      <c r="L2899" s="21" t="n"/>
      <c r="M2899" s="22" t="n"/>
      <c r="N2899" s="22" t="n">
        <v>93</v>
      </c>
      <c r="O2899" s="22" t="n">
        <v>1023930</v>
      </c>
      <c r="P2899" s="22" t="n">
        <v>93</v>
      </c>
      <c r="Q2899" s="22" t="n">
        <v>1023930</v>
      </c>
      <c r="R2899" s="42">
        <f>+L2899+N2899-P2899</f>
        <v/>
      </c>
      <c r="S2899" s="42">
        <f>+M2899+O2899-Q2899</f>
        <v/>
      </c>
    </row>
    <row r="2900" ht="30" customHeight="1">
      <c r="A2900" s="16" t="n">
        <v>45910</v>
      </c>
      <c r="B2900" s="17" t="inlineStr">
        <is>
          <t>MH2509-27</t>
        </is>
      </c>
      <c r="C2900" s="16" t="n">
        <v>45910</v>
      </c>
      <c r="D2900" s="17" t="inlineStr">
        <is>
          <t>00003561</t>
        </is>
      </c>
      <c r="E2900" s="16" t="n">
        <v>45910</v>
      </c>
      <c r="F2900" s="16" t="inlineStr">
        <is>
          <t>XK2509-21</t>
        </is>
      </c>
      <c r="G2900" s="16" t="n">
        <v>45910</v>
      </c>
      <c r="H2900" s="17" t="inlineStr">
        <is>
          <t>CÔNG TY CỔ PHẦN CÔNG NGHIỆP VÀ THƯƠNG MẠI CƯỜNG THỊNH</t>
        </is>
      </c>
      <c r="I2900" s="18" t="inlineStr">
        <is>
          <t>Đai ốc Din 934 8 ZP M24</t>
        </is>
      </c>
      <c r="J2900" s="18" t="inlineStr">
        <is>
          <t>Cái</t>
        </is>
      </c>
      <c r="K2900" s="19" t="n">
        <v>3500</v>
      </c>
      <c r="L2900" s="21" t="n"/>
      <c r="M2900" s="22" t="n"/>
      <c r="N2900" s="22" t="n">
        <v>93</v>
      </c>
      <c r="O2900" s="22" t="n">
        <v>325500</v>
      </c>
      <c r="P2900" s="22" t="n">
        <v>93</v>
      </c>
      <c r="Q2900" s="22" t="n">
        <v>325500</v>
      </c>
      <c r="R2900" s="42">
        <f>+L2900+N2900-P2900</f>
        <v/>
      </c>
      <c r="S2900" s="42">
        <f>+M2900+O2900-Q2900</f>
        <v/>
      </c>
    </row>
    <row r="2901" ht="30" customHeight="1">
      <c r="A2901" s="16" t="n">
        <v>45910</v>
      </c>
      <c r="B2901" s="17" t="inlineStr">
        <is>
          <t>MH2509-27</t>
        </is>
      </c>
      <c r="C2901" s="16" t="n">
        <v>45910</v>
      </c>
      <c r="D2901" s="17" t="inlineStr">
        <is>
          <t>00003561</t>
        </is>
      </c>
      <c r="E2901" s="16" t="n">
        <v>45910</v>
      </c>
      <c r="F2901" s="16" t="inlineStr">
        <is>
          <t>XK2509-21</t>
        </is>
      </c>
      <c r="G2901" s="16" t="n">
        <v>45910</v>
      </c>
      <c r="H2901" s="17" t="inlineStr">
        <is>
          <t>CÔNG TY CỔ PHẦN CÔNG NGHIỆP VÀ THƯƠNG MẠI CƯỜNG THỊNH</t>
        </is>
      </c>
      <c r="I2901" s="18" t="inlineStr">
        <is>
          <t>Long đền thường ZP M24B40-42D2</t>
        </is>
      </c>
      <c r="J2901" s="18" t="inlineStr">
        <is>
          <t>Cái</t>
        </is>
      </c>
      <c r="K2901" s="19" t="n">
        <v>660</v>
      </c>
      <c r="L2901" s="21" t="n"/>
      <c r="M2901" s="22" t="n"/>
      <c r="N2901" s="22" t="n">
        <v>93</v>
      </c>
      <c r="O2901" s="22" t="n">
        <v>61380</v>
      </c>
      <c r="P2901" s="22" t="n">
        <v>93</v>
      </c>
      <c r="Q2901" s="22" t="n">
        <v>61380</v>
      </c>
      <c r="R2901" s="42">
        <f>+L2901+N2901-P2901</f>
        <v/>
      </c>
      <c r="S2901" s="42">
        <f>+M2901+O2901-Q2901</f>
        <v/>
      </c>
    </row>
    <row r="2902" ht="30" customHeight="1">
      <c r="A2902" s="16" t="n">
        <v>45910</v>
      </c>
      <c r="B2902" s="17" t="inlineStr">
        <is>
          <t>MH2509-27</t>
        </is>
      </c>
      <c r="C2902" s="16" t="n">
        <v>45910</v>
      </c>
      <c r="D2902" s="17" t="inlineStr">
        <is>
          <t>00003561</t>
        </is>
      </c>
      <c r="E2902" s="16" t="n">
        <v>45910</v>
      </c>
      <c r="F2902" s="16" t="inlineStr">
        <is>
          <t>XK2509-21</t>
        </is>
      </c>
      <c r="G2902" s="16" t="n">
        <v>45910</v>
      </c>
      <c r="H2902" s="17" t="inlineStr">
        <is>
          <t>CÔNG TY CỔ PHẦN CÔNG NGHIỆP VÀ THƯƠNG MẠI CƯỜNG THỊNH</t>
        </is>
      </c>
      <c r="I2902" s="18" t="inlineStr">
        <is>
          <t>Vít B2 Dacromet 10-24x22 WAF (bake)</t>
        </is>
      </c>
      <c r="J2902" s="18" t="inlineStr">
        <is>
          <t>Cái</t>
        </is>
      </c>
      <c r="K2902" s="19" t="n">
        <v>380</v>
      </c>
      <c r="L2902" s="21" t="n"/>
      <c r="M2902" s="22" t="n"/>
      <c r="N2902" s="22" t="n">
        <v>6200</v>
      </c>
      <c r="O2902" s="22" t="n">
        <v>2356000</v>
      </c>
      <c r="P2902" s="22" t="n">
        <v>6200</v>
      </c>
      <c r="Q2902" s="22" t="n">
        <v>2356000</v>
      </c>
      <c r="R2902" s="42">
        <f>+L2902+N2902-P2902</f>
        <v/>
      </c>
      <c r="S2902" s="42">
        <f>+M2902+O2902-Q2902</f>
        <v/>
      </c>
    </row>
    <row r="2903" ht="30" customHeight="1">
      <c r="A2903" s="16" t="n">
        <v>45910</v>
      </c>
      <c r="B2903" s="17" t="inlineStr">
        <is>
          <t>MH2509-27</t>
        </is>
      </c>
      <c r="C2903" s="16" t="n">
        <v>45910</v>
      </c>
      <c r="D2903" s="17" t="inlineStr">
        <is>
          <t>00003561</t>
        </is>
      </c>
      <c r="E2903" s="16" t="n">
        <v>45910</v>
      </c>
      <c r="F2903" s="16" t="inlineStr">
        <is>
          <t>XK2509-21</t>
        </is>
      </c>
      <c r="G2903" s="16" t="n">
        <v>45910</v>
      </c>
      <c r="H2903" s="17" t="inlineStr">
        <is>
          <t>CÔNG TY CỔ PHẦN CÔNG NGHIỆP VÀ THƯƠNG MẠI CƯỜNG THỊNH</t>
        </is>
      </c>
      <c r="I2903" s="18" t="inlineStr">
        <is>
          <t>Bulong nở 4.6 ZP M12x120</t>
        </is>
      </c>
      <c r="J2903" s="18" t="inlineStr">
        <is>
          <t>Bộ</t>
        </is>
      </c>
      <c r="K2903" s="19" t="n">
        <v>9900</v>
      </c>
      <c r="L2903" s="21" t="n"/>
      <c r="M2903" s="22" t="n"/>
      <c r="N2903" s="22" t="n">
        <v>222</v>
      </c>
      <c r="O2903" s="22" t="n">
        <v>2197800</v>
      </c>
      <c r="P2903" s="22" t="n">
        <v>222</v>
      </c>
      <c r="Q2903" s="22" t="n">
        <v>2197800</v>
      </c>
      <c r="R2903" s="42">
        <f>+L2903+N2903-P2903</f>
        <v/>
      </c>
      <c r="S2903" s="42">
        <f>+M2903+O2903-Q2903</f>
        <v/>
      </c>
    </row>
    <row r="2904" ht="30" customHeight="1">
      <c r="A2904" s="16" t="n">
        <v>45910</v>
      </c>
      <c r="B2904" s="17" t="inlineStr">
        <is>
          <t>MH2509-27</t>
        </is>
      </c>
      <c r="C2904" s="16" t="n">
        <v>45910</v>
      </c>
      <c r="D2904" s="17" t="inlineStr">
        <is>
          <t>00003561</t>
        </is>
      </c>
      <c r="E2904" s="16" t="n">
        <v>45910</v>
      </c>
      <c r="F2904" s="16" t="inlineStr">
        <is>
          <t>XK2509-21</t>
        </is>
      </c>
      <c r="G2904" s="16" t="n">
        <v>45910</v>
      </c>
      <c r="H2904" s="17" t="inlineStr">
        <is>
          <t>CÔNG TY CỔ PHẦN CÔNG NGHIỆP VÀ THƯƠNG MẠI CƯỜNG THỊNH</t>
        </is>
      </c>
      <c r="I2904" s="18" t="inlineStr">
        <is>
          <t>Bulong Din 933 8.8 ZP M24x90</t>
        </is>
      </c>
      <c r="J2904" s="18" t="inlineStr">
        <is>
          <t>Cái</t>
        </is>
      </c>
      <c r="K2904" s="19" t="n">
        <v>12950</v>
      </c>
      <c r="L2904" s="21" t="n"/>
      <c r="M2904" s="22" t="n"/>
      <c r="N2904" s="22" t="n">
        <v>690</v>
      </c>
      <c r="O2904" s="22" t="n">
        <v>8935500</v>
      </c>
      <c r="P2904" s="22" t="n">
        <v>690</v>
      </c>
      <c r="Q2904" s="22" t="n">
        <v>8935500</v>
      </c>
      <c r="R2904" s="42">
        <f>+L2904+N2904-P2904</f>
        <v/>
      </c>
      <c r="S2904" s="42">
        <f>+M2904+O2904-Q2904</f>
        <v/>
      </c>
    </row>
    <row r="2905" ht="30" customHeight="1">
      <c r="A2905" s="16" t="n">
        <v>45910</v>
      </c>
      <c r="B2905" s="17" t="inlineStr">
        <is>
          <t>MH2509-27</t>
        </is>
      </c>
      <c r="C2905" s="16" t="n">
        <v>45910</v>
      </c>
      <c r="D2905" s="17" t="inlineStr">
        <is>
          <t>00003561</t>
        </is>
      </c>
      <c r="E2905" s="16" t="n">
        <v>45910</v>
      </c>
      <c r="F2905" s="16" t="inlineStr">
        <is>
          <t>XK2509-21</t>
        </is>
      </c>
      <c r="G2905" s="16" t="n">
        <v>45910</v>
      </c>
      <c r="H2905" s="17" t="inlineStr">
        <is>
          <t>CÔNG TY CỔ PHẦN CÔNG NGHIỆP VÀ THƯƠNG MẠI CƯỜNG THỊNH</t>
        </is>
      </c>
      <c r="I2905" s="18" t="inlineStr">
        <is>
          <t>Đai ốc Din 934 8 ZP M24</t>
        </is>
      </c>
      <c r="J2905" s="18" t="inlineStr">
        <is>
          <t>Cái</t>
        </is>
      </c>
      <c r="K2905" s="19" t="n">
        <v>3500</v>
      </c>
      <c r="L2905" s="21" t="n"/>
      <c r="M2905" s="22" t="n"/>
      <c r="N2905" s="22" t="n">
        <v>690</v>
      </c>
      <c r="O2905" s="22" t="n">
        <v>2415000</v>
      </c>
      <c r="P2905" s="22" t="n">
        <v>690</v>
      </c>
      <c r="Q2905" s="22" t="n">
        <v>2415000</v>
      </c>
      <c r="R2905" s="42">
        <f>+L2905+N2905-P2905</f>
        <v/>
      </c>
      <c r="S2905" s="42">
        <f>+M2905+O2905-Q2905</f>
        <v/>
      </c>
    </row>
    <row r="2906" ht="30" customHeight="1">
      <c r="A2906" s="16" t="n">
        <v>45910</v>
      </c>
      <c r="B2906" s="17" t="inlineStr">
        <is>
          <t>MH2509-27</t>
        </is>
      </c>
      <c r="C2906" s="16" t="n">
        <v>45910</v>
      </c>
      <c r="D2906" s="17" t="inlineStr">
        <is>
          <t>00003561</t>
        </is>
      </c>
      <c r="E2906" s="16" t="n">
        <v>45910</v>
      </c>
      <c r="F2906" s="16" t="inlineStr">
        <is>
          <t>XK2509-21</t>
        </is>
      </c>
      <c r="G2906" s="16" t="n">
        <v>45910</v>
      </c>
      <c r="H2906" s="17" t="inlineStr">
        <is>
          <t>CÔNG TY CỔ PHẦN CÔNG NGHIỆP VÀ THƯƠNG MẠI CƯỜNG THỊNH</t>
        </is>
      </c>
      <c r="I2906" s="18" t="inlineStr">
        <is>
          <t>Long đền thường ZP M24B40-42D2</t>
        </is>
      </c>
      <c r="J2906" s="18" t="inlineStr">
        <is>
          <t>Cái</t>
        </is>
      </c>
      <c r="K2906" s="19" t="n">
        <v>680</v>
      </c>
      <c r="L2906" s="21" t="n"/>
      <c r="M2906" s="22" t="n"/>
      <c r="N2906" s="22" t="n">
        <v>690</v>
      </c>
      <c r="O2906" s="22" t="n">
        <v>469200</v>
      </c>
      <c r="P2906" s="22" t="n">
        <v>690</v>
      </c>
      <c r="Q2906" s="22" t="n">
        <v>469200</v>
      </c>
      <c r="R2906" s="42">
        <f>+L2906+N2906-P2906</f>
        <v/>
      </c>
      <c r="S2906" s="42">
        <f>+M2906+O2906-Q2906</f>
        <v/>
      </c>
    </row>
    <row r="2907" ht="30" customHeight="1">
      <c r="A2907" s="16" t="n">
        <v>45910</v>
      </c>
      <c r="B2907" s="17" t="inlineStr">
        <is>
          <t>MH2509-27</t>
        </is>
      </c>
      <c r="C2907" s="16" t="n">
        <v>45910</v>
      </c>
      <c r="D2907" s="17" t="inlineStr">
        <is>
          <t>00003561</t>
        </is>
      </c>
      <c r="E2907" s="16" t="n">
        <v>45910</v>
      </c>
      <c r="F2907" s="16" t="inlineStr">
        <is>
          <t>XK2509-21</t>
        </is>
      </c>
      <c r="G2907" s="16" t="n">
        <v>45910</v>
      </c>
      <c r="H2907" s="17" t="inlineStr">
        <is>
          <t>CÔNG TY CỔ PHẦN CÔNG NGHIỆP VÀ THƯƠNG MẠI CƯỜNG THỊNH</t>
        </is>
      </c>
      <c r="I2907" s="18" t="inlineStr">
        <is>
          <t>Bulong Din 933 8.8 ZP M20x80</t>
        </is>
      </c>
      <c r="J2907" s="18" t="inlineStr">
        <is>
          <t>Cái</t>
        </is>
      </c>
      <c r="K2907" s="19" t="n">
        <v>7630</v>
      </c>
      <c r="L2907" s="21" t="n"/>
      <c r="M2907" s="22" t="n"/>
      <c r="N2907" s="22" t="n">
        <v>309</v>
      </c>
      <c r="O2907" s="22" t="n">
        <v>2357670</v>
      </c>
      <c r="P2907" s="22" t="n">
        <v>309</v>
      </c>
      <c r="Q2907" s="22" t="n">
        <v>2357670</v>
      </c>
      <c r="R2907" s="42">
        <f>+L2907+N2907-P2907</f>
        <v/>
      </c>
      <c r="S2907" s="42">
        <f>+M2907+O2907-Q2907</f>
        <v/>
      </c>
    </row>
    <row r="2908" ht="30" customHeight="1">
      <c r="A2908" s="16" t="n">
        <v>45910</v>
      </c>
      <c r="B2908" s="17" t="inlineStr">
        <is>
          <t>MH2509-27</t>
        </is>
      </c>
      <c r="C2908" s="16" t="n">
        <v>45910</v>
      </c>
      <c r="D2908" s="17" t="inlineStr">
        <is>
          <t>00003561</t>
        </is>
      </c>
      <c r="E2908" s="16" t="n">
        <v>45910</v>
      </c>
      <c r="F2908" s="16" t="inlineStr">
        <is>
          <t>XK2509-21</t>
        </is>
      </c>
      <c r="G2908" s="16" t="n">
        <v>45910</v>
      </c>
      <c r="H2908" s="17" t="inlineStr">
        <is>
          <t>CÔNG TY CỔ PHẦN CÔNG NGHIỆP VÀ THƯƠNG MẠI CƯỜNG THỊNH</t>
        </is>
      </c>
      <c r="I2908" s="18" t="inlineStr">
        <is>
          <t>Đai ốc Din 934 8 ZP M20</t>
        </is>
      </c>
      <c r="J2908" s="18" t="inlineStr">
        <is>
          <t>Cái</t>
        </is>
      </c>
      <c r="K2908" s="19" t="n">
        <v>2040</v>
      </c>
      <c r="L2908" s="21" t="n"/>
      <c r="M2908" s="22" t="n"/>
      <c r="N2908" s="22" t="n">
        <v>309</v>
      </c>
      <c r="O2908" s="22" t="n">
        <v>630360</v>
      </c>
      <c r="P2908" s="22" t="n">
        <v>309</v>
      </c>
      <c r="Q2908" s="22" t="n">
        <v>630360</v>
      </c>
      <c r="R2908" s="42">
        <f>+L2908+N2908-P2908</f>
        <v/>
      </c>
      <c r="S2908" s="42">
        <f>+M2908+O2908-Q2908</f>
        <v/>
      </c>
    </row>
    <row r="2909" ht="30" customHeight="1">
      <c r="A2909" s="16" t="n">
        <v>45910</v>
      </c>
      <c r="B2909" s="17" t="inlineStr">
        <is>
          <t>MH2509-27</t>
        </is>
      </c>
      <c r="C2909" s="16" t="n">
        <v>45910</v>
      </c>
      <c r="D2909" s="17" t="inlineStr">
        <is>
          <t>00003561</t>
        </is>
      </c>
      <c r="E2909" s="16" t="n">
        <v>45910</v>
      </c>
      <c r="F2909" s="16" t="inlineStr">
        <is>
          <t>XK2509-21</t>
        </is>
      </c>
      <c r="G2909" s="16" t="n">
        <v>45910</v>
      </c>
      <c r="H2909" s="17" t="inlineStr">
        <is>
          <t>CÔNG TY CỔ PHẦN CÔNG NGHIỆP VÀ THƯƠNG MẠI CƯỜNG THỊNH</t>
        </is>
      </c>
      <c r="I2909" s="18" t="inlineStr">
        <is>
          <t>Long đền thường ZP M20B35D2</t>
        </is>
      </c>
      <c r="J2909" s="18" t="inlineStr">
        <is>
          <t>Cái</t>
        </is>
      </c>
      <c r="K2909" s="19" t="n">
        <v>380</v>
      </c>
      <c r="L2909" s="21" t="n"/>
      <c r="M2909" s="22" t="n"/>
      <c r="N2909" s="22" t="n">
        <v>309</v>
      </c>
      <c r="O2909" s="22" t="n">
        <v>117420</v>
      </c>
      <c r="P2909" s="22" t="n">
        <v>309</v>
      </c>
      <c r="Q2909" s="22" t="n">
        <v>117420</v>
      </c>
      <c r="R2909" s="42">
        <f>+L2909+N2909-P2909</f>
        <v/>
      </c>
      <c r="S2909" s="42">
        <f>+M2909+O2909-Q2909</f>
        <v/>
      </c>
    </row>
    <row r="2910" ht="30" customHeight="1">
      <c r="A2910" s="16" t="n">
        <v>45910</v>
      </c>
      <c r="B2910" s="17" t="inlineStr">
        <is>
          <t>MH2509-28</t>
        </is>
      </c>
      <c r="C2910" s="16" t="n">
        <v>45910</v>
      </c>
      <c r="D2910" s="17" t="inlineStr">
        <is>
          <t>00003562</t>
        </is>
      </c>
      <c r="E2910" s="16" t="n">
        <v>45910</v>
      </c>
      <c r="F2910" s="16" t="inlineStr">
        <is>
          <t>XK2509-22</t>
        </is>
      </c>
      <c r="G2910" s="16" t="n">
        <v>45910</v>
      </c>
      <c r="H2910" s="17" t="inlineStr">
        <is>
          <t>CÔNG TY CỔ PHẦN CÔNG NGHIỆP VÀ THƯƠNG MẠI CƯỜNG THỊNH</t>
        </is>
      </c>
      <c r="I2910" s="18" t="inlineStr">
        <is>
          <t>Bulong thường 4.6 ZP M12x30</t>
        </is>
      </c>
      <c r="J2910" s="18" t="inlineStr">
        <is>
          <t>Cái</t>
        </is>
      </c>
      <c r="K2910" s="19" t="n">
        <v>950</v>
      </c>
      <c r="L2910" s="21" t="n"/>
      <c r="M2910" s="22" t="n"/>
      <c r="N2910" s="22" t="n">
        <v>2229</v>
      </c>
      <c r="O2910" s="22" t="n">
        <v>2117550</v>
      </c>
      <c r="P2910" s="22" t="n">
        <v>2229</v>
      </c>
      <c r="Q2910" s="22" t="n">
        <v>2117550</v>
      </c>
      <c r="R2910" s="42">
        <f>+L2910+N2910-P2910</f>
        <v/>
      </c>
      <c r="S2910" s="42">
        <f>+M2910+O2910-Q2910</f>
        <v/>
      </c>
    </row>
    <row r="2911" ht="30" customHeight="1">
      <c r="A2911" s="16" t="n">
        <v>45910</v>
      </c>
      <c r="B2911" s="17" t="inlineStr">
        <is>
          <t>MH2509-28</t>
        </is>
      </c>
      <c r="C2911" s="16" t="n">
        <v>45910</v>
      </c>
      <c r="D2911" s="17" t="inlineStr">
        <is>
          <t>00003562</t>
        </is>
      </c>
      <c r="E2911" s="16" t="n">
        <v>45910</v>
      </c>
      <c r="F2911" s="16" t="inlineStr">
        <is>
          <t>XK2509-22</t>
        </is>
      </c>
      <c r="G2911" s="16" t="n">
        <v>45910</v>
      </c>
      <c r="H2911" s="17" t="inlineStr">
        <is>
          <t>CÔNG TY CỔ PHẦN CÔNG NGHIỆP VÀ THƯƠNG MẠI CƯỜNG THỊNH</t>
        </is>
      </c>
      <c r="I2911" s="18" t="inlineStr">
        <is>
          <t>Đai ốc thường 4 ZP M12 (8mm)</t>
        </is>
      </c>
      <c r="J2911" s="18" t="inlineStr">
        <is>
          <t>Cái</t>
        </is>
      </c>
      <c r="K2911" s="19" t="n">
        <v>360</v>
      </c>
      <c r="L2911" s="21" t="n"/>
      <c r="M2911" s="22" t="n"/>
      <c r="N2911" s="22" t="n">
        <v>2229</v>
      </c>
      <c r="O2911" s="22" t="n">
        <v>802440</v>
      </c>
      <c r="P2911" s="22" t="n">
        <v>2229</v>
      </c>
      <c r="Q2911" s="22" t="n">
        <v>802440</v>
      </c>
      <c r="R2911" s="42">
        <f>+L2911+N2911-P2911</f>
        <v/>
      </c>
      <c r="S2911" s="42">
        <f>+M2911+O2911-Q2911</f>
        <v/>
      </c>
    </row>
    <row r="2912" ht="30" customHeight="1">
      <c r="A2912" s="16" t="n">
        <v>45910</v>
      </c>
      <c r="B2912" s="17" t="inlineStr">
        <is>
          <t>MH2509-28</t>
        </is>
      </c>
      <c r="C2912" s="16" t="n">
        <v>45910</v>
      </c>
      <c r="D2912" s="17" t="inlineStr">
        <is>
          <t>00003562</t>
        </is>
      </c>
      <c r="E2912" s="16" t="n">
        <v>45910</v>
      </c>
      <c r="F2912" s="16" t="inlineStr">
        <is>
          <t>XK2509-22</t>
        </is>
      </c>
      <c r="G2912" s="16" t="n">
        <v>45910</v>
      </c>
      <c r="H2912" s="17" t="inlineStr">
        <is>
          <t>CÔNG TY CỔ PHẦN CÔNG NGHIỆP VÀ THƯƠNG MẠI CƯỜNG THỊNH</t>
        </is>
      </c>
      <c r="I2912" s="18" t="inlineStr">
        <is>
          <t>Long đền thường ZP M12B23D1</t>
        </is>
      </c>
      <c r="J2912" s="18" t="inlineStr">
        <is>
          <t>Cái</t>
        </is>
      </c>
      <c r="K2912" s="19" t="n">
        <v>100</v>
      </c>
      <c r="L2912" s="21" t="n"/>
      <c r="M2912" s="22" t="n"/>
      <c r="N2912" s="22" t="n">
        <v>4458</v>
      </c>
      <c r="O2912" s="22" t="n">
        <v>445800</v>
      </c>
      <c r="P2912" s="22" t="n">
        <v>4458</v>
      </c>
      <c r="Q2912" s="22" t="n">
        <v>445800</v>
      </c>
      <c r="R2912" s="42">
        <f>+L2912+N2912-P2912</f>
        <v/>
      </c>
      <c r="S2912" s="42">
        <f>+M2912+O2912-Q2912</f>
        <v/>
      </c>
    </row>
    <row r="2913" ht="30" customHeight="1">
      <c r="A2913" s="16" t="n">
        <v>45910</v>
      </c>
      <c r="B2913" s="17" t="inlineStr">
        <is>
          <t>MH2509-28</t>
        </is>
      </c>
      <c r="C2913" s="16" t="n">
        <v>45910</v>
      </c>
      <c r="D2913" s="17" t="inlineStr">
        <is>
          <t>00003562</t>
        </is>
      </c>
      <c r="E2913" s="16" t="n">
        <v>45910</v>
      </c>
      <c r="F2913" s="16" t="inlineStr">
        <is>
          <t>XK2509-22</t>
        </is>
      </c>
      <c r="G2913" s="16" t="n">
        <v>45910</v>
      </c>
      <c r="H2913" s="17" t="inlineStr">
        <is>
          <t>CÔNG TY CỔ PHẦN CÔNG NGHIỆP VÀ THƯƠNG MẠI CƯỜNG THỊNH</t>
        </is>
      </c>
      <c r="I2913" s="18" t="inlineStr">
        <is>
          <t>Bulong thường 4.6 ZP M12x50</t>
        </is>
      </c>
      <c r="J2913" s="18" t="inlineStr">
        <is>
          <t>Cái</t>
        </is>
      </c>
      <c r="K2913" s="19" t="n">
        <v>1300</v>
      </c>
      <c r="L2913" s="21" t="n"/>
      <c r="M2913" s="22" t="n"/>
      <c r="N2913" s="22" t="n">
        <v>278</v>
      </c>
      <c r="O2913" s="22" t="n">
        <v>361400</v>
      </c>
      <c r="P2913" s="22" t="n">
        <v>278</v>
      </c>
      <c r="Q2913" s="22" t="n">
        <v>361400</v>
      </c>
      <c r="R2913" s="42">
        <f>+L2913+N2913-P2913</f>
        <v/>
      </c>
      <c r="S2913" s="42">
        <f>+M2913+O2913-Q2913</f>
        <v/>
      </c>
    </row>
    <row r="2914" ht="30" customHeight="1">
      <c r="A2914" s="16" t="n">
        <v>45910</v>
      </c>
      <c r="B2914" s="17" t="inlineStr">
        <is>
          <t>MH2509-28</t>
        </is>
      </c>
      <c r="C2914" s="16" t="n">
        <v>45910</v>
      </c>
      <c r="D2914" s="17" t="inlineStr">
        <is>
          <t>00003562</t>
        </is>
      </c>
      <c r="E2914" s="16" t="n">
        <v>45910</v>
      </c>
      <c r="F2914" s="16" t="inlineStr">
        <is>
          <t>XK2509-22</t>
        </is>
      </c>
      <c r="G2914" s="16" t="n">
        <v>45910</v>
      </c>
      <c r="H2914" s="17" t="inlineStr">
        <is>
          <t>CÔNG TY CỔ PHẦN CÔNG NGHIỆP VÀ THƯƠNG MẠI CƯỜNG THỊNH</t>
        </is>
      </c>
      <c r="I2914" s="18" t="inlineStr">
        <is>
          <t>Đai ốc thường 4 ZP M12 (9mm)</t>
        </is>
      </c>
      <c r="J2914" s="18" t="inlineStr">
        <is>
          <t>Cái</t>
        </is>
      </c>
      <c r="K2914" s="19" t="n">
        <v>360</v>
      </c>
      <c r="L2914" s="21" t="n"/>
      <c r="M2914" s="22" t="n"/>
      <c r="N2914" s="22" t="n">
        <v>278</v>
      </c>
      <c r="O2914" s="22" t="n">
        <v>100080</v>
      </c>
      <c r="P2914" s="22" t="n">
        <v>278</v>
      </c>
      <c r="Q2914" s="22" t="n">
        <v>100080</v>
      </c>
      <c r="R2914" s="42">
        <f>+L2914+N2914-P2914</f>
        <v/>
      </c>
      <c r="S2914" s="42">
        <f>+M2914+O2914-Q2914</f>
        <v/>
      </c>
    </row>
    <row r="2915" ht="30" customHeight="1">
      <c r="A2915" s="16" t="n">
        <v>45910</v>
      </c>
      <c r="B2915" s="17" t="inlineStr">
        <is>
          <t>MH2509-28</t>
        </is>
      </c>
      <c r="C2915" s="16" t="n">
        <v>45910</v>
      </c>
      <c r="D2915" s="17" t="inlineStr">
        <is>
          <t>00003562</t>
        </is>
      </c>
      <c r="E2915" s="16" t="n">
        <v>45910</v>
      </c>
      <c r="F2915" s="16" t="inlineStr">
        <is>
          <t>XK2509-22</t>
        </is>
      </c>
      <c r="G2915" s="16" t="n">
        <v>45910</v>
      </c>
      <c r="H2915" s="17" t="inlineStr">
        <is>
          <t>CÔNG TY CỔ PHẦN CÔNG NGHIỆP VÀ THƯƠNG MẠI CƯỜNG THỊNH</t>
        </is>
      </c>
      <c r="I2915" s="18" t="inlineStr">
        <is>
          <t>Long đền thường ZP M12B23D1</t>
        </is>
      </c>
      <c r="J2915" s="18" t="inlineStr">
        <is>
          <t>Cái</t>
        </is>
      </c>
      <c r="K2915" s="19" t="n">
        <v>100</v>
      </c>
      <c r="L2915" s="21" t="n"/>
      <c r="M2915" s="22" t="n"/>
      <c r="N2915" s="22" t="n">
        <v>556</v>
      </c>
      <c r="O2915" s="22" t="n">
        <v>55600</v>
      </c>
      <c r="P2915" s="22" t="n">
        <v>556</v>
      </c>
      <c r="Q2915" s="22" t="n">
        <v>55600</v>
      </c>
      <c r="R2915" s="42">
        <f>+L2915+N2915-P2915</f>
        <v/>
      </c>
      <c r="S2915" s="42">
        <f>+M2915+O2915-Q2915</f>
        <v/>
      </c>
    </row>
    <row r="2916" ht="30" customHeight="1">
      <c r="A2916" s="16" t="n">
        <v>45910</v>
      </c>
      <c r="B2916" s="17" t="inlineStr">
        <is>
          <t>MH2509-28</t>
        </is>
      </c>
      <c r="C2916" s="16" t="n">
        <v>45910</v>
      </c>
      <c r="D2916" s="17" t="inlineStr">
        <is>
          <t>00003562</t>
        </is>
      </c>
      <c r="E2916" s="16" t="n">
        <v>45910</v>
      </c>
      <c r="F2916" s="16" t="inlineStr">
        <is>
          <t>XK2509-22</t>
        </is>
      </c>
      <c r="G2916" s="16" t="n">
        <v>45910</v>
      </c>
      <c r="H2916" s="17" t="inlineStr">
        <is>
          <t>CÔNG TY CỔ PHẦN CÔNG NGHIỆP VÀ THƯƠNG MẠI CƯỜNG THỊNH</t>
        </is>
      </c>
      <c r="I2916" s="18" t="inlineStr">
        <is>
          <t>Bulong Din 933 8.8 ZP M20x60</t>
        </is>
      </c>
      <c r="J2916" s="18" t="inlineStr">
        <is>
          <t>Cái</t>
        </is>
      </c>
      <c r="K2916" s="19" t="n">
        <v>6360</v>
      </c>
      <c r="L2916" s="21" t="n"/>
      <c r="M2916" s="22" t="n"/>
      <c r="N2916" s="22" t="n">
        <v>443</v>
      </c>
      <c r="O2916" s="22" t="n">
        <v>2817480</v>
      </c>
      <c r="P2916" s="22" t="n">
        <v>443</v>
      </c>
      <c r="Q2916" s="22" t="n">
        <v>2817480</v>
      </c>
      <c r="R2916" s="42">
        <f>+L2916+N2916-P2916</f>
        <v/>
      </c>
      <c r="S2916" s="42">
        <f>+M2916+O2916-Q2916</f>
        <v/>
      </c>
    </row>
    <row r="2917" ht="30" customHeight="1">
      <c r="A2917" s="16" t="n">
        <v>45910</v>
      </c>
      <c r="B2917" s="17" t="inlineStr">
        <is>
          <t>MH2509-28</t>
        </is>
      </c>
      <c r="C2917" s="16" t="n">
        <v>45910</v>
      </c>
      <c r="D2917" s="17" t="inlineStr">
        <is>
          <t>00003562</t>
        </is>
      </c>
      <c r="E2917" s="16" t="n">
        <v>45910</v>
      </c>
      <c r="F2917" s="16" t="inlineStr">
        <is>
          <t>XK2509-22</t>
        </is>
      </c>
      <c r="G2917" s="16" t="n">
        <v>45910</v>
      </c>
      <c r="H2917" s="17" t="inlineStr">
        <is>
          <t>CÔNG TY CỔ PHẦN CÔNG NGHIỆP VÀ THƯƠNG MẠI CƯỜNG THỊNH</t>
        </is>
      </c>
      <c r="I2917" s="18" t="inlineStr">
        <is>
          <t>Đai ốc Din 934 8 ZP M20</t>
        </is>
      </c>
      <c r="J2917" s="18" t="inlineStr">
        <is>
          <t>Cái</t>
        </is>
      </c>
      <c r="K2917" s="19" t="n">
        <v>2030</v>
      </c>
      <c r="L2917" s="21" t="n"/>
      <c r="M2917" s="22" t="n"/>
      <c r="N2917" s="22" t="n">
        <v>443</v>
      </c>
      <c r="O2917" s="22" t="n">
        <v>899290</v>
      </c>
      <c r="P2917" s="22" t="n">
        <v>443</v>
      </c>
      <c r="Q2917" s="22" t="n">
        <v>899290</v>
      </c>
      <c r="R2917" s="42">
        <f>+L2917+N2917-P2917</f>
        <v/>
      </c>
      <c r="S2917" s="42">
        <f>+M2917+O2917-Q2917</f>
        <v/>
      </c>
    </row>
    <row r="2918" ht="30" customHeight="1">
      <c r="A2918" s="16" t="n">
        <v>45910</v>
      </c>
      <c r="B2918" s="17" t="inlineStr">
        <is>
          <t>MH2509-28</t>
        </is>
      </c>
      <c r="C2918" s="16" t="n">
        <v>45910</v>
      </c>
      <c r="D2918" s="17" t="inlineStr">
        <is>
          <t>00003562</t>
        </is>
      </c>
      <c r="E2918" s="16" t="n">
        <v>45910</v>
      </c>
      <c r="F2918" s="16" t="inlineStr">
        <is>
          <t>XK2509-22</t>
        </is>
      </c>
      <c r="G2918" s="16" t="n">
        <v>45910</v>
      </c>
      <c r="H2918" s="17" t="inlineStr">
        <is>
          <t>CÔNG TY CỔ PHẦN CÔNG NGHIỆP VÀ THƯƠNG MẠI CƯỜNG THỊNH</t>
        </is>
      </c>
      <c r="I2918" s="18" t="inlineStr">
        <is>
          <t>Long đền thường ZP M20B35D2</t>
        </is>
      </c>
      <c r="J2918" s="18" t="inlineStr">
        <is>
          <t>Cái</t>
        </is>
      </c>
      <c r="K2918" s="19" t="n">
        <v>350</v>
      </c>
      <c r="L2918" s="21" t="n"/>
      <c r="M2918" s="22" t="n"/>
      <c r="N2918" s="22" t="n">
        <v>443</v>
      </c>
      <c r="O2918" s="22" t="n">
        <v>155050</v>
      </c>
      <c r="P2918" s="22" t="n">
        <v>443</v>
      </c>
      <c r="Q2918" s="22" t="n">
        <v>155050</v>
      </c>
      <c r="R2918" s="42">
        <f>+L2918+N2918-P2918</f>
        <v/>
      </c>
      <c r="S2918" s="42">
        <f>+M2918+O2918-Q2918</f>
        <v/>
      </c>
    </row>
    <row r="2919" ht="30" customHeight="1">
      <c r="A2919" s="16" t="n">
        <v>45910</v>
      </c>
      <c r="B2919" s="17" t="inlineStr">
        <is>
          <t>MH2509-28</t>
        </is>
      </c>
      <c r="C2919" s="16" t="n">
        <v>45910</v>
      </c>
      <c r="D2919" s="17" t="inlineStr">
        <is>
          <t>00003562</t>
        </is>
      </c>
      <c r="E2919" s="16" t="n">
        <v>45910</v>
      </c>
      <c r="F2919" s="16" t="inlineStr">
        <is>
          <t>XK2509-22</t>
        </is>
      </c>
      <c r="G2919" s="16" t="n">
        <v>45910</v>
      </c>
      <c r="H2919" s="17" t="inlineStr">
        <is>
          <t>CÔNG TY CỔ PHẦN CÔNG NGHIỆP VÀ THƯƠNG MẠI CƯỜNG THỊNH</t>
        </is>
      </c>
      <c r="I2919" s="18" t="inlineStr">
        <is>
          <t>Vít B2 Dacromet 10-24x22 WAF (bake)</t>
        </is>
      </c>
      <c r="J2919" s="18" t="inlineStr">
        <is>
          <t>Cái</t>
        </is>
      </c>
      <c r="K2919" s="19" t="n">
        <v>380</v>
      </c>
      <c r="L2919" s="21" t="n"/>
      <c r="M2919" s="22" t="n"/>
      <c r="N2919" s="22" t="n">
        <v>1400</v>
      </c>
      <c r="O2919" s="22" t="n">
        <v>532000</v>
      </c>
      <c r="P2919" s="22" t="n">
        <v>1400</v>
      </c>
      <c r="Q2919" s="22" t="n">
        <v>532000</v>
      </c>
      <c r="R2919" s="42">
        <f>+L2919+N2919-P2919</f>
        <v/>
      </c>
      <c r="S2919" s="42">
        <f>+M2919+O2919-Q2919</f>
        <v/>
      </c>
    </row>
    <row r="2920" ht="30" customHeight="1">
      <c r="A2920" s="16" t="n">
        <v>45910</v>
      </c>
      <c r="B2920" s="17" t="inlineStr">
        <is>
          <t>MH2509-28</t>
        </is>
      </c>
      <c r="C2920" s="16" t="n">
        <v>45910</v>
      </c>
      <c r="D2920" s="17" t="inlineStr">
        <is>
          <t>00003562</t>
        </is>
      </c>
      <c r="E2920" s="16" t="n">
        <v>45910</v>
      </c>
      <c r="F2920" s="16" t="inlineStr">
        <is>
          <t>XK2509-22</t>
        </is>
      </c>
      <c r="G2920" s="16" t="n">
        <v>45910</v>
      </c>
      <c r="H2920" s="17" t="inlineStr">
        <is>
          <t>CÔNG TY CỔ PHẦN CÔNG NGHIỆP VÀ THƯƠNG MẠI CƯỜNG THỊNH</t>
        </is>
      </c>
      <c r="I2920" s="18" t="inlineStr">
        <is>
          <t>Bulong nở 4.6 ZP M12x120</t>
        </is>
      </c>
      <c r="J2920" s="18" t="inlineStr">
        <is>
          <t>Bộ</t>
        </is>
      </c>
      <c r="K2920" s="19" t="n">
        <v>9900</v>
      </c>
      <c r="L2920" s="21" t="n"/>
      <c r="M2920" s="22" t="n"/>
      <c r="N2920" s="22" t="n">
        <v>58</v>
      </c>
      <c r="O2920" s="22" t="n">
        <v>574200</v>
      </c>
      <c r="P2920" s="22" t="n">
        <v>58</v>
      </c>
      <c r="Q2920" s="22" t="n">
        <v>574200</v>
      </c>
      <c r="R2920" s="42">
        <f>+L2920+N2920-P2920</f>
        <v/>
      </c>
      <c r="S2920" s="42">
        <f>+M2920+O2920-Q2920</f>
        <v/>
      </c>
    </row>
    <row r="2921" ht="30" customHeight="1">
      <c r="A2921" s="16" t="n">
        <v>45910</v>
      </c>
      <c r="B2921" s="17" t="inlineStr">
        <is>
          <t>MH2509-28</t>
        </is>
      </c>
      <c r="C2921" s="16" t="n">
        <v>45910</v>
      </c>
      <c r="D2921" s="17" t="inlineStr">
        <is>
          <t>00003562</t>
        </is>
      </c>
      <c r="E2921" s="16" t="n">
        <v>45910</v>
      </c>
      <c r="F2921" s="16" t="inlineStr">
        <is>
          <t>XK2509-22</t>
        </is>
      </c>
      <c r="G2921" s="16" t="n">
        <v>45910</v>
      </c>
      <c r="H2921" s="17" t="inlineStr">
        <is>
          <t>CÔNG TY CỔ PHẦN CÔNG NGHIỆP VÀ THƯƠNG MẠI CƯỜNG THỊNH</t>
        </is>
      </c>
      <c r="I2921" s="18" t="inlineStr">
        <is>
          <t>Bulong Din 933 8.8 ZP M24x70</t>
        </is>
      </c>
      <c r="J2921" s="18" t="inlineStr">
        <is>
          <t>Cái</t>
        </is>
      </c>
      <c r="K2921" s="19" t="n">
        <v>11010</v>
      </c>
      <c r="L2921" s="21" t="n"/>
      <c r="M2921" s="22" t="n"/>
      <c r="N2921" s="22" t="n">
        <v>18</v>
      </c>
      <c r="O2921" s="22" t="n">
        <v>198180</v>
      </c>
      <c r="P2921" s="22" t="n">
        <v>18</v>
      </c>
      <c r="Q2921" s="22" t="n">
        <v>198180</v>
      </c>
      <c r="R2921" s="42">
        <f>+L2921+N2921-P2921</f>
        <v/>
      </c>
      <c r="S2921" s="42">
        <f>+M2921+O2921-Q2921</f>
        <v/>
      </c>
    </row>
    <row r="2922" ht="30" customHeight="1">
      <c r="A2922" s="16" t="n">
        <v>45910</v>
      </c>
      <c r="B2922" s="17" t="inlineStr">
        <is>
          <t>MH2509-28</t>
        </is>
      </c>
      <c r="C2922" s="16" t="n">
        <v>45910</v>
      </c>
      <c r="D2922" s="17" t="inlineStr">
        <is>
          <t>00003562</t>
        </is>
      </c>
      <c r="E2922" s="16" t="n">
        <v>45910</v>
      </c>
      <c r="F2922" s="16" t="inlineStr">
        <is>
          <t>XK2509-22</t>
        </is>
      </c>
      <c r="G2922" s="16" t="n">
        <v>45910</v>
      </c>
      <c r="H2922" s="17" t="inlineStr">
        <is>
          <t>CÔNG TY CỔ PHẦN CÔNG NGHIỆP VÀ THƯƠNG MẠI CƯỜNG THỊNH</t>
        </is>
      </c>
      <c r="I2922" s="18" t="inlineStr">
        <is>
          <t>Đai ốc Din 934 8 ZP M24</t>
        </is>
      </c>
      <c r="J2922" s="18" t="inlineStr">
        <is>
          <t>Cái</t>
        </is>
      </c>
      <c r="K2922" s="19" t="n">
        <v>3500</v>
      </c>
      <c r="L2922" s="21" t="n"/>
      <c r="M2922" s="22" t="n"/>
      <c r="N2922" s="22" t="n">
        <v>18</v>
      </c>
      <c r="O2922" s="22" t="n">
        <v>63000</v>
      </c>
      <c r="P2922" s="22" t="n">
        <v>18</v>
      </c>
      <c r="Q2922" s="22" t="n">
        <v>63000</v>
      </c>
      <c r="R2922" s="42">
        <f>+L2922+N2922-P2922</f>
        <v/>
      </c>
      <c r="S2922" s="42">
        <f>+M2922+O2922-Q2922</f>
        <v/>
      </c>
    </row>
    <row r="2923" ht="30" customHeight="1">
      <c r="A2923" s="16" t="n">
        <v>45910</v>
      </c>
      <c r="B2923" s="17" t="inlineStr">
        <is>
          <t>MH2509-28</t>
        </is>
      </c>
      <c r="C2923" s="16" t="n">
        <v>45910</v>
      </c>
      <c r="D2923" s="17" t="inlineStr">
        <is>
          <t>00003562</t>
        </is>
      </c>
      <c r="E2923" s="16" t="n">
        <v>45910</v>
      </c>
      <c r="F2923" s="16" t="inlineStr">
        <is>
          <t>XK2509-22</t>
        </is>
      </c>
      <c r="G2923" s="16" t="n">
        <v>45910</v>
      </c>
      <c r="H2923" s="17" t="inlineStr">
        <is>
          <t>CÔNG TY CỔ PHẦN CÔNG NGHIỆP VÀ THƯƠNG MẠI CƯỜNG THỊNH</t>
        </is>
      </c>
      <c r="I2923" s="18" t="inlineStr">
        <is>
          <t>Long đền thường ZP M24B40-42D2</t>
        </is>
      </c>
      <c r="J2923" s="18" t="inlineStr">
        <is>
          <t>Cái</t>
        </is>
      </c>
      <c r="K2923" s="19" t="n">
        <v>660</v>
      </c>
      <c r="L2923" s="21" t="n"/>
      <c r="M2923" s="22" t="n"/>
      <c r="N2923" s="22" t="n">
        <v>18</v>
      </c>
      <c r="O2923" s="22" t="n">
        <v>11880</v>
      </c>
      <c r="P2923" s="22" t="n">
        <v>18</v>
      </c>
      <c r="Q2923" s="22" t="n">
        <v>11880</v>
      </c>
      <c r="R2923" s="42">
        <f>+L2923+N2923-P2923</f>
        <v/>
      </c>
      <c r="S2923" s="42">
        <f>+M2923+O2923-Q2923</f>
        <v/>
      </c>
    </row>
    <row r="2924" ht="30" customHeight="1">
      <c r="A2924" s="16" t="n">
        <v>45910</v>
      </c>
      <c r="B2924" s="17" t="inlineStr">
        <is>
          <t>MH2509-28</t>
        </is>
      </c>
      <c r="C2924" s="16" t="n">
        <v>45910</v>
      </c>
      <c r="D2924" s="17" t="inlineStr">
        <is>
          <t>00003562</t>
        </is>
      </c>
      <c r="E2924" s="16" t="n">
        <v>45910</v>
      </c>
      <c r="F2924" s="16" t="inlineStr">
        <is>
          <t>XK2509-22</t>
        </is>
      </c>
      <c r="G2924" s="16" t="n">
        <v>45910</v>
      </c>
      <c r="H2924" s="17" t="inlineStr">
        <is>
          <t>CÔNG TY CỔ PHẦN CÔNG NGHIỆP VÀ THƯƠNG MẠI CƯỜNG THỊNH</t>
        </is>
      </c>
      <c r="I2924" s="18" t="inlineStr">
        <is>
          <t>Bulong Din 933 8.8 ZP M16x50</t>
        </is>
      </c>
      <c r="J2924" s="18" t="inlineStr">
        <is>
          <t>Cái</t>
        </is>
      </c>
      <c r="K2924" s="19" t="n">
        <v>3470</v>
      </c>
      <c r="L2924" s="21" t="n"/>
      <c r="M2924" s="22" t="n"/>
      <c r="N2924" s="22" t="n">
        <v>23</v>
      </c>
      <c r="O2924" s="22" t="n">
        <v>79810</v>
      </c>
      <c r="P2924" s="22" t="n">
        <v>23</v>
      </c>
      <c r="Q2924" s="22" t="n">
        <v>79810</v>
      </c>
      <c r="R2924" s="42">
        <f>+L2924+N2924-P2924</f>
        <v/>
      </c>
      <c r="S2924" s="42">
        <f>+M2924+O2924-Q2924</f>
        <v/>
      </c>
    </row>
    <row r="2925" ht="30" customHeight="1">
      <c r="A2925" s="16" t="n">
        <v>45910</v>
      </c>
      <c r="B2925" s="17" t="inlineStr">
        <is>
          <t>MH2509-28</t>
        </is>
      </c>
      <c r="C2925" s="16" t="n">
        <v>45910</v>
      </c>
      <c r="D2925" s="17" t="inlineStr">
        <is>
          <t>00003562</t>
        </is>
      </c>
      <c r="E2925" s="16" t="n">
        <v>45910</v>
      </c>
      <c r="F2925" s="16" t="inlineStr">
        <is>
          <t>XK2509-22</t>
        </is>
      </c>
      <c r="G2925" s="16" t="n">
        <v>45910</v>
      </c>
      <c r="H2925" s="17" t="inlineStr">
        <is>
          <t>CÔNG TY CỔ PHẦN CÔNG NGHIỆP VÀ THƯƠNG MẠI CƯỜNG THỊNH</t>
        </is>
      </c>
      <c r="I2925" s="18" t="inlineStr">
        <is>
          <t>Đai ốc Din 934 8 ZP M16</t>
        </is>
      </c>
      <c r="J2925" s="18" t="inlineStr">
        <is>
          <t>Cái</t>
        </is>
      </c>
      <c r="K2925" s="19" t="n">
        <v>1080</v>
      </c>
      <c r="L2925" s="21" t="n"/>
      <c r="M2925" s="22" t="n"/>
      <c r="N2925" s="22" t="n">
        <v>23</v>
      </c>
      <c r="O2925" s="22" t="n">
        <v>24840</v>
      </c>
      <c r="P2925" s="22" t="n">
        <v>23</v>
      </c>
      <c r="Q2925" s="22" t="n">
        <v>24840</v>
      </c>
      <c r="R2925" s="42">
        <f>+L2925+N2925-P2925</f>
        <v/>
      </c>
      <c r="S2925" s="42">
        <f>+M2925+O2925-Q2925</f>
        <v/>
      </c>
    </row>
    <row r="2926" ht="30" customHeight="1">
      <c r="A2926" s="16" t="n">
        <v>45910</v>
      </c>
      <c r="B2926" s="17" t="inlineStr">
        <is>
          <t>MH2509-28</t>
        </is>
      </c>
      <c r="C2926" s="16" t="n">
        <v>45910</v>
      </c>
      <c r="D2926" s="17" t="inlineStr">
        <is>
          <t>00003562</t>
        </is>
      </c>
      <c r="E2926" s="16" t="n">
        <v>45910</v>
      </c>
      <c r="F2926" s="16" t="inlineStr">
        <is>
          <t>XK2509-22</t>
        </is>
      </c>
      <c r="G2926" s="16" t="n">
        <v>45910</v>
      </c>
      <c r="H2926" s="17" t="inlineStr">
        <is>
          <t>CÔNG TY CỔ PHẦN CÔNG NGHIỆP VÀ THƯƠNG MẠI CƯỜNG THỊNH</t>
        </is>
      </c>
      <c r="I2926" s="18" t="inlineStr">
        <is>
          <t>Long đền thường ZP M16B30D2</t>
        </is>
      </c>
      <c r="J2926" s="18" t="inlineStr">
        <is>
          <t>Cái</t>
        </is>
      </c>
      <c r="K2926" s="19" t="n">
        <v>340</v>
      </c>
      <c r="L2926" s="21" t="n"/>
      <c r="M2926" s="22" t="n"/>
      <c r="N2926" s="22" t="n">
        <v>23</v>
      </c>
      <c r="O2926" s="22" t="n">
        <v>7820</v>
      </c>
      <c r="P2926" s="22" t="n">
        <v>23</v>
      </c>
      <c r="Q2926" s="22" t="n">
        <v>7820</v>
      </c>
      <c r="R2926" s="42">
        <f>+L2926+N2926-P2926</f>
        <v/>
      </c>
      <c r="S2926" s="42">
        <f>+M2926+O2926-Q2926</f>
        <v/>
      </c>
    </row>
    <row r="2927" ht="15" customHeight="1">
      <c r="A2927" s="16" t="n">
        <v>45910</v>
      </c>
      <c r="B2927" s="17" t="inlineStr">
        <is>
          <t>MH2509-29</t>
        </is>
      </c>
      <c r="C2927" s="16" t="n">
        <v>45910</v>
      </c>
      <c r="D2927" s="17" t="inlineStr">
        <is>
          <t>00008385</t>
        </is>
      </c>
      <c r="E2927" s="16" t="n">
        <v>45910</v>
      </c>
      <c r="F2927" s="16" t="inlineStr">
        <is>
          <t>XK2509-23</t>
        </is>
      </c>
      <c r="G2927" s="16" t="n">
        <v>45910</v>
      </c>
      <c r="H2927" s="17" t="inlineStr">
        <is>
          <t>CÔNG TY TNHH SƠN JOTUN VIỆT NAM</t>
        </is>
      </c>
      <c r="I2927" s="18" t="inlineStr">
        <is>
          <t>SƠN FUTURA CLASSIC RAL 9016 18.21L</t>
        </is>
      </c>
      <c r="J2927" s="18" t="inlineStr">
        <is>
          <t>Lít</t>
        </is>
      </c>
      <c r="K2927" s="19" t="n">
        <v>155000</v>
      </c>
      <c r="L2927" s="21" t="n"/>
      <c r="M2927" s="22" t="n"/>
      <c r="N2927" s="22" t="n">
        <v>109.26</v>
      </c>
      <c r="O2927" s="22" t="n">
        <v>16935300</v>
      </c>
      <c r="P2927" s="22" t="n">
        <v>109.26</v>
      </c>
      <c r="Q2927" s="22" t="n">
        <v>16935300</v>
      </c>
      <c r="R2927" s="42">
        <f>+L2927+N2927-P2927</f>
        <v/>
      </c>
      <c r="S2927" s="42">
        <f>+M2927+O2927-Q2927</f>
        <v/>
      </c>
    </row>
    <row r="2928" ht="15" customHeight="1">
      <c r="A2928" s="16" t="n">
        <v>45910</v>
      </c>
      <c r="B2928" s="17" t="inlineStr">
        <is>
          <t>MH2509-29</t>
        </is>
      </c>
      <c r="C2928" s="16" t="n">
        <v>45910</v>
      </c>
      <c r="D2928" s="17" t="inlineStr">
        <is>
          <t>00008385</t>
        </is>
      </c>
      <c r="E2928" s="16" t="n">
        <v>45910</v>
      </c>
      <c r="F2928" s="16" t="inlineStr">
        <is>
          <t>XK2509-23</t>
        </is>
      </c>
      <c r="G2928" s="16" t="n">
        <v>45910</v>
      </c>
      <c r="H2928" s="17" t="inlineStr">
        <is>
          <t>CÔNG TY TNHH SƠN JOTUN VIỆT NAM</t>
        </is>
      </c>
      <c r="I2928" s="18" t="inlineStr">
        <is>
          <t>DUNG MÔI JOTUN THINNER NO. 10 20L</t>
        </is>
      </c>
      <c r="J2928" s="18" t="inlineStr">
        <is>
          <t>Lít</t>
        </is>
      </c>
      <c r="K2928" s="19" t="n">
        <v>60000</v>
      </c>
      <c r="L2928" s="21" t="n"/>
      <c r="M2928" s="22" t="n"/>
      <c r="N2928" s="22" t="n">
        <v>20</v>
      </c>
      <c r="O2928" s="22" t="n">
        <v>1200000</v>
      </c>
      <c r="P2928" s="22" t="n">
        <v>20</v>
      </c>
      <c r="Q2928" s="22" t="n">
        <v>1200000</v>
      </c>
      <c r="R2928" s="42">
        <f>+L2928+N2928-P2928</f>
        <v/>
      </c>
      <c r="S2928" s="42">
        <f>+M2928+O2928-Q2928</f>
        <v/>
      </c>
    </row>
    <row r="2929" ht="15" customHeight="1">
      <c r="A2929" s="16" t="n">
        <v>45910</v>
      </c>
      <c r="B2929" s="17" t="inlineStr">
        <is>
          <t>MH2509-30</t>
        </is>
      </c>
      <c r="C2929" s="16" t="n">
        <v>45910</v>
      </c>
      <c r="D2929" s="17" t="inlineStr">
        <is>
          <t>00008386</t>
        </is>
      </c>
      <c r="E2929" s="16" t="n">
        <v>45910</v>
      </c>
      <c r="F2929" s="16" t="inlineStr">
        <is>
          <t>XK2509-24</t>
        </is>
      </c>
      <c r="G2929" s="16" t="n">
        <v>45910</v>
      </c>
      <c r="H2929" s="17" t="inlineStr">
        <is>
          <t>CÔNG TY TNHH SƠN JOTUN VIỆT NAM</t>
        </is>
      </c>
      <c r="I2929" s="18" t="inlineStr">
        <is>
          <t>SƠN FUTURA CLASSIC STD 6317 18.25L</t>
        </is>
      </c>
      <c r="J2929" s="18" t="inlineStr">
        <is>
          <t>Lít</t>
        </is>
      </c>
      <c r="K2929" s="19" t="n">
        <v>155000</v>
      </c>
      <c r="L2929" s="21" t="n"/>
      <c r="M2929" s="22" t="n"/>
      <c r="N2929" s="22" t="n">
        <v>1095</v>
      </c>
      <c r="O2929" s="22" t="n">
        <v>169725000</v>
      </c>
      <c r="P2929" s="22" t="n">
        <v>1095</v>
      </c>
      <c r="Q2929" s="22" t="n">
        <v>169725000</v>
      </c>
      <c r="R2929" s="42">
        <f>+L2929+N2929-P2929</f>
        <v/>
      </c>
      <c r="S2929" s="42">
        <f>+M2929+O2929-Q2929</f>
        <v/>
      </c>
    </row>
    <row r="2930" ht="15" customHeight="1">
      <c r="A2930" s="16" t="n">
        <v>45910</v>
      </c>
      <c r="B2930" s="17" t="inlineStr">
        <is>
          <t>MH2509-30</t>
        </is>
      </c>
      <c r="C2930" s="16" t="n">
        <v>45910</v>
      </c>
      <c r="D2930" s="17" t="inlineStr">
        <is>
          <t>00008386</t>
        </is>
      </c>
      <c r="E2930" s="16" t="n">
        <v>45910</v>
      </c>
      <c r="F2930" s="16" t="inlineStr">
        <is>
          <t>XK2509-24</t>
        </is>
      </c>
      <c r="G2930" s="16" t="n">
        <v>45910</v>
      </c>
      <c r="H2930" s="17" t="inlineStr">
        <is>
          <t>CÔNG TY TNHH SƠN JOTUN VIỆT NAM</t>
        </is>
      </c>
      <c r="I2930" s="18" t="inlineStr">
        <is>
          <t>SƠN FUTURA CLASSIC STD 6317 4.56L</t>
        </is>
      </c>
      <c r="J2930" s="18" t="inlineStr">
        <is>
          <t>Lít</t>
        </is>
      </c>
      <c r="K2930" s="19" t="n">
        <v>155000</v>
      </c>
      <c r="L2930" s="21" t="n"/>
      <c r="M2930" s="22" t="n"/>
      <c r="N2930" s="22" t="n">
        <v>54.72</v>
      </c>
      <c r="O2930" s="22" t="n">
        <v>8481600</v>
      </c>
      <c r="P2930" s="22" t="n">
        <v>54.72</v>
      </c>
      <c r="Q2930" s="22" t="n">
        <v>8481600</v>
      </c>
      <c r="R2930" s="42">
        <f>+L2930+N2930-P2930</f>
        <v/>
      </c>
      <c r="S2930" s="42">
        <f>+M2930+O2930-Q2930</f>
        <v/>
      </c>
    </row>
    <row r="2931" ht="15" customHeight="1">
      <c r="A2931" s="16" t="n">
        <v>45910</v>
      </c>
      <c r="B2931" s="17" t="inlineStr">
        <is>
          <t>MH2509-33</t>
        </is>
      </c>
      <c r="C2931" s="16" t="n">
        <v>45910</v>
      </c>
      <c r="D2931" s="17" t="inlineStr">
        <is>
          <t>00002689</t>
        </is>
      </c>
      <c r="E2931" s="16" t="n">
        <v>45910</v>
      </c>
      <c r="F2931" s="16" t="inlineStr">
        <is>
          <t>XK2509-25</t>
        </is>
      </c>
      <c r="G2931" s="16" t="n">
        <v>45910</v>
      </c>
      <c r="H2931" s="17" t="inlineStr">
        <is>
          <t>CÔNG TY TNHH HILTI VIỆT NAM</t>
        </is>
      </c>
      <c r="I2931" s="18" t="inlineStr">
        <is>
          <t>Súng bơm HDM 500</t>
        </is>
      </c>
      <c r="J2931" s="18" t="inlineStr">
        <is>
          <t>Cái</t>
        </is>
      </c>
      <c r="K2931" s="19" t="n">
        <v>1942080</v>
      </c>
      <c r="L2931" s="21" t="n"/>
      <c r="M2931" s="22" t="n"/>
      <c r="N2931" s="22" t="n">
        <v>3</v>
      </c>
      <c r="O2931" s="22" t="n">
        <v>5826240</v>
      </c>
      <c r="P2931" s="22" t="n">
        <v>3</v>
      </c>
      <c r="Q2931" s="22" t="n">
        <v>5826240</v>
      </c>
      <c r="R2931" s="42">
        <f>+L2931+N2931-P2931</f>
        <v/>
      </c>
      <c r="S2931" s="42">
        <f>+M2931+O2931-Q2931</f>
        <v/>
      </c>
    </row>
    <row r="2932" ht="15" customHeight="1">
      <c r="A2932" s="16" t="n">
        <v>45910</v>
      </c>
      <c r="B2932" s="17" t="inlineStr">
        <is>
          <t>MH2509-33</t>
        </is>
      </c>
      <c r="C2932" s="16" t="n">
        <v>45910</v>
      </c>
      <c r="D2932" s="17" t="inlineStr">
        <is>
          <t>00002689</t>
        </is>
      </c>
      <c r="E2932" s="16" t="n">
        <v>45910</v>
      </c>
      <c r="F2932" s="16" t="inlineStr">
        <is>
          <t>XK2509-25</t>
        </is>
      </c>
      <c r="G2932" s="16" t="n">
        <v>45910</v>
      </c>
      <c r="H2932" s="17" t="inlineStr">
        <is>
          <t>CÔNG TY TNHH HILTI VIỆT NAM</t>
        </is>
      </c>
      <c r="I2932" s="18" t="inlineStr">
        <is>
          <t>Ống đựng keo HIT-CB 500</t>
        </is>
      </c>
      <c r="J2932" s="18" t="inlineStr">
        <is>
          <t>Cái</t>
        </is>
      </c>
      <c r="K2932" s="19" t="n">
        <v>459510</v>
      </c>
      <c r="L2932" s="21" t="n"/>
      <c r="M2932" s="22" t="n"/>
      <c r="N2932" s="22" t="n">
        <v>3</v>
      </c>
      <c r="O2932" s="22" t="n">
        <v>1378530</v>
      </c>
      <c r="P2932" s="22" t="n">
        <v>3</v>
      </c>
      <c r="Q2932" s="22" t="n">
        <v>1378530</v>
      </c>
      <c r="R2932" s="42">
        <f>+L2932+N2932-P2932</f>
        <v/>
      </c>
      <c r="S2932" s="42">
        <f>+M2932+O2932-Q2932</f>
        <v/>
      </c>
    </row>
    <row r="2933" ht="15" customHeight="1">
      <c r="A2933" s="16" t="n">
        <v>45910</v>
      </c>
      <c r="B2933" s="17" t="inlineStr">
        <is>
          <t>MH2509-33</t>
        </is>
      </c>
      <c r="C2933" s="16" t="n">
        <v>45910</v>
      </c>
      <c r="D2933" s="17" t="inlineStr">
        <is>
          <t>00002689</t>
        </is>
      </c>
      <c r="E2933" s="16" t="n">
        <v>45910</v>
      </c>
      <c r="F2933" s="16" t="inlineStr">
        <is>
          <t>XK2509-25</t>
        </is>
      </c>
      <c r="G2933" s="16" t="n">
        <v>45910</v>
      </c>
      <c r="H2933" s="17" t="inlineStr">
        <is>
          <t>CÔNG TY TNHH HILTI VIỆT NAM</t>
        </is>
      </c>
      <c r="I2933" s="18" t="inlineStr">
        <is>
          <t>Hóa chất HIT-RE 500 V4/500</t>
        </is>
      </c>
      <c r="J2933" s="18" t="inlineStr">
        <is>
          <t>Cái</t>
        </is>
      </c>
      <c r="K2933" s="19" t="n">
        <v>851292</v>
      </c>
      <c r="L2933" s="21" t="n"/>
      <c r="M2933" s="22" t="n"/>
      <c r="N2933" s="22" t="n">
        <v>140</v>
      </c>
      <c r="O2933" s="22" t="n">
        <v>119180880</v>
      </c>
      <c r="P2933" s="22" t="n">
        <v>140</v>
      </c>
      <c r="Q2933" s="22" t="n">
        <v>119180880</v>
      </c>
      <c r="R2933" s="42">
        <f>+L2933+N2933-P2933</f>
        <v/>
      </c>
      <c r="S2933" s="42">
        <f>+M2933+O2933-Q2933</f>
        <v/>
      </c>
    </row>
    <row r="2934" ht="30" customHeight="1">
      <c r="A2934" s="16" t="n">
        <v>45910</v>
      </c>
      <c r="B2934" s="17" t="inlineStr">
        <is>
          <t>MH2509-34</t>
        </is>
      </c>
      <c r="C2934" s="16" t="n">
        <v>45910</v>
      </c>
      <c r="D2934" s="17" t="inlineStr">
        <is>
          <t>00001855</t>
        </is>
      </c>
      <c r="E2934" s="16" t="n">
        <v>45910</v>
      </c>
      <c r="F2934" s="16" t="inlineStr">
        <is>
          <t>XK2509-26</t>
        </is>
      </c>
      <c r="G2934" s="16" t="n">
        <v>45910</v>
      </c>
      <c r="H2934" s="17" t="inlineStr">
        <is>
          <t>CÔNG TY TNHH DỊCH VỤ - THƯƠNG MẠI THÉP THIÊN LONG</t>
        </is>
      </c>
      <c r="I2934" s="18" t="inlineStr">
        <is>
          <t>Thép tấm 5ly</t>
        </is>
      </c>
      <c r="J2934" s="18" t="inlineStr">
        <is>
          <t>kg</t>
        </is>
      </c>
      <c r="K2934" s="19" t="n">
        <v>13636.36</v>
      </c>
      <c r="L2934" s="21" t="n"/>
      <c r="M2934" s="22" t="n"/>
      <c r="N2934" s="22" t="n">
        <v>18840</v>
      </c>
      <c r="O2934" s="22" t="n">
        <v>256909022</v>
      </c>
      <c r="P2934" s="22" t="n">
        <v>18840</v>
      </c>
      <c r="Q2934" s="22" t="n">
        <v>256909022</v>
      </c>
      <c r="R2934" s="42">
        <f>+L2934+N2934-P2934</f>
        <v/>
      </c>
      <c r="S2934" s="42">
        <f>+M2934+O2934-Q2934</f>
        <v/>
      </c>
    </row>
    <row r="2935" ht="30" customHeight="1">
      <c r="A2935" s="16" t="n">
        <v>45910</v>
      </c>
      <c r="B2935" s="17" t="inlineStr">
        <is>
          <t>MH2509-34</t>
        </is>
      </c>
      <c r="C2935" s="16" t="n">
        <v>45910</v>
      </c>
      <c r="D2935" s="17" t="inlineStr">
        <is>
          <t>00001855</t>
        </is>
      </c>
      <c r="E2935" s="16" t="n">
        <v>45910</v>
      </c>
      <c r="F2935" s="16" t="inlineStr">
        <is>
          <t>XK2509-26</t>
        </is>
      </c>
      <c r="G2935" s="16" t="n">
        <v>45910</v>
      </c>
      <c r="H2935" s="17" t="inlineStr">
        <is>
          <t>CÔNG TY TNHH DỊCH VỤ - THƯƠNG MẠI THÉP THIÊN LONG</t>
        </is>
      </c>
      <c r="I2935" s="18" t="inlineStr">
        <is>
          <t>Thép tấm 6ly</t>
        </is>
      </c>
      <c r="J2935" s="18" t="inlineStr">
        <is>
          <t>kg</t>
        </is>
      </c>
      <c r="K2935" s="19" t="n">
        <v>13636.36</v>
      </c>
      <c r="L2935" s="21" t="n"/>
      <c r="M2935" s="22" t="n"/>
      <c r="N2935" s="22" t="n">
        <v>22608</v>
      </c>
      <c r="O2935" s="22" t="n">
        <v>308290827</v>
      </c>
      <c r="P2935" s="22" t="n">
        <v>22608</v>
      </c>
      <c r="Q2935" s="22" t="n">
        <v>308290827</v>
      </c>
      <c r="R2935" s="42">
        <f>+L2935+N2935-P2935</f>
        <v/>
      </c>
      <c r="S2935" s="42">
        <f>+M2935+O2935-Q2935</f>
        <v/>
      </c>
    </row>
    <row r="2936" ht="30" customHeight="1">
      <c r="A2936" s="16" t="n">
        <v>45910</v>
      </c>
      <c r="B2936" s="17" t="inlineStr">
        <is>
          <t>MH2509-34</t>
        </is>
      </c>
      <c r="C2936" s="16" t="n">
        <v>45910</v>
      </c>
      <c r="D2936" s="17" t="inlineStr">
        <is>
          <t>00001855</t>
        </is>
      </c>
      <c r="E2936" s="16" t="n">
        <v>45910</v>
      </c>
      <c r="F2936" s="16" t="inlineStr">
        <is>
          <t>XK2509-26</t>
        </is>
      </c>
      <c r="G2936" s="16" t="n">
        <v>45910</v>
      </c>
      <c r="H2936" s="17" t="inlineStr">
        <is>
          <t>CÔNG TY TNHH DỊCH VỤ - THƯƠNG MẠI THÉP THIÊN LONG</t>
        </is>
      </c>
      <c r="I2936" s="18" t="inlineStr">
        <is>
          <t>Thép tấm 8ly</t>
        </is>
      </c>
      <c r="J2936" s="18" t="inlineStr">
        <is>
          <t>kg</t>
        </is>
      </c>
      <c r="K2936" s="19" t="n">
        <v>13636.36</v>
      </c>
      <c r="L2936" s="21" t="n"/>
      <c r="M2936" s="22" t="n"/>
      <c r="N2936" s="22" t="n">
        <v>45216</v>
      </c>
      <c r="O2936" s="22" t="n">
        <v>616581654</v>
      </c>
      <c r="P2936" s="22" t="n">
        <v>45216</v>
      </c>
      <c r="Q2936" s="22" t="n">
        <v>616581654</v>
      </c>
      <c r="R2936" s="42">
        <f>+L2936+N2936-P2936</f>
        <v/>
      </c>
      <c r="S2936" s="42">
        <f>+M2936+O2936-Q2936</f>
        <v/>
      </c>
    </row>
    <row r="2937" ht="30" customHeight="1">
      <c r="A2937" s="16" t="n">
        <v>45911</v>
      </c>
      <c r="B2937" s="17" t="inlineStr">
        <is>
          <t>MH2509-35</t>
        </is>
      </c>
      <c r="C2937" s="16" t="n">
        <v>45911</v>
      </c>
      <c r="D2937" s="17" t="inlineStr">
        <is>
          <t>00001860</t>
        </is>
      </c>
      <c r="E2937" s="16" t="n">
        <v>45911</v>
      </c>
      <c r="F2937" s="16" t="inlineStr">
        <is>
          <t>XK2509-27</t>
        </is>
      </c>
      <c r="G2937" s="16" t="n">
        <v>45911</v>
      </c>
      <c r="H2937" s="17" t="inlineStr">
        <is>
          <t>CÔNG TY TNHH DỊCH VỤ - THƯƠNG MẠI THÉP THIÊN LONG</t>
        </is>
      </c>
      <c r="I2937" s="18" t="inlineStr">
        <is>
          <t>Thép tấm 8ly</t>
        </is>
      </c>
      <c r="J2937" s="18" t="inlineStr">
        <is>
          <t>kg</t>
        </is>
      </c>
      <c r="K2937" s="19" t="n">
        <v>14240</v>
      </c>
      <c r="L2937" s="21" t="n"/>
      <c r="M2937" s="22" t="n"/>
      <c r="N2937" s="22" t="n">
        <v>1695.6</v>
      </c>
      <c r="O2937" s="22" t="n">
        <v>24145344</v>
      </c>
      <c r="P2937" s="22" t="n">
        <v>1695.6</v>
      </c>
      <c r="Q2937" s="22" t="n">
        <v>24145344</v>
      </c>
      <c r="R2937" s="42">
        <f>+L2937+N2937-P2937</f>
        <v/>
      </c>
      <c r="S2937" s="42">
        <f>+M2937+O2937-Q2937</f>
        <v/>
      </c>
    </row>
    <row r="2938" ht="30" customHeight="1">
      <c r="A2938" s="16" t="n">
        <v>45911</v>
      </c>
      <c r="B2938" s="17" t="inlineStr">
        <is>
          <t>MH2509-35</t>
        </is>
      </c>
      <c r="C2938" s="16" t="n">
        <v>45911</v>
      </c>
      <c r="D2938" s="17" t="inlineStr">
        <is>
          <t>00001860</t>
        </is>
      </c>
      <c r="E2938" s="16" t="n">
        <v>45911</v>
      </c>
      <c r="F2938" s="16" t="inlineStr">
        <is>
          <t>XK2509-27</t>
        </is>
      </c>
      <c r="G2938" s="16" t="n">
        <v>45911</v>
      </c>
      <c r="H2938" s="17" t="inlineStr">
        <is>
          <t>CÔNG TY TNHH DỊCH VỤ - THƯƠNG MẠI THÉP THIÊN LONG</t>
        </is>
      </c>
      <c r="I2938" s="18" t="inlineStr">
        <is>
          <t>Thép hình U120</t>
        </is>
      </c>
      <c r="J2938" s="18" t="inlineStr">
        <is>
          <t>kg</t>
        </is>
      </c>
      <c r="K2938" s="19" t="n">
        <v>14181.81</v>
      </c>
      <c r="L2938" s="21" t="n"/>
      <c r="M2938" s="22" t="n"/>
      <c r="N2938" s="22" t="n">
        <v>167.4</v>
      </c>
      <c r="O2938" s="22" t="n">
        <v>2374035</v>
      </c>
      <c r="P2938" s="22" t="n">
        <v>167.4</v>
      </c>
      <c r="Q2938" s="22" t="n">
        <v>2374035</v>
      </c>
      <c r="R2938" s="42">
        <f>+L2938+N2938-P2938</f>
        <v/>
      </c>
      <c r="S2938" s="42">
        <f>+M2938+O2938-Q2938</f>
        <v/>
      </c>
    </row>
    <row r="2939" ht="30" customHeight="1">
      <c r="A2939" s="16" t="n">
        <v>45912</v>
      </c>
      <c r="B2939" s="17" t="inlineStr">
        <is>
          <t>MH2509-37</t>
        </is>
      </c>
      <c r="C2939" s="16" t="n">
        <v>45912</v>
      </c>
      <c r="D2939" s="17" t="inlineStr">
        <is>
          <t>00001876</t>
        </is>
      </c>
      <c r="E2939" s="16" t="n">
        <v>45912</v>
      </c>
      <c r="F2939" s="16" t="inlineStr">
        <is>
          <t>XK2509-28</t>
        </is>
      </c>
      <c r="G2939" s="16" t="n">
        <v>45912</v>
      </c>
      <c r="H2939" s="17" t="inlineStr">
        <is>
          <t>CÔNG TY TNHH DỊCH VỤ - THƯƠNG MẠI THÉP THIÊN LONG</t>
        </is>
      </c>
      <c r="I2939" s="18" t="inlineStr">
        <is>
          <t>Thép vuông 150x150x2.5x6m</t>
        </is>
      </c>
      <c r="J2939" s="18" t="inlineStr">
        <is>
          <t>kg</t>
        </is>
      </c>
      <c r="K2939" s="19" t="n">
        <v>16272.72</v>
      </c>
      <c r="L2939" s="21" t="n"/>
      <c r="M2939" s="22" t="n"/>
      <c r="N2939" s="22" t="n">
        <v>2977.32</v>
      </c>
      <c r="O2939" s="22" t="n">
        <v>48449095</v>
      </c>
      <c r="P2939" s="22" t="n">
        <v>2977.32</v>
      </c>
      <c r="Q2939" s="22" t="n">
        <v>48449095</v>
      </c>
      <c r="R2939" s="42">
        <f>+L2939+N2939-P2939</f>
        <v/>
      </c>
      <c r="S2939" s="42">
        <f>+M2939+O2939-Q2939</f>
        <v/>
      </c>
    </row>
    <row r="2940" ht="30" customHeight="1">
      <c r="A2940" s="16" t="n">
        <v>45912</v>
      </c>
      <c r="B2940" s="17" t="inlineStr">
        <is>
          <t>MH2509-37</t>
        </is>
      </c>
      <c r="C2940" s="16" t="n">
        <v>45912</v>
      </c>
      <c r="D2940" s="17" t="inlineStr">
        <is>
          <t>00001876</t>
        </is>
      </c>
      <c r="E2940" s="16" t="n">
        <v>45912</v>
      </c>
      <c r="F2940" s="16" t="inlineStr">
        <is>
          <t>XK2509-28</t>
        </is>
      </c>
      <c r="G2940" s="16" t="n">
        <v>45912</v>
      </c>
      <c r="H2940" s="17" t="inlineStr">
        <is>
          <t>CÔNG TY TNHH DỊCH VỤ - THƯƠNG MẠI THÉP THIÊN LONG</t>
        </is>
      </c>
      <c r="I2940" s="18" t="inlineStr">
        <is>
          <t>Thép vuông 150x150x4.5x6m</t>
        </is>
      </c>
      <c r="J2940" s="18" t="inlineStr">
        <is>
          <t>kg</t>
        </is>
      </c>
      <c r="K2940" s="19" t="n">
        <v>16272.72</v>
      </c>
      <c r="L2940" s="21" t="n"/>
      <c r="M2940" s="22" t="n"/>
      <c r="N2940" s="22" t="n">
        <v>1716.26</v>
      </c>
      <c r="O2940" s="22" t="n">
        <v>27928218</v>
      </c>
      <c r="P2940" s="22" t="n">
        <v>1716.26</v>
      </c>
      <c r="Q2940" s="22" t="n">
        <v>27928218</v>
      </c>
      <c r="R2940" s="42">
        <f>+L2940+N2940-P2940</f>
        <v/>
      </c>
      <c r="S2940" s="42">
        <f>+M2940+O2940-Q2940</f>
        <v/>
      </c>
    </row>
    <row r="2941" ht="30" customHeight="1">
      <c r="A2941" s="16" t="n">
        <v>45912</v>
      </c>
      <c r="B2941" s="17" t="inlineStr">
        <is>
          <t>MH2509-37</t>
        </is>
      </c>
      <c r="C2941" s="16" t="n">
        <v>45912</v>
      </c>
      <c r="D2941" s="17" t="inlineStr">
        <is>
          <t>00001876</t>
        </is>
      </c>
      <c r="E2941" s="16" t="n">
        <v>45912</v>
      </c>
      <c r="F2941" s="16" t="inlineStr">
        <is>
          <t>XK2509-28</t>
        </is>
      </c>
      <c r="G2941" s="16" t="n">
        <v>45912</v>
      </c>
      <c r="H2941" s="17" t="inlineStr">
        <is>
          <t>CÔNG TY TNHH DỊCH VỤ - THƯƠNG MẠI THÉP THIÊN LONG</t>
        </is>
      </c>
      <c r="I2941" s="18" t="inlineStr">
        <is>
          <t>Thép vuông 60x60x3x6m</t>
        </is>
      </c>
      <c r="J2941" s="18" t="inlineStr">
        <is>
          <t>kg</t>
        </is>
      </c>
      <c r="K2941" s="19" t="n">
        <v>16272.72</v>
      </c>
      <c r="L2941" s="21" t="n"/>
      <c r="M2941" s="22" t="n"/>
      <c r="N2941" s="22" t="n">
        <v>414.44</v>
      </c>
      <c r="O2941" s="22" t="n">
        <v>6744066</v>
      </c>
      <c r="P2941" s="22" t="n">
        <v>414.44</v>
      </c>
      <c r="Q2941" s="22" t="n">
        <v>6744066</v>
      </c>
      <c r="R2941" s="42">
        <f>+L2941+N2941-P2941</f>
        <v/>
      </c>
      <c r="S2941" s="42">
        <f>+M2941+O2941-Q2941</f>
        <v/>
      </c>
    </row>
    <row r="2942" ht="30" customHeight="1">
      <c r="A2942" s="16" t="n">
        <v>45912</v>
      </c>
      <c r="B2942" s="17" t="inlineStr">
        <is>
          <t>MH2509-37</t>
        </is>
      </c>
      <c r="C2942" s="16" t="n">
        <v>45912</v>
      </c>
      <c r="D2942" s="17" t="inlineStr">
        <is>
          <t>00001876</t>
        </is>
      </c>
      <c r="E2942" s="16" t="n">
        <v>45912</v>
      </c>
      <c r="F2942" s="16" t="inlineStr">
        <is>
          <t>XK2509-28</t>
        </is>
      </c>
      <c r="G2942" s="16" t="n">
        <v>45912</v>
      </c>
      <c r="H2942" s="17" t="inlineStr">
        <is>
          <t>CÔNG TY TNHH DỊCH VỤ - THƯƠNG MẠI THÉP THIÊN LONG</t>
        </is>
      </c>
      <c r="I2942" s="18" t="inlineStr">
        <is>
          <t>Thép tấm 5ly</t>
        </is>
      </c>
      <c r="J2942" s="18" t="inlineStr">
        <is>
          <t>kg</t>
        </is>
      </c>
      <c r="K2942" s="19" t="n">
        <v>13636.36</v>
      </c>
      <c r="L2942" s="21" t="n"/>
      <c r="M2942" s="22" t="n"/>
      <c r="N2942" s="22" t="n">
        <v>21666</v>
      </c>
      <c r="O2942" s="22" t="n">
        <v>295445376</v>
      </c>
      <c r="P2942" s="22" t="n">
        <v>21666</v>
      </c>
      <c r="Q2942" s="22" t="n">
        <v>295445376</v>
      </c>
      <c r="R2942" s="42">
        <f>+L2942+N2942-P2942</f>
        <v/>
      </c>
      <c r="S2942" s="42">
        <f>+M2942+O2942-Q2942</f>
        <v/>
      </c>
    </row>
    <row r="2943" ht="30" customHeight="1">
      <c r="A2943" s="16" t="n">
        <v>45912</v>
      </c>
      <c r="B2943" s="17" t="inlineStr">
        <is>
          <t>MH2509-37</t>
        </is>
      </c>
      <c r="C2943" s="16" t="n">
        <v>45912</v>
      </c>
      <c r="D2943" s="17" t="inlineStr">
        <is>
          <t>00001876</t>
        </is>
      </c>
      <c r="E2943" s="16" t="n">
        <v>45912</v>
      </c>
      <c r="F2943" s="16" t="inlineStr">
        <is>
          <t>XK2509-28</t>
        </is>
      </c>
      <c r="G2943" s="16" t="n">
        <v>45912</v>
      </c>
      <c r="H2943" s="17" t="inlineStr">
        <is>
          <t>CÔNG TY TNHH DỊCH VỤ - THƯƠNG MẠI THÉP THIÊN LONG</t>
        </is>
      </c>
      <c r="I2943" s="18" t="inlineStr">
        <is>
          <t>Thép tấm 6ly</t>
        </is>
      </c>
      <c r="J2943" s="18" t="inlineStr">
        <is>
          <t>kg</t>
        </is>
      </c>
      <c r="K2943" s="19" t="n">
        <v>13636.36</v>
      </c>
      <c r="L2943" s="21" t="n"/>
      <c r="M2943" s="22" t="n"/>
      <c r="N2943" s="22" t="n">
        <v>7912.8</v>
      </c>
      <c r="O2943" s="22" t="n">
        <v>107901789</v>
      </c>
      <c r="P2943" s="22" t="n">
        <v>7912.8</v>
      </c>
      <c r="Q2943" s="22" t="n">
        <v>107901789</v>
      </c>
      <c r="R2943" s="42">
        <f>+L2943+N2943-P2943</f>
        <v/>
      </c>
      <c r="S2943" s="42">
        <f>+M2943+O2943-Q2943</f>
        <v/>
      </c>
    </row>
    <row r="2944" ht="30" customHeight="1">
      <c r="A2944" s="16" t="n">
        <v>45912</v>
      </c>
      <c r="B2944" s="17" t="inlineStr">
        <is>
          <t>MH2509-37</t>
        </is>
      </c>
      <c r="C2944" s="16" t="n">
        <v>45912</v>
      </c>
      <c r="D2944" s="17" t="inlineStr">
        <is>
          <t>00001876</t>
        </is>
      </c>
      <c r="E2944" s="16" t="n">
        <v>45912</v>
      </c>
      <c r="F2944" s="16" t="inlineStr">
        <is>
          <t>XK2509-28</t>
        </is>
      </c>
      <c r="G2944" s="16" t="n">
        <v>45912</v>
      </c>
      <c r="H2944" s="17" t="inlineStr">
        <is>
          <t>CÔNG TY TNHH DỊCH VỤ - THƯƠNG MẠI THÉP THIÊN LONG</t>
        </is>
      </c>
      <c r="I2944" s="18" t="inlineStr">
        <is>
          <t>Thép tấm 8ly</t>
        </is>
      </c>
      <c r="J2944" s="18" t="inlineStr">
        <is>
          <t>kg</t>
        </is>
      </c>
      <c r="K2944" s="19" t="n">
        <v>13636.36</v>
      </c>
      <c r="L2944" s="21" t="n"/>
      <c r="M2944" s="22" t="n"/>
      <c r="N2944" s="22" t="n">
        <v>34665.6</v>
      </c>
      <c r="O2944" s="22" t="n">
        <v>472712601</v>
      </c>
      <c r="P2944" s="22" t="n">
        <v>34665.6</v>
      </c>
      <c r="Q2944" s="22" t="n">
        <v>472712601</v>
      </c>
      <c r="R2944" s="42">
        <f>+L2944+N2944-P2944</f>
        <v/>
      </c>
      <c r="S2944" s="42">
        <f>+M2944+O2944-Q2944</f>
        <v/>
      </c>
    </row>
    <row r="2945" ht="30" customHeight="1">
      <c r="A2945" s="16" t="n">
        <v>45912</v>
      </c>
      <c r="B2945" s="17" t="inlineStr">
        <is>
          <t>MH2509-37</t>
        </is>
      </c>
      <c r="C2945" s="16" t="n">
        <v>45912</v>
      </c>
      <c r="D2945" s="17" t="inlineStr">
        <is>
          <t>00001876</t>
        </is>
      </c>
      <c r="E2945" s="16" t="n">
        <v>45912</v>
      </c>
      <c r="F2945" s="16" t="inlineStr">
        <is>
          <t>XK2509-28</t>
        </is>
      </c>
      <c r="G2945" s="16" t="n">
        <v>45912</v>
      </c>
      <c r="H2945" s="17" t="inlineStr">
        <is>
          <t>CÔNG TY TNHH DỊCH VỤ - THƯƠNG MẠI THÉP THIÊN LONG</t>
        </is>
      </c>
      <c r="I2945" s="18" t="inlineStr">
        <is>
          <t>Thép tấm 25ly</t>
        </is>
      </c>
      <c r="J2945" s="18" t="inlineStr">
        <is>
          <t>kg</t>
        </is>
      </c>
      <c r="K2945" s="19" t="n">
        <v>14818.18</v>
      </c>
      <c r="L2945" s="21" t="n"/>
      <c r="M2945" s="22" t="n"/>
      <c r="N2945" s="22" t="n">
        <v>4710</v>
      </c>
      <c r="O2945" s="22" t="n">
        <v>69793628</v>
      </c>
      <c r="P2945" s="22" t="n">
        <v>4710</v>
      </c>
      <c r="Q2945" s="22" t="n">
        <v>69793628</v>
      </c>
      <c r="R2945" s="42">
        <f>+L2945+N2945-P2945</f>
        <v/>
      </c>
      <c r="S2945" s="42">
        <f>+M2945+O2945-Q2945</f>
        <v/>
      </c>
    </row>
    <row r="2946" ht="15" customHeight="1">
      <c r="A2946" s="16" t="n">
        <v>45912</v>
      </c>
      <c r="B2946" s="17" t="inlineStr">
        <is>
          <t>MH2509-38</t>
        </is>
      </c>
      <c r="C2946" s="16" t="n">
        <v>45912</v>
      </c>
      <c r="D2946" s="17" t="inlineStr">
        <is>
          <t>00000425</t>
        </is>
      </c>
      <c r="E2946" s="16" t="n">
        <v>45912</v>
      </c>
      <c r="F2946" s="16" t="inlineStr">
        <is>
          <t>XK2509-29</t>
        </is>
      </c>
      <c r="G2946" s="16" t="n">
        <v>45912</v>
      </c>
      <c r="H2946" s="17" t="inlineStr">
        <is>
          <t>CÔNG TY TNHH NIPPOVINA</t>
        </is>
      </c>
      <c r="I2946" s="18" t="inlineStr">
        <is>
          <t>Thép lá mạ màu PN Smart Blue 3 0,50 x 1000mm</t>
        </is>
      </c>
      <c r="J2946" s="18" t="inlineStr">
        <is>
          <t>kg</t>
        </is>
      </c>
      <c r="K2946" s="19" t="n">
        <v>108100</v>
      </c>
      <c r="L2946" s="21" t="n"/>
      <c r="M2946" s="22" t="n"/>
      <c r="N2946" s="22" t="n">
        <v>983.45</v>
      </c>
      <c r="O2946" s="22" t="n">
        <v>106310945</v>
      </c>
      <c r="P2946" s="22" t="n">
        <v>983.45</v>
      </c>
      <c r="Q2946" s="22" t="n">
        <v>106310945</v>
      </c>
      <c r="R2946" s="42">
        <f>+L2946+N2946-P2946</f>
        <v/>
      </c>
      <c r="S2946" s="42">
        <f>+M2946+O2946-Q2946</f>
        <v/>
      </c>
    </row>
    <row r="2947" ht="30" customHeight="1">
      <c r="A2947" s="16" t="n">
        <v>45912</v>
      </c>
      <c r="B2947" s="17" t="inlineStr">
        <is>
          <t>MH2509-39</t>
        </is>
      </c>
      <c r="C2947" s="16" t="n">
        <v>45912</v>
      </c>
      <c r="D2947" s="17" t="inlineStr">
        <is>
          <t>00003596</t>
        </is>
      </c>
      <c r="E2947" s="16" t="n">
        <v>45912</v>
      </c>
      <c r="F2947" s="16" t="inlineStr">
        <is>
          <t>XK2509-30</t>
        </is>
      </c>
      <c r="G2947" s="16" t="n">
        <v>45912</v>
      </c>
      <c r="H2947" s="17" t="inlineStr">
        <is>
          <t>CÔNG TY CỔ PHẦN CÔNG NGHIỆP VÀ THƯƠNG MẠI CƯỜNG THỊNH</t>
        </is>
      </c>
      <c r="I2947" s="18" t="inlineStr">
        <is>
          <t>Ty giằng 2 đầu ren 4.6 ZP M20</t>
        </is>
      </c>
      <c r="J2947" s="18" t="inlineStr">
        <is>
          <t>Mét</t>
        </is>
      </c>
      <c r="K2947" s="19" t="n">
        <v>69000</v>
      </c>
      <c r="L2947" s="21" t="n"/>
      <c r="M2947" s="22" t="n"/>
      <c r="N2947" s="22" t="n">
        <v>75.90000000000001</v>
      </c>
      <c r="O2947" s="22" t="n">
        <v>5237100</v>
      </c>
      <c r="P2947" s="22" t="n">
        <v>75.90000000000001</v>
      </c>
      <c r="Q2947" s="22" t="n">
        <v>5237100</v>
      </c>
      <c r="R2947" s="42">
        <f>+L2947+N2947-P2947</f>
        <v/>
      </c>
      <c r="S2947" s="42">
        <f>+M2947+O2947-Q2947</f>
        <v/>
      </c>
    </row>
    <row r="2948" ht="30" customHeight="1">
      <c r="A2948" s="16" t="n">
        <v>45912</v>
      </c>
      <c r="B2948" s="17" t="inlineStr">
        <is>
          <t>MH2509-39</t>
        </is>
      </c>
      <c r="C2948" s="16" t="n">
        <v>45912</v>
      </c>
      <c r="D2948" s="17" t="inlineStr">
        <is>
          <t>00003596</t>
        </is>
      </c>
      <c r="E2948" s="16" t="n">
        <v>45912</v>
      </c>
      <c r="F2948" s="16" t="inlineStr">
        <is>
          <t>XK2509-30</t>
        </is>
      </c>
      <c r="G2948" s="16" t="n">
        <v>45912</v>
      </c>
      <c r="H2948" s="17" t="inlineStr">
        <is>
          <t>CÔNG TY CỔ PHẦN CÔNG NGHIỆP VÀ THƯƠNG MẠI CƯỜNG THỊNH</t>
        </is>
      </c>
      <c r="I2948" s="18" t="inlineStr">
        <is>
          <t>Đai ốc Din 934 5 ZP M20</t>
        </is>
      </c>
      <c r="J2948" s="18" t="inlineStr">
        <is>
          <t>Cái</t>
        </is>
      </c>
      <c r="K2948" s="19" t="n">
        <v>1850</v>
      </c>
      <c r="L2948" s="21" t="n"/>
      <c r="M2948" s="22" t="n"/>
      <c r="N2948" s="22" t="n">
        <v>20</v>
      </c>
      <c r="O2948" s="22" t="n">
        <v>37000</v>
      </c>
      <c r="P2948" s="22" t="n">
        <v>20</v>
      </c>
      <c r="Q2948" s="22" t="n">
        <v>37000</v>
      </c>
      <c r="R2948" s="42">
        <f>+L2948+N2948-P2948</f>
        <v/>
      </c>
      <c r="S2948" s="42">
        <f>+M2948+O2948-Q2948</f>
        <v/>
      </c>
    </row>
    <row r="2949" ht="30" customHeight="1">
      <c r="A2949" s="16" t="n">
        <v>45912</v>
      </c>
      <c r="B2949" s="17" t="inlineStr">
        <is>
          <t>MH2509-39</t>
        </is>
      </c>
      <c r="C2949" s="16" t="n">
        <v>45912</v>
      </c>
      <c r="D2949" s="17" t="inlineStr">
        <is>
          <t>00003596</t>
        </is>
      </c>
      <c r="E2949" s="16" t="n">
        <v>45912</v>
      </c>
      <c r="F2949" s="16" t="inlineStr">
        <is>
          <t>XK2509-30</t>
        </is>
      </c>
      <c r="G2949" s="16" t="n">
        <v>45912</v>
      </c>
      <c r="H2949" s="17" t="inlineStr">
        <is>
          <t>CÔNG TY CỔ PHẦN CÔNG NGHIỆP VÀ THƯƠNG MẠI CƯỜNG THỊNH</t>
        </is>
      </c>
      <c r="I2949" s="18" t="inlineStr">
        <is>
          <t>Long đền thường ZP M20B42D2</t>
        </is>
      </c>
      <c r="J2949" s="18" t="inlineStr">
        <is>
          <t>Cái</t>
        </is>
      </c>
      <c r="K2949" s="19" t="n">
        <v>700</v>
      </c>
      <c r="L2949" s="21" t="n"/>
      <c r="M2949" s="22" t="n"/>
      <c r="N2949" s="22" t="n">
        <v>20</v>
      </c>
      <c r="O2949" s="22" t="n">
        <v>14000</v>
      </c>
      <c r="P2949" s="22" t="n">
        <v>20</v>
      </c>
      <c r="Q2949" s="22" t="n">
        <v>14000</v>
      </c>
      <c r="R2949" s="42">
        <f>+L2949+N2949-P2949</f>
        <v/>
      </c>
      <c r="S2949" s="42">
        <f>+M2949+O2949-Q2949</f>
        <v/>
      </c>
    </row>
    <row r="2950" ht="30" customHeight="1">
      <c r="A2950" s="16" t="n">
        <v>45912</v>
      </c>
      <c r="B2950" s="17" t="inlineStr">
        <is>
          <t>MH2509-39</t>
        </is>
      </c>
      <c r="C2950" s="16" t="n">
        <v>45912</v>
      </c>
      <c r="D2950" s="17" t="inlineStr">
        <is>
          <t>00003596</t>
        </is>
      </c>
      <c r="E2950" s="16" t="n">
        <v>45912</v>
      </c>
      <c r="F2950" s="16" t="inlineStr">
        <is>
          <t>XK2509-30</t>
        </is>
      </c>
      <c r="G2950" s="16" t="n">
        <v>45912</v>
      </c>
      <c r="H2950" s="17" t="inlineStr">
        <is>
          <t>CÔNG TY CỔ PHẦN CÔNG NGHIỆP VÀ THƯƠNG MẠI CƯỜNG THỊNH</t>
        </is>
      </c>
      <c r="I2950" s="18" t="inlineStr">
        <is>
          <t>Long đền móng ngựa ZP M20</t>
        </is>
      </c>
      <c r="J2950" s="18" t="inlineStr">
        <is>
          <t>Cái</t>
        </is>
      </c>
      <c r="K2950" s="19" t="n">
        <v>15590</v>
      </c>
      <c r="L2950" s="21" t="n"/>
      <c r="M2950" s="22" t="n"/>
      <c r="N2950" s="22" t="n">
        <v>20</v>
      </c>
      <c r="O2950" s="22" t="n">
        <v>311800</v>
      </c>
      <c r="P2950" s="22" t="n">
        <v>20</v>
      </c>
      <c r="Q2950" s="22" t="n">
        <v>311800</v>
      </c>
      <c r="R2950" s="42">
        <f>+L2950+N2950-P2950</f>
        <v/>
      </c>
      <c r="S2950" s="42">
        <f>+M2950+O2950-Q2950</f>
        <v/>
      </c>
    </row>
    <row r="2951" ht="30" customHeight="1">
      <c r="A2951" s="16" t="n">
        <v>45912</v>
      </c>
      <c r="B2951" s="17" t="inlineStr">
        <is>
          <t>MH2509-39</t>
        </is>
      </c>
      <c r="C2951" s="16" t="n">
        <v>45912</v>
      </c>
      <c r="D2951" s="17" t="inlineStr">
        <is>
          <t>00003596</t>
        </is>
      </c>
      <c r="E2951" s="16" t="n">
        <v>45912</v>
      </c>
      <c r="F2951" s="16" t="inlineStr">
        <is>
          <t>XK2509-30</t>
        </is>
      </c>
      <c r="G2951" s="16" t="n">
        <v>45912</v>
      </c>
      <c r="H2951" s="17" t="inlineStr">
        <is>
          <t>CÔNG TY CỔ PHẦN CÔNG NGHIỆP VÀ THƯƠNG MẠI CƯỜNG THỊNH</t>
        </is>
      </c>
      <c r="I2951" s="18" t="inlineStr">
        <is>
          <t>Nối Ty ZP M20x100(28mm)</t>
        </is>
      </c>
      <c r="J2951" s="18" t="inlineStr">
        <is>
          <t>Cái</t>
        </is>
      </c>
      <c r="K2951" s="19" t="n">
        <v>24470</v>
      </c>
      <c r="L2951" s="21" t="n"/>
      <c r="M2951" s="22" t="n"/>
      <c r="N2951" s="22" t="n">
        <v>10</v>
      </c>
      <c r="O2951" s="22" t="n">
        <v>244700</v>
      </c>
      <c r="P2951" s="22" t="n">
        <v>10</v>
      </c>
      <c r="Q2951" s="22" t="n">
        <v>244700</v>
      </c>
      <c r="R2951" s="42">
        <f>+L2951+N2951-P2951</f>
        <v/>
      </c>
      <c r="S2951" s="42">
        <f>+M2951+O2951-Q2951</f>
        <v/>
      </c>
    </row>
    <row r="2952" ht="30" customHeight="1">
      <c r="A2952" s="16" t="n">
        <v>45912</v>
      </c>
      <c r="B2952" s="17" t="inlineStr">
        <is>
          <t>MH2509-39</t>
        </is>
      </c>
      <c r="C2952" s="16" t="n">
        <v>45912</v>
      </c>
      <c r="D2952" s="17" t="inlineStr">
        <is>
          <t>00003596</t>
        </is>
      </c>
      <c r="E2952" s="16" t="n">
        <v>45912</v>
      </c>
      <c r="F2952" s="16" t="inlineStr">
        <is>
          <t>XK2509-30</t>
        </is>
      </c>
      <c r="G2952" s="16" t="n">
        <v>45912</v>
      </c>
      <c r="H2952" s="17" t="inlineStr">
        <is>
          <t>CÔNG TY CỔ PHẦN CÔNG NGHIỆP VÀ THƯƠNG MẠI CƯỜNG THỊNH</t>
        </is>
      </c>
      <c r="I2952" s="18" t="inlineStr">
        <is>
          <t>Ty giằng 2 đầu ren 4.6 Ф11.3-11.5mm ZP M12</t>
        </is>
      </c>
      <c r="J2952" s="18" t="inlineStr">
        <is>
          <t>Mét</t>
        </is>
      </c>
      <c r="K2952" s="19" t="n">
        <v>20500</v>
      </c>
      <c r="L2952" s="21" t="n"/>
      <c r="M2952" s="22" t="n"/>
      <c r="N2952" s="22" t="n">
        <v>738.3</v>
      </c>
      <c r="O2952" s="22" t="n">
        <v>15135150</v>
      </c>
      <c r="P2952" s="22" t="n">
        <v>738.3</v>
      </c>
      <c r="Q2952" s="22" t="n">
        <v>15135150</v>
      </c>
      <c r="R2952" s="42">
        <f>+L2952+N2952-P2952</f>
        <v/>
      </c>
      <c r="S2952" s="42">
        <f>+M2952+O2952-Q2952</f>
        <v/>
      </c>
    </row>
    <row r="2953" ht="30" customHeight="1">
      <c r="A2953" s="16" t="n">
        <v>45912</v>
      </c>
      <c r="B2953" s="17" t="inlineStr">
        <is>
          <t>MH2509-39</t>
        </is>
      </c>
      <c r="C2953" s="16" t="n">
        <v>45912</v>
      </c>
      <c r="D2953" s="17" t="inlineStr">
        <is>
          <t>00003596</t>
        </is>
      </c>
      <c r="E2953" s="16" t="n">
        <v>45912</v>
      </c>
      <c r="F2953" s="16" t="inlineStr">
        <is>
          <t>XK2509-30</t>
        </is>
      </c>
      <c r="G2953" s="16" t="n">
        <v>45912</v>
      </c>
      <c r="H2953" s="17" t="inlineStr">
        <is>
          <t>CÔNG TY CỔ PHẦN CÔNG NGHIỆP VÀ THƯƠNG MẠI CƯỜNG THỊNH</t>
        </is>
      </c>
      <c r="I2953" s="18" t="inlineStr">
        <is>
          <t>Đai ốc thường 4 ZP M12 (9mm)</t>
        </is>
      </c>
      <c r="J2953" s="18" t="inlineStr">
        <is>
          <t>Cái</t>
        </is>
      </c>
      <c r="K2953" s="19" t="n">
        <v>360</v>
      </c>
      <c r="L2953" s="21" t="n"/>
      <c r="M2953" s="22" t="n"/>
      <c r="N2953" s="22" t="n">
        <v>2876</v>
      </c>
      <c r="O2953" s="22" t="n">
        <v>1035360</v>
      </c>
      <c r="P2953" s="22" t="n">
        <v>2876</v>
      </c>
      <c r="Q2953" s="22" t="n">
        <v>1035360</v>
      </c>
      <c r="R2953" s="42">
        <f>+L2953+N2953-P2953</f>
        <v/>
      </c>
      <c r="S2953" s="42">
        <f>+M2953+O2953-Q2953</f>
        <v/>
      </c>
    </row>
    <row r="2954" ht="30" customHeight="1">
      <c r="A2954" s="16" t="n">
        <v>45912</v>
      </c>
      <c r="B2954" s="17" t="inlineStr">
        <is>
          <t>MH2509-39</t>
        </is>
      </c>
      <c r="C2954" s="16" t="n">
        <v>45912</v>
      </c>
      <c r="D2954" s="17" t="inlineStr">
        <is>
          <t>00003596</t>
        </is>
      </c>
      <c r="E2954" s="16" t="n">
        <v>45912</v>
      </c>
      <c r="F2954" s="16" t="inlineStr">
        <is>
          <t>XK2509-30</t>
        </is>
      </c>
      <c r="G2954" s="16" t="n">
        <v>45912</v>
      </c>
      <c r="H2954" s="17" t="inlineStr">
        <is>
          <t>CÔNG TY CỔ PHẦN CÔNG NGHIỆP VÀ THƯƠNG MẠI CƯỜNG THỊNH</t>
        </is>
      </c>
      <c r="I2954" s="18" t="inlineStr">
        <is>
          <t>Long đền thường ZP M12B26D1.5</t>
        </is>
      </c>
      <c r="J2954" s="18" t="inlineStr">
        <is>
          <t>Cái</t>
        </is>
      </c>
      <c r="K2954" s="19" t="n">
        <v>170</v>
      </c>
      <c r="L2954" s="21" t="n"/>
      <c r="M2954" s="22" t="n"/>
      <c r="N2954" s="22" t="n">
        <v>2876</v>
      </c>
      <c r="O2954" s="22" t="n">
        <v>488920</v>
      </c>
      <c r="P2954" s="22" t="n">
        <v>2876</v>
      </c>
      <c r="Q2954" s="22" t="n">
        <v>488920</v>
      </c>
      <c r="R2954" s="42">
        <f>+L2954+N2954-P2954</f>
        <v/>
      </c>
      <c r="S2954" s="42">
        <f>+M2954+O2954-Q2954</f>
        <v/>
      </c>
    </row>
    <row r="2955" ht="30" customHeight="1">
      <c r="A2955" s="16" t="n">
        <v>45912</v>
      </c>
      <c r="B2955" s="17" t="inlineStr">
        <is>
          <t>MH2509-39</t>
        </is>
      </c>
      <c r="C2955" s="16" t="n">
        <v>45912</v>
      </c>
      <c r="D2955" s="17" t="inlineStr">
        <is>
          <t>00003596</t>
        </is>
      </c>
      <c r="E2955" s="16" t="n">
        <v>45912</v>
      </c>
      <c r="F2955" s="16" t="inlineStr">
        <is>
          <t>XK2509-30</t>
        </is>
      </c>
      <c r="G2955" s="16" t="n">
        <v>45912</v>
      </c>
      <c r="H2955" s="17" t="inlineStr">
        <is>
          <t>CÔNG TY CỔ PHẦN CÔNG NGHIỆP VÀ THƯƠNG MẠI CƯỜNG THỊNH</t>
        </is>
      </c>
      <c r="I2955" s="18" t="inlineStr">
        <is>
          <t>Ty giằng 2 đầu ren 4.6 Ф11.3-11.5mm ZP M12</t>
        </is>
      </c>
      <c r="J2955" s="18" t="inlineStr">
        <is>
          <t>Mét</t>
        </is>
      </c>
      <c r="K2955" s="19" t="n">
        <v>22500</v>
      </c>
      <c r="L2955" s="21" t="n"/>
      <c r="M2955" s="22" t="n"/>
      <c r="N2955" s="22" t="n">
        <v>293.8</v>
      </c>
      <c r="O2955" s="22" t="n">
        <v>6610500</v>
      </c>
      <c r="P2955" s="22" t="n">
        <v>293.8</v>
      </c>
      <c r="Q2955" s="22" t="n">
        <v>6610500</v>
      </c>
      <c r="R2955" s="42">
        <f>+L2955+N2955-P2955</f>
        <v/>
      </c>
      <c r="S2955" s="42">
        <f>+M2955+O2955-Q2955</f>
        <v/>
      </c>
    </row>
    <row r="2956" ht="30" customHeight="1">
      <c r="A2956" s="16" t="n">
        <v>45912</v>
      </c>
      <c r="B2956" s="17" t="inlineStr">
        <is>
          <t>MH2509-39</t>
        </is>
      </c>
      <c r="C2956" s="16" t="n">
        <v>45912</v>
      </c>
      <c r="D2956" s="17" t="inlineStr">
        <is>
          <t>00003596</t>
        </is>
      </c>
      <c r="E2956" s="16" t="n">
        <v>45912</v>
      </c>
      <c r="F2956" s="16" t="inlineStr">
        <is>
          <t>XK2509-30</t>
        </is>
      </c>
      <c r="G2956" s="16" t="n">
        <v>45912</v>
      </c>
      <c r="H2956" s="17" t="inlineStr">
        <is>
          <t>CÔNG TY CỔ PHẦN CÔNG NGHIỆP VÀ THƯƠNG MẠI CƯỜNG THỊNH</t>
        </is>
      </c>
      <c r="I2956" s="18" t="inlineStr">
        <is>
          <t>Ty giằng 2 đầu ren 4.6 ZP M16</t>
        </is>
      </c>
      <c r="J2956" s="18" t="inlineStr">
        <is>
          <t>Mét</t>
        </is>
      </c>
      <c r="K2956" s="19" t="n">
        <v>48000</v>
      </c>
      <c r="L2956" s="21" t="n"/>
      <c r="M2956" s="22" t="n"/>
      <c r="N2956" s="22" t="n">
        <v>372</v>
      </c>
      <c r="O2956" s="22" t="n">
        <v>17856000</v>
      </c>
      <c r="P2956" s="22" t="n">
        <v>372</v>
      </c>
      <c r="Q2956" s="22" t="n">
        <v>17856000</v>
      </c>
      <c r="R2956" s="42">
        <f>+L2956+N2956-P2956</f>
        <v/>
      </c>
      <c r="S2956" s="42">
        <f>+M2956+O2956-Q2956</f>
        <v/>
      </c>
    </row>
    <row r="2957" ht="30" customHeight="1">
      <c r="A2957" s="16" t="n">
        <v>45912</v>
      </c>
      <c r="B2957" s="17" t="inlineStr">
        <is>
          <t>MH2509-39</t>
        </is>
      </c>
      <c r="C2957" s="16" t="n">
        <v>45912</v>
      </c>
      <c r="D2957" s="17" t="inlineStr">
        <is>
          <t>00003596</t>
        </is>
      </c>
      <c r="E2957" s="16" t="n">
        <v>45912</v>
      </c>
      <c r="F2957" s="16" t="inlineStr">
        <is>
          <t>XK2509-30</t>
        </is>
      </c>
      <c r="G2957" s="16" t="n">
        <v>45912</v>
      </c>
      <c r="H2957" s="17" t="inlineStr">
        <is>
          <t>CÔNG TY CỔ PHẦN CÔNG NGHIỆP VÀ THƯƠNG MẠI CƯỜNG THỊNH</t>
        </is>
      </c>
      <c r="I2957" s="18" t="inlineStr">
        <is>
          <t>Đai ốc Din 934 5 ZP M16</t>
        </is>
      </c>
      <c r="J2957" s="18" t="inlineStr">
        <is>
          <t>Cái</t>
        </is>
      </c>
      <c r="K2957" s="19" t="n">
        <v>990</v>
      </c>
      <c r="L2957" s="21" t="n"/>
      <c r="M2957" s="22" t="n"/>
      <c r="N2957" s="22" t="n">
        <v>72</v>
      </c>
      <c r="O2957" s="22" t="n">
        <v>71280</v>
      </c>
      <c r="P2957" s="22" t="n">
        <v>72</v>
      </c>
      <c r="Q2957" s="22" t="n">
        <v>71280</v>
      </c>
      <c r="R2957" s="42">
        <f>+L2957+N2957-P2957</f>
        <v/>
      </c>
      <c r="S2957" s="42">
        <f>+M2957+O2957-Q2957</f>
        <v/>
      </c>
    </row>
    <row r="2958" ht="30" customHeight="1">
      <c r="A2958" s="16" t="n">
        <v>45912</v>
      </c>
      <c r="B2958" s="17" t="inlineStr">
        <is>
          <t>MH2509-39</t>
        </is>
      </c>
      <c r="C2958" s="16" t="n">
        <v>45912</v>
      </c>
      <c r="D2958" s="17" t="inlineStr">
        <is>
          <t>00003596</t>
        </is>
      </c>
      <c r="E2958" s="16" t="n">
        <v>45912</v>
      </c>
      <c r="F2958" s="16" t="inlineStr">
        <is>
          <t>XK2509-30</t>
        </is>
      </c>
      <c r="G2958" s="16" t="n">
        <v>45912</v>
      </c>
      <c r="H2958" s="17" t="inlineStr">
        <is>
          <t>CÔNG TY CỔ PHẦN CÔNG NGHIỆP VÀ THƯƠNG MẠI CƯỜNG THỊNH</t>
        </is>
      </c>
      <c r="I2958" s="18" t="inlineStr">
        <is>
          <t>Long đền móng ngựa ZP M16</t>
        </is>
      </c>
      <c r="J2958" s="18" t="inlineStr">
        <is>
          <t>Cái</t>
        </is>
      </c>
      <c r="K2958" s="19" t="n">
        <v>14830</v>
      </c>
      <c r="L2958" s="21" t="n"/>
      <c r="M2958" s="22" t="n"/>
      <c r="N2958" s="22" t="n">
        <v>72</v>
      </c>
      <c r="O2958" s="22" t="n">
        <v>1067760</v>
      </c>
      <c r="P2958" s="22" t="n">
        <v>72</v>
      </c>
      <c r="Q2958" s="22" t="n">
        <v>1067760</v>
      </c>
      <c r="R2958" s="42">
        <f>+L2958+N2958-P2958</f>
        <v/>
      </c>
      <c r="S2958" s="42">
        <f>+M2958+O2958-Q2958</f>
        <v/>
      </c>
    </row>
    <row r="2959" ht="30" customHeight="1">
      <c r="A2959" s="16" t="n">
        <v>45912</v>
      </c>
      <c r="B2959" s="17" t="inlineStr">
        <is>
          <t>MH2509-39</t>
        </is>
      </c>
      <c r="C2959" s="16" t="n">
        <v>45912</v>
      </c>
      <c r="D2959" s="17" t="inlineStr">
        <is>
          <t>00003596</t>
        </is>
      </c>
      <c r="E2959" s="16" t="n">
        <v>45912</v>
      </c>
      <c r="F2959" s="16" t="inlineStr">
        <is>
          <t>XK2509-30</t>
        </is>
      </c>
      <c r="G2959" s="16" t="n">
        <v>45912</v>
      </c>
      <c r="H2959" s="17" t="inlineStr">
        <is>
          <t>CÔNG TY CỔ PHẦN CÔNG NGHIỆP VÀ THƯƠNG MẠI CƯỜNG THỊNH</t>
        </is>
      </c>
      <c r="I2959" s="18" t="inlineStr">
        <is>
          <t>Long đền thường ZP M16B42D2</t>
        </is>
      </c>
      <c r="J2959" s="18" t="inlineStr">
        <is>
          <t>Cái</t>
        </is>
      </c>
      <c r="K2959" s="19" t="n">
        <v>700</v>
      </c>
      <c r="L2959" s="21" t="n"/>
      <c r="M2959" s="22" t="n"/>
      <c r="N2959" s="22" t="n">
        <v>72</v>
      </c>
      <c r="O2959" s="22" t="n">
        <v>50400</v>
      </c>
      <c r="P2959" s="22" t="n">
        <v>72</v>
      </c>
      <c r="Q2959" s="22" t="n">
        <v>50400</v>
      </c>
      <c r="R2959" s="42">
        <f>+L2959+N2959-P2959</f>
        <v/>
      </c>
      <c r="S2959" s="42">
        <f>+M2959+O2959-Q2959</f>
        <v/>
      </c>
    </row>
    <row r="2960" ht="30" customHeight="1">
      <c r="A2960" s="16" t="n">
        <v>45912</v>
      </c>
      <c r="B2960" s="17" t="inlineStr">
        <is>
          <t>MH2509-39</t>
        </is>
      </c>
      <c r="C2960" s="16" t="n">
        <v>45912</v>
      </c>
      <c r="D2960" s="17" t="inlineStr">
        <is>
          <t>00003596</t>
        </is>
      </c>
      <c r="E2960" s="16" t="n">
        <v>45912</v>
      </c>
      <c r="F2960" s="16" t="inlineStr">
        <is>
          <t>XK2509-30</t>
        </is>
      </c>
      <c r="G2960" s="16" t="n">
        <v>45912</v>
      </c>
      <c r="H2960" s="17" t="inlineStr">
        <is>
          <t>CÔNG TY CỔ PHẦN CÔNG NGHIỆP VÀ THƯƠNG MẠI CƯỜNG THỊNH</t>
        </is>
      </c>
      <c r="I2960" s="18" t="inlineStr">
        <is>
          <t>Nối Ty ZP M16x100 (23mm)</t>
        </is>
      </c>
      <c r="J2960" s="18" t="inlineStr">
        <is>
          <t>Cái</t>
        </is>
      </c>
      <c r="K2960" s="19" t="n">
        <v>19960</v>
      </c>
      <c r="L2960" s="21" t="n"/>
      <c r="M2960" s="22" t="n"/>
      <c r="N2960" s="22" t="n">
        <v>36</v>
      </c>
      <c r="O2960" s="22" t="n">
        <v>718560</v>
      </c>
      <c r="P2960" s="22" t="n">
        <v>36</v>
      </c>
      <c r="Q2960" s="22" t="n">
        <v>718560</v>
      </c>
      <c r="R2960" s="42">
        <f>+L2960+N2960-P2960</f>
        <v/>
      </c>
      <c r="S2960" s="42">
        <f>+M2960+O2960-Q2960</f>
        <v/>
      </c>
    </row>
    <row r="2961" ht="30" customHeight="1">
      <c r="A2961" s="16" t="n">
        <v>45912</v>
      </c>
      <c r="B2961" s="17" t="inlineStr">
        <is>
          <t>MH2509-40</t>
        </is>
      </c>
      <c r="C2961" s="16" t="n">
        <v>45912</v>
      </c>
      <c r="D2961" s="17" t="inlineStr">
        <is>
          <t>00003597</t>
        </is>
      </c>
      <c r="E2961" s="16" t="n">
        <v>45912</v>
      </c>
      <c r="F2961" s="16" t="inlineStr">
        <is>
          <t>XK2509-31</t>
        </is>
      </c>
      <c r="G2961" s="16" t="n">
        <v>45912</v>
      </c>
      <c r="H2961" s="17" t="inlineStr">
        <is>
          <t>CÔNG TY CỔ PHẦN CÔNG NGHIỆP VÀ THƯƠNG MẠI CƯỜNG THỊNH</t>
        </is>
      </c>
      <c r="I2961" s="18" t="inlineStr">
        <is>
          <t>Vít B2 Dacromet 12-14x20</t>
        </is>
      </c>
      <c r="J2961" s="18" t="inlineStr">
        <is>
          <t>Cái</t>
        </is>
      </c>
      <c r="K2961" s="19" t="n">
        <v>600</v>
      </c>
      <c r="L2961" s="21" t="n"/>
      <c r="M2961" s="22" t="n"/>
      <c r="N2961" s="22" t="n">
        <v>5000</v>
      </c>
      <c r="O2961" s="22" t="n">
        <v>3000000</v>
      </c>
      <c r="P2961" s="22" t="n">
        <v>5000</v>
      </c>
      <c r="Q2961" s="22" t="n">
        <v>3000000</v>
      </c>
      <c r="R2961" s="42">
        <f>+L2961+N2961-P2961</f>
        <v/>
      </c>
      <c r="S2961" s="42">
        <f>+M2961+O2961-Q2961</f>
        <v/>
      </c>
    </row>
    <row r="2962" ht="30" customHeight="1">
      <c r="A2962" s="16" t="n">
        <v>45912</v>
      </c>
      <c r="B2962" s="17" t="inlineStr">
        <is>
          <t>MH2509-40</t>
        </is>
      </c>
      <c r="C2962" s="16" t="n">
        <v>45912</v>
      </c>
      <c r="D2962" s="17" t="inlineStr">
        <is>
          <t>00003597</t>
        </is>
      </c>
      <c r="E2962" s="16" t="n">
        <v>45912</v>
      </c>
      <c r="F2962" s="16" t="inlineStr">
        <is>
          <t>XK2509-31</t>
        </is>
      </c>
      <c r="G2962" s="16" t="n">
        <v>45912</v>
      </c>
      <c r="H2962" s="17" t="inlineStr">
        <is>
          <t>CÔNG TY CỔ PHẦN CÔNG NGHIỆP VÀ THƯƠNG MẠI CƯỜNG THỊNH</t>
        </is>
      </c>
      <c r="I2962" s="18" t="inlineStr">
        <is>
          <t>Đinh hàn 4.8 M16x100</t>
        </is>
      </c>
      <c r="J2962" s="18" t="inlineStr">
        <is>
          <t>Bộ</t>
        </is>
      </c>
      <c r="K2962" s="19" t="n">
        <v>5800</v>
      </c>
      <c r="L2962" s="21" t="n"/>
      <c r="M2962" s="22" t="n"/>
      <c r="N2962" s="22" t="n">
        <v>6000</v>
      </c>
      <c r="O2962" s="22" t="n">
        <v>34800000</v>
      </c>
      <c r="P2962" s="22" t="n">
        <v>6000</v>
      </c>
      <c r="Q2962" s="22" t="n">
        <v>34800000</v>
      </c>
      <c r="R2962" s="42">
        <f>+L2962+N2962-P2962</f>
        <v/>
      </c>
      <c r="S2962" s="42">
        <f>+M2962+O2962-Q2962</f>
        <v/>
      </c>
    </row>
    <row r="2963" ht="30" customHeight="1">
      <c r="A2963" s="16" t="n">
        <v>45912</v>
      </c>
      <c r="B2963" s="17" t="inlineStr">
        <is>
          <t>MH2509-40</t>
        </is>
      </c>
      <c r="C2963" s="16" t="n">
        <v>45912</v>
      </c>
      <c r="D2963" s="17" t="inlineStr">
        <is>
          <t>00003597</t>
        </is>
      </c>
      <c r="E2963" s="16" t="n">
        <v>45912</v>
      </c>
      <c r="F2963" s="16" t="inlineStr">
        <is>
          <t>XK2509-31</t>
        </is>
      </c>
      <c r="G2963" s="16" t="n">
        <v>45912</v>
      </c>
      <c r="H2963" s="17" t="inlineStr">
        <is>
          <t>CÔNG TY CỔ PHẦN CÔNG NGHIỆP VÀ THƯƠNG MẠI CƯỜNG THỊNH</t>
        </is>
      </c>
      <c r="I2963" s="18" t="inlineStr">
        <is>
          <t>Bulong thường 4.6 ZP M12x50</t>
        </is>
      </c>
      <c r="J2963" s="18" t="inlineStr">
        <is>
          <t>Cái</t>
        </is>
      </c>
      <c r="K2963" s="19" t="n">
        <v>1300</v>
      </c>
      <c r="L2963" s="21" t="n"/>
      <c r="M2963" s="22" t="n"/>
      <c r="N2963" s="22" t="n">
        <v>1000</v>
      </c>
      <c r="O2963" s="22" t="n">
        <v>1300000</v>
      </c>
      <c r="P2963" s="22" t="n">
        <v>1000</v>
      </c>
      <c r="Q2963" s="22" t="n">
        <v>1300000</v>
      </c>
      <c r="R2963" s="42">
        <f>+L2963+N2963-P2963</f>
        <v/>
      </c>
      <c r="S2963" s="42">
        <f>+M2963+O2963-Q2963</f>
        <v/>
      </c>
    </row>
    <row r="2964" ht="30" customHeight="1">
      <c r="A2964" s="16" t="n">
        <v>45912</v>
      </c>
      <c r="B2964" s="17" t="inlineStr">
        <is>
          <t>MH2509-40</t>
        </is>
      </c>
      <c r="C2964" s="16" t="n">
        <v>45912</v>
      </c>
      <c r="D2964" s="17" t="inlineStr">
        <is>
          <t>00003597</t>
        </is>
      </c>
      <c r="E2964" s="16" t="n">
        <v>45912</v>
      </c>
      <c r="F2964" s="16" t="inlineStr">
        <is>
          <t>XK2509-31</t>
        </is>
      </c>
      <c r="G2964" s="16" t="n">
        <v>45912</v>
      </c>
      <c r="H2964" s="17" t="inlineStr">
        <is>
          <t>CÔNG TY CỔ PHẦN CÔNG NGHIỆP VÀ THƯƠNG MẠI CƯỜNG THỊNH</t>
        </is>
      </c>
      <c r="I2964" s="18" t="inlineStr">
        <is>
          <t>Đai ốc thường 4 ZP M12 (9mm)</t>
        </is>
      </c>
      <c r="J2964" s="18" t="inlineStr">
        <is>
          <t>Cái</t>
        </is>
      </c>
      <c r="K2964" s="19" t="n">
        <v>360</v>
      </c>
      <c r="L2964" s="21" t="n"/>
      <c r="M2964" s="22" t="n"/>
      <c r="N2964" s="22" t="n">
        <v>1000</v>
      </c>
      <c r="O2964" s="22" t="n">
        <v>360000</v>
      </c>
      <c r="P2964" s="22" t="n">
        <v>1000</v>
      </c>
      <c r="Q2964" s="22" t="n">
        <v>360000</v>
      </c>
      <c r="R2964" s="42">
        <f>+L2964+N2964-P2964</f>
        <v/>
      </c>
      <c r="S2964" s="42">
        <f>+M2964+O2964-Q2964</f>
        <v/>
      </c>
    </row>
    <row r="2965" ht="30" customHeight="1">
      <c r="A2965" s="16" t="n">
        <v>45912</v>
      </c>
      <c r="B2965" s="17" t="inlineStr">
        <is>
          <t>MH2509-40</t>
        </is>
      </c>
      <c r="C2965" s="16" t="n">
        <v>45912</v>
      </c>
      <c r="D2965" s="17" t="inlineStr">
        <is>
          <t>00003597</t>
        </is>
      </c>
      <c r="E2965" s="16" t="n">
        <v>45912</v>
      </c>
      <c r="F2965" s="16" t="inlineStr">
        <is>
          <t>XK2509-31</t>
        </is>
      </c>
      <c r="G2965" s="16" t="n">
        <v>45912</v>
      </c>
      <c r="H2965" s="17" t="inlineStr">
        <is>
          <t>CÔNG TY CỔ PHẦN CÔNG NGHIỆP VÀ THƯƠNG MẠI CƯỜNG THỊNH</t>
        </is>
      </c>
      <c r="I2965" s="18" t="inlineStr">
        <is>
          <t>Long đền thường ZP M12B23D1</t>
        </is>
      </c>
      <c r="J2965" s="18" t="inlineStr">
        <is>
          <t>Cái</t>
        </is>
      </c>
      <c r="K2965" s="19" t="n">
        <v>100</v>
      </c>
      <c r="L2965" s="21" t="n"/>
      <c r="M2965" s="22" t="n"/>
      <c r="N2965" s="22" t="n">
        <v>2000</v>
      </c>
      <c r="O2965" s="22" t="n">
        <v>200000</v>
      </c>
      <c r="P2965" s="22" t="n">
        <v>2000</v>
      </c>
      <c r="Q2965" s="22" t="n">
        <v>200000</v>
      </c>
      <c r="R2965" s="42">
        <f>+L2965+N2965-P2965</f>
        <v/>
      </c>
      <c r="S2965" s="42">
        <f>+M2965+O2965-Q2965</f>
        <v/>
      </c>
    </row>
    <row r="2966" ht="30" customHeight="1">
      <c r="A2966" s="16" t="n">
        <v>45912</v>
      </c>
      <c r="B2966" s="17" t="inlineStr">
        <is>
          <t>MH2509-40</t>
        </is>
      </c>
      <c r="C2966" s="16" t="n">
        <v>45912</v>
      </c>
      <c r="D2966" s="17" t="inlineStr">
        <is>
          <t>00003597</t>
        </is>
      </c>
      <c r="E2966" s="16" t="n">
        <v>45912</v>
      </c>
      <c r="F2966" s="16" t="inlineStr">
        <is>
          <t>XK2509-31</t>
        </is>
      </c>
      <c r="G2966" s="16" t="n">
        <v>45912</v>
      </c>
      <c r="H2966" s="17" t="inlineStr">
        <is>
          <t>CÔNG TY CỔ PHẦN CÔNG NGHIỆP VÀ THƯƠNG MẠI CƯỜNG THỊNH</t>
        </is>
      </c>
      <c r="I2966" s="18" t="inlineStr">
        <is>
          <t>Bulong Din 933 8.8 ZP M16x50</t>
        </is>
      </c>
      <c r="J2966" s="18" t="inlineStr">
        <is>
          <t>Cái</t>
        </is>
      </c>
      <c r="K2966" s="19" t="n">
        <v>3470</v>
      </c>
      <c r="L2966" s="21" t="n"/>
      <c r="M2966" s="22" t="n"/>
      <c r="N2966" s="22" t="n">
        <v>1000</v>
      </c>
      <c r="O2966" s="22" t="n">
        <v>3470000</v>
      </c>
      <c r="P2966" s="22" t="n">
        <v>1000</v>
      </c>
      <c r="Q2966" s="22" t="n">
        <v>3470000</v>
      </c>
      <c r="R2966" s="42">
        <f>+L2966+N2966-P2966</f>
        <v/>
      </c>
      <c r="S2966" s="42">
        <f>+M2966+O2966-Q2966</f>
        <v/>
      </c>
    </row>
    <row r="2967" ht="30" customHeight="1">
      <c r="A2967" s="16" t="n">
        <v>45912</v>
      </c>
      <c r="B2967" s="17" t="inlineStr">
        <is>
          <t>MH2509-40</t>
        </is>
      </c>
      <c r="C2967" s="16" t="n">
        <v>45912</v>
      </c>
      <c r="D2967" s="17" t="inlineStr">
        <is>
          <t>00003597</t>
        </is>
      </c>
      <c r="E2967" s="16" t="n">
        <v>45912</v>
      </c>
      <c r="F2967" s="16" t="inlineStr">
        <is>
          <t>XK2509-31</t>
        </is>
      </c>
      <c r="G2967" s="16" t="n">
        <v>45912</v>
      </c>
      <c r="H2967" s="17" t="inlineStr">
        <is>
          <t>CÔNG TY CỔ PHẦN CÔNG NGHIỆP VÀ THƯƠNG MẠI CƯỜNG THỊNH</t>
        </is>
      </c>
      <c r="I2967" s="18" t="inlineStr">
        <is>
          <t>Đai ốc Din 934 8 ZP M16</t>
        </is>
      </c>
      <c r="J2967" s="18" t="inlineStr">
        <is>
          <t>Cái</t>
        </is>
      </c>
      <c r="K2967" s="19" t="n">
        <v>1080</v>
      </c>
      <c r="L2967" s="21" t="n"/>
      <c r="M2967" s="22" t="n"/>
      <c r="N2967" s="22" t="n">
        <v>1000</v>
      </c>
      <c r="O2967" s="22" t="n">
        <v>1080000</v>
      </c>
      <c r="P2967" s="22" t="n">
        <v>1000</v>
      </c>
      <c r="Q2967" s="22" t="n">
        <v>1080000</v>
      </c>
      <c r="R2967" s="42">
        <f>+L2967+N2967-P2967</f>
        <v/>
      </c>
      <c r="S2967" s="42">
        <f>+M2967+O2967-Q2967</f>
        <v/>
      </c>
    </row>
    <row r="2968" ht="30" customHeight="1">
      <c r="A2968" s="16" t="n">
        <v>45912</v>
      </c>
      <c r="B2968" s="17" t="inlineStr">
        <is>
          <t>MH2509-40</t>
        </is>
      </c>
      <c r="C2968" s="16" t="n">
        <v>45912</v>
      </c>
      <c r="D2968" s="17" t="inlineStr">
        <is>
          <t>00003597</t>
        </is>
      </c>
      <c r="E2968" s="16" t="n">
        <v>45912</v>
      </c>
      <c r="F2968" s="16" t="inlineStr">
        <is>
          <t>XK2509-31</t>
        </is>
      </c>
      <c r="G2968" s="16" t="n">
        <v>45912</v>
      </c>
      <c r="H2968" s="17" t="inlineStr">
        <is>
          <t>CÔNG TY CỔ PHẦN CÔNG NGHIỆP VÀ THƯƠNG MẠI CƯỜNG THỊNH</t>
        </is>
      </c>
      <c r="I2968" s="18" t="inlineStr">
        <is>
          <t>Long đền thường ZP M16B30D2</t>
        </is>
      </c>
      <c r="J2968" s="18" t="inlineStr">
        <is>
          <t>Cái</t>
        </is>
      </c>
      <c r="K2968" s="19" t="n">
        <v>340</v>
      </c>
      <c r="L2968" s="21" t="n"/>
      <c r="M2968" s="22" t="n"/>
      <c r="N2968" s="22" t="n">
        <v>1000</v>
      </c>
      <c r="O2968" s="22" t="n">
        <v>340000</v>
      </c>
      <c r="P2968" s="22" t="n">
        <v>1000</v>
      </c>
      <c r="Q2968" s="22" t="n">
        <v>340000</v>
      </c>
      <c r="R2968" s="42">
        <f>+L2968+N2968-P2968</f>
        <v/>
      </c>
      <c r="S2968" s="42">
        <f>+M2968+O2968-Q2968</f>
        <v/>
      </c>
    </row>
    <row r="2969" ht="30" customHeight="1">
      <c r="A2969" s="16" t="n">
        <v>45912</v>
      </c>
      <c r="B2969" s="17" t="inlineStr">
        <is>
          <t>MH2509-40</t>
        </is>
      </c>
      <c r="C2969" s="16" t="n">
        <v>45912</v>
      </c>
      <c r="D2969" s="17" t="inlineStr">
        <is>
          <t>00003597</t>
        </is>
      </c>
      <c r="E2969" s="16" t="n">
        <v>45912</v>
      </c>
      <c r="F2969" s="16" t="inlineStr">
        <is>
          <t>XK2509-31</t>
        </is>
      </c>
      <c r="G2969" s="16" t="n">
        <v>45912</v>
      </c>
      <c r="H2969" s="17" t="inlineStr">
        <is>
          <t>CÔNG TY CỔ PHẦN CÔNG NGHIỆP VÀ THƯƠNG MẠI CƯỜNG THỊNH</t>
        </is>
      </c>
      <c r="I2969" s="18" t="inlineStr">
        <is>
          <t>Bulong Din 933 8.8 ZP M16x80</t>
        </is>
      </c>
      <c r="J2969" s="18" t="inlineStr">
        <is>
          <t>Cái</t>
        </is>
      </c>
      <c r="K2969" s="19" t="n">
        <v>4990</v>
      </c>
      <c r="L2969" s="21" t="n"/>
      <c r="M2969" s="22" t="n"/>
      <c r="N2969" s="22" t="n">
        <v>500</v>
      </c>
      <c r="O2969" s="22" t="n">
        <v>2495000</v>
      </c>
      <c r="P2969" s="22" t="n">
        <v>500</v>
      </c>
      <c r="Q2969" s="22" t="n">
        <v>2495000</v>
      </c>
      <c r="R2969" s="42">
        <f>+L2969+N2969-P2969</f>
        <v/>
      </c>
      <c r="S2969" s="42">
        <f>+M2969+O2969-Q2969</f>
        <v/>
      </c>
    </row>
    <row r="2970" ht="30" customHeight="1">
      <c r="A2970" s="16" t="n">
        <v>45912</v>
      </c>
      <c r="B2970" s="17" t="inlineStr">
        <is>
          <t>MH2509-40</t>
        </is>
      </c>
      <c r="C2970" s="16" t="n">
        <v>45912</v>
      </c>
      <c r="D2970" s="17" t="inlineStr">
        <is>
          <t>00003597</t>
        </is>
      </c>
      <c r="E2970" s="16" t="n">
        <v>45912</v>
      </c>
      <c r="F2970" s="16" t="inlineStr">
        <is>
          <t>XK2509-31</t>
        </is>
      </c>
      <c r="G2970" s="16" t="n">
        <v>45912</v>
      </c>
      <c r="H2970" s="17" t="inlineStr">
        <is>
          <t>CÔNG TY CỔ PHẦN CÔNG NGHIỆP VÀ THƯƠNG MẠI CƯỜNG THỊNH</t>
        </is>
      </c>
      <c r="I2970" s="18" t="inlineStr">
        <is>
          <t>Đai ốc Din 934 8 ZP M16</t>
        </is>
      </c>
      <c r="J2970" s="18" t="inlineStr">
        <is>
          <t>Cái</t>
        </is>
      </c>
      <c r="K2970" s="19" t="n">
        <v>1080</v>
      </c>
      <c r="L2970" s="21" t="n"/>
      <c r="M2970" s="22" t="n"/>
      <c r="N2970" s="22" t="n">
        <v>500</v>
      </c>
      <c r="O2970" s="22" t="n">
        <v>540000</v>
      </c>
      <c r="P2970" s="22" t="n">
        <v>500</v>
      </c>
      <c r="Q2970" s="22" t="n">
        <v>540000</v>
      </c>
      <c r="R2970" s="42">
        <f>+L2970+N2970-P2970</f>
        <v/>
      </c>
      <c r="S2970" s="42">
        <f>+M2970+O2970-Q2970</f>
        <v/>
      </c>
    </row>
    <row r="2971" ht="30" customHeight="1">
      <c r="A2971" s="16" t="n">
        <v>45912</v>
      </c>
      <c r="B2971" s="17" t="inlineStr">
        <is>
          <t>MH2509-40</t>
        </is>
      </c>
      <c r="C2971" s="16" t="n">
        <v>45912</v>
      </c>
      <c r="D2971" s="17" t="inlineStr">
        <is>
          <t>00003597</t>
        </is>
      </c>
      <c r="E2971" s="16" t="n">
        <v>45912</v>
      </c>
      <c r="F2971" s="16" t="inlineStr">
        <is>
          <t>XK2509-31</t>
        </is>
      </c>
      <c r="G2971" s="16" t="n">
        <v>45912</v>
      </c>
      <c r="H2971" s="17" t="inlineStr">
        <is>
          <t>CÔNG TY CỔ PHẦN CÔNG NGHIỆP VÀ THƯƠNG MẠI CƯỜNG THỊNH</t>
        </is>
      </c>
      <c r="I2971" s="18" t="inlineStr">
        <is>
          <t>Long đền thường ZP M16B30D2</t>
        </is>
      </c>
      <c r="J2971" s="18" t="inlineStr">
        <is>
          <t>Cái</t>
        </is>
      </c>
      <c r="K2971" s="19" t="n">
        <v>340</v>
      </c>
      <c r="L2971" s="21" t="n"/>
      <c r="M2971" s="22" t="n"/>
      <c r="N2971" s="22" t="n">
        <v>500</v>
      </c>
      <c r="O2971" s="22" t="n">
        <v>170000</v>
      </c>
      <c r="P2971" s="22" t="n">
        <v>500</v>
      </c>
      <c r="Q2971" s="22" t="n">
        <v>170000</v>
      </c>
      <c r="R2971" s="42">
        <f>+L2971+N2971-P2971</f>
        <v/>
      </c>
      <c r="S2971" s="42">
        <f>+M2971+O2971-Q2971</f>
        <v/>
      </c>
    </row>
    <row r="2972" ht="30" customHeight="1">
      <c r="A2972" s="16" t="n">
        <v>45912</v>
      </c>
      <c r="B2972" s="17" t="inlineStr">
        <is>
          <t>MH2509-40</t>
        </is>
      </c>
      <c r="C2972" s="16" t="n">
        <v>45912</v>
      </c>
      <c r="D2972" s="17" t="inlineStr">
        <is>
          <t>00003597</t>
        </is>
      </c>
      <c r="E2972" s="16" t="n">
        <v>45912</v>
      </c>
      <c r="F2972" s="16" t="inlineStr">
        <is>
          <t>XK2509-31</t>
        </is>
      </c>
      <c r="G2972" s="16" t="n">
        <v>45912</v>
      </c>
      <c r="H2972" s="17" t="inlineStr">
        <is>
          <t>CÔNG TY CỔ PHẦN CÔNG NGHIỆP VÀ THƯƠNG MẠI CƯỜNG THỊNH</t>
        </is>
      </c>
      <c r="I2972" s="18" t="inlineStr">
        <is>
          <t>Bulong Din 933 8.8 ZP M20x60</t>
        </is>
      </c>
      <c r="J2972" s="18" t="inlineStr">
        <is>
          <t>Cái</t>
        </is>
      </c>
      <c r="K2972" s="19" t="n">
        <v>6360</v>
      </c>
      <c r="L2972" s="21" t="n"/>
      <c r="M2972" s="22" t="n"/>
      <c r="N2972" s="22" t="n">
        <v>300</v>
      </c>
      <c r="O2972" s="22" t="n">
        <v>1908000</v>
      </c>
      <c r="P2972" s="22" t="n">
        <v>300</v>
      </c>
      <c r="Q2972" s="22" t="n">
        <v>1908000</v>
      </c>
      <c r="R2972" s="42">
        <f>+L2972+N2972-P2972</f>
        <v/>
      </c>
      <c r="S2972" s="42">
        <f>+M2972+O2972-Q2972</f>
        <v/>
      </c>
    </row>
    <row r="2973" ht="30" customHeight="1">
      <c r="A2973" s="16" t="n">
        <v>45912</v>
      </c>
      <c r="B2973" s="17" t="inlineStr">
        <is>
          <t>MH2509-40</t>
        </is>
      </c>
      <c r="C2973" s="16" t="n">
        <v>45912</v>
      </c>
      <c r="D2973" s="17" t="inlineStr">
        <is>
          <t>00003597</t>
        </is>
      </c>
      <c r="E2973" s="16" t="n">
        <v>45912</v>
      </c>
      <c r="F2973" s="16" t="inlineStr">
        <is>
          <t>XK2509-31</t>
        </is>
      </c>
      <c r="G2973" s="16" t="n">
        <v>45912</v>
      </c>
      <c r="H2973" s="17" t="inlineStr">
        <is>
          <t>CÔNG TY CỔ PHẦN CÔNG NGHIỆP VÀ THƯƠNG MẠI CƯỜNG THỊNH</t>
        </is>
      </c>
      <c r="I2973" s="18" t="inlineStr">
        <is>
          <t>Đai ốc Din 934 8 ZP M20</t>
        </is>
      </c>
      <c r="J2973" s="18" t="inlineStr">
        <is>
          <t>Cái</t>
        </is>
      </c>
      <c r="K2973" s="19" t="n">
        <v>2030</v>
      </c>
      <c r="L2973" s="21" t="n"/>
      <c r="M2973" s="22" t="n"/>
      <c r="N2973" s="22" t="n">
        <v>300</v>
      </c>
      <c r="O2973" s="22" t="n">
        <v>609000</v>
      </c>
      <c r="P2973" s="22" t="n">
        <v>300</v>
      </c>
      <c r="Q2973" s="22" t="n">
        <v>609000</v>
      </c>
      <c r="R2973" s="42">
        <f>+L2973+N2973-P2973</f>
        <v/>
      </c>
      <c r="S2973" s="42">
        <f>+M2973+O2973-Q2973</f>
        <v/>
      </c>
    </row>
    <row r="2974" ht="30" customHeight="1">
      <c r="A2974" s="16" t="n">
        <v>45912</v>
      </c>
      <c r="B2974" s="17" t="inlineStr">
        <is>
          <t>MH2509-40</t>
        </is>
      </c>
      <c r="C2974" s="16" t="n">
        <v>45912</v>
      </c>
      <c r="D2974" s="17" t="inlineStr">
        <is>
          <t>00003597</t>
        </is>
      </c>
      <c r="E2974" s="16" t="n">
        <v>45912</v>
      </c>
      <c r="F2974" s="16" t="inlineStr">
        <is>
          <t>XK2509-31</t>
        </is>
      </c>
      <c r="G2974" s="16" t="n">
        <v>45912</v>
      </c>
      <c r="H2974" s="17" t="inlineStr">
        <is>
          <t>CÔNG TY CỔ PHẦN CÔNG NGHIỆP VÀ THƯƠNG MẠI CƯỜNG THỊNH</t>
        </is>
      </c>
      <c r="I2974" s="18" t="inlineStr">
        <is>
          <t>Long đền thường ZP M20B35D2</t>
        </is>
      </c>
      <c r="J2974" s="18" t="inlineStr">
        <is>
          <t>Cái</t>
        </is>
      </c>
      <c r="K2974" s="19" t="n">
        <v>350</v>
      </c>
      <c r="L2974" s="21" t="n"/>
      <c r="M2974" s="22" t="n"/>
      <c r="N2974" s="22" t="n">
        <v>300</v>
      </c>
      <c r="O2974" s="22" t="n">
        <v>105000</v>
      </c>
      <c r="P2974" s="22" t="n">
        <v>300</v>
      </c>
      <c r="Q2974" s="22" t="n">
        <v>105000</v>
      </c>
      <c r="R2974" s="42">
        <f>+L2974+N2974-P2974</f>
        <v/>
      </c>
      <c r="S2974" s="42">
        <f>+M2974+O2974-Q2974</f>
        <v/>
      </c>
    </row>
    <row r="2975" ht="30" customHeight="1">
      <c r="A2975" s="16" t="n">
        <v>45912</v>
      </c>
      <c r="B2975" s="17" t="inlineStr">
        <is>
          <t>MH2509-40</t>
        </is>
      </c>
      <c r="C2975" s="16" t="n">
        <v>45912</v>
      </c>
      <c r="D2975" s="17" t="inlineStr">
        <is>
          <t>00003597</t>
        </is>
      </c>
      <c r="E2975" s="16" t="n">
        <v>45912</v>
      </c>
      <c r="F2975" s="16" t="inlineStr">
        <is>
          <t>XK2509-31</t>
        </is>
      </c>
      <c r="G2975" s="16" t="n">
        <v>45912</v>
      </c>
      <c r="H2975" s="17" t="inlineStr">
        <is>
          <t>CÔNG TY CỔ PHẦN CÔNG NGHIỆP VÀ THƯƠNG MẠI CƯỜNG THỊNH</t>
        </is>
      </c>
      <c r="I2975" s="18" t="inlineStr">
        <is>
          <t>Bulong Din 933 8.8 ZP M20x80</t>
        </is>
      </c>
      <c r="J2975" s="18" t="inlineStr">
        <is>
          <t>Cái</t>
        </is>
      </c>
      <c r="K2975" s="19" t="n">
        <v>7630</v>
      </c>
      <c r="L2975" s="21" t="n"/>
      <c r="M2975" s="22" t="n"/>
      <c r="N2975" s="22" t="n">
        <v>1000</v>
      </c>
      <c r="O2975" s="22" t="n">
        <v>7630000</v>
      </c>
      <c r="P2975" s="22" t="n">
        <v>1000</v>
      </c>
      <c r="Q2975" s="22" t="n">
        <v>7630000</v>
      </c>
      <c r="R2975" s="42">
        <f>+L2975+N2975-P2975</f>
        <v/>
      </c>
      <c r="S2975" s="42">
        <f>+M2975+O2975-Q2975</f>
        <v/>
      </c>
    </row>
    <row r="2976" ht="30" customHeight="1">
      <c r="A2976" s="16" t="n">
        <v>45912</v>
      </c>
      <c r="B2976" s="17" t="inlineStr">
        <is>
          <t>MH2509-40</t>
        </is>
      </c>
      <c r="C2976" s="16" t="n">
        <v>45912</v>
      </c>
      <c r="D2976" s="17" t="inlineStr">
        <is>
          <t>00003597</t>
        </is>
      </c>
      <c r="E2976" s="16" t="n">
        <v>45912</v>
      </c>
      <c r="F2976" s="16" t="inlineStr">
        <is>
          <t>XK2509-31</t>
        </is>
      </c>
      <c r="G2976" s="16" t="n">
        <v>45912</v>
      </c>
      <c r="H2976" s="17" t="inlineStr">
        <is>
          <t>CÔNG TY CỔ PHẦN CÔNG NGHIỆP VÀ THƯƠNG MẠI CƯỜNG THỊNH</t>
        </is>
      </c>
      <c r="I2976" s="18" t="inlineStr">
        <is>
          <t>Đai ốc Din 934 8 ZP M20</t>
        </is>
      </c>
      <c r="J2976" s="18" t="inlineStr">
        <is>
          <t>Cái</t>
        </is>
      </c>
      <c r="K2976" s="19" t="n">
        <v>2030</v>
      </c>
      <c r="L2976" s="21" t="n"/>
      <c r="M2976" s="22" t="n"/>
      <c r="N2976" s="22" t="n">
        <v>1000</v>
      </c>
      <c r="O2976" s="22" t="n">
        <v>2030000</v>
      </c>
      <c r="P2976" s="22" t="n">
        <v>1000</v>
      </c>
      <c r="Q2976" s="22" t="n">
        <v>2030000</v>
      </c>
      <c r="R2976" s="42">
        <f>+L2976+N2976-P2976</f>
        <v/>
      </c>
      <c r="S2976" s="42">
        <f>+M2976+O2976-Q2976</f>
        <v/>
      </c>
    </row>
    <row r="2977" ht="30" customHeight="1">
      <c r="A2977" s="16" t="n">
        <v>45912</v>
      </c>
      <c r="B2977" s="17" t="inlineStr">
        <is>
          <t>MH2509-40</t>
        </is>
      </c>
      <c r="C2977" s="16" t="n">
        <v>45912</v>
      </c>
      <c r="D2977" s="17" t="inlineStr">
        <is>
          <t>00003597</t>
        </is>
      </c>
      <c r="E2977" s="16" t="n">
        <v>45912</v>
      </c>
      <c r="F2977" s="16" t="inlineStr">
        <is>
          <t>XK2509-31</t>
        </is>
      </c>
      <c r="G2977" s="16" t="n">
        <v>45912</v>
      </c>
      <c r="H2977" s="17" t="inlineStr">
        <is>
          <t>CÔNG TY CỔ PHẦN CÔNG NGHIỆP VÀ THƯƠNG MẠI CƯỜNG THỊNH</t>
        </is>
      </c>
      <c r="I2977" s="18" t="inlineStr">
        <is>
          <t>Long đền thường ZP M20B35D2</t>
        </is>
      </c>
      <c r="J2977" s="18" t="inlineStr">
        <is>
          <t>Cái</t>
        </is>
      </c>
      <c r="K2977" s="19" t="n">
        <v>350</v>
      </c>
      <c r="L2977" s="21" t="n"/>
      <c r="M2977" s="22" t="n"/>
      <c r="N2977" s="22" t="n">
        <v>1000</v>
      </c>
      <c r="O2977" s="22" t="n">
        <v>350000</v>
      </c>
      <c r="P2977" s="22" t="n">
        <v>1000</v>
      </c>
      <c r="Q2977" s="22" t="n">
        <v>350000</v>
      </c>
      <c r="R2977" s="42">
        <f>+L2977+N2977-P2977</f>
        <v/>
      </c>
      <c r="S2977" s="42">
        <f>+M2977+O2977-Q2977</f>
        <v/>
      </c>
    </row>
    <row r="2978" ht="30" customHeight="1">
      <c r="A2978" s="16" t="n">
        <v>45912</v>
      </c>
      <c r="B2978" s="17" t="inlineStr">
        <is>
          <t>MH2509-40</t>
        </is>
      </c>
      <c r="C2978" s="16" t="n">
        <v>45912</v>
      </c>
      <c r="D2978" s="17" t="inlineStr">
        <is>
          <t>00003597</t>
        </is>
      </c>
      <c r="E2978" s="16" t="n">
        <v>45912</v>
      </c>
      <c r="F2978" s="16" t="inlineStr">
        <is>
          <t>XK2509-31</t>
        </is>
      </c>
      <c r="G2978" s="16" t="n">
        <v>45912</v>
      </c>
      <c r="H2978" s="17" t="inlineStr">
        <is>
          <t>CÔNG TY CỔ PHẦN CÔNG NGHIỆP VÀ THƯƠNG MẠI CƯỜNG THỊNH</t>
        </is>
      </c>
      <c r="I2978" s="18" t="inlineStr">
        <is>
          <t>Bulong Din 933 8.8 ZP M20x100</t>
        </is>
      </c>
      <c r="J2978" s="18" t="inlineStr">
        <is>
          <t>Cái</t>
        </is>
      </c>
      <c r="K2978" s="19" t="n">
        <v>8940</v>
      </c>
      <c r="L2978" s="21" t="n"/>
      <c r="M2978" s="22" t="n"/>
      <c r="N2978" s="22" t="n">
        <v>1500</v>
      </c>
      <c r="O2978" s="22" t="n">
        <v>13410000</v>
      </c>
      <c r="P2978" s="22" t="n">
        <v>1500</v>
      </c>
      <c r="Q2978" s="22" t="n">
        <v>13410000</v>
      </c>
      <c r="R2978" s="42">
        <f>+L2978+N2978-P2978</f>
        <v/>
      </c>
      <c r="S2978" s="42">
        <f>+M2978+O2978-Q2978</f>
        <v/>
      </c>
    </row>
    <row r="2979" ht="30" customHeight="1">
      <c r="A2979" s="16" t="n">
        <v>45912</v>
      </c>
      <c r="B2979" s="17" t="inlineStr">
        <is>
          <t>MH2509-40</t>
        </is>
      </c>
      <c r="C2979" s="16" t="n">
        <v>45912</v>
      </c>
      <c r="D2979" s="17" t="inlineStr">
        <is>
          <t>00003597</t>
        </is>
      </c>
      <c r="E2979" s="16" t="n">
        <v>45912</v>
      </c>
      <c r="F2979" s="16" t="inlineStr">
        <is>
          <t>XK2509-31</t>
        </is>
      </c>
      <c r="G2979" s="16" t="n">
        <v>45912</v>
      </c>
      <c r="H2979" s="17" t="inlineStr">
        <is>
          <t>CÔNG TY CỔ PHẦN CÔNG NGHIỆP VÀ THƯƠNG MẠI CƯỜNG THỊNH</t>
        </is>
      </c>
      <c r="I2979" s="18" t="inlineStr">
        <is>
          <t>Đai ốc Din 934 8 ZP M20</t>
        </is>
      </c>
      <c r="J2979" s="18" t="inlineStr">
        <is>
          <t>Cái</t>
        </is>
      </c>
      <c r="K2979" s="19" t="n">
        <v>2030</v>
      </c>
      <c r="L2979" s="21" t="n"/>
      <c r="M2979" s="22" t="n"/>
      <c r="N2979" s="22" t="n">
        <v>1500</v>
      </c>
      <c r="O2979" s="22" t="n">
        <v>3045000</v>
      </c>
      <c r="P2979" s="22" t="n">
        <v>1500</v>
      </c>
      <c r="Q2979" s="22" t="n">
        <v>3045000</v>
      </c>
      <c r="R2979" s="42">
        <f>+L2979+N2979-P2979</f>
        <v/>
      </c>
      <c r="S2979" s="42">
        <f>+M2979+O2979-Q2979</f>
        <v/>
      </c>
    </row>
    <row r="2980" ht="30" customHeight="1">
      <c r="A2980" s="16" t="n">
        <v>45912</v>
      </c>
      <c r="B2980" s="17" t="inlineStr">
        <is>
          <t>MH2509-40</t>
        </is>
      </c>
      <c r="C2980" s="16" t="n">
        <v>45912</v>
      </c>
      <c r="D2980" s="17" t="inlineStr">
        <is>
          <t>00003597</t>
        </is>
      </c>
      <c r="E2980" s="16" t="n">
        <v>45912</v>
      </c>
      <c r="F2980" s="16" t="inlineStr">
        <is>
          <t>XK2509-31</t>
        </is>
      </c>
      <c r="G2980" s="16" t="n">
        <v>45912</v>
      </c>
      <c r="H2980" s="17" t="inlineStr">
        <is>
          <t>CÔNG TY CỔ PHẦN CÔNG NGHIỆP VÀ THƯƠNG MẠI CƯỜNG THỊNH</t>
        </is>
      </c>
      <c r="I2980" s="18" t="inlineStr">
        <is>
          <t>Long đền thường ZP M20B35D2</t>
        </is>
      </c>
      <c r="J2980" s="18" t="inlineStr">
        <is>
          <t>Cái</t>
        </is>
      </c>
      <c r="K2980" s="19" t="n">
        <v>350</v>
      </c>
      <c r="L2980" s="21" t="n"/>
      <c r="M2980" s="22" t="n"/>
      <c r="N2980" s="22" t="n">
        <v>1500</v>
      </c>
      <c r="O2980" s="22" t="n">
        <v>525000</v>
      </c>
      <c r="P2980" s="22" t="n">
        <v>1500</v>
      </c>
      <c r="Q2980" s="22" t="n">
        <v>525000</v>
      </c>
      <c r="R2980" s="42">
        <f>+L2980+N2980-P2980</f>
        <v/>
      </c>
      <c r="S2980" s="42">
        <f>+M2980+O2980-Q2980</f>
        <v/>
      </c>
    </row>
    <row r="2981" ht="30" customHeight="1">
      <c r="A2981" s="16" t="n">
        <v>45912</v>
      </c>
      <c r="B2981" s="17" t="inlineStr">
        <is>
          <t>MH2509-40</t>
        </is>
      </c>
      <c r="C2981" s="16" t="n">
        <v>45912</v>
      </c>
      <c r="D2981" s="17" t="inlineStr">
        <is>
          <t>00003597</t>
        </is>
      </c>
      <c r="E2981" s="16" t="n">
        <v>45912</v>
      </c>
      <c r="F2981" s="16" t="inlineStr">
        <is>
          <t>XK2509-31</t>
        </is>
      </c>
      <c r="G2981" s="16" t="n">
        <v>45912</v>
      </c>
      <c r="H2981" s="17" t="inlineStr">
        <is>
          <t>CÔNG TY CỔ PHẦN CÔNG NGHIỆP VÀ THƯƠNG MẠI CƯỜNG THỊNH</t>
        </is>
      </c>
      <c r="I2981" s="18" t="inlineStr">
        <is>
          <t>Bulong Din 933 8.8 ZP M24x80</t>
        </is>
      </c>
      <c r="J2981" s="18" t="inlineStr">
        <is>
          <t>Cái</t>
        </is>
      </c>
      <c r="K2981" s="19" t="n">
        <v>12010</v>
      </c>
      <c r="L2981" s="21" t="n"/>
      <c r="M2981" s="22" t="n"/>
      <c r="N2981" s="22" t="n">
        <v>500</v>
      </c>
      <c r="O2981" s="22" t="n">
        <v>6005000</v>
      </c>
      <c r="P2981" s="22" t="n">
        <v>500</v>
      </c>
      <c r="Q2981" s="22" t="n">
        <v>6005000</v>
      </c>
      <c r="R2981" s="42">
        <f>+L2981+N2981-P2981</f>
        <v/>
      </c>
      <c r="S2981" s="42">
        <f>+M2981+O2981-Q2981</f>
        <v/>
      </c>
    </row>
    <row r="2982" ht="30" customHeight="1">
      <c r="A2982" s="16" t="n">
        <v>45912</v>
      </c>
      <c r="B2982" s="17" t="inlineStr">
        <is>
          <t>MH2509-40</t>
        </is>
      </c>
      <c r="C2982" s="16" t="n">
        <v>45912</v>
      </c>
      <c r="D2982" s="17" t="inlineStr">
        <is>
          <t>00003597</t>
        </is>
      </c>
      <c r="E2982" s="16" t="n">
        <v>45912</v>
      </c>
      <c r="F2982" s="16" t="inlineStr">
        <is>
          <t>XK2509-31</t>
        </is>
      </c>
      <c r="G2982" s="16" t="n">
        <v>45912</v>
      </c>
      <c r="H2982" s="17" t="inlineStr">
        <is>
          <t>CÔNG TY CỔ PHẦN CÔNG NGHIỆP VÀ THƯƠNG MẠI CƯỜNG THỊNH</t>
        </is>
      </c>
      <c r="I2982" s="18" t="inlineStr">
        <is>
          <t>Đai ốc Din 934 8 ZP M24</t>
        </is>
      </c>
      <c r="J2982" s="18" t="inlineStr">
        <is>
          <t>Cái</t>
        </is>
      </c>
      <c r="K2982" s="19" t="n">
        <v>3500</v>
      </c>
      <c r="L2982" s="21" t="n"/>
      <c r="M2982" s="22" t="n"/>
      <c r="N2982" s="22" t="n">
        <v>500</v>
      </c>
      <c r="O2982" s="22" t="n">
        <v>1750000</v>
      </c>
      <c r="P2982" s="22" t="n">
        <v>500</v>
      </c>
      <c r="Q2982" s="22" t="n">
        <v>1750000</v>
      </c>
      <c r="R2982" s="42">
        <f>+L2982+N2982-P2982</f>
        <v/>
      </c>
      <c r="S2982" s="42">
        <f>+M2982+O2982-Q2982</f>
        <v/>
      </c>
    </row>
    <row r="2983" ht="30" customHeight="1">
      <c r="A2983" s="16" t="n">
        <v>45912</v>
      </c>
      <c r="B2983" s="17" t="inlineStr">
        <is>
          <t>MH2509-40</t>
        </is>
      </c>
      <c r="C2983" s="16" t="n">
        <v>45912</v>
      </c>
      <c r="D2983" s="17" t="inlineStr">
        <is>
          <t>00003597</t>
        </is>
      </c>
      <c r="E2983" s="16" t="n">
        <v>45912</v>
      </c>
      <c r="F2983" s="16" t="inlineStr">
        <is>
          <t>XK2509-31</t>
        </is>
      </c>
      <c r="G2983" s="16" t="n">
        <v>45912</v>
      </c>
      <c r="H2983" s="17" t="inlineStr">
        <is>
          <t>CÔNG TY CỔ PHẦN CÔNG NGHIỆP VÀ THƯƠNG MẠI CƯỜNG THỊNH</t>
        </is>
      </c>
      <c r="I2983" s="18" t="inlineStr">
        <is>
          <t>Long đền thường ZP M24B40-42D2</t>
        </is>
      </c>
      <c r="J2983" s="18" t="inlineStr">
        <is>
          <t>Cái</t>
        </is>
      </c>
      <c r="K2983" s="19" t="n">
        <v>660</v>
      </c>
      <c r="L2983" s="21" t="n"/>
      <c r="M2983" s="22" t="n"/>
      <c r="N2983" s="22" t="n">
        <v>500</v>
      </c>
      <c r="O2983" s="22" t="n">
        <v>330000</v>
      </c>
      <c r="P2983" s="22" t="n">
        <v>500</v>
      </c>
      <c r="Q2983" s="22" t="n">
        <v>330000</v>
      </c>
      <c r="R2983" s="42">
        <f>+L2983+N2983-P2983</f>
        <v/>
      </c>
      <c r="S2983" s="42">
        <f>+M2983+O2983-Q2983</f>
        <v/>
      </c>
    </row>
    <row r="2984" ht="30" customHeight="1">
      <c r="A2984" s="16" t="n">
        <v>45912</v>
      </c>
      <c r="B2984" s="17" t="inlineStr">
        <is>
          <t>MH2509-40</t>
        </is>
      </c>
      <c r="C2984" s="16" t="n">
        <v>45912</v>
      </c>
      <c r="D2984" s="17" t="inlineStr">
        <is>
          <t>00003597</t>
        </is>
      </c>
      <c r="E2984" s="16" t="n">
        <v>45912</v>
      </c>
      <c r="F2984" s="16" t="inlineStr">
        <is>
          <t>XK2509-31</t>
        </is>
      </c>
      <c r="G2984" s="16" t="n">
        <v>45912</v>
      </c>
      <c r="H2984" s="17" t="inlineStr">
        <is>
          <t>CÔNG TY CỔ PHẦN CÔNG NGHIỆP VÀ THƯƠNG MẠI CƯỜNG THỊNH</t>
        </is>
      </c>
      <c r="I2984" s="18" t="inlineStr">
        <is>
          <t>Bulong Din 933 8.8 ZP M24x100</t>
        </is>
      </c>
      <c r="J2984" s="18" t="inlineStr">
        <is>
          <t>Cái</t>
        </is>
      </c>
      <c r="K2984" s="19" t="n">
        <v>14100</v>
      </c>
      <c r="L2984" s="21" t="n"/>
      <c r="M2984" s="22" t="n"/>
      <c r="N2984" s="22" t="n">
        <v>1000</v>
      </c>
      <c r="O2984" s="22" t="n">
        <v>14100000</v>
      </c>
      <c r="P2984" s="22" t="n">
        <v>1000</v>
      </c>
      <c r="Q2984" s="22" t="n">
        <v>14100000</v>
      </c>
      <c r="R2984" s="42">
        <f>+L2984+N2984-P2984</f>
        <v/>
      </c>
      <c r="S2984" s="42">
        <f>+M2984+O2984-Q2984</f>
        <v/>
      </c>
    </row>
    <row r="2985" ht="30" customHeight="1">
      <c r="A2985" s="16" t="n">
        <v>45912</v>
      </c>
      <c r="B2985" s="17" t="inlineStr">
        <is>
          <t>MH2509-40</t>
        </is>
      </c>
      <c r="C2985" s="16" t="n">
        <v>45912</v>
      </c>
      <c r="D2985" s="17" t="inlineStr">
        <is>
          <t>00003597</t>
        </is>
      </c>
      <c r="E2985" s="16" t="n">
        <v>45912</v>
      </c>
      <c r="F2985" s="16" t="inlineStr">
        <is>
          <t>XK2509-31</t>
        </is>
      </c>
      <c r="G2985" s="16" t="n">
        <v>45912</v>
      </c>
      <c r="H2985" s="17" t="inlineStr">
        <is>
          <t>CÔNG TY CỔ PHẦN CÔNG NGHIỆP VÀ THƯƠNG MẠI CƯỜNG THỊNH</t>
        </is>
      </c>
      <c r="I2985" s="18" t="inlineStr">
        <is>
          <t>Đai ốc Din 934 8 ZP M24</t>
        </is>
      </c>
      <c r="J2985" s="18" t="inlineStr">
        <is>
          <t>Cái</t>
        </is>
      </c>
      <c r="K2985" s="19" t="n">
        <v>3500</v>
      </c>
      <c r="L2985" s="21" t="n"/>
      <c r="M2985" s="22" t="n"/>
      <c r="N2985" s="22" t="n">
        <v>1000</v>
      </c>
      <c r="O2985" s="22" t="n">
        <v>3500000</v>
      </c>
      <c r="P2985" s="22" t="n">
        <v>1000</v>
      </c>
      <c r="Q2985" s="22" t="n">
        <v>3500000</v>
      </c>
      <c r="R2985" s="42">
        <f>+L2985+N2985-P2985</f>
        <v/>
      </c>
      <c r="S2985" s="42">
        <f>+M2985+O2985-Q2985</f>
        <v/>
      </c>
    </row>
    <row r="2986" ht="30" customHeight="1">
      <c r="A2986" s="16" t="n">
        <v>45912</v>
      </c>
      <c r="B2986" s="17" t="inlineStr">
        <is>
          <t>MH2509-40</t>
        </is>
      </c>
      <c r="C2986" s="16" t="n">
        <v>45912</v>
      </c>
      <c r="D2986" s="17" t="inlineStr">
        <is>
          <t>00003597</t>
        </is>
      </c>
      <c r="E2986" s="16" t="n">
        <v>45912</v>
      </c>
      <c r="F2986" s="16" t="inlineStr">
        <is>
          <t>XK2509-31</t>
        </is>
      </c>
      <c r="G2986" s="16" t="n">
        <v>45912</v>
      </c>
      <c r="H2986" s="17" t="inlineStr">
        <is>
          <t>CÔNG TY CỔ PHẦN CÔNG NGHIỆP VÀ THƯƠNG MẠI CƯỜNG THỊNH</t>
        </is>
      </c>
      <c r="I2986" s="18" t="inlineStr">
        <is>
          <t>Long đền thường ZP M24B40-42D2</t>
        </is>
      </c>
      <c r="J2986" s="18" t="inlineStr">
        <is>
          <t>Cái</t>
        </is>
      </c>
      <c r="K2986" s="19" t="n">
        <v>660</v>
      </c>
      <c r="L2986" s="21" t="n"/>
      <c r="M2986" s="22" t="n"/>
      <c r="N2986" s="22" t="n">
        <v>1000</v>
      </c>
      <c r="O2986" s="22" t="n">
        <v>660000</v>
      </c>
      <c r="P2986" s="22" t="n">
        <v>1000</v>
      </c>
      <c r="Q2986" s="22" t="n">
        <v>660000</v>
      </c>
      <c r="R2986" s="42">
        <f>+L2986+N2986-P2986</f>
        <v/>
      </c>
      <c r="S2986" s="42">
        <f>+M2986+O2986-Q2986</f>
        <v/>
      </c>
    </row>
    <row r="2987" ht="30" customHeight="1">
      <c r="A2987" s="16" t="n">
        <v>45912</v>
      </c>
      <c r="B2987" s="17" t="inlineStr">
        <is>
          <t>MH2509-40</t>
        </is>
      </c>
      <c r="C2987" s="16" t="n">
        <v>45912</v>
      </c>
      <c r="D2987" s="17" t="inlineStr">
        <is>
          <t>00003597</t>
        </is>
      </c>
      <c r="E2987" s="16" t="n">
        <v>45912</v>
      </c>
      <c r="F2987" s="16" t="inlineStr">
        <is>
          <t>XK2509-31</t>
        </is>
      </c>
      <c r="G2987" s="16" t="n">
        <v>45912</v>
      </c>
      <c r="H2987" s="17" t="inlineStr">
        <is>
          <t>CÔNG TY CỔ PHẦN CÔNG NGHIỆP VÀ THƯƠNG MẠI CƯỜNG THỊNH</t>
        </is>
      </c>
      <c r="I2987" s="18" t="inlineStr">
        <is>
          <t>Bulong thường 4.6 ZP M12x30</t>
        </is>
      </c>
      <c r="J2987" s="18" t="inlineStr">
        <is>
          <t>Cái</t>
        </is>
      </c>
      <c r="K2987" s="19" t="n">
        <v>950</v>
      </c>
      <c r="L2987" s="21" t="n"/>
      <c r="M2987" s="22" t="n"/>
      <c r="N2987" s="22" t="n">
        <v>1000</v>
      </c>
      <c r="O2987" s="22" t="n">
        <v>950000</v>
      </c>
      <c r="P2987" s="22" t="n">
        <v>1000</v>
      </c>
      <c r="Q2987" s="22" t="n">
        <v>950000</v>
      </c>
      <c r="R2987" s="42">
        <f>+L2987+N2987-P2987</f>
        <v/>
      </c>
      <c r="S2987" s="42">
        <f>+M2987+O2987-Q2987</f>
        <v/>
      </c>
    </row>
    <row r="2988" ht="30" customHeight="1">
      <c r="A2988" s="16" t="n">
        <v>45912</v>
      </c>
      <c r="B2988" s="17" t="inlineStr">
        <is>
          <t>MH2509-40</t>
        </is>
      </c>
      <c r="C2988" s="16" t="n">
        <v>45912</v>
      </c>
      <c r="D2988" s="17" t="inlineStr">
        <is>
          <t>00003597</t>
        </is>
      </c>
      <c r="E2988" s="16" t="n">
        <v>45912</v>
      </c>
      <c r="F2988" s="16" t="inlineStr">
        <is>
          <t>XK2509-31</t>
        </is>
      </c>
      <c r="G2988" s="16" t="n">
        <v>45912</v>
      </c>
      <c r="H2988" s="17" t="inlineStr">
        <is>
          <t>CÔNG TY CỔ PHẦN CÔNG NGHIỆP VÀ THƯƠNG MẠI CƯỜNG THỊNH</t>
        </is>
      </c>
      <c r="I2988" s="18" t="inlineStr">
        <is>
          <t>Đai ốc thường 4 ZP M12 (8mm)</t>
        </is>
      </c>
      <c r="J2988" s="18" t="inlineStr">
        <is>
          <t>Cái</t>
        </is>
      </c>
      <c r="K2988" s="19" t="n">
        <v>360</v>
      </c>
      <c r="L2988" s="21" t="n"/>
      <c r="M2988" s="22" t="n"/>
      <c r="N2988" s="22" t="n">
        <v>1000</v>
      </c>
      <c r="O2988" s="22" t="n">
        <v>360000</v>
      </c>
      <c r="P2988" s="22" t="n">
        <v>1000</v>
      </c>
      <c r="Q2988" s="22" t="n">
        <v>360000</v>
      </c>
      <c r="R2988" s="42">
        <f>+L2988+N2988-P2988</f>
        <v/>
      </c>
      <c r="S2988" s="42">
        <f>+M2988+O2988-Q2988</f>
        <v/>
      </c>
    </row>
    <row r="2989" ht="30" customHeight="1">
      <c r="A2989" s="16" t="n">
        <v>45912</v>
      </c>
      <c r="B2989" s="17" t="inlineStr">
        <is>
          <t>MH2509-40</t>
        </is>
      </c>
      <c r="C2989" s="16" t="n">
        <v>45912</v>
      </c>
      <c r="D2989" s="17" t="inlineStr">
        <is>
          <t>00003597</t>
        </is>
      </c>
      <c r="E2989" s="16" t="n">
        <v>45912</v>
      </c>
      <c r="F2989" s="16" t="inlineStr">
        <is>
          <t>XK2509-31</t>
        </is>
      </c>
      <c r="G2989" s="16" t="n">
        <v>45912</v>
      </c>
      <c r="H2989" s="17" t="inlineStr">
        <is>
          <t>CÔNG TY CỔ PHẦN CÔNG NGHIỆP VÀ THƯƠNG MẠI CƯỜNG THỊNH</t>
        </is>
      </c>
      <c r="I2989" s="18" t="inlineStr">
        <is>
          <t>Long đền thường ZP M12B23D1</t>
        </is>
      </c>
      <c r="J2989" s="18" t="inlineStr">
        <is>
          <t>Cái</t>
        </is>
      </c>
      <c r="K2989" s="19" t="n">
        <v>100</v>
      </c>
      <c r="L2989" s="21" t="n"/>
      <c r="M2989" s="22" t="n"/>
      <c r="N2989" s="22" t="n">
        <v>2000</v>
      </c>
      <c r="O2989" s="22" t="n">
        <v>200000</v>
      </c>
      <c r="P2989" s="22" t="n">
        <v>2000</v>
      </c>
      <c r="Q2989" s="22" t="n">
        <v>200000</v>
      </c>
      <c r="R2989" s="42">
        <f>+L2989+N2989-P2989</f>
        <v/>
      </c>
      <c r="S2989" s="42">
        <f>+M2989+O2989-Q2989</f>
        <v/>
      </c>
    </row>
    <row r="2990" ht="30" customHeight="1">
      <c r="A2990" s="16" t="n">
        <v>45912</v>
      </c>
      <c r="B2990" s="17" t="inlineStr">
        <is>
          <t>MH2509-41</t>
        </is>
      </c>
      <c r="C2990" s="16" t="n">
        <v>45912</v>
      </c>
      <c r="D2990" s="17" t="inlineStr">
        <is>
          <t>00003595</t>
        </is>
      </c>
      <c r="E2990" s="16" t="n">
        <v>45912</v>
      </c>
      <c r="F2990" s="16" t="inlineStr">
        <is>
          <t>XK2509-32</t>
        </is>
      </c>
      <c r="G2990" s="16" t="n">
        <v>45912</v>
      </c>
      <c r="H2990" s="17" t="inlineStr">
        <is>
          <t>CÔNG TY CỔ PHẦN CÔNG NGHIỆP VÀ THƯƠNG MẠI CƯỜNG THỊNH</t>
        </is>
      </c>
      <c r="I2990" s="18" t="inlineStr">
        <is>
          <t>Bulong thường 4.6 ZP M12x30</t>
        </is>
      </c>
      <c r="J2990" s="18" t="inlineStr">
        <is>
          <t>Cái</t>
        </is>
      </c>
      <c r="K2990" s="19" t="n">
        <v>950</v>
      </c>
      <c r="L2990" s="21" t="n"/>
      <c r="M2990" s="22" t="n"/>
      <c r="N2990" s="22" t="n">
        <v>1213</v>
      </c>
      <c r="O2990" s="22" t="n">
        <v>1152350</v>
      </c>
      <c r="P2990" s="22" t="n">
        <v>1213</v>
      </c>
      <c r="Q2990" s="22" t="n">
        <v>1152350</v>
      </c>
      <c r="R2990" s="42">
        <f>+L2990+N2990-P2990</f>
        <v/>
      </c>
      <c r="S2990" s="42">
        <f>+M2990+O2990-Q2990</f>
        <v/>
      </c>
    </row>
    <row r="2991" ht="30" customHeight="1">
      <c r="A2991" s="16" t="n">
        <v>45912</v>
      </c>
      <c r="B2991" s="17" t="inlineStr">
        <is>
          <t>MH2509-41</t>
        </is>
      </c>
      <c r="C2991" s="16" t="n">
        <v>45912</v>
      </c>
      <c r="D2991" s="17" t="inlineStr">
        <is>
          <t>00003595</t>
        </is>
      </c>
      <c r="E2991" s="16" t="n">
        <v>45912</v>
      </c>
      <c r="F2991" s="16" t="inlineStr">
        <is>
          <t>XK2509-32</t>
        </is>
      </c>
      <c r="G2991" s="16" t="n">
        <v>45912</v>
      </c>
      <c r="H2991" s="17" t="inlineStr">
        <is>
          <t>CÔNG TY CỔ PHẦN CÔNG NGHIỆP VÀ THƯƠNG MẠI CƯỜNG THỊNH</t>
        </is>
      </c>
      <c r="I2991" s="18" t="inlineStr">
        <is>
          <t>Đai ốc thường 4 ZP M12 (8mm)</t>
        </is>
      </c>
      <c r="J2991" s="18" t="inlineStr">
        <is>
          <t>Cái</t>
        </is>
      </c>
      <c r="K2991" s="19" t="n">
        <v>360</v>
      </c>
      <c r="L2991" s="21" t="n"/>
      <c r="M2991" s="22" t="n"/>
      <c r="N2991" s="22" t="n">
        <v>1213</v>
      </c>
      <c r="O2991" s="22" t="n">
        <v>436680</v>
      </c>
      <c r="P2991" s="22" t="n">
        <v>1213</v>
      </c>
      <c r="Q2991" s="22" t="n">
        <v>436680</v>
      </c>
      <c r="R2991" s="42">
        <f>+L2991+N2991-P2991</f>
        <v/>
      </c>
      <c r="S2991" s="42">
        <f>+M2991+O2991-Q2991</f>
        <v/>
      </c>
    </row>
    <row r="2992" ht="30" customHeight="1">
      <c r="A2992" s="16" t="n">
        <v>45912</v>
      </c>
      <c r="B2992" s="17" t="inlineStr">
        <is>
          <t>MH2509-41</t>
        </is>
      </c>
      <c r="C2992" s="16" t="n">
        <v>45912</v>
      </c>
      <c r="D2992" s="17" t="inlineStr">
        <is>
          <t>00003595</t>
        </is>
      </c>
      <c r="E2992" s="16" t="n">
        <v>45912</v>
      </c>
      <c r="F2992" s="16" t="inlineStr">
        <is>
          <t>XK2509-32</t>
        </is>
      </c>
      <c r="G2992" s="16" t="n">
        <v>45912</v>
      </c>
      <c r="H2992" s="17" t="inlineStr">
        <is>
          <t>CÔNG TY CỔ PHẦN CÔNG NGHIỆP VÀ THƯƠNG MẠI CƯỜNG THỊNH</t>
        </is>
      </c>
      <c r="I2992" s="18" t="inlineStr">
        <is>
          <t>Long đền thường ZP M12B23D1</t>
        </is>
      </c>
      <c r="J2992" s="18" t="inlineStr">
        <is>
          <t>Cái</t>
        </is>
      </c>
      <c r="K2992" s="19" t="n">
        <v>100</v>
      </c>
      <c r="L2992" s="21" t="n"/>
      <c r="M2992" s="22" t="n"/>
      <c r="N2992" s="22" t="n">
        <v>2426</v>
      </c>
      <c r="O2992" s="22" t="n">
        <v>242600</v>
      </c>
      <c r="P2992" s="22" t="n">
        <v>2426</v>
      </c>
      <c r="Q2992" s="22" t="n">
        <v>242600</v>
      </c>
      <c r="R2992" s="42">
        <f>+L2992+N2992-P2992</f>
        <v/>
      </c>
      <c r="S2992" s="42">
        <f>+M2992+O2992-Q2992</f>
        <v/>
      </c>
    </row>
    <row r="2993" ht="30" customHeight="1">
      <c r="A2993" s="16" t="n">
        <v>45912</v>
      </c>
      <c r="B2993" s="17" t="inlineStr">
        <is>
          <t>MH2509-41</t>
        </is>
      </c>
      <c r="C2993" s="16" t="n">
        <v>45912</v>
      </c>
      <c r="D2993" s="17" t="inlineStr">
        <is>
          <t>00003595</t>
        </is>
      </c>
      <c r="E2993" s="16" t="n">
        <v>45912</v>
      </c>
      <c r="F2993" s="16" t="inlineStr">
        <is>
          <t>XK2509-32</t>
        </is>
      </c>
      <c r="G2993" s="16" t="n">
        <v>45912</v>
      </c>
      <c r="H2993" s="17" t="inlineStr">
        <is>
          <t>CÔNG TY CỔ PHẦN CÔNG NGHIỆP VÀ THƯƠNG MẠI CƯỜNG THỊNH</t>
        </is>
      </c>
      <c r="I2993" s="18" t="inlineStr">
        <is>
          <t>Bulong Din 933 8.8 ZP M20x60</t>
        </is>
      </c>
      <c r="J2993" s="18" t="inlineStr">
        <is>
          <t>Cái</t>
        </is>
      </c>
      <c r="K2993" s="19" t="n">
        <v>6360</v>
      </c>
      <c r="L2993" s="21" t="n"/>
      <c r="M2993" s="22" t="n"/>
      <c r="N2993" s="22" t="n">
        <v>1479</v>
      </c>
      <c r="O2993" s="22" t="n">
        <v>9406440</v>
      </c>
      <c r="P2993" s="22" t="n">
        <v>1479</v>
      </c>
      <c r="Q2993" s="22" t="n">
        <v>9406440</v>
      </c>
      <c r="R2993" s="42">
        <f>+L2993+N2993-P2993</f>
        <v/>
      </c>
      <c r="S2993" s="42">
        <f>+M2993+O2993-Q2993</f>
        <v/>
      </c>
    </row>
    <row r="2994" ht="30" customHeight="1">
      <c r="A2994" s="16" t="n">
        <v>45912</v>
      </c>
      <c r="B2994" s="17" t="inlineStr">
        <is>
          <t>MH2509-41</t>
        </is>
      </c>
      <c r="C2994" s="16" t="n">
        <v>45912</v>
      </c>
      <c r="D2994" s="17" t="inlineStr">
        <is>
          <t>00003595</t>
        </is>
      </c>
      <c r="E2994" s="16" t="n">
        <v>45912</v>
      </c>
      <c r="F2994" s="16" t="inlineStr">
        <is>
          <t>XK2509-32</t>
        </is>
      </c>
      <c r="G2994" s="16" t="n">
        <v>45912</v>
      </c>
      <c r="H2994" s="17" t="inlineStr">
        <is>
          <t>CÔNG TY CỔ PHẦN CÔNG NGHIỆP VÀ THƯƠNG MẠI CƯỜNG THỊNH</t>
        </is>
      </c>
      <c r="I2994" s="18" t="inlineStr">
        <is>
          <t>Đai ốc Din 934 8 ZP M20</t>
        </is>
      </c>
      <c r="J2994" s="18" t="inlineStr">
        <is>
          <t>Cái</t>
        </is>
      </c>
      <c r="K2994" s="19" t="n">
        <v>2030</v>
      </c>
      <c r="L2994" s="21" t="n"/>
      <c r="M2994" s="22" t="n"/>
      <c r="N2994" s="22" t="n">
        <v>1479</v>
      </c>
      <c r="O2994" s="22" t="n">
        <v>3002370</v>
      </c>
      <c r="P2994" s="22" t="n">
        <v>1479</v>
      </c>
      <c r="Q2994" s="22" t="n">
        <v>3002370</v>
      </c>
      <c r="R2994" s="42">
        <f>+L2994+N2994-P2994</f>
        <v/>
      </c>
      <c r="S2994" s="42">
        <f>+M2994+O2994-Q2994</f>
        <v/>
      </c>
    </row>
    <row r="2995" ht="30" customHeight="1">
      <c r="A2995" s="16" t="n">
        <v>45912</v>
      </c>
      <c r="B2995" s="17" t="inlineStr">
        <is>
          <t>MH2509-41</t>
        </is>
      </c>
      <c r="C2995" s="16" t="n">
        <v>45912</v>
      </c>
      <c r="D2995" s="17" t="inlineStr">
        <is>
          <t>00003595</t>
        </is>
      </c>
      <c r="E2995" s="16" t="n">
        <v>45912</v>
      </c>
      <c r="F2995" s="16" t="inlineStr">
        <is>
          <t>XK2509-32</t>
        </is>
      </c>
      <c r="G2995" s="16" t="n">
        <v>45912</v>
      </c>
      <c r="H2995" s="17" t="inlineStr">
        <is>
          <t>CÔNG TY CỔ PHẦN CÔNG NGHIỆP VÀ THƯƠNG MẠI CƯỜNG THỊNH</t>
        </is>
      </c>
      <c r="I2995" s="18" t="inlineStr">
        <is>
          <t>Long đền thường ZP M20B35D2</t>
        </is>
      </c>
      <c r="J2995" s="18" t="inlineStr">
        <is>
          <t>Cái</t>
        </is>
      </c>
      <c r="K2995" s="19" t="n">
        <v>350</v>
      </c>
      <c r="L2995" s="21" t="n"/>
      <c r="M2995" s="22" t="n"/>
      <c r="N2995" s="22" t="n">
        <v>1479</v>
      </c>
      <c r="O2995" s="22" t="n">
        <v>517650</v>
      </c>
      <c r="P2995" s="22" t="n">
        <v>1479</v>
      </c>
      <c r="Q2995" s="22" t="n">
        <v>517650</v>
      </c>
      <c r="R2995" s="42">
        <f>+L2995+N2995-P2995</f>
        <v/>
      </c>
      <c r="S2995" s="42">
        <f>+M2995+O2995-Q2995</f>
        <v/>
      </c>
    </row>
    <row r="2996" ht="30" customHeight="1">
      <c r="A2996" s="16" t="n">
        <v>45912</v>
      </c>
      <c r="B2996" s="17" t="inlineStr">
        <is>
          <t>MH2509-41</t>
        </is>
      </c>
      <c r="C2996" s="16" t="n">
        <v>45912</v>
      </c>
      <c r="D2996" s="17" t="inlineStr">
        <is>
          <t>00003595</t>
        </is>
      </c>
      <c r="E2996" s="16" t="n">
        <v>45912</v>
      </c>
      <c r="F2996" s="16" t="inlineStr">
        <is>
          <t>XK2509-32</t>
        </is>
      </c>
      <c r="G2996" s="16" t="n">
        <v>45912</v>
      </c>
      <c r="H2996" s="17" t="inlineStr">
        <is>
          <t>CÔNG TY CỔ PHẦN CÔNG NGHIỆP VÀ THƯƠNG MẠI CƯỜNG THỊNH</t>
        </is>
      </c>
      <c r="I2996" s="18" t="inlineStr">
        <is>
          <t>Bulong thường 4.6 ZP M12x40</t>
        </is>
      </c>
      <c r="J2996" s="18" t="inlineStr">
        <is>
          <t>Cái</t>
        </is>
      </c>
      <c r="K2996" s="19" t="n">
        <v>1100</v>
      </c>
      <c r="L2996" s="21" t="n"/>
      <c r="M2996" s="22" t="n"/>
      <c r="N2996" s="22" t="n">
        <v>13</v>
      </c>
      <c r="O2996" s="22" t="n">
        <v>14300</v>
      </c>
      <c r="P2996" s="22" t="n">
        <v>13</v>
      </c>
      <c r="Q2996" s="22" t="n">
        <v>14300</v>
      </c>
      <c r="R2996" s="42">
        <f>+L2996+N2996-P2996</f>
        <v/>
      </c>
      <c r="S2996" s="42">
        <f>+M2996+O2996-Q2996</f>
        <v/>
      </c>
    </row>
    <row r="2997" ht="30" customHeight="1">
      <c r="A2997" s="16" t="n">
        <v>45912</v>
      </c>
      <c r="B2997" s="17" t="inlineStr">
        <is>
          <t>MH2509-41</t>
        </is>
      </c>
      <c r="C2997" s="16" t="n">
        <v>45912</v>
      </c>
      <c r="D2997" s="17" t="inlineStr">
        <is>
          <t>00003595</t>
        </is>
      </c>
      <c r="E2997" s="16" t="n">
        <v>45912</v>
      </c>
      <c r="F2997" s="16" t="inlineStr">
        <is>
          <t>XK2509-32</t>
        </is>
      </c>
      <c r="G2997" s="16" t="n">
        <v>45912</v>
      </c>
      <c r="H2997" s="17" t="inlineStr">
        <is>
          <t>CÔNG TY CỔ PHẦN CÔNG NGHIỆP VÀ THƯƠNG MẠI CƯỜNG THỊNH</t>
        </is>
      </c>
      <c r="I2997" s="18" t="inlineStr">
        <is>
          <t>Đai ốc thường 4 ZP M12 (8mm)</t>
        </is>
      </c>
      <c r="J2997" s="18" t="inlineStr">
        <is>
          <t>Cái</t>
        </is>
      </c>
      <c r="K2997" s="19" t="n">
        <v>360</v>
      </c>
      <c r="L2997" s="21" t="n"/>
      <c r="M2997" s="22" t="n"/>
      <c r="N2997" s="22" t="n">
        <v>13</v>
      </c>
      <c r="O2997" s="22" t="n">
        <v>4680</v>
      </c>
      <c r="P2997" s="22" t="n">
        <v>13</v>
      </c>
      <c r="Q2997" s="22" t="n">
        <v>4680</v>
      </c>
      <c r="R2997" s="42">
        <f>+L2997+N2997-P2997</f>
        <v/>
      </c>
      <c r="S2997" s="42">
        <f>+M2997+O2997-Q2997</f>
        <v/>
      </c>
    </row>
    <row r="2998" ht="30" customHeight="1">
      <c r="A2998" s="16" t="n">
        <v>45912</v>
      </c>
      <c r="B2998" s="17" t="inlineStr">
        <is>
          <t>MH2509-41</t>
        </is>
      </c>
      <c r="C2998" s="16" t="n">
        <v>45912</v>
      </c>
      <c r="D2998" s="17" t="inlineStr">
        <is>
          <t>00003595</t>
        </is>
      </c>
      <c r="E2998" s="16" t="n">
        <v>45912</v>
      </c>
      <c r="F2998" s="16" t="inlineStr">
        <is>
          <t>XK2509-32</t>
        </is>
      </c>
      <c r="G2998" s="16" t="n">
        <v>45912</v>
      </c>
      <c r="H2998" s="17" t="inlineStr">
        <is>
          <t>CÔNG TY CỔ PHẦN CÔNG NGHIỆP VÀ THƯƠNG MẠI CƯỜNG THỊNH</t>
        </is>
      </c>
      <c r="I2998" s="18" t="inlineStr">
        <is>
          <t>Long đền thường ZP M12B23D1</t>
        </is>
      </c>
      <c r="J2998" s="18" t="inlineStr">
        <is>
          <t>Cái</t>
        </is>
      </c>
      <c r="K2998" s="19" t="n">
        <v>100</v>
      </c>
      <c r="L2998" s="21" t="n"/>
      <c r="M2998" s="22" t="n"/>
      <c r="N2998" s="22" t="n">
        <v>26</v>
      </c>
      <c r="O2998" s="22" t="n">
        <v>2600</v>
      </c>
      <c r="P2998" s="22" t="n">
        <v>26</v>
      </c>
      <c r="Q2998" s="22" t="n">
        <v>2600</v>
      </c>
      <c r="R2998" s="42">
        <f>+L2998+N2998-P2998</f>
        <v/>
      </c>
      <c r="S2998" s="42">
        <f>+M2998+O2998-Q2998</f>
        <v/>
      </c>
    </row>
    <row r="2999" ht="30" customHeight="1">
      <c r="A2999" s="16" t="n">
        <v>45912</v>
      </c>
      <c r="B2999" s="17" t="inlineStr">
        <is>
          <t>MH2509-41</t>
        </is>
      </c>
      <c r="C2999" s="16" t="n">
        <v>45912</v>
      </c>
      <c r="D2999" s="17" t="inlineStr">
        <is>
          <t>00003595</t>
        </is>
      </c>
      <c r="E2999" s="16" t="n">
        <v>45912</v>
      </c>
      <c r="F2999" s="16" t="inlineStr">
        <is>
          <t>XK2509-32</t>
        </is>
      </c>
      <c r="G2999" s="16" t="n">
        <v>45912</v>
      </c>
      <c r="H2999" s="17" t="inlineStr">
        <is>
          <t>CÔNG TY CỔ PHẦN CÔNG NGHIỆP VÀ THƯƠNG MẠI CƯỜNG THỊNH</t>
        </is>
      </c>
      <c r="I2999" s="18" t="inlineStr">
        <is>
          <t>Bulong Din 933 8.8 ZP M16x40</t>
        </is>
      </c>
      <c r="J2999" s="18" t="inlineStr">
        <is>
          <t>Cái</t>
        </is>
      </c>
      <c r="K2999" s="19" t="n">
        <v>3030</v>
      </c>
      <c r="L2999" s="21" t="n"/>
      <c r="M2999" s="22" t="n"/>
      <c r="N2999" s="22" t="n">
        <v>78</v>
      </c>
      <c r="O2999" s="22" t="n">
        <v>236340</v>
      </c>
      <c r="P2999" s="22" t="n">
        <v>78</v>
      </c>
      <c r="Q2999" s="22" t="n">
        <v>236340</v>
      </c>
      <c r="R2999" s="42">
        <f>+L2999+N2999-P2999</f>
        <v/>
      </c>
      <c r="S2999" s="42">
        <f>+M2999+O2999-Q2999</f>
        <v/>
      </c>
    </row>
    <row r="3000" ht="30" customHeight="1">
      <c r="A3000" s="16" t="n">
        <v>45912</v>
      </c>
      <c r="B3000" s="17" t="inlineStr">
        <is>
          <t>MH2509-41</t>
        </is>
      </c>
      <c r="C3000" s="16" t="n">
        <v>45912</v>
      </c>
      <c r="D3000" s="17" t="inlineStr">
        <is>
          <t>00003595</t>
        </is>
      </c>
      <c r="E3000" s="16" t="n">
        <v>45912</v>
      </c>
      <c r="F3000" s="16" t="inlineStr">
        <is>
          <t>XK2509-32</t>
        </is>
      </c>
      <c r="G3000" s="16" t="n">
        <v>45912</v>
      </c>
      <c r="H3000" s="17" t="inlineStr">
        <is>
          <t>CÔNG TY CỔ PHẦN CÔNG NGHIỆP VÀ THƯƠNG MẠI CƯỜNG THỊNH</t>
        </is>
      </c>
      <c r="I3000" s="18" t="inlineStr">
        <is>
          <t>Đai ốc Din 934 8 ZP M16</t>
        </is>
      </c>
      <c r="J3000" s="18" t="inlineStr">
        <is>
          <t>Cái</t>
        </is>
      </c>
      <c r="K3000" s="19" t="n">
        <v>1080</v>
      </c>
      <c r="L3000" s="21" t="n"/>
      <c r="M3000" s="22" t="n"/>
      <c r="N3000" s="22" t="n">
        <v>78</v>
      </c>
      <c r="O3000" s="22" t="n">
        <v>84240</v>
      </c>
      <c r="P3000" s="22" t="n">
        <v>78</v>
      </c>
      <c r="Q3000" s="22" t="n">
        <v>84240</v>
      </c>
      <c r="R3000" s="42">
        <f>+L3000+N3000-P3000</f>
        <v/>
      </c>
      <c r="S3000" s="42">
        <f>+M3000+O3000-Q3000</f>
        <v/>
      </c>
    </row>
    <row r="3001" ht="30" customHeight="1">
      <c r="A3001" s="16" t="n">
        <v>45912</v>
      </c>
      <c r="B3001" s="17" t="inlineStr">
        <is>
          <t>MH2509-41</t>
        </is>
      </c>
      <c r="C3001" s="16" t="n">
        <v>45912</v>
      </c>
      <c r="D3001" s="17" t="inlineStr">
        <is>
          <t>00003595</t>
        </is>
      </c>
      <c r="E3001" s="16" t="n">
        <v>45912</v>
      </c>
      <c r="F3001" s="16" t="inlineStr">
        <is>
          <t>XK2509-32</t>
        </is>
      </c>
      <c r="G3001" s="16" t="n">
        <v>45912</v>
      </c>
      <c r="H3001" s="17" t="inlineStr">
        <is>
          <t>CÔNG TY CỔ PHẦN CÔNG NGHIỆP VÀ THƯƠNG MẠI CƯỜNG THỊNH</t>
        </is>
      </c>
      <c r="I3001" s="18" t="inlineStr">
        <is>
          <t>Long đền thường ZP M16B30D2</t>
        </is>
      </c>
      <c r="J3001" s="18" t="inlineStr">
        <is>
          <t>Cái</t>
        </is>
      </c>
      <c r="K3001" s="19" t="n">
        <v>340</v>
      </c>
      <c r="L3001" s="21" t="n"/>
      <c r="M3001" s="22" t="n"/>
      <c r="N3001" s="22" t="n">
        <v>78</v>
      </c>
      <c r="O3001" s="22" t="n">
        <v>26520</v>
      </c>
      <c r="P3001" s="22" t="n">
        <v>78</v>
      </c>
      <c r="Q3001" s="22" t="n">
        <v>26520</v>
      </c>
      <c r="R3001" s="42">
        <f>+L3001+N3001-P3001</f>
        <v/>
      </c>
      <c r="S3001" s="42">
        <f>+M3001+O3001-Q3001</f>
        <v/>
      </c>
    </row>
    <row r="3002" ht="30" customHeight="1">
      <c r="A3002" s="16" t="n">
        <v>45912</v>
      </c>
      <c r="B3002" s="17" t="inlineStr">
        <is>
          <t>MH2509-41</t>
        </is>
      </c>
      <c r="C3002" s="16" t="n">
        <v>45912</v>
      </c>
      <c r="D3002" s="17" t="inlineStr">
        <is>
          <t>00003595</t>
        </is>
      </c>
      <c r="E3002" s="16" t="n">
        <v>45912</v>
      </c>
      <c r="F3002" s="16" t="inlineStr">
        <is>
          <t>XK2509-32</t>
        </is>
      </c>
      <c r="G3002" s="16" t="n">
        <v>45912</v>
      </c>
      <c r="H3002" s="17" t="inlineStr">
        <is>
          <t>CÔNG TY CỔ PHẦN CÔNG NGHIỆP VÀ THƯƠNG MẠI CƯỜNG THỊNH</t>
        </is>
      </c>
      <c r="I3002" s="18" t="inlineStr">
        <is>
          <t>Bulong Din 933 8.8 ZP M20x50</t>
        </is>
      </c>
      <c r="J3002" s="18" t="inlineStr">
        <is>
          <t>Cái</t>
        </is>
      </c>
      <c r="K3002" s="19" t="n">
        <v>5760</v>
      </c>
      <c r="L3002" s="21" t="n"/>
      <c r="M3002" s="22" t="n"/>
      <c r="N3002" s="22" t="n">
        <v>1632</v>
      </c>
      <c r="O3002" s="22" t="n">
        <v>9400320</v>
      </c>
      <c r="P3002" s="22" t="n">
        <v>1632</v>
      </c>
      <c r="Q3002" s="22" t="n">
        <v>9400320</v>
      </c>
      <c r="R3002" s="42">
        <f>+L3002+N3002-P3002</f>
        <v/>
      </c>
      <c r="S3002" s="42">
        <f>+M3002+O3002-Q3002</f>
        <v/>
      </c>
    </row>
    <row r="3003" ht="30" customHeight="1">
      <c r="A3003" s="16" t="n">
        <v>45912</v>
      </c>
      <c r="B3003" s="17" t="inlineStr">
        <is>
          <t>MH2509-41</t>
        </is>
      </c>
      <c r="C3003" s="16" t="n">
        <v>45912</v>
      </c>
      <c r="D3003" s="17" t="inlineStr">
        <is>
          <t>00003595</t>
        </is>
      </c>
      <c r="E3003" s="16" t="n">
        <v>45912</v>
      </c>
      <c r="F3003" s="16" t="inlineStr">
        <is>
          <t>XK2509-32</t>
        </is>
      </c>
      <c r="G3003" s="16" t="n">
        <v>45912</v>
      </c>
      <c r="H3003" s="17" t="inlineStr">
        <is>
          <t>CÔNG TY CỔ PHẦN CÔNG NGHIỆP VÀ THƯƠNG MẠI CƯỜNG THỊNH</t>
        </is>
      </c>
      <c r="I3003" s="18" t="inlineStr">
        <is>
          <t>Đai ốc Din 934 8 ZP M20</t>
        </is>
      </c>
      <c r="J3003" s="18" t="inlineStr">
        <is>
          <t>Cái</t>
        </is>
      </c>
      <c r="K3003" s="19" t="n">
        <v>2030</v>
      </c>
      <c r="L3003" s="21" t="n"/>
      <c r="M3003" s="22" t="n"/>
      <c r="N3003" s="22" t="n">
        <v>1632</v>
      </c>
      <c r="O3003" s="22" t="n">
        <v>3312960</v>
      </c>
      <c r="P3003" s="22" t="n">
        <v>1632</v>
      </c>
      <c r="Q3003" s="22" t="n">
        <v>3312960</v>
      </c>
      <c r="R3003" s="42">
        <f>+L3003+N3003-P3003</f>
        <v/>
      </c>
      <c r="S3003" s="42">
        <f>+M3003+O3003-Q3003</f>
        <v/>
      </c>
    </row>
    <row r="3004" ht="30" customHeight="1">
      <c r="A3004" s="16" t="n">
        <v>45912</v>
      </c>
      <c r="B3004" s="17" t="inlineStr">
        <is>
          <t>MH2509-41</t>
        </is>
      </c>
      <c r="C3004" s="16" t="n">
        <v>45912</v>
      </c>
      <c r="D3004" s="17" t="inlineStr">
        <is>
          <t>00003595</t>
        </is>
      </c>
      <c r="E3004" s="16" t="n">
        <v>45912</v>
      </c>
      <c r="F3004" s="16" t="inlineStr">
        <is>
          <t>XK2509-32</t>
        </is>
      </c>
      <c r="G3004" s="16" t="n">
        <v>45912</v>
      </c>
      <c r="H3004" s="17" t="inlineStr">
        <is>
          <t>CÔNG TY CỔ PHẦN CÔNG NGHIỆP VÀ THƯƠNG MẠI CƯỜNG THỊNH</t>
        </is>
      </c>
      <c r="I3004" s="18" t="inlineStr">
        <is>
          <t>Long đền thường ZP M20B35D2</t>
        </is>
      </c>
      <c r="J3004" s="18" t="inlineStr">
        <is>
          <t>Cái</t>
        </is>
      </c>
      <c r="K3004" s="19" t="n">
        <v>350</v>
      </c>
      <c r="L3004" s="21" t="n"/>
      <c r="M3004" s="22" t="n"/>
      <c r="N3004" s="22" t="n">
        <v>1632</v>
      </c>
      <c r="O3004" s="22" t="n">
        <v>571200</v>
      </c>
      <c r="P3004" s="22" t="n">
        <v>1632</v>
      </c>
      <c r="Q3004" s="22" t="n">
        <v>571200</v>
      </c>
      <c r="R3004" s="42">
        <f>+L3004+N3004-P3004</f>
        <v/>
      </c>
      <c r="S3004" s="42">
        <f>+M3004+O3004-Q3004</f>
        <v/>
      </c>
    </row>
    <row r="3005" ht="30" customHeight="1">
      <c r="A3005" s="16" t="n">
        <v>45912</v>
      </c>
      <c r="B3005" s="17" t="inlineStr">
        <is>
          <t>MH2509-41</t>
        </is>
      </c>
      <c r="C3005" s="16" t="n">
        <v>45912</v>
      </c>
      <c r="D3005" s="17" t="inlineStr">
        <is>
          <t>00003595</t>
        </is>
      </c>
      <c r="E3005" s="16" t="n">
        <v>45912</v>
      </c>
      <c r="F3005" s="16" t="inlineStr">
        <is>
          <t>XK2509-32</t>
        </is>
      </c>
      <c r="G3005" s="16" t="n">
        <v>45912</v>
      </c>
      <c r="H3005" s="17" t="inlineStr">
        <is>
          <t>CÔNG TY CỔ PHẦN CÔNG NGHIỆP VÀ THƯƠNG MẠI CƯỜNG THỊNH</t>
        </is>
      </c>
      <c r="I3005" s="18" t="inlineStr">
        <is>
          <t>Bulong Din 933 8.8 ZP M20x70</t>
        </is>
      </c>
      <c r="J3005" s="18" t="inlineStr">
        <is>
          <t>Cái</t>
        </is>
      </c>
      <c r="K3005" s="19" t="n">
        <v>7070</v>
      </c>
      <c r="L3005" s="21" t="n"/>
      <c r="M3005" s="22" t="n"/>
      <c r="N3005" s="22" t="n">
        <v>82</v>
      </c>
      <c r="O3005" s="22" t="n">
        <v>579740</v>
      </c>
      <c r="P3005" s="22" t="n">
        <v>82</v>
      </c>
      <c r="Q3005" s="22" t="n">
        <v>579740</v>
      </c>
      <c r="R3005" s="42">
        <f>+L3005+N3005-P3005</f>
        <v/>
      </c>
      <c r="S3005" s="42">
        <f>+M3005+O3005-Q3005</f>
        <v/>
      </c>
    </row>
    <row r="3006" ht="30" customHeight="1">
      <c r="A3006" s="16" t="n">
        <v>45912</v>
      </c>
      <c r="B3006" s="17" t="inlineStr">
        <is>
          <t>MH2509-41</t>
        </is>
      </c>
      <c r="C3006" s="16" t="n">
        <v>45912</v>
      </c>
      <c r="D3006" s="18" t="inlineStr">
        <is>
          <t>00003595</t>
        </is>
      </c>
      <c r="E3006" s="16" t="n">
        <v>45912</v>
      </c>
      <c r="F3006" s="16" t="inlineStr">
        <is>
          <t>XK2509-32</t>
        </is>
      </c>
      <c r="G3006" s="16" t="n">
        <v>45912</v>
      </c>
      <c r="H3006" s="17" t="inlineStr">
        <is>
          <t>CÔNG TY CỔ PHẦN CÔNG NGHIỆP VÀ THƯƠNG MẠI CƯỜNG THỊNH</t>
        </is>
      </c>
      <c r="I3006" s="18" t="inlineStr">
        <is>
          <t>Đai ốc Din 934 8 ZP M20</t>
        </is>
      </c>
      <c r="J3006" s="18" t="inlineStr">
        <is>
          <t>Cái</t>
        </is>
      </c>
      <c r="K3006" s="19" t="n">
        <v>2030</v>
      </c>
      <c r="L3006" s="21" t="n"/>
      <c r="M3006" s="22" t="n"/>
      <c r="N3006" s="22" t="n">
        <v>82</v>
      </c>
      <c r="O3006" s="22" t="n">
        <v>166460</v>
      </c>
      <c r="P3006" s="22" t="n">
        <v>82</v>
      </c>
      <c r="Q3006" s="22" t="n">
        <v>166460</v>
      </c>
      <c r="R3006" s="42">
        <f>+L3006+N3006-P3006</f>
        <v/>
      </c>
      <c r="S3006" s="42">
        <f>+M3006+O3006-Q3006</f>
        <v/>
      </c>
    </row>
    <row r="3007" ht="30" customHeight="1">
      <c r="A3007" s="16" t="n">
        <v>45912</v>
      </c>
      <c r="B3007" s="17" t="inlineStr">
        <is>
          <t>MH2509-41</t>
        </is>
      </c>
      <c r="C3007" s="16" t="n">
        <v>45912</v>
      </c>
      <c r="D3007" s="18" t="inlineStr">
        <is>
          <t>00003595</t>
        </is>
      </c>
      <c r="E3007" s="16" t="n">
        <v>45912</v>
      </c>
      <c r="F3007" s="16" t="inlineStr">
        <is>
          <t>XK2509-32</t>
        </is>
      </c>
      <c r="G3007" s="16" t="n">
        <v>45912</v>
      </c>
      <c r="H3007" s="17" t="inlineStr">
        <is>
          <t>CÔNG TY CỔ PHẦN CÔNG NGHIỆP VÀ THƯƠNG MẠI CƯỜNG THỊNH</t>
        </is>
      </c>
      <c r="I3007" s="18" t="inlineStr">
        <is>
          <t>Long đền thường ZP M20B35D2</t>
        </is>
      </c>
      <c r="J3007" s="18" t="inlineStr">
        <is>
          <t>Cái</t>
        </is>
      </c>
      <c r="K3007" s="19" t="n">
        <v>350</v>
      </c>
      <c r="L3007" s="21" t="n"/>
      <c r="M3007" s="22" t="n"/>
      <c r="N3007" s="22" t="n">
        <v>82</v>
      </c>
      <c r="O3007" s="22" t="n">
        <v>28700</v>
      </c>
      <c r="P3007" s="22" t="n">
        <v>82</v>
      </c>
      <c r="Q3007" s="22" t="n">
        <v>28700</v>
      </c>
      <c r="R3007" s="42">
        <f>+L3007+N3007-P3007</f>
        <v/>
      </c>
      <c r="S3007" s="42">
        <f>+M3007+O3007-Q3007</f>
        <v/>
      </c>
    </row>
    <row r="3008" ht="30" customHeight="1">
      <c r="A3008" s="16" t="n">
        <v>45912</v>
      </c>
      <c r="B3008" s="17" t="inlineStr">
        <is>
          <t>MH2509-41</t>
        </is>
      </c>
      <c r="C3008" s="16" t="n">
        <v>45912</v>
      </c>
      <c r="D3008" s="18" t="inlineStr">
        <is>
          <t>00003595</t>
        </is>
      </c>
      <c r="E3008" s="16" t="n">
        <v>45912</v>
      </c>
      <c r="F3008" s="16" t="inlineStr">
        <is>
          <t>XK2509-32</t>
        </is>
      </c>
      <c r="G3008" s="16" t="n">
        <v>45912</v>
      </c>
      <c r="H3008" s="17" t="inlineStr">
        <is>
          <t>CÔNG TY CỔ PHẦN CÔNG NGHIỆP VÀ THƯƠNG MẠI CƯỜNG THỊNH</t>
        </is>
      </c>
      <c r="I3008" s="18" t="inlineStr">
        <is>
          <t>Bulong Din 933 8.8 ZP M24x80</t>
        </is>
      </c>
      <c r="J3008" s="18" t="inlineStr">
        <is>
          <t>Cái</t>
        </is>
      </c>
      <c r="K3008" s="19" t="n">
        <v>12010</v>
      </c>
      <c r="L3008" s="21" t="n"/>
      <c r="M3008" s="22" t="n"/>
      <c r="N3008" s="22" t="n">
        <v>107</v>
      </c>
      <c r="O3008" s="22" t="n">
        <v>1285070</v>
      </c>
      <c r="P3008" s="22" t="n">
        <v>107</v>
      </c>
      <c r="Q3008" s="22" t="n">
        <v>1285070</v>
      </c>
      <c r="R3008" s="42">
        <f>+L3008+N3008-P3008</f>
        <v/>
      </c>
      <c r="S3008" s="42">
        <f>+M3008+O3008-Q3008</f>
        <v/>
      </c>
    </row>
    <row r="3009" ht="30" customHeight="1">
      <c r="A3009" s="16" t="n">
        <v>45912</v>
      </c>
      <c r="B3009" s="17" t="inlineStr">
        <is>
          <t>MH2509-41</t>
        </is>
      </c>
      <c r="C3009" s="16" t="n">
        <v>45912</v>
      </c>
      <c r="D3009" s="18" t="inlineStr">
        <is>
          <t>00003595</t>
        </is>
      </c>
      <c r="E3009" s="16" t="n">
        <v>45912</v>
      </c>
      <c r="F3009" s="16" t="inlineStr">
        <is>
          <t>XK2509-32</t>
        </is>
      </c>
      <c r="G3009" s="16" t="n">
        <v>45912</v>
      </c>
      <c r="H3009" s="17" t="inlineStr">
        <is>
          <t>CÔNG TY CỔ PHẦN CÔNG NGHIỆP VÀ THƯƠNG MẠI CƯỜNG THỊNH</t>
        </is>
      </c>
      <c r="I3009" s="18" t="inlineStr">
        <is>
          <t>Đai ốc Din 934 8 ZP M24</t>
        </is>
      </c>
      <c r="J3009" s="18" t="inlineStr">
        <is>
          <t>Cái</t>
        </is>
      </c>
      <c r="K3009" s="19" t="n">
        <v>3500</v>
      </c>
      <c r="L3009" s="21" t="n"/>
      <c r="M3009" s="22" t="n"/>
      <c r="N3009" s="22" t="n">
        <v>107</v>
      </c>
      <c r="O3009" s="22" t="n">
        <v>374500</v>
      </c>
      <c r="P3009" s="22" t="n">
        <v>107</v>
      </c>
      <c r="Q3009" s="22" t="n">
        <v>374500</v>
      </c>
      <c r="R3009" s="42">
        <f>+L3009+N3009-P3009</f>
        <v/>
      </c>
      <c r="S3009" s="42">
        <f>+M3009+O3009-Q3009</f>
        <v/>
      </c>
    </row>
    <row r="3010" ht="30" customHeight="1">
      <c r="A3010" s="16" t="n">
        <v>45912</v>
      </c>
      <c r="B3010" s="17" t="inlineStr">
        <is>
          <t>MH2509-41</t>
        </is>
      </c>
      <c r="C3010" s="16" t="n">
        <v>45912</v>
      </c>
      <c r="D3010" s="18" t="inlineStr">
        <is>
          <t>00003595</t>
        </is>
      </c>
      <c r="E3010" s="16" t="n">
        <v>45912</v>
      </c>
      <c r="F3010" s="16" t="inlineStr">
        <is>
          <t>XK2509-32</t>
        </is>
      </c>
      <c r="G3010" s="16" t="n">
        <v>45912</v>
      </c>
      <c r="H3010" s="17" t="inlineStr">
        <is>
          <t>CÔNG TY CỔ PHẦN CÔNG NGHIỆP VÀ THƯƠNG MẠI CƯỜNG THỊNH</t>
        </is>
      </c>
      <c r="I3010" s="18" t="inlineStr">
        <is>
          <t>Long đền thường ZP M24B40-42D2</t>
        </is>
      </c>
      <c r="J3010" s="18" t="inlineStr">
        <is>
          <t>Cái</t>
        </is>
      </c>
      <c r="K3010" s="19" t="n">
        <v>660</v>
      </c>
      <c r="L3010" s="21" t="n"/>
      <c r="M3010" s="22" t="n"/>
      <c r="N3010" s="22" t="n">
        <v>107</v>
      </c>
      <c r="O3010" s="22" t="n">
        <v>70620</v>
      </c>
      <c r="P3010" s="22" t="n">
        <v>107</v>
      </c>
      <c r="Q3010" s="22" t="n">
        <v>70620</v>
      </c>
      <c r="R3010" s="42">
        <f>+L3010+N3010-P3010</f>
        <v/>
      </c>
      <c r="S3010" s="42">
        <f>+M3010+O3010-Q3010</f>
        <v/>
      </c>
    </row>
    <row r="3011" ht="30" customHeight="1">
      <c r="A3011" s="16" t="n">
        <v>45912</v>
      </c>
      <c r="B3011" s="17" t="inlineStr">
        <is>
          <t>MH2509-41</t>
        </is>
      </c>
      <c r="C3011" s="16" t="n">
        <v>45912</v>
      </c>
      <c r="D3011" s="18" t="inlineStr">
        <is>
          <t>00003595</t>
        </is>
      </c>
      <c r="E3011" s="16" t="n">
        <v>45912</v>
      </c>
      <c r="F3011" s="16" t="inlineStr">
        <is>
          <t>XK2509-32</t>
        </is>
      </c>
      <c r="G3011" s="16" t="n">
        <v>45912</v>
      </c>
      <c r="H3011" s="17" t="inlineStr">
        <is>
          <t>CÔNG TY CỔ PHẦN CÔNG NGHIỆP VÀ THƯƠNG MẠI CƯỜNG THỊNH</t>
        </is>
      </c>
      <c r="I3011" s="18" t="inlineStr">
        <is>
          <t>Bulong Din 933 8.8 ZP M30x90</t>
        </is>
      </c>
      <c r="J3011" s="18" t="inlineStr">
        <is>
          <t>Cái</t>
        </is>
      </c>
      <c r="K3011" s="19" t="n">
        <v>23590</v>
      </c>
      <c r="L3011" s="21" t="n"/>
      <c r="M3011" s="22" t="n"/>
      <c r="N3011" s="22" t="n">
        <v>519</v>
      </c>
      <c r="O3011" s="22" t="n">
        <v>12243210</v>
      </c>
      <c r="P3011" s="22" t="n">
        <v>519</v>
      </c>
      <c r="Q3011" s="22" t="n">
        <v>12243210</v>
      </c>
      <c r="R3011" s="42">
        <f>+L3011+N3011-P3011</f>
        <v/>
      </c>
      <c r="S3011" s="42">
        <f>+M3011+O3011-Q3011</f>
        <v/>
      </c>
    </row>
    <row r="3012" ht="30" customHeight="1">
      <c r="A3012" s="16" t="n">
        <v>45912</v>
      </c>
      <c r="B3012" s="17" t="inlineStr">
        <is>
          <t>MH2509-41</t>
        </is>
      </c>
      <c r="C3012" s="16" t="n">
        <v>45912</v>
      </c>
      <c r="D3012" s="18" t="inlineStr">
        <is>
          <t>00003595</t>
        </is>
      </c>
      <c r="E3012" s="16" t="n">
        <v>45912</v>
      </c>
      <c r="F3012" s="16" t="inlineStr">
        <is>
          <t>XK2509-32</t>
        </is>
      </c>
      <c r="G3012" s="16" t="n">
        <v>45912</v>
      </c>
      <c r="H3012" s="17" t="inlineStr">
        <is>
          <t>CÔNG TY CỔ PHẦN CÔNG NGHIỆP VÀ THƯƠNG MẠI CƯỜNG THỊNH</t>
        </is>
      </c>
      <c r="I3012" s="18" t="inlineStr">
        <is>
          <t>Đai ốc Din 934 8 ZP M30</t>
        </is>
      </c>
      <c r="J3012" s="18" t="inlineStr">
        <is>
          <t>Cái</t>
        </is>
      </c>
      <c r="K3012" s="19" t="n">
        <v>7750</v>
      </c>
      <c r="L3012" s="21" t="n"/>
      <c r="M3012" s="22" t="n"/>
      <c r="N3012" s="22" t="n">
        <v>519</v>
      </c>
      <c r="O3012" s="22" t="n">
        <v>4022250</v>
      </c>
      <c r="P3012" s="22" t="n">
        <v>519</v>
      </c>
      <c r="Q3012" s="22" t="n">
        <v>4022250</v>
      </c>
      <c r="R3012" s="42">
        <f>+L3012+N3012-P3012</f>
        <v/>
      </c>
      <c r="S3012" s="42">
        <f>+M3012+O3012-Q3012</f>
        <v/>
      </c>
    </row>
    <row r="3013" ht="30" customHeight="1">
      <c r="A3013" s="16" t="n">
        <v>45912</v>
      </c>
      <c r="B3013" s="17" t="inlineStr">
        <is>
          <t>MH2509-41</t>
        </is>
      </c>
      <c r="C3013" s="16" t="n">
        <v>45912</v>
      </c>
      <c r="D3013" s="18" t="inlineStr">
        <is>
          <t>00003595</t>
        </is>
      </c>
      <c r="E3013" s="16" t="n">
        <v>45912</v>
      </c>
      <c r="F3013" s="16" t="inlineStr">
        <is>
          <t>XK2509-32</t>
        </is>
      </c>
      <c r="G3013" s="16" t="n">
        <v>45912</v>
      </c>
      <c r="H3013" s="17" t="inlineStr">
        <is>
          <t>CÔNG TY CỔ PHẦN CÔNG NGHIỆP VÀ THƯƠNG MẠI CƯỜNG THỊNH</t>
        </is>
      </c>
      <c r="I3013" s="18" t="inlineStr">
        <is>
          <t>Long đền thường ZP M30B50D2</t>
        </is>
      </c>
      <c r="J3013" s="18" t="inlineStr">
        <is>
          <t>Cái</t>
        </is>
      </c>
      <c r="K3013" s="19" t="n">
        <v>890</v>
      </c>
      <c r="L3013" s="21" t="n"/>
      <c r="M3013" s="22" t="n"/>
      <c r="N3013" s="22" t="n">
        <v>519</v>
      </c>
      <c r="O3013" s="22" t="n">
        <v>461910</v>
      </c>
      <c r="P3013" s="22" t="n">
        <v>519</v>
      </c>
      <c r="Q3013" s="22" t="n">
        <v>461910</v>
      </c>
      <c r="R3013" s="42">
        <f>+L3013+N3013-P3013</f>
        <v/>
      </c>
      <c r="S3013" s="42">
        <f>+M3013+O3013-Q3013</f>
        <v/>
      </c>
    </row>
    <row r="3014" ht="30" customHeight="1">
      <c r="A3014" s="16" t="n">
        <v>45912</v>
      </c>
      <c r="B3014" s="17" t="inlineStr">
        <is>
          <t>MH2509-41</t>
        </is>
      </c>
      <c r="C3014" s="16" t="n">
        <v>45912</v>
      </c>
      <c r="D3014" s="18" t="inlineStr">
        <is>
          <t>00003595</t>
        </is>
      </c>
      <c r="E3014" s="16" t="n">
        <v>45912</v>
      </c>
      <c r="F3014" s="16" t="inlineStr">
        <is>
          <t>XK2509-32</t>
        </is>
      </c>
      <c r="G3014" s="16" t="n">
        <v>45912</v>
      </c>
      <c r="H3014" s="17" t="inlineStr">
        <is>
          <t>CÔNG TY CỔ PHẦN CÔNG NGHIỆP VÀ THƯƠNG MẠI CƯỜNG THỊNH</t>
        </is>
      </c>
      <c r="I3014" s="18" t="inlineStr">
        <is>
          <t>Bulong nở 5.6 ZP M16x180</t>
        </is>
      </c>
      <c r="J3014" s="18" t="inlineStr">
        <is>
          <t>Bộ</t>
        </is>
      </c>
      <c r="K3014" s="19" t="n">
        <v>30000</v>
      </c>
      <c r="L3014" s="21" t="n"/>
      <c r="M3014" s="22" t="n"/>
      <c r="N3014" s="22" t="n">
        <v>23</v>
      </c>
      <c r="O3014" s="22" t="n">
        <v>690000</v>
      </c>
      <c r="P3014" s="22" t="n">
        <v>23</v>
      </c>
      <c r="Q3014" s="22" t="n">
        <v>690000</v>
      </c>
      <c r="R3014" s="42">
        <f>+L3014+N3014-P3014</f>
        <v/>
      </c>
      <c r="S3014" s="42">
        <f>+M3014+O3014-Q3014</f>
        <v/>
      </c>
    </row>
    <row r="3015" ht="30" customHeight="1">
      <c r="A3015" s="16" t="n">
        <v>45912</v>
      </c>
      <c r="B3015" s="17" t="inlineStr">
        <is>
          <t>MH2509-41</t>
        </is>
      </c>
      <c r="C3015" s="16" t="n">
        <v>45912</v>
      </c>
      <c r="D3015" s="18" t="inlineStr">
        <is>
          <t>00003595</t>
        </is>
      </c>
      <c r="E3015" s="16" t="n">
        <v>45912</v>
      </c>
      <c r="F3015" s="16" t="inlineStr">
        <is>
          <t>XK2509-32</t>
        </is>
      </c>
      <c r="G3015" s="16" t="n">
        <v>45912</v>
      </c>
      <c r="H3015" s="17" t="inlineStr">
        <is>
          <t>CÔNG TY CỔ PHẦN CÔNG NGHIỆP VÀ THƯƠNG MẠI CƯỜNG THỊNH</t>
        </is>
      </c>
      <c r="I3015" s="18" t="inlineStr">
        <is>
          <t>Bulong nở 5.6 ZP M20x250</t>
        </is>
      </c>
      <c r="J3015" s="18" t="inlineStr">
        <is>
          <t>Bộ</t>
        </is>
      </c>
      <c r="K3015" s="19" t="n">
        <v>45000</v>
      </c>
      <c r="L3015" s="21" t="n"/>
      <c r="M3015" s="22" t="n"/>
      <c r="N3015" s="22" t="n">
        <v>18</v>
      </c>
      <c r="O3015" s="22" t="n">
        <v>810000</v>
      </c>
      <c r="P3015" s="22" t="n">
        <v>18</v>
      </c>
      <c r="Q3015" s="22" t="n">
        <v>810000</v>
      </c>
      <c r="R3015" s="42">
        <f>+L3015+N3015-P3015</f>
        <v/>
      </c>
      <c r="S3015" s="42">
        <f>+M3015+O3015-Q3015</f>
        <v/>
      </c>
    </row>
    <row r="3016" ht="15" customHeight="1">
      <c r="A3016" s="16" t="n">
        <v>45915</v>
      </c>
      <c r="B3016" s="17" t="inlineStr">
        <is>
          <t>MH2509-44</t>
        </is>
      </c>
      <c r="C3016" s="16" t="n">
        <v>45915</v>
      </c>
      <c r="D3016" s="18" t="inlineStr">
        <is>
          <t>00008543</t>
        </is>
      </c>
      <c r="E3016" s="16" t="n">
        <v>45915</v>
      </c>
      <c r="F3016" s="16" t="inlineStr">
        <is>
          <t>XK2509-33</t>
        </is>
      </c>
      <c r="G3016" s="16" t="n">
        <v>45915</v>
      </c>
      <c r="H3016" s="17" t="inlineStr">
        <is>
          <t>CÔNG TY TNHH SƠN JOTUN VIỆT NAM</t>
        </is>
      </c>
      <c r="I3016" s="18" t="inlineStr">
        <is>
          <t>SƠN FUTURA CLASSIC STD 6317 18.25L</t>
        </is>
      </c>
      <c r="J3016" s="18" t="inlineStr">
        <is>
          <t>Lít</t>
        </is>
      </c>
      <c r="K3016" s="19" t="n">
        <v>155000</v>
      </c>
      <c r="L3016" s="21" t="n"/>
      <c r="M3016" s="22" t="n"/>
      <c r="N3016" s="22" t="n">
        <v>365</v>
      </c>
      <c r="O3016" s="22" t="n">
        <v>56575000</v>
      </c>
      <c r="P3016" s="22" t="n">
        <v>365</v>
      </c>
      <c r="Q3016" s="22" t="n">
        <v>56575000</v>
      </c>
      <c r="R3016" s="42">
        <f>+L3016+N3016-P3016</f>
        <v/>
      </c>
      <c r="S3016" s="42">
        <f>+M3016+O3016-Q3016</f>
        <v/>
      </c>
    </row>
    <row r="3017" ht="15" customHeight="1">
      <c r="A3017" s="16" t="n">
        <v>45915</v>
      </c>
      <c r="B3017" s="17" t="inlineStr">
        <is>
          <t>MH2509-44</t>
        </is>
      </c>
      <c r="C3017" s="16" t="n">
        <v>45915</v>
      </c>
      <c r="D3017" s="18" t="inlineStr">
        <is>
          <t>00008543</t>
        </is>
      </c>
      <c r="E3017" s="16" t="n">
        <v>45915</v>
      </c>
      <c r="F3017" s="16" t="inlineStr">
        <is>
          <t>XK2509-33</t>
        </is>
      </c>
      <c r="G3017" s="16" t="n">
        <v>45915</v>
      </c>
      <c r="H3017" s="17" t="inlineStr">
        <is>
          <t>CÔNG TY TNHH SƠN JOTUN VIỆT NAM</t>
        </is>
      </c>
      <c r="I3017" s="18" t="inlineStr">
        <is>
          <t>SƠN FUTURA CLASSIC STD 6317 4.56L</t>
        </is>
      </c>
      <c r="J3017" s="18" t="inlineStr">
        <is>
          <t>Lít</t>
        </is>
      </c>
      <c r="K3017" s="19" t="n">
        <v>155000</v>
      </c>
      <c r="L3017" s="21" t="n"/>
      <c r="M3017" s="22" t="n"/>
      <c r="N3017" s="22" t="n">
        <v>18.24</v>
      </c>
      <c r="O3017" s="22" t="n">
        <v>2827200</v>
      </c>
      <c r="P3017" s="22" t="n">
        <v>18.24</v>
      </c>
      <c r="Q3017" s="22" t="n">
        <v>2827200</v>
      </c>
      <c r="R3017" s="42">
        <f>+L3017+N3017-P3017</f>
        <v/>
      </c>
      <c r="S3017" s="42">
        <f>+M3017+O3017-Q3017</f>
        <v/>
      </c>
    </row>
    <row r="3018" ht="15" customHeight="1">
      <c r="A3018" s="16" t="n">
        <v>45915</v>
      </c>
      <c r="B3018" s="17" t="inlineStr">
        <is>
          <t>MH2509-44</t>
        </is>
      </c>
      <c r="C3018" s="16" t="n">
        <v>45915</v>
      </c>
      <c r="D3018" s="18" t="inlineStr">
        <is>
          <t>00008543</t>
        </is>
      </c>
      <c r="E3018" s="16" t="n">
        <v>45915</v>
      </c>
      <c r="F3018" s="16" t="inlineStr">
        <is>
          <t>XK2509-33</t>
        </is>
      </c>
      <c r="G3018" s="16" t="n">
        <v>45915</v>
      </c>
      <c r="H3018" s="17" t="inlineStr">
        <is>
          <t>CÔNG TY TNHH SƠN JOTUN VIỆT NAM</t>
        </is>
      </c>
      <c r="I3018" s="18" t="inlineStr">
        <is>
          <t>SƠN JOTAMASTIC 70 GREY 18L</t>
        </is>
      </c>
      <c r="J3018" s="18" t="inlineStr">
        <is>
          <t>Lít</t>
        </is>
      </c>
      <c r="K3018" s="19" t="n">
        <v>90000</v>
      </c>
      <c r="L3018" s="21" t="n"/>
      <c r="M3018" s="22" t="n"/>
      <c r="N3018" s="22" t="n">
        <v>414</v>
      </c>
      <c r="O3018" s="22" t="n">
        <v>37260000</v>
      </c>
      <c r="P3018" s="22" t="n">
        <v>414</v>
      </c>
      <c r="Q3018" s="22" t="n">
        <v>37260000</v>
      </c>
      <c r="R3018" s="42">
        <f>+L3018+N3018-P3018</f>
        <v/>
      </c>
      <c r="S3018" s="42">
        <f>+M3018+O3018-Q3018</f>
        <v/>
      </c>
    </row>
    <row r="3019" ht="15" customHeight="1">
      <c r="A3019" s="16" t="n">
        <v>45915</v>
      </c>
      <c r="B3019" s="17" t="inlineStr">
        <is>
          <t>MH2509-44</t>
        </is>
      </c>
      <c r="C3019" s="16" t="n">
        <v>45915</v>
      </c>
      <c r="D3019" s="18" t="inlineStr">
        <is>
          <t>00008543</t>
        </is>
      </c>
      <c r="E3019" s="16" t="n">
        <v>45915</v>
      </c>
      <c r="F3019" s="16" t="inlineStr">
        <is>
          <t>XK2509-33</t>
        </is>
      </c>
      <c r="G3019" s="16" t="n">
        <v>45915</v>
      </c>
      <c r="H3019" s="17" t="inlineStr">
        <is>
          <t>CÔNG TY TNHH SƠN JOTUN VIỆT NAM</t>
        </is>
      </c>
      <c r="I3019" s="18" t="inlineStr">
        <is>
          <t>DUNG MÔI JOTUN THINNER NO. 10 20L</t>
        </is>
      </c>
      <c r="J3019" s="18" t="inlineStr">
        <is>
          <t>Lít</t>
        </is>
      </c>
      <c r="K3019" s="19" t="n">
        <v>60000</v>
      </c>
      <c r="L3019" s="21" t="n"/>
      <c r="M3019" s="22" t="n"/>
      <c r="N3019" s="22" t="n">
        <v>60</v>
      </c>
      <c r="O3019" s="22" t="n">
        <v>3600000</v>
      </c>
      <c r="P3019" s="22" t="n">
        <v>60</v>
      </c>
      <c r="Q3019" s="22" t="n">
        <v>3600000</v>
      </c>
      <c r="R3019" s="42">
        <f>+L3019+N3019-P3019</f>
        <v/>
      </c>
      <c r="S3019" s="42">
        <f>+M3019+O3019-Q3019</f>
        <v/>
      </c>
    </row>
    <row r="3020" ht="15" customHeight="1">
      <c r="A3020" s="16" t="n">
        <v>45915</v>
      </c>
      <c r="B3020" s="17" t="inlineStr">
        <is>
          <t>MH2509-44</t>
        </is>
      </c>
      <c r="C3020" s="16" t="n">
        <v>45915</v>
      </c>
      <c r="D3020" s="18" t="inlineStr">
        <is>
          <t>00008543</t>
        </is>
      </c>
      <c r="E3020" s="16" t="n">
        <v>45915</v>
      </c>
      <c r="F3020" s="16" t="inlineStr">
        <is>
          <t>XK2509-33</t>
        </is>
      </c>
      <c r="G3020" s="16" t="n">
        <v>45915</v>
      </c>
      <c r="H3020" s="17" t="inlineStr">
        <is>
          <t>CÔNG TY TNHH SƠN JOTUN VIỆT NAM</t>
        </is>
      </c>
      <c r="I3020" s="18" t="inlineStr">
        <is>
          <t>DUNG MÔI JOTUN THINNER NO. 17 20L</t>
        </is>
      </c>
      <c r="J3020" s="18" t="inlineStr">
        <is>
          <t>Lít</t>
        </is>
      </c>
      <c r="K3020" s="19" t="n">
        <v>60000</v>
      </c>
      <c r="L3020" s="21" t="n"/>
      <c r="M3020" s="22" t="n"/>
      <c r="N3020" s="22" t="n">
        <v>60</v>
      </c>
      <c r="O3020" s="22" t="n">
        <v>3600000</v>
      </c>
      <c r="P3020" s="22" t="n">
        <v>60</v>
      </c>
      <c r="Q3020" s="22" t="n">
        <v>3600000</v>
      </c>
      <c r="R3020" s="42">
        <f>+L3020+N3020-P3020</f>
        <v/>
      </c>
      <c r="S3020" s="42">
        <f>+M3020+O3020-Q3020</f>
        <v/>
      </c>
    </row>
    <row r="3021" ht="15" customHeight="1">
      <c r="A3021" s="16" t="n">
        <v>45916</v>
      </c>
      <c r="B3021" s="17" t="inlineStr">
        <is>
          <t>MH2509-45</t>
        </is>
      </c>
      <c r="C3021" s="16" t="n">
        <v>45916</v>
      </c>
      <c r="D3021" s="18" t="inlineStr">
        <is>
          <t>00000944</t>
        </is>
      </c>
      <c r="E3021" s="16" t="n">
        <v>45916</v>
      </c>
      <c r="F3021" s="16" t="inlineStr">
        <is>
          <t>XK2509-34</t>
        </is>
      </c>
      <c r="G3021" s="16" t="n">
        <v>45916</v>
      </c>
      <c r="H3021" s="17" t="inlineStr">
        <is>
          <t>CÔNG TY TNHH TÂN MỸ HẠNH</t>
        </is>
      </c>
      <c r="I3021" s="18" t="inlineStr">
        <is>
          <t>Thép dày mạ kẽm</t>
        </is>
      </c>
      <c r="J3021" s="18" t="inlineStr">
        <is>
          <t>kg</t>
        </is>
      </c>
      <c r="K3021" s="19" t="n">
        <v>22696</v>
      </c>
      <c r="L3021" s="21" t="n"/>
      <c r="M3021" s="22" t="n"/>
      <c r="N3021" s="22" t="n">
        <v>589.28</v>
      </c>
      <c r="O3021" s="22" t="n">
        <v>13374299</v>
      </c>
      <c r="P3021" s="22" t="n">
        <v>589.28</v>
      </c>
      <c r="Q3021" s="22" t="n">
        <v>13374299</v>
      </c>
      <c r="R3021" s="42">
        <f>+L3021+N3021-P3021</f>
        <v/>
      </c>
      <c r="S3021" s="42">
        <f>+M3021+O3021-Q3021</f>
        <v/>
      </c>
    </row>
    <row r="3022" ht="15" customHeight="1">
      <c r="A3022" s="16" t="n">
        <v>45916</v>
      </c>
      <c r="B3022" s="17" t="inlineStr">
        <is>
          <t>MH2509-45</t>
        </is>
      </c>
      <c r="C3022" s="16" t="n">
        <v>45916</v>
      </c>
      <c r="D3022" s="18" t="inlineStr">
        <is>
          <t>00000944</t>
        </is>
      </c>
      <c r="E3022" s="16" t="n">
        <v>45916</v>
      </c>
      <c r="F3022" s="16" t="inlineStr">
        <is>
          <t>XK2509-34</t>
        </is>
      </c>
      <c r="G3022" s="16" t="n">
        <v>45916</v>
      </c>
      <c r="H3022" s="17" t="inlineStr">
        <is>
          <t>CÔNG TY TNHH TÂN MỸ HẠNH</t>
        </is>
      </c>
      <c r="I3022" s="18" t="inlineStr">
        <is>
          <t>Xà gồ kẽm Z</t>
        </is>
      </c>
      <c r="J3022" s="18" t="inlineStr">
        <is>
          <t>kg</t>
        </is>
      </c>
      <c r="K3022" s="19" t="n">
        <v>18976</v>
      </c>
      <c r="L3022" s="21" t="n"/>
      <c r="M3022" s="22" t="n"/>
      <c r="N3022" s="22" t="n">
        <v>4057.37</v>
      </c>
      <c r="O3022" s="22" t="n">
        <v>76992653</v>
      </c>
      <c r="P3022" s="22" t="n">
        <v>4057.37</v>
      </c>
      <c r="Q3022" s="22" t="n">
        <v>76992653</v>
      </c>
      <c r="R3022" s="42">
        <f>+L3022+N3022-P3022</f>
        <v/>
      </c>
      <c r="S3022" s="42">
        <f>+M3022+O3022-Q3022</f>
        <v/>
      </c>
    </row>
    <row r="3023" ht="15" customHeight="1">
      <c r="A3023" s="16" t="n">
        <v>45916</v>
      </c>
      <c r="B3023" s="17" t="inlineStr">
        <is>
          <t>MH2509-45</t>
        </is>
      </c>
      <c r="C3023" s="16" t="n">
        <v>45916</v>
      </c>
      <c r="D3023" s="18" t="inlineStr">
        <is>
          <t>00000944</t>
        </is>
      </c>
      <c r="E3023" s="16" t="n">
        <v>45916</v>
      </c>
      <c r="F3023" s="16" t="inlineStr">
        <is>
          <t>XK2509-34</t>
        </is>
      </c>
      <c r="G3023" s="16" t="n">
        <v>45916</v>
      </c>
      <c r="H3023" s="17" t="inlineStr">
        <is>
          <t>CÔNG TY TNHH TÂN MỸ HẠNH</t>
        </is>
      </c>
      <c r="I3023" s="18" t="inlineStr">
        <is>
          <t>Xà gồ kẽm C</t>
        </is>
      </c>
      <c r="J3023" s="18" t="inlineStr">
        <is>
          <t>kg</t>
        </is>
      </c>
      <c r="K3023" s="19" t="n">
        <v>18971</v>
      </c>
      <c r="L3023" s="21" t="n"/>
      <c r="M3023" s="22" t="n"/>
      <c r="N3023" s="22" t="n">
        <v>402.4766</v>
      </c>
      <c r="O3023" s="22" t="n">
        <v>7635384</v>
      </c>
      <c r="P3023" s="22" t="n">
        <v>402.4766</v>
      </c>
      <c r="Q3023" s="22" t="n">
        <v>7635384</v>
      </c>
      <c r="R3023" s="42">
        <f>+L3023+N3023-P3023</f>
        <v/>
      </c>
      <c r="S3023" s="42">
        <f>+M3023+O3023-Q3023</f>
        <v/>
      </c>
    </row>
    <row r="3024" ht="15" customHeight="1">
      <c r="A3024" s="16" t="n">
        <v>45916</v>
      </c>
      <c r="B3024" s="17" t="inlineStr">
        <is>
          <t>MH2509-46</t>
        </is>
      </c>
      <c r="C3024" s="16" t="n">
        <v>45916</v>
      </c>
      <c r="D3024" s="18" t="inlineStr">
        <is>
          <t>00000943</t>
        </is>
      </c>
      <c r="E3024" s="16" t="n">
        <v>45916</v>
      </c>
      <c r="F3024" s="16" t="inlineStr">
        <is>
          <t>XK2509-35</t>
        </is>
      </c>
      <c r="G3024" s="16" t="n">
        <v>45916</v>
      </c>
      <c r="H3024" s="17" t="inlineStr">
        <is>
          <t>CÔNG TY TNHH TÂN MỸ HẠNH</t>
        </is>
      </c>
      <c r="I3024" s="18" t="inlineStr">
        <is>
          <t>Thép dày mạ kẽm</t>
        </is>
      </c>
      <c r="J3024" s="18" t="inlineStr">
        <is>
          <t>kg</t>
        </is>
      </c>
      <c r="K3024" s="19" t="n">
        <v>22696</v>
      </c>
      <c r="L3024" s="21" t="n"/>
      <c r="M3024" s="22" t="n"/>
      <c r="N3024" s="22" t="n">
        <v>1726.11</v>
      </c>
      <c r="O3024" s="22" t="n">
        <v>39175793</v>
      </c>
      <c r="P3024" s="22" t="n">
        <v>1726.11</v>
      </c>
      <c r="Q3024" s="22" t="n">
        <v>39175793</v>
      </c>
      <c r="R3024" s="42">
        <f>+L3024+N3024-P3024</f>
        <v/>
      </c>
      <c r="S3024" s="42">
        <f>+M3024+O3024-Q3024</f>
        <v/>
      </c>
    </row>
    <row r="3025" ht="15" customHeight="1">
      <c r="A3025" s="16" t="n">
        <v>45916</v>
      </c>
      <c r="B3025" s="17" t="inlineStr">
        <is>
          <t>MH2509-46</t>
        </is>
      </c>
      <c r="C3025" s="16" t="n">
        <v>45916</v>
      </c>
      <c r="D3025" s="18" t="inlineStr">
        <is>
          <t>00000943</t>
        </is>
      </c>
      <c r="E3025" s="16" t="n">
        <v>45916</v>
      </c>
      <c r="F3025" s="16" t="inlineStr">
        <is>
          <t>XK2509-35</t>
        </is>
      </c>
      <c r="G3025" s="16" t="n">
        <v>45916</v>
      </c>
      <c r="H3025" s="17" t="inlineStr">
        <is>
          <t>CÔNG TY TNHH TÂN MỸ HẠNH</t>
        </is>
      </c>
      <c r="I3025" s="18" t="inlineStr">
        <is>
          <t>Xà gồ kẽm Z</t>
        </is>
      </c>
      <c r="J3025" s="18" t="inlineStr">
        <is>
          <t>kg</t>
        </is>
      </c>
      <c r="K3025" s="19" t="n">
        <v>18976</v>
      </c>
      <c r="L3025" s="21" t="n"/>
      <c r="M3025" s="22" t="n"/>
      <c r="N3025" s="22" t="n">
        <v>19837.72</v>
      </c>
      <c r="O3025" s="22" t="n">
        <v>376440575</v>
      </c>
      <c r="P3025" s="22" t="n">
        <v>19837.72</v>
      </c>
      <c r="Q3025" s="22" t="n">
        <v>376440575</v>
      </c>
      <c r="R3025" s="42">
        <f>+L3025+N3025-P3025</f>
        <v/>
      </c>
      <c r="S3025" s="42">
        <f>+M3025+O3025-Q3025</f>
        <v/>
      </c>
    </row>
    <row r="3026" ht="15" customHeight="1">
      <c r="A3026" s="16" t="n">
        <v>45916</v>
      </c>
      <c r="B3026" s="17" t="inlineStr">
        <is>
          <t>MH2509-46</t>
        </is>
      </c>
      <c r="C3026" s="16" t="n">
        <v>45916</v>
      </c>
      <c r="D3026" s="18" t="inlineStr">
        <is>
          <t>00000943</t>
        </is>
      </c>
      <c r="E3026" s="16" t="n">
        <v>45916</v>
      </c>
      <c r="F3026" s="16" t="inlineStr">
        <is>
          <t>XK2509-35</t>
        </is>
      </c>
      <c r="G3026" s="16" t="n">
        <v>45916</v>
      </c>
      <c r="H3026" s="17" t="inlineStr">
        <is>
          <t>CÔNG TY TNHH TÂN MỸ HẠNH</t>
        </is>
      </c>
      <c r="I3026" s="18" t="inlineStr">
        <is>
          <t>Xà gồ kẽm C</t>
        </is>
      </c>
      <c r="J3026" s="18" t="inlineStr">
        <is>
          <t>kg</t>
        </is>
      </c>
      <c r="K3026" s="19" t="n">
        <v>18971</v>
      </c>
      <c r="L3026" s="21" t="n"/>
      <c r="M3026" s="22" t="n"/>
      <c r="N3026" s="22" t="n">
        <v>1523.413</v>
      </c>
      <c r="O3026" s="22" t="n">
        <v>28900668</v>
      </c>
      <c r="P3026" s="22" t="n">
        <v>1523.413</v>
      </c>
      <c r="Q3026" s="22" t="n">
        <v>28900668</v>
      </c>
      <c r="R3026" s="42">
        <f>+L3026+N3026-P3026</f>
        <v/>
      </c>
      <c r="S3026" s="42">
        <f>+M3026+O3026-Q3026</f>
        <v/>
      </c>
    </row>
    <row r="3027" ht="15" customHeight="1">
      <c r="A3027" s="16" t="n">
        <v>45916</v>
      </c>
      <c r="B3027" s="17" t="inlineStr">
        <is>
          <t>MH2509-47</t>
        </is>
      </c>
      <c r="C3027" s="16" t="n">
        <v>45916</v>
      </c>
      <c r="D3027" s="18" t="inlineStr">
        <is>
          <t>00000942</t>
        </is>
      </c>
      <c r="E3027" s="16" t="n">
        <v>45916</v>
      </c>
      <c r="F3027" s="16" t="inlineStr">
        <is>
          <t>XK2509-36</t>
        </is>
      </c>
      <c r="G3027" s="16" t="n">
        <v>45916</v>
      </c>
      <c r="H3027" s="17" t="inlineStr">
        <is>
          <t>CÔNG TY TNHH TÂN MỸ HẠNH</t>
        </is>
      </c>
      <c r="I3027" s="18" t="inlineStr">
        <is>
          <t>Thép dày mạ kẽm</t>
        </is>
      </c>
      <c r="J3027" s="18" t="inlineStr">
        <is>
          <t>kg</t>
        </is>
      </c>
      <c r="K3027" s="19" t="n">
        <v>22696</v>
      </c>
      <c r="L3027" s="21" t="n"/>
      <c r="M3027" s="22" t="n"/>
      <c r="N3027" s="22" t="n">
        <v>2329.73</v>
      </c>
      <c r="O3027" s="22" t="n">
        <v>52875552</v>
      </c>
      <c r="P3027" s="22" t="n">
        <v>2329.73</v>
      </c>
      <c r="Q3027" s="22" t="n">
        <v>52875552</v>
      </c>
      <c r="R3027" s="42">
        <f>+L3027+N3027-P3027</f>
        <v/>
      </c>
      <c r="S3027" s="42">
        <f>+M3027+O3027-Q3027</f>
        <v/>
      </c>
    </row>
    <row r="3028" ht="15" customHeight="1">
      <c r="A3028" s="16" t="n">
        <v>45916</v>
      </c>
      <c r="B3028" s="17" t="inlineStr">
        <is>
          <t>MH2509-47</t>
        </is>
      </c>
      <c r="C3028" s="16" t="n">
        <v>45916</v>
      </c>
      <c r="D3028" s="18" t="inlineStr">
        <is>
          <t>00000942</t>
        </is>
      </c>
      <c r="E3028" s="16" t="n">
        <v>45916</v>
      </c>
      <c r="F3028" s="16" t="inlineStr">
        <is>
          <t>XK2509-36</t>
        </is>
      </c>
      <c r="G3028" s="16" t="n">
        <v>45916</v>
      </c>
      <c r="H3028" s="17" t="inlineStr">
        <is>
          <t>CÔNG TY TNHH TÂN MỸ HẠNH</t>
        </is>
      </c>
      <c r="I3028" s="18" t="inlineStr">
        <is>
          <t>Xà gồ kẽm Z</t>
        </is>
      </c>
      <c r="J3028" s="18" t="inlineStr">
        <is>
          <t>kg</t>
        </is>
      </c>
      <c r="K3028" s="19" t="n">
        <v>18976</v>
      </c>
      <c r="L3028" s="21" t="n"/>
      <c r="M3028" s="22" t="n"/>
      <c r="N3028" s="22" t="n">
        <v>45949</v>
      </c>
      <c r="O3028" s="22" t="n">
        <v>871928224</v>
      </c>
      <c r="P3028" s="22" t="n">
        <v>45949</v>
      </c>
      <c r="Q3028" s="22" t="n">
        <v>871928224</v>
      </c>
      <c r="R3028" s="42">
        <f>+L3028+N3028-P3028</f>
        <v/>
      </c>
      <c r="S3028" s="42">
        <f>+M3028+O3028-Q3028</f>
        <v/>
      </c>
    </row>
    <row r="3029" ht="15" customHeight="1">
      <c r="A3029" s="16" t="n">
        <v>45916</v>
      </c>
      <c r="B3029" s="17" t="inlineStr">
        <is>
          <t>MH2509-47</t>
        </is>
      </c>
      <c r="C3029" s="16" t="n">
        <v>45916</v>
      </c>
      <c r="D3029" s="18" t="inlineStr">
        <is>
          <t>00000942</t>
        </is>
      </c>
      <c r="E3029" s="16" t="n">
        <v>45916</v>
      </c>
      <c r="F3029" s="16" t="inlineStr">
        <is>
          <t>XK2509-36</t>
        </is>
      </c>
      <c r="G3029" s="16" t="n">
        <v>45916</v>
      </c>
      <c r="H3029" s="17" t="inlineStr">
        <is>
          <t>CÔNG TY TNHH TÂN MỸ HẠNH</t>
        </is>
      </c>
      <c r="I3029" s="18" t="inlineStr">
        <is>
          <t>Xà gồ kẽm C</t>
        </is>
      </c>
      <c r="J3029" s="18" t="inlineStr">
        <is>
          <t>kg</t>
        </is>
      </c>
      <c r="K3029" s="19" t="n">
        <v>18971</v>
      </c>
      <c r="L3029" s="21" t="n"/>
      <c r="M3029" s="22" t="n"/>
      <c r="N3029" s="22" t="n">
        <v>1789.122</v>
      </c>
      <c r="O3029" s="22" t="n">
        <v>33941433</v>
      </c>
      <c r="P3029" s="22" t="n">
        <v>1789.122</v>
      </c>
      <c r="Q3029" s="22" t="n">
        <v>33941433</v>
      </c>
      <c r="R3029" s="42">
        <f>+L3029+N3029-P3029</f>
        <v/>
      </c>
      <c r="S3029" s="42">
        <f>+M3029+O3029-Q3029</f>
        <v/>
      </c>
    </row>
    <row r="3030" ht="15" customHeight="1">
      <c r="A3030" s="16" t="n">
        <v>45916</v>
      </c>
      <c r="B3030" s="17" t="inlineStr">
        <is>
          <t>MH2509-49</t>
        </is>
      </c>
      <c r="C3030" s="16" t="n">
        <v>45916</v>
      </c>
      <c r="D3030" s="18" t="inlineStr">
        <is>
          <t>00008567</t>
        </is>
      </c>
      <c r="E3030" s="16" t="n">
        <v>45916</v>
      </c>
      <c r="F3030" s="16" t="inlineStr">
        <is>
          <t>XK2509-37</t>
        </is>
      </c>
      <c r="G3030" s="16" t="n">
        <v>45916</v>
      </c>
      <c r="H3030" s="17" t="inlineStr">
        <is>
          <t>CÔNG TY TNHH SƠN JOTUN VIỆT NAM</t>
        </is>
      </c>
      <c r="I3030" s="18" t="inlineStr">
        <is>
          <t>DUNG MÔI JOTUN THINNER NO. 17 20L</t>
        </is>
      </c>
      <c r="J3030" s="18" t="inlineStr">
        <is>
          <t>Lít</t>
        </is>
      </c>
      <c r="K3030" s="19" t="n">
        <v>60000</v>
      </c>
      <c r="L3030" s="21" t="n"/>
      <c r="M3030" s="22" t="n"/>
      <c r="N3030" s="22" t="n">
        <v>60</v>
      </c>
      <c r="O3030" s="22" t="n">
        <v>3600000</v>
      </c>
      <c r="P3030" s="22" t="n">
        <v>60</v>
      </c>
      <c r="Q3030" s="22" t="n">
        <v>3600000</v>
      </c>
      <c r="R3030" s="42">
        <f>+L3030+N3030-P3030</f>
        <v/>
      </c>
      <c r="S3030" s="42">
        <f>+M3030+O3030-Q3030</f>
        <v/>
      </c>
    </row>
    <row r="3031" ht="15" customHeight="1">
      <c r="A3031" s="16" t="n">
        <v>45916</v>
      </c>
      <c r="B3031" s="17" t="inlineStr">
        <is>
          <t>MH2509-49</t>
        </is>
      </c>
      <c r="C3031" s="16" t="n">
        <v>45916</v>
      </c>
      <c r="D3031" s="18" t="inlineStr">
        <is>
          <t>00008567</t>
        </is>
      </c>
      <c r="E3031" s="16" t="n">
        <v>45916</v>
      </c>
      <c r="F3031" s="16" t="inlineStr">
        <is>
          <t>XK2509-37</t>
        </is>
      </c>
      <c r="G3031" s="16" t="n">
        <v>45916</v>
      </c>
      <c r="H3031" s="17" t="inlineStr">
        <is>
          <t>CÔNG TY TNHH SƠN JOTUN VIỆT NAM</t>
        </is>
      </c>
      <c r="I3031" s="18" t="inlineStr">
        <is>
          <t>SƠN FUTURA CLASSIC RAL 7032 18.32L</t>
        </is>
      </c>
      <c r="J3031" s="18" t="inlineStr">
        <is>
          <t>Lít</t>
        </is>
      </c>
      <c r="K3031" s="19" t="n">
        <v>155000</v>
      </c>
      <c r="L3031" s="21" t="n"/>
      <c r="M3031" s="22" t="n"/>
      <c r="N3031" s="22" t="n">
        <v>439.68</v>
      </c>
      <c r="O3031" s="22" t="n">
        <v>68150400</v>
      </c>
      <c r="P3031" s="22" t="n">
        <v>439.68</v>
      </c>
      <c r="Q3031" s="22" t="n">
        <v>68150400</v>
      </c>
      <c r="R3031" s="42">
        <f>+L3031+N3031-P3031</f>
        <v/>
      </c>
      <c r="S3031" s="42">
        <f>+M3031+O3031-Q3031</f>
        <v/>
      </c>
    </row>
    <row r="3032" ht="15" customHeight="1">
      <c r="A3032" s="16" t="n">
        <v>45916</v>
      </c>
      <c r="B3032" s="17" t="inlineStr">
        <is>
          <t>MH2509-49</t>
        </is>
      </c>
      <c r="C3032" s="16" t="n">
        <v>45916</v>
      </c>
      <c r="D3032" s="18" t="inlineStr">
        <is>
          <t>00008567</t>
        </is>
      </c>
      <c r="E3032" s="16" t="n">
        <v>45916</v>
      </c>
      <c r="F3032" s="16" t="inlineStr">
        <is>
          <t>XK2509-37</t>
        </is>
      </c>
      <c r="G3032" s="16" t="n">
        <v>45916</v>
      </c>
      <c r="H3032" s="17" t="inlineStr">
        <is>
          <t>CÔNG TY TNHH SƠN JOTUN VIỆT NAM</t>
        </is>
      </c>
      <c r="I3032" s="18" t="inlineStr">
        <is>
          <t>SƠN FUTURA CLASSIC RAL 7032 4.58L</t>
        </is>
      </c>
      <c r="J3032" s="18" t="inlineStr">
        <is>
          <t>Lít</t>
        </is>
      </c>
      <c r="K3032" s="19" t="n">
        <v>155000</v>
      </c>
      <c r="L3032" s="21" t="n"/>
      <c r="M3032" s="22" t="n"/>
      <c r="N3032" s="22" t="n">
        <v>22.9</v>
      </c>
      <c r="O3032" s="22" t="n">
        <v>3549500</v>
      </c>
      <c r="P3032" s="22" t="n">
        <v>22.9</v>
      </c>
      <c r="Q3032" s="22" t="n">
        <v>3549500</v>
      </c>
      <c r="R3032" s="42">
        <f>+L3032+N3032-P3032</f>
        <v/>
      </c>
      <c r="S3032" s="42">
        <f>+M3032+O3032-Q3032</f>
        <v/>
      </c>
    </row>
    <row r="3033" ht="15" customHeight="1">
      <c r="A3033" s="16" t="n">
        <v>45916</v>
      </c>
      <c r="B3033" s="17" t="inlineStr">
        <is>
          <t>MH2509-49</t>
        </is>
      </c>
      <c r="C3033" s="16" t="n">
        <v>45916</v>
      </c>
      <c r="D3033" s="18" t="inlineStr">
        <is>
          <t>00008567</t>
        </is>
      </c>
      <c r="E3033" s="16" t="n">
        <v>45916</v>
      </c>
      <c r="F3033" s="16" t="inlineStr">
        <is>
          <t>XK2509-37</t>
        </is>
      </c>
      <c r="G3033" s="16" t="n">
        <v>45916</v>
      </c>
      <c r="H3033" s="17" t="inlineStr">
        <is>
          <t>CÔNG TY TNHH SƠN JOTUN VIỆT NAM</t>
        </is>
      </c>
      <c r="I3033" s="18" t="inlineStr">
        <is>
          <t>DUNG MÔI JOTUN THINNER NO. 17 5L</t>
        </is>
      </c>
      <c r="J3033" s="18" t="inlineStr">
        <is>
          <t>Lít</t>
        </is>
      </c>
      <c r="K3033" s="19" t="n">
        <v>60000</v>
      </c>
      <c r="L3033" s="21" t="n"/>
      <c r="M3033" s="22" t="n"/>
      <c r="N3033" s="22" t="n">
        <v>15</v>
      </c>
      <c r="O3033" s="22" t="n">
        <v>900000</v>
      </c>
      <c r="P3033" s="22" t="n">
        <v>15</v>
      </c>
      <c r="Q3033" s="22" t="n">
        <v>900000</v>
      </c>
      <c r="R3033" s="42">
        <f>+L3033+N3033-P3033</f>
        <v/>
      </c>
      <c r="S3033" s="42">
        <f>+M3033+O3033-Q3033</f>
        <v/>
      </c>
    </row>
    <row r="3034" ht="15" customHeight="1">
      <c r="A3034" s="16" t="n">
        <v>45916</v>
      </c>
      <c r="B3034" s="17" t="inlineStr">
        <is>
          <t>MH2509-49</t>
        </is>
      </c>
      <c r="C3034" s="16" t="n">
        <v>45916</v>
      </c>
      <c r="D3034" s="18" t="inlineStr">
        <is>
          <t>00008567</t>
        </is>
      </c>
      <c r="E3034" s="16" t="n">
        <v>45916</v>
      </c>
      <c r="F3034" s="16" t="inlineStr">
        <is>
          <t>XK2509-37</t>
        </is>
      </c>
      <c r="G3034" s="16" t="n">
        <v>45916</v>
      </c>
      <c r="H3034" s="17" t="inlineStr">
        <is>
          <t>CÔNG TY TNHH SƠN JOTUN VIỆT NAM</t>
        </is>
      </c>
      <c r="I3034" s="18" t="inlineStr">
        <is>
          <t>DUNG MÔI JOTUN THINNER NO. 10 20L</t>
        </is>
      </c>
      <c r="J3034" s="18" t="inlineStr">
        <is>
          <t>Lít</t>
        </is>
      </c>
      <c r="K3034" s="19" t="n">
        <v>60000</v>
      </c>
      <c r="L3034" s="21" t="n"/>
      <c r="M3034" s="22" t="n"/>
      <c r="N3034" s="22" t="n">
        <v>60</v>
      </c>
      <c r="O3034" s="22" t="n">
        <v>3600000</v>
      </c>
      <c r="P3034" s="22" t="n">
        <v>60</v>
      </c>
      <c r="Q3034" s="22" t="n">
        <v>3600000</v>
      </c>
      <c r="R3034" s="42">
        <f>+L3034+N3034-P3034</f>
        <v/>
      </c>
      <c r="S3034" s="42">
        <f>+M3034+O3034-Q3034</f>
        <v/>
      </c>
    </row>
    <row r="3035" ht="15" customHeight="1">
      <c r="A3035" s="16" t="n">
        <v>45916</v>
      </c>
      <c r="B3035" s="17" t="inlineStr">
        <is>
          <t>MH2509-49</t>
        </is>
      </c>
      <c r="C3035" s="16" t="n">
        <v>45916</v>
      </c>
      <c r="D3035" s="18" t="inlineStr">
        <is>
          <t>00008567</t>
        </is>
      </c>
      <c r="E3035" s="16" t="n">
        <v>45916</v>
      </c>
      <c r="F3035" s="16" t="inlineStr">
        <is>
          <t>XK2509-37</t>
        </is>
      </c>
      <c r="G3035" s="16" t="n">
        <v>45916</v>
      </c>
      <c r="H3035" s="17" t="inlineStr">
        <is>
          <t>CÔNG TY TNHH SƠN JOTUN VIỆT NAM</t>
        </is>
      </c>
      <c r="I3035" s="18" t="inlineStr">
        <is>
          <t>DUNG MÔI JOTUN THINNER NO. 10 5L</t>
        </is>
      </c>
      <c r="J3035" s="18" t="inlineStr">
        <is>
          <t>Lít</t>
        </is>
      </c>
      <c r="K3035" s="19" t="n">
        <v>60000</v>
      </c>
      <c r="L3035" s="21" t="n"/>
      <c r="M3035" s="22" t="n"/>
      <c r="N3035" s="22" t="n">
        <v>15</v>
      </c>
      <c r="O3035" s="22" t="n">
        <v>900000</v>
      </c>
      <c r="P3035" s="22" t="n">
        <v>15</v>
      </c>
      <c r="Q3035" s="22" t="n">
        <v>900000</v>
      </c>
      <c r="R3035" s="42">
        <f>+L3035+N3035-P3035</f>
        <v/>
      </c>
      <c r="S3035" s="42">
        <f>+M3035+O3035-Q3035</f>
        <v/>
      </c>
    </row>
    <row r="3036" ht="15" customHeight="1">
      <c r="A3036" s="16" t="n">
        <v>45916</v>
      </c>
      <c r="B3036" s="17" t="inlineStr">
        <is>
          <t>MH2509-50</t>
        </is>
      </c>
      <c r="C3036" s="16" t="n">
        <v>45916</v>
      </c>
      <c r="D3036" s="18" t="inlineStr">
        <is>
          <t>00008566</t>
        </is>
      </c>
      <c r="E3036" s="16" t="n">
        <v>45916</v>
      </c>
      <c r="F3036" s="16" t="inlineStr">
        <is>
          <t>XK2509-38</t>
        </is>
      </c>
      <c r="G3036" s="16" t="n">
        <v>45916</v>
      </c>
      <c r="H3036" s="17" t="inlineStr">
        <is>
          <t>CÔNG TY TNHH SƠN JOTUN VIỆT NAM</t>
        </is>
      </c>
      <c r="I3036" s="18" t="inlineStr">
        <is>
          <t>SƠN JOTAMASTIC 70 GREY 18L</t>
        </is>
      </c>
      <c r="J3036" s="18" t="inlineStr">
        <is>
          <t>Lít</t>
        </is>
      </c>
      <c r="K3036" s="19" t="n">
        <v>90000</v>
      </c>
      <c r="L3036" s="21" t="n"/>
      <c r="M3036" s="22" t="n"/>
      <c r="N3036" s="22" t="n">
        <v>612</v>
      </c>
      <c r="O3036" s="22" t="n">
        <v>55080000</v>
      </c>
      <c r="P3036" s="22" t="n">
        <v>612</v>
      </c>
      <c r="Q3036" s="22" t="n">
        <v>55080000</v>
      </c>
      <c r="R3036" s="42">
        <f>+L3036+N3036-P3036</f>
        <v/>
      </c>
      <c r="S3036" s="42">
        <f>+M3036+O3036-Q3036</f>
        <v/>
      </c>
    </row>
    <row r="3037" ht="15" customHeight="1">
      <c r="A3037" s="16" t="n">
        <v>45916</v>
      </c>
      <c r="B3037" s="17" t="inlineStr">
        <is>
          <t>MH2509-50</t>
        </is>
      </c>
      <c r="C3037" s="16" t="n">
        <v>45916</v>
      </c>
      <c r="D3037" s="18" t="inlineStr">
        <is>
          <t>00008566</t>
        </is>
      </c>
      <c r="E3037" s="16" t="n">
        <v>45916</v>
      </c>
      <c r="F3037" s="16" t="inlineStr">
        <is>
          <t>XK2509-38</t>
        </is>
      </c>
      <c r="G3037" s="16" t="n">
        <v>45916</v>
      </c>
      <c r="H3037" s="17" t="inlineStr">
        <is>
          <t>CÔNG TY TNHH SƠN JOTUN VIỆT NAM</t>
        </is>
      </c>
      <c r="I3037" s="18" t="inlineStr">
        <is>
          <t>SƠN FUTURA CLASSIC RAL 7037 20L</t>
        </is>
      </c>
      <c r="J3037" s="18" t="inlineStr">
        <is>
          <t>Lít</t>
        </is>
      </c>
      <c r="K3037" s="19" t="n">
        <v>155000</v>
      </c>
      <c r="L3037" s="21" t="n"/>
      <c r="M3037" s="22" t="n"/>
      <c r="N3037" s="22" t="n">
        <v>580</v>
      </c>
      <c r="O3037" s="22" t="n">
        <v>89900000</v>
      </c>
      <c r="P3037" s="22" t="n">
        <v>580</v>
      </c>
      <c r="Q3037" s="22" t="n">
        <v>89900000</v>
      </c>
      <c r="R3037" s="42">
        <f>+L3037+N3037-P3037</f>
        <v/>
      </c>
      <c r="S3037" s="42">
        <f>+M3037+O3037-Q3037</f>
        <v/>
      </c>
    </row>
    <row r="3038" ht="15" customHeight="1">
      <c r="A3038" s="16" t="n">
        <v>45916</v>
      </c>
      <c r="B3038" s="17" t="inlineStr">
        <is>
          <t>MH2509-50</t>
        </is>
      </c>
      <c r="C3038" s="16" t="n">
        <v>45916</v>
      </c>
      <c r="D3038" s="18" t="inlineStr">
        <is>
          <t>00008566</t>
        </is>
      </c>
      <c r="E3038" s="16" t="n">
        <v>45916</v>
      </c>
      <c r="F3038" s="16" t="inlineStr">
        <is>
          <t>XK2509-38</t>
        </is>
      </c>
      <c r="G3038" s="16" t="n">
        <v>45916</v>
      </c>
      <c r="H3038" s="17" t="inlineStr">
        <is>
          <t>CÔNG TY TNHH SƠN JOTUN VIỆT NAM</t>
        </is>
      </c>
      <c r="I3038" s="18" t="inlineStr">
        <is>
          <t>DUNG MÔI JOTUN THINNER NO. 17 20L</t>
        </is>
      </c>
      <c r="J3038" s="18" t="inlineStr">
        <is>
          <t>Lít</t>
        </is>
      </c>
      <c r="K3038" s="19" t="n">
        <v>60000</v>
      </c>
      <c r="L3038" s="21" t="n"/>
      <c r="M3038" s="22" t="n"/>
      <c r="N3038" s="22" t="n">
        <v>80</v>
      </c>
      <c r="O3038" s="22" t="n">
        <v>4800000</v>
      </c>
      <c r="P3038" s="22" t="n">
        <v>80</v>
      </c>
      <c r="Q3038" s="22" t="n">
        <v>4800000</v>
      </c>
      <c r="R3038" s="42">
        <f>+L3038+N3038-P3038</f>
        <v/>
      </c>
      <c r="S3038" s="42">
        <f>+M3038+O3038-Q3038</f>
        <v/>
      </c>
    </row>
    <row r="3039" ht="15" customHeight="1">
      <c r="A3039" s="16" t="n">
        <v>45916</v>
      </c>
      <c r="B3039" s="17" t="inlineStr">
        <is>
          <t>MH2509-50</t>
        </is>
      </c>
      <c r="C3039" s="16" t="n">
        <v>45916</v>
      </c>
      <c r="D3039" s="18" t="inlineStr">
        <is>
          <t>00008566</t>
        </is>
      </c>
      <c r="E3039" s="16" t="n">
        <v>45916</v>
      </c>
      <c r="F3039" s="16" t="inlineStr">
        <is>
          <t>XK2509-38</t>
        </is>
      </c>
      <c r="G3039" s="16" t="n">
        <v>45916</v>
      </c>
      <c r="H3039" s="17" t="inlineStr">
        <is>
          <t>CÔNG TY TNHH SƠN JOTUN VIỆT NAM</t>
        </is>
      </c>
      <c r="I3039" s="18" t="inlineStr">
        <is>
          <t>DUNG MÔI JOTUN THINNER NO. 17 5L</t>
        </is>
      </c>
      <c r="J3039" s="18" t="inlineStr">
        <is>
          <t>Lít</t>
        </is>
      </c>
      <c r="K3039" s="19" t="n">
        <v>60000</v>
      </c>
      <c r="L3039" s="21" t="n"/>
      <c r="M3039" s="22" t="n"/>
      <c r="N3039" s="22" t="n">
        <v>10</v>
      </c>
      <c r="O3039" s="22" t="n">
        <v>600000</v>
      </c>
      <c r="P3039" s="22" t="n">
        <v>10</v>
      </c>
      <c r="Q3039" s="22" t="n">
        <v>600000</v>
      </c>
      <c r="R3039" s="42">
        <f>+L3039+N3039-P3039</f>
        <v/>
      </c>
      <c r="S3039" s="42">
        <f>+M3039+O3039-Q3039</f>
        <v/>
      </c>
    </row>
    <row r="3040" ht="15" customHeight="1">
      <c r="A3040" s="16" t="n">
        <v>45916</v>
      </c>
      <c r="B3040" s="17" t="inlineStr">
        <is>
          <t>MH2509-50</t>
        </is>
      </c>
      <c r="C3040" s="16" t="n">
        <v>45916</v>
      </c>
      <c r="D3040" s="18" t="inlineStr">
        <is>
          <t>00008566</t>
        </is>
      </c>
      <c r="E3040" s="16" t="n">
        <v>45916</v>
      </c>
      <c r="F3040" s="16" t="inlineStr">
        <is>
          <t>XK2509-38</t>
        </is>
      </c>
      <c r="G3040" s="16" t="n">
        <v>45916</v>
      </c>
      <c r="H3040" s="17" t="inlineStr">
        <is>
          <t>CÔNG TY TNHH SƠN JOTUN VIỆT NAM</t>
        </is>
      </c>
      <c r="I3040" s="18" t="inlineStr">
        <is>
          <t>DUNG MÔI JOTUN THINNER NO. 10 20L</t>
        </is>
      </c>
      <c r="J3040" s="18" t="inlineStr">
        <is>
          <t>Lít</t>
        </is>
      </c>
      <c r="K3040" s="19" t="n">
        <v>60000</v>
      </c>
      <c r="L3040" s="21" t="n"/>
      <c r="M3040" s="22" t="n"/>
      <c r="N3040" s="22" t="n">
        <v>80</v>
      </c>
      <c r="O3040" s="22" t="n">
        <v>4800000</v>
      </c>
      <c r="P3040" s="22" t="n">
        <v>80</v>
      </c>
      <c r="Q3040" s="22" t="n">
        <v>4800000</v>
      </c>
      <c r="R3040" s="42">
        <f>+L3040+N3040-P3040</f>
        <v/>
      </c>
      <c r="S3040" s="42">
        <f>+M3040+O3040-Q3040</f>
        <v/>
      </c>
    </row>
    <row r="3041" ht="15" customHeight="1">
      <c r="A3041" s="16" t="n">
        <v>45916</v>
      </c>
      <c r="B3041" s="17" t="inlineStr">
        <is>
          <t>MH2509-50</t>
        </is>
      </c>
      <c r="C3041" s="16" t="n">
        <v>45916</v>
      </c>
      <c r="D3041" s="18" t="inlineStr">
        <is>
          <t>00008566</t>
        </is>
      </c>
      <c r="E3041" s="16" t="n">
        <v>45916</v>
      </c>
      <c r="F3041" s="16" t="inlineStr">
        <is>
          <t>XK2509-38</t>
        </is>
      </c>
      <c r="G3041" s="16" t="n">
        <v>45916</v>
      </c>
      <c r="H3041" s="17" t="inlineStr">
        <is>
          <t>CÔNG TY TNHH SƠN JOTUN VIỆT NAM</t>
        </is>
      </c>
      <c r="I3041" s="18" t="inlineStr">
        <is>
          <t>DUNG MÔI JOTUN THINNER NO. 10 5L</t>
        </is>
      </c>
      <c r="J3041" s="18" t="inlineStr">
        <is>
          <t>Lít</t>
        </is>
      </c>
      <c r="K3041" s="19" t="n">
        <v>60000</v>
      </c>
      <c r="L3041" s="21" t="n"/>
      <c r="M3041" s="22" t="n"/>
      <c r="N3041" s="22" t="n">
        <v>10</v>
      </c>
      <c r="O3041" s="22" t="n">
        <v>600000</v>
      </c>
      <c r="P3041" s="22" t="n">
        <v>10</v>
      </c>
      <c r="Q3041" s="22" t="n">
        <v>600000</v>
      </c>
      <c r="R3041" s="42">
        <f>+L3041+N3041-P3041</f>
        <v/>
      </c>
      <c r="S3041" s="42">
        <f>+M3041+O3041-Q3041</f>
        <v/>
      </c>
    </row>
    <row r="3042" ht="30" customHeight="1">
      <c r="A3042" s="16" t="n">
        <v>45916</v>
      </c>
      <c r="B3042" s="17" t="inlineStr">
        <is>
          <t>MH2509-51</t>
        </is>
      </c>
      <c r="C3042" s="16" t="n">
        <v>45916</v>
      </c>
      <c r="D3042" s="18" t="inlineStr">
        <is>
          <t>00001919</t>
        </is>
      </c>
      <c r="E3042" s="16" t="n">
        <v>45916</v>
      </c>
      <c r="F3042" s="16" t="inlineStr">
        <is>
          <t>XK2509-39</t>
        </is>
      </c>
      <c r="G3042" s="16" t="n">
        <v>45916</v>
      </c>
      <c r="H3042" s="17" t="inlineStr">
        <is>
          <t>CÔNG TY TNHH DỊCH VỤ - THƯƠNG MẠI THÉP THIÊN LONG</t>
        </is>
      </c>
      <c r="I3042" s="18" t="inlineStr">
        <is>
          <t>Thép tấm 35ly</t>
        </is>
      </c>
      <c r="J3042" s="18" t="inlineStr">
        <is>
          <t>kg</t>
        </is>
      </c>
      <c r="K3042" s="19" t="n">
        <v>14909</v>
      </c>
      <c r="L3042" s="21" t="n"/>
      <c r="M3042" s="22" t="n"/>
      <c r="N3042" s="22" t="n">
        <v>13188</v>
      </c>
      <c r="O3042" s="22" t="n">
        <v>196619892</v>
      </c>
      <c r="P3042" s="22" t="n">
        <v>13188</v>
      </c>
      <c r="Q3042" s="22" t="n">
        <v>196619892</v>
      </c>
      <c r="R3042" s="42">
        <f>+L3042+N3042-P3042</f>
        <v/>
      </c>
      <c r="S3042" s="42">
        <f>+M3042+O3042-Q3042</f>
        <v/>
      </c>
    </row>
    <row r="3043" ht="30" customHeight="1">
      <c r="A3043" s="16" t="n">
        <v>45916</v>
      </c>
      <c r="B3043" s="17" t="inlineStr">
        <is>
          <t>MH2509-51</t>
        </is>
      </c>
      <c r="C3043" s="16" t="n">
        <v>45916</v>
      </c>
      <c r="D3043" s="18" t="inlineStr">
        <is>
          <t>00001919</t>
        </is>
      </c>
      <c r="E3043" s="16" t="n">
        <v>45916</v>
      </c>
      <c r="F3043" s="16" t="inlineStr">
        <is>
          <t>XK2509-39</t>
        </is>
      </c>
      <c r="G3043" s="16" t="n">
        <v>45916</v>
      </c>
      <c r="H3043" s="17" t="inlineStr">
        <is>
          <t>CÔNG TY TNHH DỊCH VỤ - THƯƠNG MẠI THÉP THIÊN LONG</t>
        </is>
      </c>
      <c r="I3043" s="18" t="inlineStr">
        <is>
          <t>Thép tấm 20ly</t>
        </is>
      </c>
      <c r="J3043" s="18" t="inlineStr">
        <is>
          <t>kg</t>
        </is>
      </c>
      <c r="K3043" s="19" t="n">
        <v>14000</v>
      </c>
      <c r="L3043" s="21" t="n"/>
      <c r="M3043" s="22" t="n"/>
      <c r="N3043" s="22" t="n">
        <v>67729.67999999999</v>
      </c>
      <c r="O3043" s="22" t="n">
        <v>948215520</v>
      </c>
      <c r="P3043" s="22" t="n">
        <v>67729.67999999999</v>
      </c>
      <c r="Q3043" s="22" t="n">
        <v>948215520</v>
      </c>
      <c r="R3043" s="42">
        <f>+L3043+N3043-P3043</f>
        <v/>
      </c>
      <c r="S3043" s="42">
        <f>+M3043+O3043-Q3043</f>
        <v/>
      </c>
    </row>
    <row r="3044" ht="30" customHeight="1">
      <c r="A3044" s="16" t="n">
        <v>45916</v>
      </c>
      <c r="B3044" s="17" t="inlineStr">
        <is>
          <t>MH2509-52</t>
        </is>
      </c>
      <c r="C3044" s="16" t="n">
        <v>45916</v>
      </c>
      <c r="D3044" s="18" t="inlineStr">
        <is>
          <t>00005327</t>
        </is>
      </c>
      <c r="E3044" s="16" t="n">
        <v>45916</v>
      </c>
      <c r="F3044" s="16" t="inlineStr">
        <is>
          <t>XK2509-40</t>
        </is>
      </c>
      <c r="G3044" s="16" t="n">
        <v>45916</v>
      </c>
      <c r="H3044" s="17" t="inlineStr">
        <is>
          <t>CÔNG TY TNHH MTV SẢN XUẤT THƯƠNG MẠI DỊCH VỤ THANH HUYỀN</t>
        </is>
      </c>
      <c r="I3044" s="18" t="inlineStr">
        <is>
          <t>Thép mạ kẽm chấn</t>
        </is>
      </c>
      <c r="J3044" s="18" t="inlineStr">
        <is>
          <t>kg</t>
        </is>
      </c>
      <c r="K3044" s="19" t="n">
        <v>21716.83</v>
      </c>
      <c r="L3044" s="21" t="n"/>
      <c r="M3044" s="22" t="n"/>
      <c r="N3044" s="22" t="n">
        <v>645</v>
      </c>
      <c r="O3044" s="22" t="n">
        <v>14007353</v>
      </c>
      <c r="P3044" s="22" t="n">
        <v>645</v>
      </c>
      <c r="Q3044" s="22" t="n">
        <v>14007353</v>
      </c>
      <c r="R3044" s="42">
        <f>+L3044+N3044-P3044</f>
        <v/>
      </c>
      <c r="S3044" s="42">
        <f>+M3044+O3044-Q3044</f>
        <v/>
      </c>
    </row>
    <row r="3045" ht="30" customHeight="1">
      <c r="A3045" s="16" t="n">
        <v>45916</v>
      </c>
      <c r="B3045" s="17" t="inlineStr">
        <is>
          <t>MH2509-52</t>
        </is>
      </c>
      <c r="C3045" s="16" t="n">
        <v>45916</v>
      </c>
      <c r="D3045" s="18" t="inlineStr">
        <is>
          <t>00005327</t>
        </is>
      </c>
      <c r="E3045" s="16" t="n">
        <v>45916</v>
      </c>
      <c r="F3045" s="16" t="inlineStr">
        <is>
          <t>XK2509-40</t>
        </is>
      </c>
      <c r="G3045" s="16" t="n">
        <v>45916</v>
      </c>
      <c r="H3045" s="17" t="inlineStr">
        <is>
          <t>CÔNG TY TNHH MTV SẢN XUẤT THƯƠNG MẠI DỊCH VỤ THANH HUYỀN</t>
        </is>
      </c>
      <c r="I3045" s="18" t="inlineStr">
        <is>
          <t>Xà gồ mạ kẽm</t>
        </is>
      </c>
      <c r="J3045" s="18" t="inlineStr">
        <is>
          <t>kg</t>
        </is>
      </c>
      <c r="K3045" s="19" t="n">
        <v>17865.4</v>
      </c>
      <c r="L3045" s="21" t="n"/>
      <c r="M3045" s="22" t="n"/>
      <c r="N3045" s="22" t="n">
        <v>6625</v>
      </c>
      <c r="O3045" s="22" t="n">
        <v>118358282</v>
      </c>
      <c r="P3045" s="22" t="n">
        <v>6625</v>
      </c>
      <c r="Q3045" s="22" t="n">
        <v>118358282</v>
      </c>
      <c r="R3045" s="42">
        <f>+L3045+N3045-P3045</f>
        <v/>
      </c>
      <c r="S3045" s="42">
        <f>+M3045+O3045-Q3045</f>
        <v/>
      </c>
    </row>
    <row r="3046" ht="30" customHeight="1">
      <c r="A3046" s="16" t="n">
        <v>45916</v>
      </c>
      <c r="B3046" s="17" t="inlineStr">
        <is>
          <t>MH2509-52</t>
        </is>
      </c>
      <c r="C3046" s="16" t="n">
        <v>45916</v>
      </c>
      <c r="D3046" s="18" t="inlineStr">
        <is>
          <t>00005327</t>
        </is>
      </c>
      <c r="E3046" s="16" t="n">
        <v>45916</v>
      </c>
      <c r="F3046" s="16" t="inlineStr">
        <is>
          <t>XK2509-40</t>
        </is>
      </c>
      <c r="G3046" s="16" t="n">
        <v>45916</v>
      </c>
      <c r="H3046" s="17" t="inlineStr">
        <is>
          <t>CÔNG TY TNHH MTV SẢN XUẤT THƯƠNG MẠI DỊCH VỤ THANH HUYỀN</t>
        </is>
      </c>
      <c r="I3046" s="18" t="inlineStr">
        <is>
          <t>Thép dày mạ kẽm</t>
        </is>
      </c>
      <c r="J3046" s="18" t="inlineStr">
        <is>
          <t>kg</t>
        </is>
      </c>
      <c r="K3046" s="19" t="n">
        <v>16995.17</v>
      </c>
      <c r="L3046" s="21" t="n"/>
      <c r="M3046" s="22" t="n"/>
      <c r="N3046" s="22" t="n">
        <v>9630</v>
      </c>
      <c r="O3046" s="22" t="n">
        <v>163663477</v>
      </c>
      <c r="P3046" s="22" t="n">
        <v>9630</v>
      </c>
      <c r="Q3046" s="22" t="n">
        <v>163663477</v>
      </c>
      <c r="R3046" s="42">
        <f>+L3046+N3046-P3046</f>
        <v/>
      </c>
      <c r="S3046" s="42">
        <f>+M3046+O3046-Q3046</f>
        <v/>
      </c>
    </row>
    <row r="3047" ht="30" customHeight="1">
      <c r="A3047" s="16" t="n">
        <v>45916</v>
      </c>
      <c r="B3047" s="17" t="inlineStr">
        <is>
          <t>MH2509-53</t>
        </is>
      </c>
      <c r="C3047" s="16" t="n">
        <v>45916</v>
      </c>
      <c r="D3047" s="18" t="inlineStr">
        <is>
          <t>00001918</t>
        </is>
      </c>
      <c r="E3047" s="16" t="n">
        <v>45916</v>
      </c>
      <c r="F3047" s="16" t="inlineStr">
        <is>
          <t>XK2509-41</t>
        </is>
      </c>
      <c r="G3047" s="16" t="n">
        <v>45916</v>
      </c>
      <c r="H3047" s="17" t="inlineStr">
        <is>
          <t>CÔNG TY TNHH DỊCH VỤ - THƯƠNG MẠI THÉP THIÊN LONG</t>
        </is>
      </c>
      <c r="I3047" s="18" t="inlineStr">
        <is>
          <t>Thép hộp 40x80</t>
        </is>
      </c>
      <c r="J3047" s="18" t="inlineStr">
        <is>
          <t>kg</t>
        </is>
      </c>
      <c r="K3047" s="19" t="n">
        <v>16950</v>
      </c>
      <c r="L3047" s="21" t="n"/>
      <c r="M3047" s="22" t="n"/>
      <c r="N3047" s="22" t="n">
        <v>231.5</v>
      </c>
      <c r="O3047" s="22" t="n">
        <v>3923925</v>
      </c>
      <c r="P3047" s="22" t="n">
        <v>231.5</v>
      </c>
      <c r="Q3047" s="22" t="n">
        <v>3923925</v>
      </c>
      <c r="R3047" s="42">
        <f>+L3047+N3047-P3047</f>
        <v/>
      </c>
      <c r="S3047" s="42">
        <f>+M3047+O3047-Q3047</f>
        <v/>
      </c>
    </row>
    <row r="3048" ht="30" customHeight="1">
      <c r="A3048" s="16" t="n">
        <v>45916</v>
      </c>
      <c r="B3048" s="17" t="inlineStr">
        <is>
          <t>MH2509-53</t>
        </is>
      </c>
      <c r="C3048" s="16" t="n">
        <v>45916</v>
      </c>
      <c r="D3048" s="18" t="inlineStr">
        <is>
          <t>00001918</t>
        </is>
      </c>
      <c r="E3048" s="16" t="n">
        <v>45916</v>
      </c>
      <c r="F3048" s="16" t="inlineStr">
        <is>
          <t>XK2509-41</t>
        </is>
      </c>
      <c r="G3048" s="16" t="n">
        <v>45916</v>
      </c>
      <c r="H3048" s="17" t="inlineStr">
        <is>
          <t>CÔNG TY TNHH DỊCH VỤ - THƯƠNG MẠI THÉP THIÊN LONG</t>
        </is>
      </c>
      <c r="I3048" s="18" t="inlineStr">
        <is>
          <t>Thép hình I120</t>
        </is>
      </c>
      <c r="J3048" s="18" t="inlineStr">
        <is>
          <t>kg</t>
        </is>
      </c>
      <c r="K3048" s="19" t="n">
        <v>15250</v>
      </c>
      <c r="L3048" s="21" t="n"/>
      <c r="M3048" s="22" t="n"/>
      <c r="N3048" s="22" t="n">
        <v>465</v>
      </c>
      <c r="O3048" s="22" t="n">
        <v>7091250</v>
      </c>
      <c r="P3048" s="22" t="n">
        <v>465</v>
      </c>
      <c r="Q3048" s="22" t="n">
        <v>7091250</v>
      </c>
      <c r="R3048" s="42">
        <f>+L3048+N3048-P3048</f>
        <v/>
      </c>
      <c r="S3048" s="42">
        <f>+M3048+O3048-Q3048</f>
        <v/>
      </c>
    </row>
    <row r="3049" ht="30" customHeight="1">
      <c r="A3049" s="16" t="n">
        <v>45916</v>
      </c>
      <c r="B3049" s="17" t="inlineStr">
        <is>
          <t>MH2509-53</t>
        </is>
      </c>
      <c r="C3049" s="16" t="n">
        <v>45916</v>
      </c>
      <c r="D3049" s="18" t="inlineStr">
        <is>
          <t>00001918</t>
        </is>
      </c>
      <c r="E3049" s="16" t="n">
        <v>45916</v>
      </c>
      <c r="F3049" s="16" t="inlineStr">
        <is>
          <t>XK2509-41</t>
        </is>
      </c>
      <c r="G3049" s="16" t="n">
        <v>45916</v>
      </c>
      <c r="H3049" s="17" t="inlineStr">
        <is>
          <t>CÔNG TY TNHH DỊCH VỤ - THƯƠNG MẠI THÉP THIÊN LONG</t>
        </is>
      </c>
      <c r="I3049" s="18" t="inlineStr">
        <is>
          <t>Thép hình I100</t>
        </is>
      </c>
      <c r="J3049" s="18" t="inlineStr">
        <is>
          <t>kg</t>
        </is>
      </c>
      <c r="K3049" s="19" t="n">
        <v>15250</v>
      </c>
      <c r="L3049" s="21" t="n"/>
      <c r="M3049" s="22" t="n"/>
      <c r="N3049" s="22" t="n">
        <v>1636.15</v>
      </c>
      <c r="O3049" s="22" t="n">
        <v>24951288</v>
      </c>
      <c r="P3049" s="22" t="n">
        <v>1636.15</v>
      </c>
      <c r="Q3049" s="22" t="n">
        <v>24951288</v>
      </c>
      <c r="R3049" s="42">
        <f>+L3049+N3049-P3049</f>
        <v/>
      </c>
      <c r="S3049" s="42">
        <f>+M3049+O3049-Q3049</f>
        <v/>
      </c>
    </row>
    <row r="3050" ht="30" customHeight="1">
      <c r="A3050" s="16" t="n">
        <v>45916</v>
      </c>
      <c r="B3050" s="17" t="inlineStr">
        <is>
          <t>MH2509-53</t>
        </is>
      </c>
      <c r="C3050" s="16" t="n">
        <v>45916</v>
      </c>
      <c r="D3050" s="18" t="inlineStr">
        <is>
          <t>00001918</t>
        </is>
      </c>
      <c r="E3050" s="16" t="n">
        <v>45916</v>
      </c>
      <c r="F3050" s="16" t="inlineStr">
        <is>
          <t>XK2509-41</t>
        </is>
      </c>
      <c r="G3050" s="16" t="n">
        <v>45916</v>
      </c>
      <c r="H3050" s="17" t="inlineStr">
        <is>
          <t>CÔNG TY TNHH DỊCH VỤ - THƯƠNG MẠI THÉP THIÊN LONG</t>
        </is>
      </c>
      <c r="I3050" s="18" t="inlineStr">
        <is>
          <t>Thép lá 1.15ly</t>
        </is>
      </c>
      <c r="J3050" s="18" t="inlineStr">
        <is>
          <t>kg</t>
        </is>
      </c>
      <c r="K3050" s="19" t="n">
        <v>16750</v>
      </c>
      <c r="L3050" s="21" t="n"/>
      <c r="M3050" s="22" t="n"/>
      <c r="N3050" s="22" t="n">
        <v>1570.11</v>
      </c>
      <c r="O3050" s="22" t="n">
        <v>26299342</v>
      </c>
      <c r="P3050" s="22" t="n">
        <v>1570.11</v>
      </c>
      <c r="Q3050" s="22" t="n">
        <v>26299342</v>
      </c>
      <c r="R3050" s="42">
        <f>+L3050+N3050-P3050</f>
        <v/>
      </c>
      <c r="S3050" s="42">
        <f>+M3050+O3050-Q3050</f>
        <v/>
      </c>
    </row>
    <row r="3051" ht="30" customHeight="1">
      <c r="A3051" s="16" t="n">
        <v>45916</v>
      </c>
      <c r="B3051" s="17" t="inlineStr">
        <is>
          <t>MH2509-53</t>
        </is>
      </c>
      <c r="C3051" s="16" t="n">
        <v>45916</v>
      </c>
      <c r="D3051" s="18" t="inlineStr">
        <is>
          <t>00001918</t>
        </is>
      </c>
      <c r="E3051" s="16" t="n">
        <v>45916</v>
      </c>
      <c r="F3051" s="16" t="inlineStr">
        <is>
          <t>XK2509-41</t>
        </is>
      </c>
      <c r="G3051" s="16" t="n">
        <v>45916</v>
      </c>
      <c r="H3051" s="17" t="inlineStr">
        <is>
          <t>CÔNG TY TNHH DỊCH VỤ - THƯƠNG MẠI THÉP THIÊN LONG</t>
        </is>
      </c>
      <c r="I3051" s="18" t="inlineStr">
        <is>
          <t>Thép tấm 45ly</t>
        </is>
      </c>
      <c r="J3051" s="18" t="inlineStr">
        <is>
          <t>kg</t>
        </is>
      </c>
      <c r="K3051" s="19" t="n">
        <v>15350</v>
      </c>
      <c r="L3051" s="21" t="n"/>
      <c r="M3051" s="22" t="n"/>
      <c r="N3051" s="22" t="n">
        <v>1751.89</v>
      </c>
      <c r="O3051" s="22" t="n">
        <v>26891512</v>
      </c>
      <c r="P3051" s="22" t="n">
        <v>1751.89</v>
      </c>
      <c r="Q3051" s="22" t="n">
        <v>26891512</v>
      </c>
      <c r="R3051" s="42">
        <f>+L3051+N3051-P3051</f>
        <v/>
      </c>
      <c r="S3051" s="42">
        <f>+M3051+O3051-Q3051</f>
        <v/>
      </c>
    </row>
    <row r="3052" ht="30" customHeight="1">
      <c r="A3052" s="16" t="n">
        <v>45916</v>
      </c>
      <c r="B3052" s="17" t="inlineStr">
        <is>
          <t>MH2509-53</t>
        </is>
      </c>
      <c r="C3052" s="16" t="n">
        <v>45916</v>
      </c>
      <c r="D3052" s="18" t="inlineStr">
        <is>
          <t>00001918</t>
        </is>
      </c>
      <c r="E3052" s="16" t="n">
        <v>45916</v>
      </c>
      <c r="F3052" s="16" t="inlineStr">
        <is>
          <t>XK2509-41</t>
        </is>
      </c>
      <c r="G3052" s="16" t="n">
        <v>45916</v>
      </c>
      <c r="H3052" s="17" t="inlineStr">
        <is>
          <t>CÔNG TY TNHH DỊCH VỤ - THƯƠNG MẠI THÉP THIÊN LONG</t>
        </is>
      </c>
      <c r="I3052" s="18" t="inlineStr">
        <is>
          <t>Thép tấm 25ly</t>
        </is>
      </c>
      <c r="J3052" s="18" t="inlineStr">
        <is>
          <t>kg</t>
        </is>
      </c>
      <c r="K3052" s="19" t="n">
        <v>14818</v>
      </c>
      <c r="L3052" s="21" t="n"/>
      <c r="M3052" s="22" t="n"/>
      <c r="N3052" s="22" t="n">
        <v>2212.01</v>
      </c>
      <c r="O3052" s="22" t="n">
        <v>32777564</v>
      </c>
      <c r="P3052" s="22" t="n">
        <v>2212.01</v>
      </c>
      <c r="Q3052" s="22" t="n">
        <v>32777564</v>
      </c>
      <c r="R3052" s="42">
        <f>+L3052+N3052-P3052</f>
        <v/>
      </c>
      <c r="S3052" s="42">
        <f>+M3052+O3052-Q3052</f>
        <v/>
      </c>
    </row>
    <row r="3053" ht="30" customHeight="1">
      <c r="A3053" s="16" t="n">
        <v>45916</v>
      </c>
      <c r="B3053" s="17" t="inlineStr">
        <is>
          <t>MH2509-53</t>
        </is>
      </c>
      <c r="C3053" s="16" t="n">
        <v>45916</v>
      </c>
      <c r="D3053" s="18" t="inlineStr">
        <is>
          <t>00001918</t>
        </is>
      </c>
      <c r="E3053" s="16" t="n">
        <v>45916</v>
      </c>
      <c r="F3053" s="16" t="inlineStr">
        <is>
          <t>XK2509-41</t>
        </is>
      </c>
      <c r="G3053" s="16" t="n">
        <v>45916</v>
      </c>
      <c r="H3053" s="17" t="inlineStr">
        <is>
          <t>CÔNG TY TNHH DỊCH VỤ - THƯƠNG MẠI THÉP THIÊN LONG</t>
        </is>
      </c>
      <c r="I3053" s="18" t="inlineStr">
        <is>
          <t>Thép tấm 18ly</t>
        </is>
      </c>
      <c r="J3053" s="18" t="inlineStr">
        <is>
          <t>kg</t>
        </is>
      </c>
      <c r="K3053" s="19" t="n">
        <v>14818</v>
      </c>
      <c r="L3053" s="21" t="n"/>
      <c r="M3053" s="22" t="n"/>
      <c r="N3053" s="22" t="n">
        <v>13825.82</v>
      </c>
      <c r="O3053" s="22" t="n">
        <v>204871001</v>
      </c>
      <c r="P3053" s="22" t="n">
        <v>13825.82</v>
      </c>
      <c r="Q3053" s="22" t="n">
        <v>204871001</v>
      </c>
      <c r="R3053" s="42">
        <f>+L3053+N3053-P3053</f>
        <v/>
      </c>
      <c r="S3053" s="42">
        <f>+M3053+O3053-Q3053</f>
        <v/>
      </c>
    </row>
    <row r="3054" ht="30" customHeight="1">
      <c r="A3054" s="16" t="n">
        <v>45916</v>
      </c>
      <c r="B3054" s="17" t="inlineStr">
        <is>
          <t>MH2509-54</t>
        </is>
      </c>
      <c r="C3054" s="16" t="n">
        <v>45916</v>
      </c>
      <c r="D3054" s="18" t="inlineStr">
        <is>
          <t>00003645</t>
        </is>
      </c>
      <c r="E3054" s="16" t="n">
        <v>45916</v>
      </c>
      <c r="F3054" s="16" t="inlineStr">
        <is>
          <t>XK2509-42</t>
        </is>
      </c>
      <c r="G3054" s="16" t="n">
        <v>45916</v>
      </c>
      <c r="H3054" s="17" t="inlineStr">
        <is>
          <t>CÔNG TY CỔ PHẦN CÔNG NGHIỆP VÀ THƯƠNG MẠI CƯỜNG THỊNH</t>
        </is>
      </c>
      <c r="I3054" s="18" t="inlineStr">
        <is>
          <t>Bulong Din 933 inox 304 M20x100</t>
        </is>
      </c>
      <c r="J3054" s="18" t="inlineStr">
        <is>
          <t>Cái</t>
        </is>
      </c>
      <c r="K3054" s="19" t="n">
        <v>32900</v>
      </c>
      <c r="L3054" s="21" t="n"/>
      <c r="M3054" s="22" t="n"/>
      <c r="N3054" s="22" t="n">
        <v>5</v>
      </c>
      <c r="O3054" s="22" t="n">
        <v>164500</v>
      </c>
      <c r="P3054" s="22" t="n">
        <v>5</v>
      </c>
      <c r="Q3054" s="22" t="n">
        <v>164500</v>
      </c>
      <c r="R3054" s="42">
        <f>+L3054+N3054-P3054</f>
        <v/>
      </c>
      <c r="S3054" s="42">
        <f>+M3054+O3054-Q3054</f>
        <v/>
      </c>
    </row>
    <row r="3055" ht="30" customHeight="1">
      <c r="A3055" s="16" t="n">
        <v>45916</v>
      </c>
      <c r="B3055" s="17" t="inlineStr">
        <is>
          <t>MH2509-54</t>
        </is>
      </c>
      <c r="C3055" s="16" t="n">
        <v>45916</v>
      </c>
      <c r="D3055" s="17" t="inlineStr">
        <is>
          <t>00003645</t>
        </is>
      </c>
      <c r="E3055" s="16" t="n">
        <v>45916</v>
      </c>
      <c r="F3055" s="16" t="inlineStr">
        <is>
          <t>XK2509-42</t>
        </is>
      </c>
      <c r="G3055" s="16" t="n">
        <v>45916</v>
      </c>
      <c r="H3055" s="17" t="inlineStr">
        <is>
          <t>CÔNG TY CỔ PHẦN CÔNG NGHIỆP VÀ THƯƠNG MẠI CƯỜNG THỊNH</t>
        </is>
      </c>
      <c r="I3055" s="17" t="inlineStr">
        <is>
          <t>Đai ốc Din 934 inox 304 M20</t>
        </is>
      </c>
      <c r="J3055" s="17" t="inlineStr">
        <is>
          <t>Cái</t>
        </is>
      </c>
      <c r="K3055" s="19" t="n">
        <v>6700</v>
      </c>
      <c r="L3055" s="20" t="n"/>
      <c r="M3055" s="20" t="n"/>
      <c r="N3055" s="43" t="n">
        <v>5</v>
      </c>
      <c r="O3055" s="20" t="n">
        <v>33500</v>
      </c>
      <c r="P3055" s="43" t="n">
        <v>5</v>
      </c>
      <c r="Q3055" s="20" t="n">
        <v>33500</v>
      </c>
      <c r="R3055" s="42">
        <f>+L3055+N3055-P3055</f>
        <v/>
      </c>
      <c r="S3055" s="42">
        <f>+M3055+O3055-Q3055</f>
        <v/>
      </c>
    </row>
    <row r="3056" ht="30" customHeight="1">
      <c r="A3056" s="16" t="n">
        <v>45916</v>
      </c>
      <c r="B3056" s="17" t="inlineStr">
        <is>
          <t>MH2509-54</t>
        </is>
      </c>
      <c r="C3056" s="16" t="n">
        <v>45916</v>
      </c>
      <c r="D3056" s="17" t="inlineStr">
        <is>
          <t>00003645</t>
        </is>
      </c>
      <c r="E3056" s="16" t="n">
        <v>45916</v>
      </c>
      <c r="F3056" s="16" t="inlineStr">
        <is>
          <t>XK2509-42</t>
        </is>
      </c>
      <c r="G3056" s="16" t="n">
        <v>45916</v>
      </c>
      <c r="H3056" s="17" t="inlineStr">
        <is>
          <t>CÔNG TY CỔ PHẦN CÔNG NGHIỆP VÀ THƯƠNG MẠI CƯỜNG THỊNH</t>
        </is>
      </c>
      <c r="I3056" s="17" t="inlineStr">
        <is>
          <t>Long đền thường inox 304 M20</t>
        </is>
      </c>
      <c r="J3056" s="17" t="inlineStr">
        <is>
          <t>Cái</t>
        </is>
      </c>
      <c r="K3056" s="19" t="n">
        <v>2800</v>
      </c>
      <c r="L3056" s="20" t="n"/>
      <c r="M3056" s="20" t="n"/>
      <c r="N3056" s="43" t="n">
        <v>5</v>
      </c>
      <c r="O3056" s="20" t="n">
        <v>14000</v>
      </c>
      <c r="P3056" s="43" t="n">
        <v>5</v>
      </c>
      <c r="Q3056" s="20" t="n">
        <v>14000</v>
      </c>
      <c r="R3056" s="42">
        <f>+L3056+N3056-P3056</f>
        <v/>
      </c>
      <c r="S3056" s="42">
        <f>+M3056+O3056-Q3056</f>
        <v/>
      </c>
    </row>
    <row r="3057" ht="30" customHeight="1">
      <c r="A3057" s="16" t="n">
        <v>45916</v>
      </c>
      <c r="B3057" s="17" t="inlineStr">
        <is>
          <t>MH2509-54</t>
        </is>
      </c>
      <c r="C3057" s="16" t="n">
        <v>45916</v>
      </c>
      <c r="D3057" s="17" t="inlineStr">
        <is>
          <t>00003645</t>
        </is>
      </c>
      <c r="E3057" s="16" t="n">
        <v>45916</v>
      </c>
      <c r="F3057" s="16" t="inlineStr">
        <is>
          <t>XK2509-42</t>
        </is>
      </c>
      <c r="G3057" s="16" t="n">
        <v>45916</v>
      </c>
      <c r="H3057" s="17" t="inlineStr">
        <is>
          <t>CÔNG TY CỔ PHẦN CÔNG NGHIỆP VÀ THƯƠNG MẠI CƯỜNG THỊNH</t>
        </is>
      </c>
      <c r="I3057" s="17" t="inlineStr">
        <is>
          <t>Bulong Din 933 8.8 ZP M20x100</t>
        </is>
      </c>
      <c r="J3057" s="17" t="inlineStr">
        <is>
          <t>Cái</t>
        </is>
      </c>
      <c r="K3057" s="19" t="n">
        <v>8940</v>
      </c>
      <c r="L3057" s="20" t="n"/>
      <c r="M3057" s="20" t="n"/>
      <c r="N3057" s="43" t="n">
        <v>5</v>
      </c>
      <c r="O3057" s="20" t="n">
        <v>44700</v>
      </c>
      <c r="P3057" s="43" t="n">
        <v>5</v>
      </c>
      <c r="Q3057" s="20" t="n">
        <v>44700</v>
      </c>
      <c r="R3057" s="42">
        <f>+L3057+N3057-P3057</f>
        <v/>
      </c>
      <c r="S3057" s="42">
        <f>+M3057+O3057-Q3057</f>
        <v/>
      </c>
    </row>
    <row r="3058" ht="30" customHeight="1">
      <c r="A3058" s="16" t="n">
        <v>45916</v>
      </c>
      <c r="B3058" s="17" t="inlineStr">
        <is>
          <t>MH2509-54</t>
        </is>
      </c>
      <c r="C3058" s="16" t="n">
        <v>45916</v>
      </c>
      <c r="D3058" s="17" t="inlineStr">
        <is>
          <t>00003645</t>
        </is>
      </c>
      <c r="E3058" s="16" t="n">
        <v>45916</v>
      </c>
      <c r="F3058" s="16" t="inlineStr">
        <is>
          <t>XK2509-42</t>
        </is>
      </c>
      <c r="G3058" s="16" t="n">
        <v>45916</v>
      </c>
      <c r="H3058" s="17" t="inlineStr">
        <is>
          <t>CÔNG TY CỔ PHẦN CÔNG NGHIỆP VÀ THƯƠNG MẠI CƯỜNG THỊNH</t>
        </is>
      </c>
      <c r="I3058" s="17" t="inlineStr">
        <is>
          <t>Đai ốc Din 934 8 ZP M20</t>
        </is>
      </c>
      <c r="J3058" s="17" t="inlineStr">
        <is>
          <t>Cái</t>
        </is>
      </c>
      <c r="K3058" s="19" t="n">
        <v>2030</v>
      </c>
      <c r="L3058" s="20" t="n"/>
      <c r="M3058" s="20" t="n"/>
      <c r="N3058" s="43" t="n">
        <v>5</v>
      </c>
      <c r="O3058" s="20" t="n">
        <v>10150</v>
      </c>
      <c r="P3058" s="43" t="n">
        <v>5</v>
      </c>
      <c r="Q3058" s="20" t="n">
        <v>10150</v>
      </c>
      <c r="R3058" s="42">
        <f>+L3058+N3058-P3058</f>
        <v/>
      </c>
      <c r="S3058" s="42">
        <f>+M3058+O3058-Q3058</f>
        <v/>
      </c>
    </row>
    <row r="3059" ht="30" customHeight="1">
      <c r="A3059" s="16" t="n">
        <v>45916</v>
      </c>
      <c r="B3059" s="17" t="inlineStr">
        <is>
          <t>MH2509-54</t>
        </is>
      </c>
      <c r="C3059" s="16" t="n">
        <v>45916</v>
      </c>
      <c r="D3059" s="17" t="inlineStr">
        <is>
          <t>00003645</t>
        </is>
      </c>
      <c r="E3059" s="16" t="n">
        <v>45916</v>
      </c>
      <c r="F3059" s="16" t="inlineStr">
        <is>
          <t>XK2509-42</t>
        </is>
      </c>
      <c r="G3059" s="16" t="n">
        <v>45916</v>
      </c>
      <c r="H3059" s="17" t="inlineStr">
        <is>
          <t>CÔNG TY CỔ PHẦN CÔNG NGHIỆP VÀ THƯƠNG MẠI CƯỜNG THỊNH</t>
        </is>
      </c>
      <c r="I3059" s="17" t="inlineStr">
        <is>
          <t>Long đền thường ZP M20B35D2</t>
        </is>
      </c>
      <c r="J3059" s="17" t="inlineStr">
        <is>
          <t>Cái</t>
        </is>
      </c>
      <c r="K3059" s="19" t="n">
        <v>350</v>
      </c>
      <c r="L3059" s="20" t="n"/>
      <c r="M3059" s="20" t="n"/>
      <c r="N3059" s="43" t="n">
        <v>5</v>
      </c>
      <c r="O3059" s="20" t="n">
        <v>1750</v>
      </c>
      <c r="P3059" s="43" t="n">
        <v>5</v>
      </c>
      <c r="Q3059" s="20" t="n">
        <v>1750</v>
      </c>
      <c r="R3059" s="42">
        <f>+L3059+N3059-P3059</f>
        <v/>
      </c>
      <c r="S3059" s="42">
        <f>+M3059+O3059-Q3059</f>
        <v/>
      </c>
    </row>
    <row r="3060" ht="30" customHeight="1">
      <c r="A3060" s="16" t="n">
        <v>45916</v>
      </c>
      <c r="B3060" s="17" t="inlineStr">
        <is>
          <t>MH2509-54</t>
        </is>
      </c>
      <c r="C3060" s="16" t="n">
        <v>45916</v>
      </c>
      <c r="D3060" s="17" t="inlineStr">
        <is>
          <t>00003645</t>
        </is>
      </c>
      <c r="E3060" s="16" t="n">
        <v>45916</v>
      </c>
      <c r="F3060" s="16" t="inlineStr">
        <is>
          <t>XK2509-42</t>
        </is>
      </c>
      <c r="G3060" s="16" t="n">
        <v>45916</v>
      </c>
      <c r="H3060" s="17" t="inlineStr">
        <is>
          <t>CÔNG TY CỔ PHẦN CÔNG NGHIỆP VÀ THƯƠNG MẠI CƯỜNG THỊNH</t>
        </is>
      </c>
      <c r="I3060" s="17" t="inlineStr">
        <is>
          <t>Bulong Din 933 8.8 HDG M20x100</t>
        </is>
      </c>
      <c r="J3060" s="17" t="inlineStr">
        <is>
          <t>Cái</t>
        </is>
      </c>
      <c r="K3060" s="19" t="n">
        <v>11020</v>
      </c>
      <c r="L3060" s="20" t="n"/>
      <c r="M3060" s="20" t="n"/>
      <c r="N3060" s="43" t="n">
        <v>5</v>
      </c>
      <c r="O3060" s="20" t="n">
        <v>55100</v>
      </c>
      <c r="P3060" s="43" t="n">
        <v>5</v>
      </c>
      <c r="Q3060" s="20" t="n">
        <v>55100</v>
      </c>
      <c r="R3060" s="42">
        <f>+L3060+N3060-P3060</f>
        <v/>
      </c>
      <c r="S3060" s="42">
        <f>+M3060+O3060-Q3060</f>
        <v/>
      </c>
    </row>
    <row r="3061" ht="30" customHeight="1">
      <c r="A3061" s="16" t="n">
        <v>45916</v>
      </c>
      <c r="B3061" s="17" t="inlineStr">
        <is>
          <t>MH2509-54</t>
        </is>
      </c>
      <c r="C3061" s="16" t="n">
        <v>45916</v>
      </c>
      <c r="D3061" s="17" t="inlineStr">
        <is>
          <t>00003645</t>
        </is>
      </c>
      <c r="E3061" s="16" t="n">
        <v>45916</v>
      </c>
      <c r="F3061" s="16" t="inlineStr">
        <is>
          <t>XK2509-42</t>
        </is>
      </c>
      <c r="G3061" s="16" t="n">
        <v>45916</v>
      </c>
      <c r="H3061" s="17" t="inlineStr">
        <is>
          <t>CÔNG TY CỔ PHẦN CÔNG NGHIỆP VÀ THƯƠNG MẠI CƯỜNG THỊNH</t>
        </is>
      </c>
      <c r="I3061" s="17" t="inlineStr">
        <is>
          <t>Đai ốc ISO 4032 8 HDG M20</t>
        </is>
      </c>
      <c r="J3061" s="17" t="inlineStr">
        <is>
          <t>Cái</t>
        </is>
      </c>
      <c r="K3061" s="19" t="n">
        <v>3340</v>
      </c>
      <c r="L3061" s="20" t="n"/>
      <c r="M3061" s="20" t="n"/>
      <c r="N3061" s="43" t="n">
        <v>5</v>
      </c>
      <c r="O3061" s="20" t="n">
        <v>16700</v>
      </c>
      <c r="P3061" s="43" t="n">
        <v>5</v>
      </c>
      <c r="Q3061" s="20" t="n">
        <v>16700</v>
      </c>
      <c r="R3061" s="42">
        <f>+L3061+N3061-P3061</f>
        <v/>
      </c>
      <c r="S3061" s="42">
        <f>+M3061+O3061-Q3061</f>
        <v/>
      </c>
    </row>
    <row r="3062" ht="30" customHeight="1">
      <c r="A3062" s="16" t="n">
        <v>45916</v>
      </c>
      <c r="B3062" s="17" t="inlineStr">
        <is>
          <t>MH2509-54</t>
        </is>
      </c>
      <c r="C3062" s="16" t="n">
        <v>45916</v>
      </c>
      <c r="D3062" s="17" t="inlineStr">
        <is>
          <t>00003645</t>
        </is>
      </c>
      <c r="E3062" s="16" t="n">
        <v>45916</v>
      </c>
      <c r="F3062" s="16" t="inlineStr">
        <is>
          <t>XK2509-42</t>
        </is>
      </c>
      <c r="G3062" s="16" t="n">
        <v>45916</v>
      </c>
      <c r="H3062" s="17" t="inlineStr">
        <is>
          <t>CÔNG TY CỔ PHẦN CÔNG NGHIỆP VÀ THƯƠNG MẠI CƯỜNG THỊNH</t>
        </is>
      </c>
      <c r="I3062" s="17" t="inlineStr">
        <is>
          <t>Long đền thường HDG M20B35D2</t>
        </is>
      </c>
      <c r="J3062" s="17" t="inlineStr">
        <is>
          <t>Cái</t>
        </is>
      </c>
      <c r="K3062" s="19" t="n">
        <v>570</v>
      </c>
      <c r="L3062" s="20" t="n"/>
      <c r="M3062" s="20" t="n"/>
      <c r="N3062" s="43" t="n">
        <v>5</v>
      </c>
      <c r="O3062" s="20" t="n">
        <v>2850</v>
      </c>
      <c r="P3062" s="43" t="n">
        <v>5</v>
      </c>
      <c r="Q3062" s="20" t="n">
        <v>2850</v>
      </c>
      <c r="R3062" s="42">
        <f>+L3062+N3062-P3062</f>
        <v/>
      </c>
      <c r="S3062" s="42">
        <f>+M3062+O3062-Q3062</f>
        <v/>
      </c>
    </row>
    <row r="3063" ht="30" customHeight="1">
      <c r="A3063" s="16" t="n">
        <v>45916</v>
      </c>
      <c r="B3063" s="17" t="inlineStr">
        <is>
          <t>MH2509-54</t>
        </is>
      </c>
      <c r="C3063" s="16" t="n">
        <v>45916</v>
      </c>
      <c r="D3063" s="17" t="inlineStr">
        <is>
          <t>00003645</t>
        </is>
      </c>
      <c r="E3063" s="16" t="n">
        <v>45916</v>
      </c>
      <c r="F3063" s="16" t="inlineStr">
        <is>
          <t>XK2509-42</t>
        </is>
      </c>
      <c r="G3063" s="16" t="n">
        <v>45916</v>
      </c>
      <c r="H3063" s="17" t="inlineStr">
        <is>
          <t>CÔNG TY CỔ PHẦN CÔNG NGHIỆP VÀ THƯƠNG MẠI CƯỜNG THỊNH</t>
        </is>
      </c>
      <c r="I3063" s="17" t="inlineStr">
        <is>
          <t>Bulong Din 933 8.8 M20x100</t>
        </is>
      </c>
      <c r="J3063" s="17" t="inlineStr">
        <is>
          <t>Cái</t>
        </is>
      </c>
      <c r="K3063" s="19" t="n">
        <v>8000</v>
      </c>
      <c r="L3063" s="20" t="n"/>
      <c r="M3063" s="20" t="n"/>
      <c r="N3063" s="43" t="n">
        <v>5</v>
      </c>
      <c r="O3063" s="20" t="n">
        <v>40000</v>
      </c>
      <c r="P3063" s="43" t="n">
        <v>5</v>
      </c>
      <c r="Q3063" s="20" t="n">
        <v>40000</v>
      </c>
      <c r="R3063" s="42">
        <f>+L3063+N3063-P3063</f>
        <v/>
      </c>
      <c r="S3063" s="42">
        <f>+M3063+O3063-Q3063</f>
        <v/>
      </c>
    </row>
    <row r="3064" ht="30" customHeight="1">
      <c r="A3064" s="16" t="n">
        <v>45916</v>
      </c>
      <c r="B3064" s="17" t="inlineStr">
        <is>
          <t>MH2509-54</t>
        </is>
      </c>
      <c r="C3064" s="16" t="n">
        <v>45916</v>
      </c>
      <c r="D3064" s="17" t="inlineStr">
        <is>
          <t>00003645</t>
        </is>
      </c>
      <c r="E3064" s="16" t="n">
        <v>45916</v>
      </c>
      <c r="F3064" s="16" t="inlineStr">
        <is>
          <t>XK2509-42</t>
        </is>
      </c>
      <c r="G3064" s="16" t="n">
        <v>45916</v>
      </c>
      <c r="H3064" s="17" t="inlineStr">
        <is>
          <t>CÔNG TY CỔ PHẦN CÔNG NGHIỆP VÀ THƯƠNG MẠI CƯỜNG THỊNH</t>
        </is>
      </c>
      <c r="I3064" s="17" t="inlineStr">
        <is>
          <t>Đai ốc Din 934 8 M20</t>
        </is>
      </c>
      <c r="J3064" s="17" t="inlineStr">
        <is>
          <t>Cái</t>
        </is>
      </c>
      <c r="K3064" s="19" t="n">
        <v>1870</v>
      </c>
      <c r="L3064" s="20" t="n"/>
      <c r="M3064" s="20" t="n"/>
      <c r="N3064" s="43" t="n">
        <v>5</v>
      </c>
      <c r="O3064" s="20" t="n">
        <v>9350</v>
      </c>
      <c r="P3064" s="43" t="n">
        <v>5</v>
      </c>
      <c r="Q3064" s="20" t="n">
        <v>9350</v>
      </c>
      <c r="R3064" s="42">
        <f>+L3064+N3064-P3064</f>
        <v/>
      </c>
      <c r="S3064" s="42">
        <f>+M3064+O3064-Q3064</f>
        <v/>
      </c>
    </row>
    <row r="3065" ht="30" customHeight="1">
      <c r="A3065" s="16" t="n">
        <v>45916</v>
      </c>
      <c r="B3065" s="17" t="inlineStr">
        <is>
          <t>MH2509-54</t>
        </is>
      </c>
      <c r="C3065" s="16" t="n">
        <v>45916</v>
      </c>
      <c r="D3065" s="17" t="inlineStr">
        <is>
          <t>00003645</t>
        </is>
      </c>
      <c r="E3065" s="16" t="n">
        <v>45916</v>
      </c>
      <c r="F3065" s="16" t="inlineStr">
        <is>
          <t>XK2509-42</t>
        </is>
      </c>
      <c r="G3065" s="16" t="n">
        <v>45916</v>
      </c>
      <c r="H3065" s="17" t="inlineStr">
        <is>
          <t>CÔNG TY CỔ PHẦN CÔNG NGHIỆP VÀ THƯƠNG MẠI CƯỜNG THỊNH</t>
        </is>
      </c>
      <c r="I3065" s="17" t="inlineStr">
        <is>
          <t>Long đền thường M20B35D2</t>
        </is>
      </c>
      <c r="J3065" s="17" t="inlineStr">
        <is>
          <t>Cái</t>
        </is>
      </c>
      <c r="K3065" s="19" t="n">
        <v>340</v>
      </c>
      <c r="L3065" s="20" t="n"/>
      <c r="M3065" s="20" t="n"/>
      <c r="N3065" s="43" t="n">
        <v>5</v>
      </c>
      <c r="O3065" s="20" t="n">
        <v>1700</v>
      </c>
      <c r="P3065" s="43" t="n">
        <v>5</v>
      </c>
      <c r="Q3065" s="20" t="n">
        <v>1700</v>
      </c>
      <c r="R3065" s="42">
        <f>+L3065+N3065-P3065</f>
        <v/>
      </c>
      <c r="S3065" s="42">
        <f>+M3065+O3065-Q3065</f>
        <v/>
      </c>
    </row>
    <row r="3066" ht="60" customHeight="1">
      <c r="A3066" s="16" t="n">
        <v>45916</v>
      </c>
      <c r="B3066" s="17" t="inlineStr">
        <is>
          <t>MH2509-54</t>
        </is>
      </c>
      <c r="C3066" s="16" t="n">
        <v>45916</v>
      </c>
      <c r="D3066" s="17" t="inlineStr">
        <is>
          <t>00003645</t>
        </is>
      </c>
      <c r="E3066" s="16" t="n">
        <v>45916</v>
      </c>
      <c r="F3066" s="16" t="inlineStr">
        <is>
          <t>XK2509-42</t>
        </is>
      </c>
      <c r="G3066" s="16" t="n">
        <v>45916</v>
      </c>
      <c r="H3066" s="17" t="inlineStr">
        <is>
          <t>CÔNG TY CỔ PHẦN CÔNG NGHIỆP VÀ THƯƠNG MẠI CƯỜNG THỊNH</t>
        </is>
      </c>
      <c r="I3066" s="17" t="inlineStr">
        <is>
          <t>Phí vận chuyển từ địa chỉ 292/5B, Đường Phạm Thị Giây, Xã Đông Thạnh, TP Hồ Chí Minh giao đến Văn phòng STEELTECH - The Global City, 71 Đường N3C, An Phú, Thủ Đức, Hồ Chí Minh - Số xe: 51D-79322T</t>
        </is>
      </c>
      <c r="J3066" s="17" t="inlineStr">
        <is>
          <t>Cái</t>
        </is>
      </c>
      <c r="K3066" s="19" t="n">
        <v>350000</v>
      </c>
      <c r="L3066" s="20" t="n"/>
      <c r="M3066" s="20" t="n"/>
      <c r="N3066" s="43" t="n">
        <v>1</v>
      </c>
      <c r="O3066" s="20" t="n">
        <v>350000</v>
      </c>
      <c r="P3066" s="43" t="n">
        <v>1</v>
      </c>
      <c r="Q3066" s="20" t="n">
        <v>350000</v>
      </c>
      <c r="R3066" s="42">
        <f>+L3066+N3066-P3066</f>
        <v/>
      </c>
      <c r="S3066" s="42">
        <f>+M3066+O3066-Q3066</f>
        <v/>
      </c>
    </row>
    <row r="3067" ht="30" customHeight="1">
      <c r="A3067" s="16" t="n">
        <v>45916</v>
      </c>
      <c r="B3067" s="17" t="inlineStr">
        <is>
          <t>MH2509-55</t>
        </is>
      </c>
      <c r="C3067" s="16" t="n">
        <v>45916</v>
      </c>
      <c r="D3067" s="17" t="inlineStr">
        <is>
          <t>00001926</t>
        </is>
      </c>
      <c r="E3067" s="16" t="n">
        <v>45916</v>
      </c>
      <c r="F3067" s="16" t="inlineStr">
        <is>
          <t>XK2509-43</t>
        </is>
      </c>
      <c r="G3067" s="16" t="n">
        <v>45916</v>
      </c>
      <c r="H3067" s="17" t="inlineStr">
        <is>
          <t>CÔNG TY TNHH DỊCH VỤ - THƯƠNG MẠI THÉP THIÊN LONG</t>
        </is>
      </c>
      <c r="I3067" s="17" t="inlineStr">
        <is>
          <t>Thép tấm 5ly</t>
        </is>
      </c>
      <c r="J3067" s="17" t="inlineStr">
        <is>
          <t>kg</t>
        </is>
      </c>
      <c r="K3067" s="19" t="n">
        <v>13818.18</v>
      </c>
      <c r="L3067" s="20" t="n"/>
      <c r="M3067" s="20" t="n"/>
      <c r="N3067" s="43" t="n">
        <v>27789</v>
      </c>
      <c r="O3067" s="20" t="n">
        <v>383993404</v>
      </c>
      <c r="P3067" s="43" t="n">
        <v>27789</v>
      </c>
      <c r="Q3067" s="20" t="n">
        <v>383993404</v>
      </c>
      <c r="R3067" s="42">
        <f>+L3067+N3067-P3067</f>
        <v/>
      </c>
      <c r="S3067" s="42">
        <f>+M3067+O3067-Q3067</f>
        <v/>
      </c>
    </row>
    <row r="3068" ht="30" customHeight="1">
      <c r="A3068" s="16" t="n">
        <v>45916</v>
      </c>
      <c r="B3068" s="17" t="inlineStr">
        <is>
          <t>MH2509-55</t>
        </is>
      </c>
      <c r="C3068" s="16" t="n">
        <v>45916</v>
      </c>
      <c r="D3068" s="17" t="inlineStr">
        <is>
          <t>00001926</t>
        </is>
      </c>
      <c r="E3068" s="16" t="n">
        <v>45916</v>
      </c>
      <c r="F3068" s="16" t="inlineStr">
        <is>
          <t>XK2509-43</t>
        </is>
      </c>
      <c r="G3068" s="16" t="n">
        <v>45916</v>
      </c>
      <c r="H3068" s="17" t="inlineStr">
        <is>
          <t>CÔNG TY TNHH DỊCH VỤ - THƯƠNG MẠI THÉP THIÊN LONG</t>
        </is>
      </c>
      <c r="I3068" s="17" t="inlineStr">
        <is>
          <t>Thép tấm 6ly</t>
        </is>
      </c>
      <c r="J3068" s="17" t="inlineStr">
        <is>
          <t>kg</t>
        </is>
      </c>
      <c r="K3068" s="19" t="n">
        <v>13818.18</v>
      </c>
      <c r="L3068" s="20" t="n"/>
      <c r="M3068" s="20" t="n"/>
      <c r="N3068" s="43" t="n">
        <v>19782</v>
      </c>
      <c r="O3068" s="20" t="n">
        <v>273351237</v>
      </c>
      <c r="P3068" s="43" t="n">
        <v>19782</v>
      </c>
      <c r="Q3068" s="20" t="n">
        <v>273351237</v>
      </c>
      <c r="R3068" s="42">
        <f>+L3068+N3068-P3068</f>
        <v/>
      </c>
      <c r="S3068" s="42">
        <f>+M3068+O3068-Q3068</f>
        <v/>
      </c>
    </row>
    <row r="3069" ht="30" customHeight="1">
      <c r="A3069" s="16" t="n">
        <v>45916</v>
      </c>
      <c r="B3069" s="17" t="inlineStr">
        <is>
          <t>MH2509-55</t>
        </is>
      </c>
      <c r="C3069" s="16" t="n">
        <v>45916</v>
      </c>
      <c r="D3069" s="17" t="inlineStr">
        <is>
          <t>00001926</t>
        </is>
      </c>
      <c r="E3069" s="16" t="n">
        <v>45916</v>
      </c>
      <c r="F3069" s="16" t="inlineStr">
        <is>
          <t>XK2509-43</t>
        </is>
      </c>
      <c r="G3069" s="16" t="n">
        <v>45916</v>
      </c>
      <c r="H3069" s="17" t="inlineStr">
        <is>
          <t>CÔNG TY TNHH DỊCH VỤ - THƯƠNG MẠI THÉP THIÊN LONG</t>
        </is>
      </c>
      <c r="I3069" s="17" t="inlineStr">
        <is>
          <t>Thép tấm 8ly</t>
        </is>
      </c>
      <c r="J3069" s="17" t="inlineStr">
        <is>
          <t>kg</t>
        </is>
      </c>
      <c r="K3069" s="19" t="n">
        <v>13818.18</v>
      </c>
      <c r="L3069" s="20" t="n"/>
      <c r="M3069" s="20" t="n"/>
      <c r="N3069" s="43" t="n">
        <v>27129.6</v>
      </c>
      <c r="O3069" s="20" t="n">
        <v>374881696</v>
      </c>
      <c r="P3069" s="43" t="n">
        <v>27129.6</v>
      </c>
      <c r="Q3069" s="20" t="n">
        <v>374881696</v>
      </c>
      <c r="R3069" s="42">
        <f>+L3069+N3069-P3069</f>
        <v/>
      </c>
      <c r="S3069" s="42">
        <f>+M3069+O3069-Q3069</f>
        <v/>
      </c>
    </row>
    <row r="3070" ht="30" customHeight="1">
      <c r="A3070" s="16" t="n">
        <v>45916</v>
      </c>
      <c r="B3070" s="17" t="inlineStr">
        <is>
          <t>MH2509-55</t>
        </is>
      </c>
      <c r="C3070" s="16" t="n">
        <v>45916</v>
      </c>
      <c r="D3070" s="17" t="inlineStr">
        <is>
          <t>00001926</t>
        </is>
      </c>
      <c r="E3070" s="16" t="n">
        <v>45916</v>
      </c>
      <c r="F3070" s="16" t="inlineStr">
        <is>
          <t>XK2509-43</t>
        </is>
      </c>
      <c r="G3070" s="16" t="n">
        <v>45916</v>
      </c>
      <c r="H3070" s="17" t="inlineStr">
        <is>
          <t>CÔNG TY TNHH DỊCH VỤ - THƯƠNG MẠI THÉP THIÊN LONG</t>
        </is>
      </c>
      <c r="I3070" s="17" t="inlineStr">
        <is>
          <t>Thép tấm 25ly</t>
        </is>
      </c>
      <c r="J3070" s="17" t="inlineStr">
        <is>
          <t>kg</t>
        </is>
      </c>
      <c r="K3070" s="19" t="n">
        <v>14818.18</v>
      </c>
      <c r="L3070" s="20" t="n"/>
      <c r="M3070" s="20" t="n"/>
      <c r="N3070" s="43" t="n">
        <v>4710</v>
      </c>
      <c r="O3070" s="20" t="n">
        <v>69793628</v>
      </c>
      <c r="P3070" s="43" t="n">
        <v>4710</v>
      </c>
      <c r="Q3070" s="20" t="n">
        <v>69793628</v>
      </c>
      <c r="R3070" s="42">
        <f>+L3070+N3070-P3070</f>
        <v/>
      </c>
      <c r="S3070" s="42">
        <f>+M3070+O3070-Q3070</f>
        <v/>
      </c>
    </row>
    <row r="3071" ht="30" customHeight="1">
      <c r="A3071" s="16" t="n">
        <v>45916</v>
      </c>
      <c r="B3071" s="17" t="inlineStr">
        <is>
          <t>MH2509-55</t>
        </is>
      </c>
      <c r="C3071" s="16" t="n">
        <v>45916</v>
      </c>
      <c r="D3071" s="17" t="inlineStr">
        <is>
          <t>00001926</t>
        </is>
      </c>
      <c r="E3071" s="16" t="n">
        <v>45916</v>
      </c>
      <c r="F3071" s="16" t="inlineStr">
        <is>
          <t>XK2509-43</t>
        </is>
      </c>
      <c r="G3071" s="16" t="n">
        <v>45916</v>
      </c>
      <c r="H3071" s="17" t="inlineStr">
        <is>
          <t>CÔNG TY TNHH DỊCH VỤ - THƯƠNG MẠI THÉP THIÊN LONG</t>
        </is>
      </c>
      <c r="I3071" s="17" t="inlineStr">
        <is>
          <t>Thép hình U250</t>
        </is>
      </c>
      <c r="J3071" s="17" t="inlineStr">
        <is>
          <t>kg</t>
        </is>
      </c>
      <c r="K3071" s="19" t="n">
        <v>14681.81</v>
      </c>
      <c r="L3071" s="20" t="n"/>
      <c r="M3071" s="20" t="n"/>
      <c r="N3071" s="43" t="n">
        <v>1973.52</v>
      </c>
      <c r="O3071" s="20" t="n">
        <v>28974846</v>
      </c>
      <c r="P3071" s="43" t="n">
        <v>1973.52</v>
      </c>
      <c r="Q3071" s="20" t="n">
        <v>28974846</v>
      </c>
      <c r="R3071" s="42">
        <f>+L3071+N3071-P3071</f>
        <v/>
      </c>
      <c r="S3071" s="42">
        <f>+M3071+O3071-Q3071</f>
        <v/>
      </c>
    </row>
    <row r="3072" ht="30" customHeight="1">
      <c r="A3072" s="16" t="n">
        <v>45916</v>
      </c>
      <c r="B3072" s="17" t="inlineStr">
        <is>
          <t>MH2509-55</t>
        </is>
      </c>
      <c r="C3072" s="16" t="n">
        <v>45916</v>
      </c>
      <c r="D3072" s="17" t="inlineStr">
        <is>
          <t>00001926</t>
        </is>
      </c>
      <c r="E3072" s="16" t="n">
        <v>45916</v>
      </c>
      <c r="F3072" s="16" t="inlineStr">
        <is>
          <t>XK2509-43</t>
        </is>
      </c>
      <c r="G3072" s="16" t="n">
        <v>45916</v>
      </c>
      <c r="H3072" s="17" t="inlineStr">
        <is>
          <t>CÔNG TY TNHH DỊCH VỤ - THƯƠNG MẠI THÉP THIÊN LONG</t>
        </is>
      </c>
      <c r="I3072" s="17" t="inlineStr">
        <is>
          <t>Thép hình U120</t>
        </is>
      </c>
      <c r="J3072" s="17" t="inlineStr">
        <is>
          <t>kg</t>
        </is>
      </c>
      <c r="K3072" s="19" t="n">
        <v>14181.81</v>
      </c>
      <c r="L3072" s="20" t="n"/>
      <c r="M3072" s="20" t="n"/>
      <c r="N3072" s="43" t="n">
        <v>279</v>
      </c>
      <c r="O3072" s="20" t="n">
        <v>3956725</v>
      </c>
      <c r="P3072" s="43" t="n">
        <v>279</v>
      </c>
      <c r="Q3072" s="20" t="n">
        <v>3956725</v>
      </c>
      <c r="R3072" s="42">
        <f>+L3072+N3072-P3072</f>
        <v/>
      </c>
      <c r="S3072" s="42">
        <f>+M3072+O3072-Q3072</f>
        <v/>
      </c>
    </row>
    <row r="3073" ht="30" customHeight="1">
      <c r="A3073" s="16" t="n">
        <v>45916</v>
      </c>
      <c r="B3073" s="17" t="inlineStr">
        <is>
          <t>MH2509-55</t>
        </is>
      </c>
      <c r="C3073" s="16" t="n">
        <v>45916</v>
      </c>
      <c r="D3073" s="17" t="inlineStr">
        <is>
          <t>00001926</t>
        </is>
      </c>
      <c r="E3073" s="16" t="n">
        <v>45916</v>
      </c>
      <c r="F3073" s="16" t="inlineStr">
        <is>
          <t>XK2509-43</t>
        </is>
      </c>
      <c r="G3073" s="16" t="n">
        <v>45916</v>
      </c>
      <c r="H3073" s="17" t="inlineStr">
        <is>
          <t>CÔNG TY TNHH DỊCH VỤ - THƯƠNG MẠI THÉP THIÊN LONG</t>
        </is>
      </c>
      <c r="I3073" s="17" t="inlineStr">
        <is>
          <t>Thép vuông 150</t>
        </is>
      </c>
      <c r="J3073" s="17" t="inlineStr">
        <is>
          <t>kg</t>
        </is>
      </c>
      <c r="K3073" s="19" t="n">
        <v>16272.72</v>
      </c>
      <c r="L3073" s="20" t="n"/>
      <c r="M3073" s="20" t="n"/>
      <c r="N3073" s="43" t="n">
        <v>2007.96</v>
      </c>
      <c r="O3073" s="20" t="n">
        <v>32674971</v>
      </c>
      <c r="P3073" s="43" t="n">
        <v>2007.96</v>
      </c>
      <c r="Q3073" s="20" t="n">
        <v>32674971</v>
      </c>
      <c r="R3073" s="42">
        <f>+L3073+N3073-P3073</f>
        <v/>
      </c>
      <c r="S3073" s="42">
        <f>+M3073+O3073-Q3073</f>
        <v/>
      </c>
    </row>
    <row r="3074" ht="30" customHeight="1">
      <c r="A3074" s="16" t="n">
        <v>45916</v>
      </c>
      <c r="B3074" s="17" t="inlineStr">
        <is>
          <t>MH2509-55</t>
        </is>
      </c>
      <c r="C3074" s="16" t="n">
        <v>45916</v>
      </c>
      <c r="D3074" s="17" t="inlineStr">
        <is>
          <t>00001926</t>
        </is>
      </c>
      <c r="E3074" s="16" t="n">
        <v>45916</v>
      </c>
      <c r="F3074" s="16" t="inlineStr">
        <is>
          <t>XK2509-43</t>
        </is>
      </c>
      <c r="G3074" s="16" t="n">
        <v>45916</v>
      </c>
      <c r="H3074" s="17" t="inlineStr">
        <is>
          <t>CÔNG TY TNHH DỊCH VỤ - THƯƠNG MẠI THÉP THIÊN LONG</t>
        </is>
      </c>
      <c r="I3074" s="17" t="inlineStr">
        <is>
          <t>Thép vuông 100</t>
        </is>
      </c>
      <c r="J3074" s="17" t="inlineStr">
        <is>
          <t>kg</t>
        </is>
      </c>
      <c r="K3074" s="19" t="n">
        <v>16272.72</v>
      </c>
      <c r="L3074" s="20" t="n"/>
      <c r="M3074" s="20" t="n"/>
      <c r="N3074" s="43" t="n">
        <v>1736.22</v>
      </c>
      <c r="O3074" s="20" t="n">
        <v>28253022</v>
      </c>
      <c r="P3074" s="43" t="n">
        <v>1736.22</v>
      </c>
      <c r="Q3074" s="20" t="n">
        <v>28253022</v>
      </c>
      <c r="R3074" s="42">
        <f>+L3074+N3074-P3074</f>
        <v/>
      </c>
      <c r="S3074" s="42">
        <f>+M3074+O3074-Q3074</f>
        <v/>
      </c>
    </row>
    <row r="3075" ht="30" customHeight="1">
      <c r="A3075" s="16" t="n">
        <v>45916</v>
      </c>
      <c r="B3075" s="17" t="inlineStr">
        <is>
          <t>MH2509-55</t>
        </is>
      </c>
      <c r="C3075" s="16" t="n">
        <v>45916</v>
      </c>
      <c r="D3075" s="17" t="inlineStr">
        <is>
          <t>00001926</t>
        </is>
      </c>
      <c r="E3075" s="16" t="n">
        <v>45916</v>
      </c>
      <c r="F3075" s="16" t="inlineStr">
        <is>
          <t>XK2509-43</t>
        </is>
      </c>
      <c r="G3075" s="16" t="n">
        <v>45916</v>
      </c>
      <c r="H3075" s="17" t="inlineStr">
        <is>
          <t>CÔNG TY TNHH DỊCH VỤ - THƯƠNG MẠI THÉP THIÊN LONG</t>
        </is>
      </c>
      <c r="I3075" s="17" t="inlineStr">
        <is>
          <t>Thép vuông 60</t>
        </is>
      </c>
      <c r="J3075" s="17" t="inlineStr">
        <is>
          <t>kg</t>
        </is>
      </c>
      <c r="K3075" s="19" t="n">
        <v>16272.72</v>
      </c>
      <c r="L3075" s="20" t="n"/>
      <c r="M3075" s="20" t="n"/>
      <c r="N3075" s="43" t="n">
        <v>510.08</v>
      </c>
      <c r="O3075" s="20" t="n">
        <v>8300389</v>
      </c>
      <c r="P3075" s="43" t="n">
        <v>510.08</v>
      </c>
      <c r="Q3075" s="20" t="n">
        <v>8300389</v>
      </c>
      <c r="R3075" s="42">
        <f>+L3075+N3075-P3075</f>
        <v/>
      </c>
      <c r="S3075" s="42">
        <f>+M3075+O3075-Q3075</f>
        <v/>
      </c>
    </row>
    <row r="3076" ht="30" customHeight="1">
      <c r="A3076" s="16" t="n">
        <v>45917</v>
      </c>
      <c r="B3076" s="17" t="inlineStr">
        <is>
          <t>MH2509-58</t>
        </is>
      </c>
      <c r="C3076" s="16" t="n">
        <v>45917</v>
      </c>
      <c r="D3076" s="17" t="inlineStr">
        <is>
          <t>00001934</t>
        </is>
      </c>
      <c r="E3076" s="16" t="n">
        <v>45917</v>
      </c>
      <c r="F3076" s="16" t="inlineStr">
        <is>
          <t>XK2509-44</t>
        </is>
      </c>
      <c r="G3076" s="16" t="n">
        <v>45917</v>
      </c>
      <c r="H3076" s="17" t="inlineStr">
        <is>
          <t>CÔNG TY TNHH DỊCH VỤ - THƯƠNG MẠI THÉP THIÊN LONG</t>
        </is>
      </c>
      <c r="I3076" s="17" t="inlineStr">
        <is>
          <t>Thép hình U250</t>
        </is>
      </c>
      <c r="J3076" s="17" t="inlineStr">
        <is>
          <t>kg</t>
        </is>
      </c>
      <c r="K3076" s="19" t="n">
        <v>14681.81</v>
      </c>
      <c r="L3076" s="20" t="n"/>
      <c r="M3076" s="20" t="n"/>
      <c r="N3076" s="43" t="n">
        <v>4275.96</v>
      </c>
      <c r="O3076" s="20" t="n">
        <v>62778832</v>
      </c>
      <c r="P3076" s="43" t="n">
        <v>4275.96</v>
      </c>
      <c r="Q3076" s="20" t="n">
        <v>62778832</v>
      </c>
      <c r="R3076" s="42">
        <f>+L3076+N3076-P3076</f>
        <v/>
      </c>
      <c r="S3076" s="42">
        <f>+M3076+O3076-Q3076</f>
        <v/>
      </c>
    </row>
    <row r="3077" ht="30" customHeight="1">
      <c r="A3077" s="16" t="n">
        <v>45917</v>
      </c>
      <c r="B3077" s="17" t="inlineStr">
        <is>
          <t>MH2509-58</t>
        </is>
      </c>
      <c r="C3077" s="16" t="n">
        <v>45917</v>
      </c>
      <c r="D3077" s="17" t="inlineStr">
        <is>
          <t>00001934</t>
        </is>
      </c>
      <c r="E3077" s="16" t="n">
        <v>45917</v>
      </c>
      <c r="F3077" s="16" t="inlineStr">
        <is>
          <t>XK2509-44</t>
        </is>
      </c>
      <c r="G3077" s="16" t="n">
        <v>45917</v>
      </c>
      <c r="H3077" s="17" t="inlineStr">
        <is>
          <t>CÔNG TY TNHH DỊCH VỤ - THƯƠNG MẠI THÉP THIÊN LONG</t>
        </is>
      </c>
      <c r="I3077" s="17" t="inlineStr">
        <is>
          <t>Thép hình U120</t>
        </is>
      </c>
      <c r="J3077" s="17" t="inlineStr">
        <is>
          <t>kg</t>
        </is>
      </c>
      <c r="K3077" s="19" t="n">
        <v>14181.81</v>
      </c>
      <c r="L3077" s="20" t="n"/>
      <c r="M3077" s="20" t="n"/>
      <c r="N3077" s="43" t="n">
        <v>1506.6</v>
      </c>
      <c r="O3077" s="20" t="n">
        <v>21366315</v>
      </c>
      <c r="P3077" s="43" t="n">
        <v>1506.6</v>
      </c>
      <c r="Q3077" s="20" t="n">
        <v>21366315</v>
      </c>
      <c r="R3077" s="42">
        <f>+L3077+N3077-P3077</f>
        <v/>
      </c>
      <c r="S3077" s="42">
        <f>+M3077+O3077-Q3077</f>
        <v/>
      </c>
    </row>
    <row r="3078" ht="15" customHeight="1">
      <c r="A3078" s="16" t="n">
        <v>45917</v>
      </c>
      <c r="B3078" s="17" t="inlineStr">
        <is>
          <t>MH2509-59</t>
        </is>
      </c>
      <c r="C3078" s="16" t="n">
        <v>45917</v>
      </c>
      <c r="D3078" s="17" t="inlineStr">
        <is>
          <t>2477</t>
        </is>
      </c>
      <c r="E3078" s="16" t="n">
        <v>45917</v>
      </c>
      <c r="F3078" s="16" t="inlineStr">
        <is>
          <t>XK2509-45</t>
        </is>
      </c>
      <c r="G3078" s="16" t="n">
        <v>45917</v>
      </c>
      <c r="H3078" s="17" t="inlineStr">
        <is>
          <t>CÔNG TY TNHH THÉP IPC SÀI GÒN</t>
        </is>
      </c>
      <c r="I3078" s="17" t="inlineStr">
        <is>
          <t>Thép tấm 6x2000x12000</t>
        </is>
      </c>
      <c r="J3078" s="17" t="inlineStr">
        <is>
          <t>kg</t>
        </is>
      </c>
      <c r="K3078" s="19" t="n">
        <v>13727.27</v>
      </c>
      <c r="L3078" s="20" t="n"/>
      <c r="M3078" s="20" t="n"/>
      <c r="N3078" s="43" t="n">
        <v>29390.4</v>
      </c>
      <c r="O3078" s="20" t="n">
        <v>403449956</v>
      </c>
      <c r="P3078" s="43" t="n">
        <v>29390.4</v>
      </c>
      <c r="Q3078" s="20" t="n">
        <v>403449956</v>
      </c>
      <c r="R3078" s="42">
        <f>+L3078+N3078-P3078</f>
        <v/>
      </c>
      <c r="S3078" s="42">
        <f>+M3078+O3078-Q3078</f>
        <v/>
      </c>
    </row>
    <row r="3079" ht="15" customHeight="1">
      <c r="A3079" s="16" t="n">
        <v>45917</v>
      </c>
      <c r="B3079" s="17" t="inlineStr">
        <is>
          <t>MH2509-59</t>
        </is>
      </c>
      <c r="C3079" s="16" t="n">
        <v>45917</v>
      </c>
      <c r="D3079" s="17" t="inlineStr">
        <is>
          <t>2477</t>
        </is>
      </c>
      <c r="E3079" s="16" t="n">
        <v>45917</v>
      </c>
      <c r="F3079" s="16" t="inlineStr">
        <is>
          <t>XK2509-45</t>
        </is>
      </c>
      <c r="G3079" s="16" t="n">
        <v>45917</v>
      </c>
      <c r="H3079" s="17" t="inlineStr">
        <is>
          <t>CÔNG TY TNHH THÉP IPC SÀI GÒN</t>
        </is>
      </c>
      <c r="I3079" s="17" t="inlineStr">
        <is>
          <t>Thép tấm 6x2000x6000</t>
        </is>
      </c>
      <c r="J3079" s="17" t="inlineStr">
        <is>
          <t>kg</t>
        </is>
      </c>
      <c r="K3079" s="19" t="n">
        <v>13727.27</v>
      </c>
      <c r="L3079" s="20" t="n"/>
      <c r="M3079" s="20" t="n"/>
      <c r="N3079" s="43" t="n">
        <v>12434.4</v>
      </c>
      <c r="O3079" s="20" t="n">
        <v>170690366</v>
      </c>
      <c r="P3079" s="43" t="n">
        <v>12434.4</v>
      </c>
      <c r="Q3079" s="20" t="n">
        <v>170690366</v>
      </c>
      <c r="R3079" s="42">
        <f>+L3079+N3079-P3079</f>
        <v/>
      </c>
      <c r="S3079" s="42">
        <f>+M3079+O3079-Q3079</f>
        <v/>
      </c>
    </row>
    <row r="3080" ht="15" customHeight="1">
      <c r="A3080" s="16" t="n">
        <v>45917</v>
      </c>
      <c r="B3080" s="17" t="inlineStr">
        <is>
          <t>MH2509-59</t>
        </is>
      </c>
      <c r="C3080" s="16" t="n">
        <v>45917</v>
      </c>
      <c r="D3080" s="17" t="inlineStr">
        <is>
          <t>2477</t>
        </is>
      </c>
      <c r="E3080" s="16" t="n">
        <v>45917</v>
      </c>
      <c r="F3080" s="16" t="inlineStr">
        <is>
          <t>XK2509-45</t>
        </is>
      </c>
      <c r="G3080" s="16" t="n">
        <v>45917</v>
      </c>
      <c r="H3080" s="17" t="inlineStr">
        <is>
          <t>CÔNG TY TNHH THÉP IPC SÀI GÒN</t>
        </is>
      </c>
      <c r="I3080" s="17" t="inlineStr">
        <is>
          <t>Thép tấm 25x2000x12000</t>
        </is>
      </c>
      <c r="J3080" s="17" t="inlineStr">
        <is>
          <t>kg</t>
        </is>
      </c>
      <c r="K3080" s="19" t="n">
        <v>14636.36</v>
      </c>
      <c r="L3080" s="20" t="n"/>
      <c r="M3080" s="20" t="n"/>
      <c r="N3080" s="43" t="n">
        <v>23550</v>
      </c>
      <c r="O3080" s="20" t="n">
        <v>344686278</v>
      </c>
      <c r="P3080" s="43" t="n">
        <v>23550</v>
      </c>
      <c r="Q3080" s="20" t="n">
        <v>344686278</v>
      </c>
      <c r="R3080" s="42">
        <f>+L3080+N3080-P3080</f>
        <v/>
      </c>
      <c r="S3080" s="42">
        <f>+M3080+O3080-Q3080</f>
        <v/>
      </c>
    </row>
    <row r="3081" ht="30" customHeight="1">
      <c r="A3081" s="16" t="n">
        <v>45917</v>
      </c>
      <c r="B3081" s="17" t="inlineStr">
        <is>
          <t>MH2509-60</t>
        </is>
      </c>
      <c r="C3081" s="16" t="n">
        <v>45917</v>
      </c>
      <c r="D3081" s="17" t="inlineStr">
        <is>
          <t>00001933</t>
        </is>
      </c>
      <c r="E3081" s="16" t="n">
        <v>45917</v>
      </c>
      <c r="F3081" s="16" t="inlineStr">
        <is>
          <t>XK2509-46</t>
        </is>
      </c>
      <c r="G3081" s="16" t="n">
        <v>45917</v>
      </c>
      <c r="H3081" s="17" t="inlineStr">
        <is>
          <t>CÔNG TY TNHH DỊCH VỤ - THƯƠNG MẠI THÉP THIÊN LONG</t>
        </is>
      </c>
      <c r="I3081" s="17" t="inlineStr">
        <is>
          <t>Thép tấm 5ly</t>
        </is>
      </c>
      <c r="J3081" s="17" t="inlineStr">
        <is>
          <t>kg</t>
        </is>
      </c>
      <c r="K3081" s="19" t="n">
        <v>13818.18</v>
      </c>
      <c r="L3081" s="20" t="n"/>
      <c r="M3081" s="20" t="n"/>
      <c r="N3081" s="43" t="n">
        <v>19782</v>
      </c>
      <c r="O3081" s="20" t="n">
        <v>273351237</v>
      </c>
      <c r="P3081" s="43" t="n">
        <v>19782</v>
      </c>
      <c r="Q3081" s="20" t="n">
        <v>273351237</v>
      </c>
      <c r="R3081" s="42">
        <f>+L3081+N3081-P3081</f>
        <v/>
      </c>
      <c r="S3081" s="42">
        <f>+M3081+O3081-Q3081</f>
        <v/>
      </c>
    </row>
    <row r="3082" ht="30" customHeight="1">
      <c r="A3082" s="16" t="n">
        <v>45917</v>
      </c>
      <c r="B3082" s="17" t="inlineStr">
        <is>
          <t>MH2509-60</t>
        </is>
      </c>
      <c r="C3082" s="16" t="n">
        <v>45917</v>
      </c>
      <c r="D3082" s="17" t="inlineStr">
        <is>
          <t>00001933</t>
        </is>
      </c>
      <c r="E3082" s="16" t="n">
        <v>45917</v>
      </c>
      <c r="F3082" s="16" t="inlineStr">
        <is>
          <t>XK2509-46</t>
        </is>
      </c>
      <c r="G3082" s="16" t="n">
        <v>45917</v>
      </c>
      <c r="H3082" s="17" t="inlineStr">
        <is>
          <t>CÔNG TY TNHH DỊCH VỤ - THƯƠNG MẠI THÉP THIÊN LONG</t>
        </is>
      </c>
      <c r="I3082" s="17" t="inlineStr">
        <is>
          <t>Thép tấm 6ly</t>
        </is>
      </c>
      <c r="J3082" s="17" t="inlineStr">
        <is>
          <t>kg</t>
        </is>
      </c>
      <c r="K3082" s="19" t="n">
        <v>13818.18</v>
      </c>
      <c r="L3082" s="20" t="n"/>
      <c r="M3082" s="20" t="n"/>
      <c r="N3082" s="43" t="n">
        <v>10738.8</v>
      </c>
      <c r="O3082" s="20" t="n">
        <v>148390671</v>
      </c>
      <c r="P3082" s="43" t="n">
        <v>10738.8</v>
      </c>
      <c r="Q3082" s="20" t="n">
        <v>148390671</v>
      </c>
      <c r="R3082" s="42">
        <f>+L3082+N3082-P3082</f>
        <v/>
      </c>
      <c r="S3082" s="42">
        <f>+M3082+O3082-Q3082</f>
        <v/>
      </c>
    </row>
    <row r="3083" ht="30" customHeight="1">
      <c r="A3083" s="16" t="n">
        <v>45917</v>
      </c>
      <c r="B3083" s="17" t="inlineStr">
        <is>
          <t>MH2509-60</t>
        </is>
      </c>
      <c r="C3083" s="16" t="n">
        <v>45917</v>
      </c>
      <c r="D3083" s="17" t="inlineStr">
        <is>
          <t>00001933</t>
        </is>
      </c>
      <c r="E3083" s="16" t="n">
        <v>45917</v>
      </c>
      <c r="F3083" s="16" t="inlineStr">
        <is>
          <t>XK2509-46</t>
        </is>
      </c>
      <c r="G3083" s="16" t="n">
        <v>45917</v>
      </c>
      <c r="H3083" s="17" t="inlineStr">
        <is>
          <t>CÔNG TY TNHH DỊCH VỤ - THƯƠNG MẠI THÉP THIÊN LONG</t>
        </is>
      </c>
      <c r="I3083" s="17" t="inlineStr">
        <is>
          <t>Thép tấm 8ly</t>
        </is>
      </c>
      <c r="J3083" s="17" t="inlineStr">
        <is>
          <t>kg</t>
        </is>
      </c>
      <c r="K3083" s="19" t="n">
        <v>13818.18</v>
      </c>
      <c r="L3083" s="20" t="n"/>
      <c r="M3083" s="20" t="n"/>
      <c r="N3083" s="43" t="n">
        <v>4521.6</v>
      </c>
      <c r="O3083" s="20" t="n">
        <v>62480283</v>
      </c>
      <c r="P3083" s="43" t="n">
        <v>4521.6</v>
      </c>
      <c r="Q3083" s="20" t="n">
        <v>62480283</v>
      </c>
      <c r="R3083" s="42">
        <f>+L3083+N3083-P3083</f>
        <v/>
      </c>
      <c r="S3083" s="42">
        <f>+M3083+O3083-Q3083</f>
        <v/>
      </c>
    </row>
    <row r="3084" ht="30" customHeight="1">
      <c r="A3084" s="16" t="n">
        <v>45917</v>
      </c>
      <c r="B3084" s="17" t="inlineStr">
        <is>
          <t>MH2509-60</t>
        </is>
      </c>
      <c r="C3084" s="16" t="n">
        <v>45917</v>
      </c>
      <c r="D3084" s="17" t="inlineStr">
        <is>
          <t>00001933</t>
        </is>
      </c>
      <c r="E3084" s="16" t="n">
        <v>45917</v>
      </c>
      <c r="F3084" s="16" t="inlineStr">
        <is>
          <t>XK2509-46</t>
        </is>
      </c>
      <c r="G3084" s="16" t="n">
        <v>45917</v>
      </c>
      <c r="H3084" s="17" t="inlineStr">
        <is>
          <t>CÔNG TY TNHH DỊCH VỤ - THƯƠNG MẠI THÉP THIÊN LONG</t>
        </is>
      </c>
      <c r="I3084" s="17" t="inlineStr">
        <is>
          <t>Thép tấm gân 5ly</t>
        </is>
      </c>
      <c r="J3084" s="17" t="inlineStr">
        <is>
          <t>kg</t>
        </is>
      </c>
      <c r="K3084" s="19" t="n">
        <v>12909.09</v>
      </c>
      <c r="L3084" s="20" t="n"/>
      <c r="M3084" s="20" t="n"/>
      <c r="N3084" s="43" t="n">
        <v>760.5</v>
      </c>
      <c r="O3084" s="20" t="n">
        <v>9817363</v>
      </c>
      <c r="P3084" s="43" t="n">
        <v>760.5</v>
      </c>
      <c r="Q3084" s="20" t="n">
        <v>9817363</v>
      </c>
      <c r="R3084" s="42">
        <f>+L3084+N3084-P3084</f>
        <v/>
      </c>
      <c r="S3084" s="42">
        <f>+M3084+O3084-Q3084</f>
        <v/>
      </c>
    </row>
    <row r="3085" ht="30" customHeight="1">
      <c r="A3085" s="16" t="n">
        <v>45917</v>
      </c>
      <c r="B3085" s="17" t="inlineStr">
        <is>
          <t>MH2509-60</t>
        </is>
      </c>
      <c r="C3085" s="16" t="n">
        <v>45917</v>
      </c>
      <c r="D3085" s="17" t="inlineStr">
        <is>
          <t>00001933</t>
        </is>
      </c>
      <c r="E3085" s="16" t="n">
        <v>45917</v>
      </c>
      <c r="F3085" s="16" t="inlineStr">
        <is>
          <t>XK2509-46</t>
        </is>
      </c>
      <c r="G3085" s="16" t="n">
        <v>45917</v>
      </c>
      <c r="H3085" s="17" t="inlineStr">
        <is>
          <t>CÔNG TY TNHH DỊCH VỤ - THƯƠNG MẠI THÉP THIÊN LONG</t>
        </is>
      </c>
      <c r="I3085" s="17" t="inlineStr">
        <is>
          <t>Thép hình U250</t>
        </is>
      </c>
      <c r="J3085" s="17" t="inlineStr">
        <is>
          <t>kg</t>
        </is>
      </c>
      <c r="K3085" s="19" t="n">
        <v>14681.81</v>
      </c>
      <c r="L3085" s="20" t="n"/>
      <c r="M3085" s="20" t="n"/>
      <c r="N3085" s="43" t="n">
        <v>986.76</v>
      </c>
      <c r="O3085" s="20" t="n">
        <v>14487423</v>
      </c>
      <c r="P3085" s="43" t="n">
        <v>986.76</v>
      </c>
      <c r="Q3085" s="20" t="n">
        <v>14487423</v>
      </c>
      <c r="R3085" s="42">
        <f>+L3085+N3085-P3085</f>
        <v/>
      </c>
      <c r="S3085" s="42">
        <f>+M3085+O3085-Q3085</f>
        <v/>
      </c>
    </row>
    <row r="3086" ht="30" customHeight="1">
      <c r="A3086" s="16" t="n">
        <v>45917</v>
      </c>
      <c r="B3086" s="17" t="inlineStr">
        <is>
          <t>MH2509-60</t>
        </is>
      </c>
      <c r="C3086" s="16" t="n">
        <v>45917</v>
      </c>
      <c r="D3086" s="17" t="inlineStr">
        <is>
          <t>00001933</t>
        </is>
      </c>
      <c r="E3086" s="16" t="n">
        <v>45917</v>
      </c>
      <c r="F3086" s="16" t="inlineStr">
        <is>
          <t>XK2509-46</t>
        </is>
      </c>
      <c r="G3086" s="16" t="n">
        <v>45917</v>
      </c>
      <c r="H3086" s="17" t="inlineStr">
        <is>
          <t>CÔNG TY TNHH DỊCH VỤ - THƯƠNG MẠI THÉP THIÊN LONG</t>
        </is>
      </c>
      <c r="I3086" s="17" t="inlineStr">
        <is>
          <t>Thép hình U120</t>
        </is>
      </c>
      <c r="J3086" s="17" t="inlineStr">
        <is>
          <t>kg</t>
        </is>
      </c>
      <c r="K3086" s="19" t="n">
        <v>14181.81</v>
      </c>
      <c r="L3086" s="20" t="n"/>
      <c r="M3086" s="20" t="n"/>
      <c r="N3086" s="43" t="n">
        <v>111.6</v>
      </c>
      <c r="O3086" s="20" t="n">
        <v>1582690</v>
      </c>
      <c r="P3086" s="43" t="n">
        <v>111.6</v>
      </c>
      <c r="Q3086" s="20" t="n">
        <v>1582690</v>
      </c>
      <c r="R3086" s="42">
        <f>+L3086+N3086-P3086</f>
        <v/>
      </c>
      <c r="S3086" s="42">
        <f>+M3086+O3086-Q3086</f>
        <v/>
      </c>
    </row>
    <row r="3087" ht="15" customHeight="1">
      <c r="A3087" s="16" t="n">
        <v>45918</v>
      </c>
      <c r="B3087" s="17" t="inlineStr">
        <is>
          <t>MH2509-62</t>
        </is>
      </c>
      <c r="C3087" s="16" t="n">
        <v>45918</v>
      </c>
      <c r="D3087" s="17" t="inlineStr">
        <is>
          <t>2485</t>
        </is>
      </c>
      <c r="E3087" s="16" t="n">
        <v>45918</v>
      </c>
      <c r="F3087" s="16" t="inlineStr">
        <is>
          <t>XK2509-47</t>
        </is>
      </c>
      <c r="G3087" s="16" t="n">
        <v>45918</v>
      </c>
      <c r="H3087" s="17" t="inlineStr">
        <is>
          <t>CÔNG TY TNHH THÉP IPC SÀI GÒN</t>
        </is>
      </c>
      <c r="I3087" s="17" t="inlineStr">
        <is>
          <t>Thép tấm 6x2000x6000</t>
        </is>
      </c>
      <c r="J3087" s="17" t="inlineStr">
        <is>
          <t>kg</t>
        </is>
      </c>
      <c r="K3087" s="19" t="n">
        <v>13727.27</v>
      </c>
      <c r="L3087" s="20" t="n"/>
      <c r="M3087" s="20" t="n"/>
      <c r="N3087" s="43" t="n">
        <v>13867.6</v>
      </c>
      <c r="O3087" s="20" t="n">
        <v>190364289</v>
      </c>
      <c r="P3087" s="43" t="n">
        <v>13867.6</v>
      </c>
      <c r="Q3087" s="20" t="n">
        <v>190364289</v>
      </c>
      <c r="R3087" s="42">
        <f>+L3087+N3087-P3087</f>
        <v/>
      </c>
      <c r="S3087" s="42">
        <f>+M3087+O3087-Q3087</f>
        <v/>
      </c>
    </row>
    <row r="3088" ht="15" customHeight="1">
      <c r="A3088" s="16" t="n">
        <v>45918</v>
      </c>
      <c r="B3088" s="17" t="inlineStr">
        <is>
          <t>MH2509-62</t>
        </is>
      </c>
      <c r="C3088" s="16" t="n">
        <v>45918</v>
      </c>
      <c r="D3088" s="17" t="inlineStr">
        <is>
          <t>2485</t>
        </is>
      </c>
      <c r="E3088" s="16" t="n">
        <v>45918</v>
      </c>
      <c r="F3088" s="16" t="inlineStr">
        <is>
          <t>XK2509-47</t>
        </is>
      </c>
      <c r="G3088" s="16" t="n">
        <v>45918</v>
      </c>
      <c r="H3088" s="17" t="inlineStr">
        <is>
          <t>CÔNG TY TNHH THÉP IPC SÀI GÒN</t>
        </is>
      </c>
      <c r="I3088" s="17" t="inlineStr">
        <is>
          <t>Thép tấm 6x2000x6000</t>
        </is>
      </c>
      <c r="J3088" s="17" t="inlineStr">
        <is>
          <t>kg</t>
        </is>
      </c>
      <c r="K3088" s="19" t="n">
        <v>13727.27</v>
      </c>
      <c r="L3088" s="20" t="n"/>
      <c r="M3088" s="20" t="n"/>
      <c r="N3088" s="43" t="n">
        <v>50000</v>
      </c>
      <c r="O3088" s="20" t="n">
        <v>686363500</v>
      </c>
      <c r="P3088" s="43" t="n">
        <v>50000</v>
      </c>
      <c r="Q3088" s="20" t="n">
        <v>686363500</v>
      </c>
      <c r="R3088" s="42">
        <f>+L3088+N3088-P3088</f>
        <v/>
      </c>
      <c r="S3088" s="42">
        <f>+M3088+O3088-Q3088</f>
        <v/>
      </c>
    </row>
    <row r="3089" ht="30" customHeight="1">
      <c r="A3089" s="16" t="n">
        <v>45918</v>
      </c>
      <c r="B3089" s="17" t="inlineStr">
        <is>
          <t>MH2509-63</t>
        </is>
      </c>
      <c r="C3089" s="16" t="n">
        <v>45918</v>
      </c>
      <c r="D3089" s="17" t="inlineStr">
        <is>
          <t>00001946</t>
        </is>
      </c>
      <c r="E3089" s="16" t="n">
        <v>45918</v>
      </c>
      <c r="F3089" s="16" t="inlineStr">
        <is>
          <t>XK2509-48</t>
        </is>
      </c>
      <c r="G3089" s="16" t="n">
        <v>45918</v>
      </c>
      <c r="H3089" s="17" t="inlineStr">
        <is>
          <t>CÔNG TY TNHH DỊCH VỤ - THƯƠNG MẠI THÉP THIÊN LONG</t>
        </is>
      </c>
      <c r="I3089" s="17" t="inlineStr">
        <is>
          <t>Thép hình H200</t>
        </is>
      </c>
      <c r="J3089" s="17" t="inlineStr">
        <is>
          <t>kg</t>
        </is>
      </c>
      <c r="K3089" s="19" t="n">
        <v>17272.72</v>
      </c>
      <c r="L3089" s="20" t="n"/>
      <c r="M3089" s="20" t="n"/>
      <c r="N3089" s="43" t="n">
        <v>10778.4</v>
      </c>
      <c r="O3089" s="20" t="n">
        <v>186172285</v>
      </c>
      <c r="P3089" s="43" t="n">
        <v>10778.4</v>
      </c>
      <c r="Q3089" s="20" t="n">
        <v>186172285</v>
      </c>
      <c r="R3089" s="42">
        <f>+L3089+N3089-P3089</f>
        <v/>
      </c>
      <c r="S3089" s="42">
        <f>+M3089+O3089-Q3089</f>
        <v/>
      </c>
    </row>
    <row r="3090" ht="30" customHeight="1">
      <c r="A3090" s="16" t="n">
        <v>45918</v>
      </c>
      <c r="B3090" s="17" t="inlineStr">
        <is>
          <t>MH2509-63</t>
        </is>
      </c>
      <c r="C3090" s="16" t="n">
        <v>45918</v>
      </c>
      <c r="D3090" s="17" t="inlineStr">
        <is>
          <t>00001946</t>
        </is>
      </c>
      <c r="E3090" s="16" t="n">
        <v>45918</v>
      </c>
      <c r="F3090" s="16" t="inlineStr">
        <is>
          <t>XK2509-48</t>
        </is>
      </c>
      <c r="G3090" s="16" t="n">
        <v>45918</v>
      </c>
      <c r="H3090" s="17" t="inlineStr">
        <is>
          <t>CÔNG TY TNHH DỊCH VỤ - THƯƠNG MẠI THÉP THIÊN LONG</t>
        </is>
      </c>
      <c r="I3090" s="17" t="inlineStr">
        <is>
          <t>Thép hình U150</t>
        </is>
      </c>
      <c r="J3090" s="17" t="inlineStr">
        <is>
          <t>kg</t>
        </is>
      </c>
      <c r="K3090" s="19" t="n">
        <v>14545.45</v>
      </c>
      <c r="L3090" s="20" t="n"/>
      <c r="M3090" s="20" t="n"/>
      <c r="N3090" s="43" t="n">
        <v>1785.6</v>
      </c>
      <c r="O3090" s="20" t="n">
        <v>25972356</v>
      </c>
      <c r="P3090" s="43" t="n">
        <v>1785.6</v>
      </c>
      <c r="Q3090" s="20" t="n">
        <v>25972356</v>
      </c>
      <c r="R3090" s="42">
        <f>+L3090+N3090-P3090</f>
        <v/>
      </c>
      <c r="S3090" s="42">
        <f>+M3090+O3090-Q3090</f>
        <v/>
      </c>
    </row>
    <row r="3091" ht="30" customHeight="1">
      <c r="A3091" s="16" t="n">
        <v>45918</v>
      </c>
      <c r="B3091" s="17" t="inlineStr">
        <is>
          <t>MH2509-64</t>
        </is>
      </c>
      <c r="C3091" s="16" t="n">
        <v>45918</v>
      </c>
      <c r="D3091" s="17" t="inlineStr">
        <is>
          <t>00001955</t>
        </is>
      </c>
      <c r="E3091" s="16" t="n">
        <v>45918</v>
      </c>
      <c r="F3091" s="16" t="inlineStr">
        <is>
          <t>XK2509-49</t>
        </is>
      </c>
      <c r="G3091" s="16" t="n">
        <v>45918</v>
      </c>
      <c r="H3091" s="17" t="inlineStr">
        <is>
          <t>CÔNG TY TNHH DỊCH VỤ - THƯƠNG MẠI THÉP THIÊN LONG</t>
        </is>
      </c>
      <c r="I3091" s="17" t="inlineStr">
        <is>
          <t>Thép ống đen 141</t>
        </is>
      </c>
      <c r="J3091" s="17" t="inlineStr">
        <is>
          <t>kg</t>
        </is>
      </c>
      <c r="K3091" s="19" t="n">
        <v>16636.36</v>
      </c>
      <c r="L3091" s="20" t="n"/>
      <c r="M3091" s="20" t="n"/>
      <c r="N3091" s="43" t="n">
        <v>568.8200000000001</v>
      </c>
      <c r="O3091" s="20" t="n">
        <v>9463094</v>
      </c>
      <c r="P3091" s="43" t="n">
        <v>568.8200000000001</v>
      </c>
      <c r="Q3091" s="20" t="n">
        <v>9463094</v>
      </c>
      <c r="R3091" s="42">
        <f>+L3091+N3091-P3091</f>
        <v/>
      </c>
      <c r="S3091" s="42">
        <f>+M3091+O3091-Q3091</f>
        <v/>
      </c>
    </row>
    <row r="3092" ht="15" customHeight="1">
      <c r="A3092" s="16" t="n">
        <v>45919</v>
      </c>
      <c r="B3092" s="17" t="inlineStr">
        <is>
          <t>MH2509-65</t>
        </is>
      </c>
      <c r="C3092" s="16" t="n">
        <v>45919</v>
      </c>
      <c r="D3092" s="17" t="inlineStr">
        <is>
          <t>00008740</t>
        </is>
      </c>
      <c r="E3092" s="16" t="n">
        <v>45919</v>
      </c>
      <c r="F3092" s="16" t="inlineStr">
        <is>
          <t>XK2509-50</t>
        </is>
      </c>
      <c r="G3092" s="16" t="n">
        <v>45919</v>
      </c>
      <c r="H3092" s="17" t="inlineStr">
        <is>
          <t>CÔNG TY TNHH SƠN JOTUN VIỆT NAM</t>
        </is>
      </c>
      <c r="I3092" s="17" t="inlineStr">
        <is>
          <t>SƠN FUTURA CLASSIC RAL 7037 20L</t>
        </is>
      </c>
      <c r="J3092" s="17" t="inlineStr">
        <is>
          <t>Lít</t>
        </is>
      </c>
      <c r="K3092" s="19" t="n">
        <v>155000</v>
      </c>
      <c r="L3092" s="20" t="n"/>
      <c r="M3092" s="20" t="n"/>
      <c r="N3092" s="43" t="n">
        <v>200</v>
      </c>
      <c r="O3092" s="20" t="n">
        <v>31000000</v>
      </c>
      <c r="P3092" s="43" t="n">
        <v>200</v>
      </c>
      <c r="Q3092" s="20" t="n">
        <v>31000000</v>
      </c>
      <c r="R3092" s="42">
        <f>+L3092+N3092-P3092</f>
        <v/>
      </c>
      <c r="S3092" s="42">
        <f>+M3092+O3092-Q3092</f>
        <v/>
      </c>
    </row>
    <row r="3093" ht="15" customHeight="1">
      <c r="A3093" s="16" t="n">
        <v>45919</v>
      </c>
      <c r="B3093" s="17" t="inlineStr">
        <is>
          <t>MH2509-66</t>
        </is>
      </c>
      <c r="C3093" s="16" t="n">
        <v>45919</v>
      </c>
      <c r="D3093" s="17" t="inlineStr">
        <is>
          <t>2501</t>
        </is>
      </c>
      <c r="E3093" s="16" t="n">
        <v>45919</v>
      </c>
      <c r="F3093" s="16" t="inlineStr">
        <is>
          <t>XK2510-01</t>
        </is>
      </c>
      <c r="G3093" s="16" t="n">
        <v>45931</v>
      </c>
      <c r="H3093" s="17" t="inlineStr">
        <is>
          <t>CÔNG TY TNHH THÉP IPC SÀI GÒN</t>
        </is>
      </c>
      <c r="I3093" s="17" t="inlineStr">
        <is>
          <t>Thép tấm 5x2000x6000</t>
        </is>
      </c>
      <c r="J3093" s="17" t="inlineStr">
        <is>
          <t>kg</t>
        </is>
      </c>
      <c r="K3093" s="19" t="n">
        <v>13727.27</v>
      </c>
      <c r="L3093" s="20" t="n"/>
      <c r="M3093" s="20" t="n"/>
      <c r="N3093" s="43" t="n">
        <v>64056</v>
      </c>
      <c r="O3093" s="20" t="n">
        <v>879314007</v>
      </c>
      <c r="P3093" s="43">
        <f>+N3093</f>
        <v/>
      </c>
      <c r="Q3093" s="20">
        <f>+O3093</f>
        <v/>
      </c>
      <c r="R3093" s="42">
        <f>+L3093+N3093-P3093</f>
        <v/>
      </c>
      <c r="S3093" s="42">
        <f>+M3093+O3093-Q3093</f>
        <v/>
      </c>
    </row>
    <row r="3094" ht="30" customHeight="1">
      <c r="A3094" s="16" t="n">
        <v>45920</v>
      </c>
      <c r="B3094" s="17" t="inlineStr">
        <is>
          <t>MH2509-68</t>
        </is>
      </c>
      <c r="C3094" s="16" t="n">
        <v>45920</v>
      </c>
      <c r="D3094" s="17" t="inlineStr">
        <is>
          <t>00003690</t>
        </is>
      </c>
      <c r="E3094" s="16" t="n">
        <v>45920</v>
      </c>
      <c r="F3094" s="16" t="inlineStr">
        <is>
          <t>XK2509-53</t>
        </is>
      </c>
      <c r="G3094" s="16" t="n">
        <v>45920</v>
      </c>
      <c r="H3094" s="17" t="inlineStr">
        <is>
          <t>CÔNG TY CỔ PHẦN CÔNG NGHIỆP VÀ THƯƠNG MẠI CƯỜNG THỊNH</t>
        </is>
      </c>
      <c r="I3094" s="17" t="inlineStr">
        <is>
          <t>Bulong Din 933 8.8 ZP M16x50</t>
        </is>
      </c>
      <c r="J3094" s="17" t="inlineStr">
        <is>
          <t>Cái</t>
        </is>
      </c>
      <c r="K3094" s="19" t="n">
        <v>3470</v>
      </c>
      <c r="L3094" s="20" t="n"/>
      <c r="M3094" s="20" t="n"/>
      <c r="N3094" s="43" t="n">
        <v>89</v>
      </c>
      <c r="O3094" s="20" t="n">
        <v>308830</v>
      </c>
      <c r="P3094" s="43" t="n">
        <v>89</v>
      </c>
      <c r="Q3094" s="20" t="n">
        <v>308830</v>
      </c>
      <c r="R3094" s="42">
        <f>+L3094+N3094-P3094</f>
        <v/>
      </c>
      <c r="S3094" s="42">
        <f>+M3094+O3094-Q3094</f>
        <v/>
      </c>
    </row>
    <row r="3095" ht="30" customHeight="1">
      <c r="A3095" s="16" t="n">
        <v>45920</v>
      </c>
      <c r="B3095" s="17" t="inlineStr">
        <is>
          <t>MH2509-68</t>
        </is>
      </c>
      <c r="C3095" s="16" t="n">
        <v>45920</v>
      </c>
      <c r="D3095" s="17" t="inlineStr">
        <is>
          <t>00003690</t>
        </is>
      </c>
      <c r="E3095" s="16" t="n">
        <v>45920</v>
      </c>
      <c r="F3095" s="16" t="inlineStr">
        <is>
          <t>XK2509-53</t>
        </is>
      </c>
      <c r="G3095" s="16" t="n">
        <v>45920</v>
      </c>
      <c r="H3095" s="17" t="inlineStr">
        <is>
          <t>CÔNG TY CỔ PHẦN CÔNG NGHIỆP VÀ THƯƠNG MẠI CƯỜNG THỊNH</t>
        </is>
      </c>
      <c r="I3095" s="17" t="inlineStr">
        <is>
          <t>Đai ốc Din 934 8 ZP M16</t>
        </is>
      </c>
      <c r="J3095" s="17" t="inlineStr">
        <is>
          <t>Cái</t>
        </is>
      </c>
      <c r="K3095" s="19" t="n">
        <v>1080</v>
      </c>
      <c r="L3095" s="20" t="n"/>
      <c r="M3095" s="20" t="n"/>
      <c r="N3095" s="43" t="n">
        <v>89</v>
      </c>
      <c r="O3095" s="20" t="n">
        <v>96120</v>
      </c>
      <c r="P3095" s="43" t="n">
        <v>89</v>
      </c>
      <c r="Q3095" s="20" t="n">
        <v>96120</v>
      </c>
      <c r="R3095" s="42">
        <f>+L3095+N3095-P3095</f>
        <v/>
      </c>
      <c r="S3095" s="42">
        <f>+M3095+O3095-Q3095</f>
        <v/>
      </c>
    </row>
    <row r="3096" ht="30" customHeight="1">
      <c r="A3096" s="16" t="n">
        <v>45920</v>
      </c>
      <c r="B3096" s="17" t="inlineStr">
        <is>
          <t>MH2509-68</t>
        </is>
      </c>
      <c r="C3096" s="16" t="n">
        <v>45920</v>
      </c>
      <c r="D3096" s="17" t="inlineStr">
        <is>
          <t>00003690</t>
        </is>
      </c>
      <c r="E3096" s="16" t="n">
        <v>45920</v>
      </c>
      <c r="F3096" s="16" t="inlineStr">
        <is>
          <t>XK2509-53</t>
        </is>
      </c>
      <c r="G3096" s="16" t="n">
        <v>45920</v>
      </c>
      <c r="H3096" s="17" t="inlineStr">
        <is>
          <t>CÔNG TY CỔ PHẦN CÔNG NGHIỆP VÀ THƯƠNG MẠI CƯỜNG THỊNH</t>
        </is>
      </c>
      <c r="I3096" s="17" t="inlineStr">
        <is>
          <t>Long đền thường ZP M16B30D2</t>
        </is>
      </c>
      <c r="J3096" s="17" t="inlineStr">
        <is>
          <t>Cái</t>
        </is>
      </c>
      <c r="K3096" s="19" t="n">
        <v>340</v>
      </c>
      <c r="L3096" s="20" t="n"/>
      <c r="M3096" s="20" t="n"/>
      <c r="N3096" s="43" t="n">
        <v>89</v>
      </c>
      <c r="O3096" s="20" t="n">
        <v>30260</v>
      </c>
      <c r="P3096" s="43" t="n">
        <v>89</v>
      </c>
      <c r="Q3096" s="20" t="n">
        <v>30260</v>
      </c>
      <c r="R3096" s="42">
        <f>+L3096+N3096-P3096</f>
        <v/>
      </c>
      <c r="S3096" s="42">
        <f>+M3096+O3096-Q3096</f>
        <v/>
      </c>
    </row>
    <row r="3097" ht="30" customHeight="1">
      <c r="A3097" s="16" t="n">
        <v>45920</v>
      </c>
      <c r="B3097" s="17" t="inlineStr">
        <is>
          <t>MH2509-68</t>
        </is>
      </c>
      <c r="C3097" s="16" t="n">
        <v>45920</v>
      </c>
      <c r="D3097" s="17" t="inlineStr">
        <is>
          <t>00003690</t>
        </is>
      </c>
      <c r="E3097" s="16" t="n">
        <v>45920</v>
      </c>
      <c r="F3097" s="16" t="inlineStr">
        <is>
          <t>XK2509-53</t>
        </is>
      </c>
      <c r="G3097" s="16" t="n">
        <v>45920</v>
      </c>
      <c r="H3097" s="17" t="inlineStr">
        <is>
          <t>CÔNG TY CỔ PHẦN CÔNG NGHIỆP VÀ THƯƠNG MẠI CƯỜNG THỊNH</t>
        </is>
      </c>
      <c r="I3097" s="17" t="inlineStr">
        <is>
          <t>Bulong Din 933 8.8 ZP M20x60</t>
        </is>
      </c>
      <c r="J3097" s="17" t="inlineStr">
        <is>
          <t>Cái</t>
        </is>
      </c>
      <c r="K3097" s="19" t="n">
        <v>6360</v>
      </c>
      <c r="L3097" s="20" t="n"/>
      <c r="M3097" s="20" t="n"/>
      <c r="N3097" s="43" t="n">
        <v>2500</v>
      </c>
      <c r="O3097" s="20" t="n">
        <v>15900000</v>
      </c>
      <c r="P3097" s="43" t="n">
        <v>2500</v>
      </c>
      <c r="Q3097" s="20" t="n">
        <v>15900000</v>
      </c>
      <c r="R3097" s="42">
        <f>+L3097+N3097-P3097</f>
        <v/>
      </c>
      <c r="S3097" s="42">
        <f>+M3097+O3097-Q3097</f>
        <v/>
      </c>
    </row>
    <row r="3098" ht="30" customHeight="1">
      <c r="A3098" s="16" t="n">
        <v>45920</v>
      </c>
      <c r="B3098" s="17" t="inlineStr">
        <is>
          <t>MH2509-68</t>
        </is>
      </c>
      <c r="C3098" s="16" t="n">
        <v>45920</v>
      </c>
      <c r="D3098" s="17" t="inlineStr">
        <is>
          <t>00003690</t>
        </is>
      </c>
      <c r="E3098" s="16" t="n">
        <v>45920</v>
      </c>
      <c r="F3098" s="16" t="inlineStr">
        <is>
          <t>XK2509-53</t>
        </is>
      </c>
      <c r="G3098" s="16" t="n">
        <v>45920</v>
      </c>
      <c r="H3098" s="17" t="inlineStr">
        <is>
          <t>CÔNG TY CỔ PHẦN CÔNG NGHIỆP VÀ THƯƠNG MẠI CƯỜNG THỊNH</t>
        </is>
      </c>
      <c r="I3098" s="17" t="inlineStr">
        <is>
          <t>Đai ốc Din 934 8 ZP M20</t>
        </is>
      </c>
      <c r="J3098" s="17" t="inlineStr">
        <is>
          <t>Cái</t>
        </is>
      </c>
      <c r="K3098" s="19" t="n">
        <v>2030</v>
      </c>
      <c r="L3098" s="20" t="n"/>
      <c r="M3098" s="20" t="n"/>
      <c r="N3098" s="43" t="n">
        <v>2500</v>
      </c>
      <c r="O3098" s="20" t="n">
        <v>5075000</v>
      </c>
      <c r="P3098" s="43" t="n">
        <v>2500</v>
      </c>
      <c r="Q3098" s="20" t="n">
        <v>5075000</v>
      </c>
      <c r="R3098" s="42">
        <f>+L3098+N3098-P3098</f>
        <v/>
      </c>
      <c r="S3098" s="42">
        <f>+M3098+O3098-Q3098</f>
        <v/>
      </c>
    </row>
    <row r="3099" ht="30" customHeight="1">
      <c r="A3099" s="16" t="n">
        <v>45920</v>
      </c>
      <c r="B3099" s="17" t="inlineStr">
        <is>
          <t>MH2509-68</t>
        </is>
      </c>
      <c r="C3099" s="16" t="n">
        <v>45920</v>
      </c>
      <c r="D3099" s="17" t="inlineStr">
        <is>
          <t>00003690</t>
        </is>
      </c>
      <c r="E3099" s="16" t="n">
        <v>45920</v>
      </c>
      <c r="F3099" s="16" t="inlineStr">
        <is>
          <t>XK2509-53</t>
        </is>
      </c>
      <c r="G3099" s="16" t="n">
        <v>45920</v>
      </c>
      <c r="H3099" s="17" t="inlineStr">
        <is>
          <t>CÔNG TY CỔ PHẦN CÔNG NGHIỆP VÀ THƯƠNG MẠI CƯỜNG THỊNH</t>
        </is>
      </c>
      <c r="I3099" s="17" t="inlineStr">
        <is>
          <t>Long đền thường ZP M20B35D2</t>
        </is>
      </c>
      <c r="J3099" s="17" t="inlineStr">
        <is>
          <t>Cái</t>
        </is>
      </c>
      <c r="K3099" s="19" t="n">
        <v>350</v>
      </c>
      <c r="L3099" s="20" t="n"/>
      <c r="M3099" s="20" t="n"/>
      <c r="N3099" s="43" t="n">
        <v>2500</v>
      </c>
      <c r="O3099" s="20" t="n">
        <v>875000</v>
      </c>
      <c r="P3099" s="43" t="n">
        <v>2500</v>
      </c>
      <c r="Q3099" s="20" t="n">
        <v>875000</v>
      </c>
      <c r="R3099" s="42">
        <f>+L3099+N3099-P3099</f>
        <v/>
      </c>
      <c r="S3099" s="42">
        <f>+M3099+O3099-Q3099</f>
        <v/>
      </c>
    </row>
    <row r="3100" ht="30" customHeight="1">
      <c r="A3100" s="16" t="n">
        <v>45920</v>
      </c>
      <c r="B3100" s="17" t="inlineStr">
        <is>
          <t>MH2509-68</t>
        </is>
      </c>
      <c r="C3100" s="16" t="n">
        <v>45920</v>
      </c>
      <c r="D3100" s="17" t="inlineStr">
        <is>
          <t>00003690</t>
        </is>
      </c>
      <c r="E3100" s="16" t="n">
        <v>45920</v>
      </c>
      <c r="F3100" s="16" t="inlineStr">
        <is>
          <t>XK2509-53</t>
        </is>
      </c>
      <c r="G3100" s="16" t="n">
        <v>45920</v>
      </c>
      <c r="H3100" s="17" t="inlineStr">
        <is>
          <t>CÔNG TY CỔ PHẦN CÔNG NGHIỆP VÀ THƯƠNG MẠI CƯỜNG THỊNH</t>
        </is>
      </c>
      <c r="I3100" s="17" t="inlineStr">
        <is>
          <t>Bulong Din 933 8.8 ZP M20x80</t>
        </is>
      </c>
      <c r="J3100" s="17" t="inlineStr">
        <is>
          <t>Cái</t>
        </is>
      </c>
      <c r="K3100" s="19" t="n">
        <v>7630</v>
      </c>
      <c r="L3100" s="20" t="n"/>
      <c r="M3100" s="20" t="n"/>
      <c r="N3100" s="43" t="n">
        <v>396</v>
      </c>
      <c r="O3100" s="20" t="n">
        <v>3021480</v>
      </c>
      <c r="P3100" s="43" t="n">
        <v>396</v>
      </c>
      <c r="Q3100" s="20" t="n">
        <v>3021480</v>
      </c>
      <c r="R3100" s="42">
        <f>+L3100+N3100-P3100</f>
        <v/>
      </c>
      <c r="S3100" s="42">
        <f>+M3100+O3100-Q3100</f>
        <v/>
      </c>
    </row>
    <row r="3101" ht="30" customHeight="1">
      <c r="A3101" s="16" t="n">
        <v>45920</v>
      </c>
      <c r="B3101" s="17" t="inlineStr">
        <is>
          <t>MH2509-68</t>
        </is>
      </c>
      <c r="C3101" s="16" t="n">
        <v>45920</v>
      </c>
      <c r="D3101" s="17" t="inlineStr">
        <is>
          <t>00003690</t>
        </is>
      </c>
      <c r="E3101" s="16" t="n">
        <v>45920</v>
      </c>
      <c r="F3101" s="16" t="inlineStr">
        <is>
          <t>XK2509-53</t>
        </is>
      </c>
      <c r="G3101" s="16" t="n">
        <v>45920</v>
      </c>
      <c r="H3101" s="17" t="inlineStr">
        <is>
          <t>CÔNG TY CỔ PHẦN CÔNG NGHIỆP VÀ THƯƠNG MẠI CƯỜNG THỊNH</t>
        </is>
      </c>
      <c r="I3101" s="17" t="inlineStr">
        <is>
          <t>Đai ốc Din 934 8 ZP M20</t>
        </is>
      </c>
      <c r="J3101" s="17" t="inlineStr">
        <is>
          <t>Cái</t>
        </is>
      </c>
      <c r="K3101" s="19" t="n">
        <v>2030</v>
      </c>
      <c r="L3101" s="20" t="n"/>
      <c r="M3101" s="20" t="n"/>
      <c r="N3101" s="43" t="n">
        <v>396</v>
      </c>
      <c r="O3101" s="20" t="n">
        <v>803880</v>
      </c>
      <c r="P3101" s="43" t="n">
        <v>396</v>
      </c>
      <c r="Q3101" s="20" t="n">
        <v>803880</v>
      </c>
      <c r="R3101" s="42">
        <f>+L3101+N3101-P3101</f>
        <v/>
      </c>
      <c r="S3101" s="42">
        <f>+M3101+O3101-Q3101</f>
        <v/>
      </c>
    </row>
    <row r="3102" ht="30" customHeight="1">
      <c r="A3102" s="16" t="n">
        <v>45920</v>
      </c>
      <c r="B3102" s="17" t="inlineStr">
        <is>
          <t>MH2509-68</t>
        </is>
      </c>
      <c r="C3102" s="16" t="n">
        <v>45920</v>
      </c>
      <c r="D3102" s="17" t="inlineStr">
        <is>
          <t>00003690</t>
        </is>
      </c>
      <c r="E3102" s="16" t="n">
        <v>45920</v>
      </c>
      <c r="F3102" s="16" t="inlineStr">
        <is>
          <t>XK2509-53</t>
        </is>
      </c>
      <c r="G3102" s="16" t="n">
        <v>45920</v>
      </c>
      <c r="H3102" s="17" t="inlineStr">
        <is>
          <t>CÔNG TY CỔ PHẦN CÔNG NGHIỆP VÀ THƯƠNG MẠI CƯỜNG THỊNH</t>
        </is>
      </c>
      <c r="I3102" s="17" t="inlineStr">
        <is>
          <t>Long đền thường ZP M20B35D2</t>
        </is>
      </c>
      <c r="J3102" s="17" t="inlineStr">
        <is>
          <t>Cái</t>
        </is>
      </c>
      <c r="K3102" s="19" t="n">
        <v>350</v>
      </c>
      <c r="L3102" s="20" t="n"/>
      <c r="M3102" s="20" t="n"/>
      <c r="N3102" s="43" t="n">
        <v>396</v>
      </c>
      <c r="O3102" s="20" t="n">
        <v>138600</v>
      </c>
      <c r="P3102" s="43" t="n">
        <v>396</v>
      </c>
      <c r="Q3102" s="20" t="n">
        <v>138600</v>
      </c>
      <c r="R3102" s="42">
        <f>+L3102+N3102-P3102</f>
        <v/>
      </c>
      <c r="S3102" s="42">
        <f>+M3102+O3102-Q3102</f>
        <v/>
      </c>
    </row>
    <row r="3103" ht="30" customHeight="1">
      <c r="A3103" s="16" t="n">
        <v>45920</v>
      </c>
      <c r="B3103" s="17" t="inlineStr">
        <is>
          <t>MH2509-68</t>
        </is>
      </c>
      <c r="C3103" s="16" t="n">
        <v>45920</v>
      </c>
      <c r="D3103" s="17" t="inlineStr">
        <is>
          <t>00003690</t>
        </is>
      </c>
      <c r="E3103" s="16" t="n">
        <v>45920</v>
      </c>
      <c r="F3103" s="16" t="inlineStr">
        <is>
          <t>XK2509-53</t>
        </is>
      </c>
      <c r="G3103" s="16" t="n">
        <v>45920</v>
      </c>
      <c r="H3103" s="17" t="inlineStr">
        <is>
          <t>CÔNG TY CỔ PHẦN CÔNG NGHIỆP VÀ THƯƠNG MẠI CƯỜNG THỊNH</t>
        </is>
      </c>
      <c r="I3103" s="17" t="inlineStr">
        <is>
          <t>Vít B2 Dacromet 12-14x20</t>
        </is>
      </c>
      <c r="J3103" s="17" t="inlineStr">
        <is>
          <t>Cái</t>
        </is>
      </c>
      <c r="K3103" s="19" t="n">
        <v>600</v>
      </c>
      <c r="L3103" s="20" t="n"/>
      <c r="M3103" s="20" t="n"/>
      <c r="N3103" s="43" t="n">
        <v>1000</v>
      </c>
      <c r="O3103" s="20" t="n">
        <v>600000</v>
      </c>
      <c r="P3103" s="43" t="n">
        <v>1000</v>
      </c>
      <c r="Q3103" s="20" t="n">
        <v>600000</v>
      </c>
      <c r="R3103" s="42">
        <f>+L3103+N3103-P3103</f>
        <v/>
      </c>
      <c r="S3103" s="42">
        <f>+M3103+O3103-Q3103</f>
        <v/>
      </c>
    </row>
    <row r="3104" ht="30" customHeight="1">
      <c r="A3104" s="16" t="n">
        <v>45920</v>
      </c>
      <c r="B3104" s="17" t="inlineStr">
        <is>
          <t>MH2509-68</t>
        </is>
      </c>
      <c r="C3104" s="16" t="n">
        <v>45920</v>
      </c>
      <c r="D3104" s="17" t="inlineStr">
        <is>
          <t>00003690</t>
        </is>
      </c>
      <c r="E3104" s="16" t="n">
        <v>45920</v>
      </c>
      <c r="F3104" s="16" t="inlineStr">
        <is>
          <t>XK2509-53</t>
        </is>
      </c>
      <c r="G3104" s="16" t="n">
        <v>45920</v>
      </c>
      <c r="H3104" s="17" t="inlineStr">
        <is>
          <t>CÔNG TY CỔ PHẦN CÔNG NGHIỆP VÀ THƯƠNG MẠI CƯỜNG THỊNH</t>
        </is>
      </c>
      <c r="I3104" s="17" t="inlineStr">
        <is>
          <t>Vít B2 Dacromet 12-24x38 HWFS (lục giác)</t>
        </is>
      </c>
      <c r="J3104" s="17" t="inlineStr">
        <is>
          <t>Cái</t>
        </is>
      </c>
      <c r="K3104" s="19" t="n">
        <v>1920</v>
      </c>
      <c r="L3104" s="20" t="n"/>
      <c r="M3104" s="20" t="n"/>
      <c r="N3104" s="43" t="n">
        <v>2600</v>
      </c>
      <c r="O3104" s="20" t="n">
        <v>4992000</v>
      </c>
      <c r="P3104" s="43" t="n">
        <v>2600</v>
      </c>
      <c r="Q3104" s="20" t="n">
        <v>4992000</v>
      </c>
      <c r="R3104" s="42">
        <f>+L3104+N3104-P3104</f>
        <v/>
      </c>
      <c r="S3104" s="42">
        <f>+M3104+O3104-Q3104</f>
        <v/>
      </c>
    </row>
    <row r="3105" ht="30" customHeight="1">
      <c r="A3105" s="16" t="n">
        <v>45920</v>
      </c>
      <c r="B3105" s="17" t="inlineStr">
        <is>
          <t>MH2509-68</t>
        </is>
      </c>
      <c r="C3105" s="16" t="n">
        <v>45920</v>
      </c>
      <c r="D3105" s="17" t="inlineStr">
        <is>
          <t>00003690</t>
        </is>
      </c>
      <c r="E3105" s="16" t="n">
        <v>45920</v>
      </c>
      <c r="F3105" s="16" t="inlineStr">
        <is>
          <t>XK2509-53</t>
        </is>
      </c>
      <c r="G3105" s="16" t="n">
        <v>45920</v>
      </c>
      <c r="H3105" s="17" t="inlineStr">
        <is>
          <t>CÔNG TY CỔ PHẦN CÔNG NGHIỆP VÀ THƯƠNG MẠI CƯỜNG THỊNH</t>
        </is>
      </c>
      <c r="I3105" s="17" t="inlineStr">
        <is>
          <t>Bulong thường 4.6 ZP M12x40</t>
        </is>
      </c>
      <c r="J3105" s="17" t="inlineStr">
        <is>
          <t>Cái</t>
        </is>
      </c>
      <c r="K3105" s="19" t="n">
        <v>1100</v>
      </c>
      <c r="L3105" s="20" t="n"/>
      <c r="M3105" s="20" t="n"/>
      <c r="N3105" s="43" t="n">
        <v>476</v>
      </c>
      <c r="O3105" s="20" t="n">
        <v>523600</v>
      </c>
      <c r="P3105" s="43" t="n">
        <v>476</v>
      </c>
      <c r="Q3105" s="20" t="n">
        <v>523600</v>
      </c>
      <c r="R3105" s="42">
        <f>+L3105+N3105-P3105</f>
        <v/>
      </c>
      <c r="S3105" s="42">
        <f>+M3105+O3105-Q3105</f>
        <v/>
      </c>
    </row>
    <row r="3106" ht="30" customHeight="1">
      <c r="A3106" s="16" t="n">
        <v>45920</v>
      </c>
      <c r="B3106" s="17" t="inlineStr">
        <is>
          <t>MH2509-68</t>
        </is>
      </c>
      <c r="C3106" s="16" t="n">
        <v>45920</v>
      </c>
      <c r="D3106" s="17" t="inlineStr">
        <is>
          <t>00003690</t>
        </is>
      </c>
      <c r="E3106" s="16" t="n">
        <v>45920</v>
      </c>
      <c r="F3106" s="16" t="inlineStr">
        <is>
          <t>XK2509-53</t>
        </is>
      </c>
      <c r="G3106" s="16" t="n">
        <v>45920</v>
      </c>
      <c r="H3106" s="17" t="inlineStr">
        <is>
          <t>CÔNG TY CỔ PHẦN CÔNG NGHIỆP VÀ THƯƠNG MẠI CƯỜNG THỊNH</t>
        </is>
      </c>
      <c r="I3106" s="17" t="inlineStr">
        <is>
          <t>Đai ốc thường 4 ZP M12 (9mm)</t>
        </is>
      </c>
      <c r="J3106" s="17" t="inlineStr">
        <is>
          <t>Cái</t>
        </is>
      </c>
      <c r="K3106" s="19" t="n">
        <v>360</v>
      </c>
      <c r="L3106" s="20" t="n"/>
      <c r="M3106" s="20" t="n"/>
      <c r="N3106" s="43" t="n">
        <v>476</v>
      </c>
      <c r="O3106" s="20" t="n">
        <v>171360</v>
      </c>
      <c r="P3106" s="43" t="n">
        <v>476</v>
      </c>
      <c r="Q3106" s="20" t="n">
        <v>171360</v>
      </c>
      <c r="R3106" s="42">
        <f>+L3106+N3106-P3106</f>
        <v/>
      </c>
      <c r="S3106" s="42">
        <f>+M3106+O3106-Q3106</f>
        <v/>
      </c>
    </row>
    <row r="3107" ht="30" customHeight="1">
      <c r="A3107" s="16" t="n">
        <v>45920</v>
      </c>
      <c r="B3107" s="17" t="inlineStr">
        <is>
          <t>MH2509-68</t>
        </is>
      </c>
      <c r="C3107" s="16" t="n">
        <v>45920</v>
      </c>
      <c r="D3107" s="17" t="inlineStr">
        <is>
          <t>00003690</t>
        </is>
      </c>
      <c r="E3107" s="16" t="n">
        <v>45920</v>
      </c>
      <c r="F3107" s="16" t="inlineStr">
        <is>
          <t>XK2509-53</t>
        </is>
      </c>
      <c r="G3107" s="16" t="n">
        <v>45920</v>
      </c>
      <c r="H3107" s="17" t="inlineStr">
        <is>
          <t>CÔNG TY CỔ PHẦN CÔNG NGHIỆP VÀ THƯƠNG MẠI CƯỜNG THỊNH</t>
        </is>
      </c>
      <c r="I3107" s="17" t="inlineStr">
        <is>
          <t>Long đền thường ZP M12B23D1</t>
        </is>
      </c>
      <c r="J3107" s="17" t="inlineStr">
        <is>
          <t>Cái</t>
        </is>
      </c>
      <c r="K3107" s="19" t="n">
        <v>100</v>
      </c>
      <c r="L3107" s="20" t="n"/>
      <c r="M3107" s="20" t="n"/>
      <c r="N3107" s="43" t="n">
        <v>952</v>
      </c>
      <c r="O3107" s="20" t="n">
        <v>95200</v>
      </c>
      <c r="P3107" s="43" t="n">
        <v>952</v>
      </c>
      <c r="Q3107" s="20" t="n">
        <v>95200</v>
      </c>
      <c r="R3107" s="42">
        <f>+L3107+N3107-P3107</f>
        <v/>
      </c>
      <c r="S3107" s="42">
        <f>+M3107+O3107-Q3107</f>
        <v/>
      </c>
    </row>
    <row r="3108" ht="30" customHeight="1">
      <c r="A3108" s="16" t="n">
        <v>45920</v>
      </c>
      <c r="B3108" s="17" t="inlineStr">
        <is>
          <t>MH2509-68</t>
        </is>
      </c>
      <c r="C3108" s="16" t="n">
        <v>45920</v>
      </c>
      <c r="D3108" s="17" t="inlineStr">
        <is>
          <t>00003690</t>
        </is>
      </c>
      <c r="E3108" s="16" t="n">
        <v>45920</v>
      </c>
      <c r="F3108" s="16" t="inlineStr">
        <is>
          <t>XK2509-53</t>
        </is>
      </c>
      <c r="G3108" s="16" t="n">
        <v>45920</v>
      </c>
      <c r="H3108" s="17" t="inlineStr">
        <is>
          <t>CÔNG TY CỔ PHẦN CÔNG NGHIỆP VÀ THƯƠNG MẠI CƯỜNG THỊNH</t>
        </is>
      </c>
      <c r="I3108" s="17" t="inlineStr">
        <is>
          <t>Bulong Din 933 8.8 ZP M24x70</t>
        </is>
      </c>
      <c r="J3108" s="17" t="inlineStr">
        <is>
          <t>Cái</t>
        </is>
      </c>
      <c r="K3108" s="19" t="n">
        <v>11010</v>
      </c>
      <c r="L3108" s="20" t="n"/>
      <c r="M3108" s="20" t="n"/>
      <c r="N3108" s="43" t="n">
        <v>791</v>
      </c>
      <c r="O3108" s="20" t="n">
        <v>8708910</v>
      </c>
      <c r="P3108" s="43" t="n">
        <v>791</v>
      </c>
      <c r="Q3108" s="20" t="n">
        <v>8708910</v>
      </c>
      <c r="R3108" s="42">
        <f>+L3108+N3108-P3108</f>
        <v/>
      </c>
      <c r="S3108" s="42">
        <f>+M3108+O3108-Q3108</f>
        <v/>
      </c>
    </row>
    <row r="3109" ht="30" customHeight="1">
      <c r="A3109" s="16" t="n">
        <v>45920</v>
      </c>
      <c r="B3109" s="17" t="inlineStr">
        <is>
          <t>MH2509-68</t>
        </is>
      </c>
      <c r="C3109" s="16" t="n">
        <v>45920</v>
      </c>
      <c r="D3109" s="17" t="inlineStr">
        <is>
          <t>00003690</t>
        </is>
      </c>
      <c r="E3109" s="16" t="n">
        <v>45920</v>
      </c>
      <c r="F3109" s="16" t="inlineStr">
        <is>
          <t>XK2509-53</t>
        </is>
      </c>
      <c r="G3109" s="16" t="n">
        <v>45920</v>
      </c>
      <c r="H3109" s="17" t="inlineStr">
        <is>
          <t>CÔNG TY CỔ PHẦN CÔNG NGHIỆP VÀ THƯƠNG MẠI CƯỜNG THỊNH</t>
        </is>
      </c>
      <c r="I3109" s="17" t="inlineStr">
        <is>
          <t>Đai ốc Din 934 8 ZP M24</t>
        </is>
      </c>
      <c r="J3109" s="17" t="inlineStr">
        <is>
          <t>Cái</t>
        </is>
      </c>
      <c r="K3109" s="19" t="n">
        <v>3500</v>
      </c>
      <c r="L3109" s="20" t="n"/>
      <c r="M3109" s="20" t="n"/>
      <c r="N3109" s="43" t="n">
        <v>791</v>
      </c>
      <c r="O3109" s="20" t="n">
        <v>2768500</v>
      </c>
      <c r="P3109" s="43" t="n">
        <v>791</v>
      </c>
      <c r="Q3109" s="20" t="n">
        <v>2768500</v>
      </c>
      <c r="R3109" s="42">
        <f>+L3109+N3109-P3109</f>
        <v/>
      </c>
      <c r="S3109" s="42">
        <f>+M3109+O3109-Q3109</f>
        <v/>
      </c>
    </row>
    <row r="3110" ht="30" customHeight="1">
      <c r="A3110" s="16" t="n">
        <v>45920</v>
      </c>
      <c r="B3110" s="17" t="inlineStr">
        <is>
          <t>MH2509-68</t>
        </is>
      </c>
      <c r="C3110" s="16" t="n">
        <v>45920</v>
      </c>
      <c r="D3110" s="17" t="inlineStr">
        <is>
          <t>00003690</t>
        </is>
      </c>
      <c r="E3110" s="16" t="n">
        <v>45920</v>
      </c>
      <c r="F3110" s="16" t="inlineStr">
        <is>
          <t>XK2509-53</t>
        </is>
      </c>
      <c r="G3110" s="16" t="n">
        <v>45920</v>
      </c>
      <c r="H3110" s="17" t="inlineStr">
        <is>
          <t>CÔNG TY CỔ PHẦN CÔNG NGHIỆP VÀ THƯƠNG MẠI CƯỜNG THỊNH</t>
        </is>
      </c>
      <c r="I3110" s="17" t="inlineStr">
        <is>
          <t>Long đền thường ZP M24B40-42D2</t>
        </is>
      </c>
      <c r="J3110" s="17" t="inlineStr">
        <is>
          <t>Cái</t>
        </is>
      </c>
      <c r="K3110" s="19" t="n">
        <v>660</v>
      </c>
      <c r="L3110" s="20" t="n"/>
      <c r="M3110" s="20" t="n"/>
      <c r="N3110" s="43" t="n">
        <v>791</v>
      </c>
      <c r="O3110" s="20" t="n">
        <v>522060</v>
      </c>
      <c r="P3110" s="43" t="n">
        <v>791</v>
      </c>
      <c r="Q3110" s="20" t="n">
        <v>522060</v>
      </c>
      <c r="R3110" s="42">
        <f>+L3110+N3110-P3110</f>
        <v/>
      </c>
      <c r="S3110" s="42">
        <f>+M3110+O3110-Q3110</f>
        <v/>
      </c>
    </row>
    <row r="3111" ht="30" customHeight="1">
      <c r="A3111" s="16" t="n">
        <v>45920</v>
      </c>
      <c r="B3111" s="17" t="inlineStr">
        <is>
          <t>MH2509-68</t>
        </is>
      </c>
      <c r="C3111" s="16" t="n">
        <v>45920</v>
      </c>
      <c r="D3111" s="17" t="inlineStr">
        <is>
          <t>00003690</t>
        </is>
      </c>
      <c r="E3111" s="16" t="n">
        <v>45920</v>
      </c>
      <c r="F3111" s="16" t="inlineStr">
        <is>
          <t>XK2509-53</t>
        </is>
      </c>
      <c r="G3111" s="16" t="n">
        <v>45920</v>
      </c>
      <c r="H3111" s="17" t="inlineStr">
        <is>
          <t>CÔNG TY CỔ PHẦN CÔNG NGHIỆP VÀ THƯƠNG MẠI CƯỜNG THỊNH</t>
        </is>
      </c>
      <c r="I3111" s="17" t="inlineStr">
        <is>
          <t>Bulong nở 5.6 ZP M12x100</t>
        </is>
      </c>
      <c r="J3111" s="17" t="inlineStr">
        <is>
          <t>Bộ</t>
        </is>
      </c>
      <c r="K3111" s="19" t="n">
        <v>8380</v>
      </c>
      <c r="L3111" s="20" t="n"/>
      <c r="M3111" s="20" t="n"/>
      <c r="N3111" s="43" t="n">
        <v>194</v>
      </c>
      <c r="O3111" s="20" t="n">
        <v>1625720</v>
      </c>
      <c r="P3111" s="43" t="n">
        <v>194</v>
      </c>
      <c r="Q3111" s="20" t="n">
        <v>1625720</v>
      </c>
      <c r="R3111" s="42">
        <f>+L3111+N3111-P3111</f>
        <v/>
      </c>
      <c r="S3111" s="42">
        <f>+M3111+O3111-Q3111</f>
        <v/>
      </c>
    </row>
    <row r="3112" ht="30" customHeight="1">
      <c r="A3112" s="16" t="n">
        <v>45920</v>
      </c>
      <c r="B3112" s="17" t="inlineStr">
        <is>
          <t>MH2509-68</t>
        </is>
      </c>
      <c r="C3112" s="16" t="n">
        <v>45920</v>
      </c>
      <c r="D3112" s="17" t="inlineStr">
        <is>
          <t>00003690</t>
        </is>
      </c>
      <c r="E3112" s="16" t="n">
        <v>45920</v>
      </c>
      <c r="F3112" s="16" t="inlineStr">
        <is>
          <t>XK2509-53</t>
        </is>
      </c>
      <c r="G3112" s="16" t="n">
        <v>45920</v>
      </c>
      <c r="H3112" s="17" t="inlineStr">
        <is>
          <t>CÔNG TY CỔ PHẦN CÔNG NGHIỆP VÀ THƯƠNG MẠI CƯỜNG THỊNH</t>
        </is>
      </c>
      <c r="I3112" s="17" t="inlineStr">
        <is>
          <t>Đinh hàn 4.8 M16x100</t>
        </is>
      </c>
      <c r="J3112" s="17" t="inlineStr">
        <is>
          <t>Bộ</t>
        </is>
      </c>
      <c r="K3112" s="19" t="n">
        <v>5800</v>
      </c>
      <c r="L3112" s="20" t="n"/>
      <c r="M3112" s="20" t="n"/>
      <c r="N3112" s="43" t="n">
        <v>2589</v>
      </c>
      <c r="O3112" s="20" t="n">
        <v>15016200</v>
      </c>
      <c r="P3112" s="43" t="n">
        <v>2589</v>
      </c>
      <c r="Q3112" s="20" t="n">
        <v>15016200</v>
      </c>
      <c r="R3112" s="42">
        <f>+L3112+N3112-P3112</f>
        <v/>
      </c>
      <c r="S3112" s="42">
        <f>+M3112+O3112-Q3112</f>
        <v/>
      </c>
    </row>
    <row r="3113" ht="30" customHeight="1">
      <c r="A3113" s="16" t="n">
        <v>45920</v>
      </c>
      <c r="B3113" s="17" t="inlineStr">
        <is>
          <t>MH2509-69</t>
        </is>
      </c>
      <c r="C3113" s="16" t="n">
        <v>45920</v>
      </c>
      <c r="D3113" s="17" t="inlineStr">
        <is>
          <t>00003689</t>
        </is>
      </c>
      <c r="E3113" s="16" t="n">
        <v>45920</v>
      </c>
      <c r="F3113" s="16" t="inlineStr">
        <is>
          <t>XK2509-51</t>
        </is>
      </c>
      <c r="G3113" s="16" t="n">
        <v>45920</v>
      </c>
      <c r="H3113" s="17" t="inlineStr">
        <is>
          <t>CÔNG TY CỔ PHẦN CÔNG NGHIỆP VÀ THƯƠNG MẠI CƯỜNG THỊNH</t>
        </is>
      </c>
      <c r="I3113" s="17" t="inlineStr">
        <is>
          <t>Bulong thường 4.6 ZP M12x30</t>
        </is>
      </c>
      <c r="J3113" s="17" t="inlineStr">
        <is>
          <t>Cái</t>
        </is>
      </c>
      <c r="K3113" s="19" t="n">
        <v>950</v>
      </c>
      <c r="L3113" s="20" t="n"/>
      <c r="M3113" s="20" t="n"/>
      <c r="N3113" s="43" t="n">
        <v>2190</v>
      </c>
      <c r="O3113" s="20" t="n">
        <v>2080500</v>
      </c>
      <c r="P3113" s="43" t="n">
        <v>2190</v>
      </c>
      <c r="Q3113" s="20" t="n">
        <v>2080500</v>
      </c>
      <c r="R3113" s="42">
        <f>+L3113+N3113-P3113</f>
        <v/>
      </c>
      <c r="S3113" s="42">
        <f>+M3113+O3113-Q3113</f>
        <v/>
      </c>
    </row>
    <row r="3114" ht="30" customHeight="1">
      <c r="A3114" s="16" t="n">
        <v>45920</v>
      </c>
      <c r="B3114" s="17" t="inlineStr">
        <is>
          <t>MH2509-69</t>
        </is>
      </c>
      <c r="C3114" s="16" t="n">
        <v>45920</v>
      </c>
      <c r="D3114" s="17" t="inlineStr">
        <is>
          <t>00003689</t>
        </is>
      </c>
      <c r="E3114" s="16" t="n">
        <v>45920</v>
      </c>
      <c r="F3114" s="16" t="inlineStr">
        <is>
          <t>XK2509-51</t>
        </is>
      </c>
      <c r="G3114" s="16" t="n">
        <v>45920</v>
      </c>
      <c r="H3114" s="17" t="inlineStr">
        <is>
          <t>CÔNG TY CỔ PHẦN CÔNG NGHIỆP VÀ THƯƠNG MẠI CƯỜNG THỊNH</t>
        </is>
      </c>
      <c r="I3114" s="17" t="inlineStr">
        <is>
          <t>Đai ốc thường 4 ZP M12 (8mm)</t>
        </is>
      </c>
      <c r="J3114" s="17" t="inlineStr">
        <is>
          <t>Cái</t>
        </is>
      </c>
      <c r="K3114" s="19" t="n">
        <v>360</v>
      </c>
      <c r="L3114" s="20" t="n"/>
      <c r="M3114" s="20" t="n"/>
      <c r="N3114" s="43" t="n">
        <v>2190</v>
      </c>
      <c r="O3114" s="20" t="n">
        <v>788400</v>
      </c>
      <c r="P3114" s="43" t="n">
        <v>2190</v>
      </c>
      <c r="Q3114" s="20" t="n">
        <v>788400</v>
      </c>
      <c r="R3114" s="42">
        <f>+L3114+N3114-P3114</f>
        <v/>
      </c>
      <c r="S3114" s="42">
        <f>+M3114+O3114-Q3114</f>
        <v/>
      </c>
    </row>
    <row r="3115" ht="30" customHeight="1">
      <c r="A3115" s="16" t="n">
        <v>45920</v>
      </c>
      <c r="B3115" s="17" t="inlineStr">
        <is>
          <t>MH2509-69</t>
        </is>
      </c>
      <c r="C3115" s="16" t="n">
        <v>45920</v>
      </c>
      <c r="D3115" s="17" t="inlineStr">
        <is>
          <t>00003689</t>
        </is>
      </c>
      <c r="E3115" s="16" t="n">
        <v>45920</v>
      </c>
      <c r="F3115" s="16" t="inlineStr">
        <is>
          <t>XK2509-51</t>
        </is>
      </c>
      <c r="G3115" s="16" t="n">
        <v>45920</v>
      </c>
      <c r="H3115" s="17" t="inlineStr">
        <is>
          <t>CÔNG TY CỔ PHẦN CÔNG NGHIỆP VÀ THƯƠNG MẠI CƯỜNG THỊNH</t>
        </is>
      </c>
      <c r="I3115" s="17" t="inlineStr">
        <is>
          <t>Long đền thường ZP M12B23D1</t>
        </is>
      </c>
      <c r="J3115" s="17" t="inlineStr">
        <is>
          <t>Cái</t>
        </is>
      </c>
      <c r="K3115" s="19" t="n">
        <v>100</v>
      </c>
      <c r="L3115" s="20" t="n"/>
      <c r="M3115" s="20" t="n"/>
      <c r="N3115" s="43" t="n">
        <v>4380</v>
      </c>
      <c r="O3115" s="20" t="n">
        <v>438000</v>
      </c>
      <c r="P3115" s="43" t="n">
        <v>4380</v>
      </c>
      <c r="Q3115" s="20" t="n">
        <v>438000</v>
      </c>
      <c r="R3115" s="42">
        <f>+L3115+N3115-P3115</f>
        <v/>
      </c>
      <c r="S3115" s="42">
        <f>+M3115+O3115-Q3115</f>
        <v/>
      </c>
    </row>
    <row r="3116" ht="30" customHeight="1">
      <c r="A3116" s="16" t="n">
        <v>45920</v>
      </c>
      <c r="B3116" s="17" t="inlineStr">
        <is>
          <t>MH2509-69</t>
        </is>
      </c>
      <c r="C3116" s="16" t="n">
        <v>45920</v>
      </c>
      <c r="D3116" s="17" t="inlineStr">
        <is>
          <t>00003689</t>
        </is>
      </c>
      <c r="E3116" s="16" t="n">
        <v>45920</v>
      </c>
      <c r="F3116" s="16" t="inlineStr">
        <is>
          <t>XK2509-51</t>
        </is>
      </c>
      <c r="G3116" s="16" t="n">
        <v>45920</v>
      </c>
      <c r="H3116" s="17" t="inlineStr">
        <is>
          <t>CÔNG TY CỔ PHẦN CÔNG NGHIỆP VÀ THƯƠNG MẠI CƯỜNG THỊNH</t>
        </is>
      </c>
      <c r="I3116" s="17" t="inlineStr">
        <is>
          <t>Bulong Din 933 8.8 ZP M16x50</t>
        </is>
      </c>
      <c r="J3116" s="17" t="inlineStr">
        <is>
          <t>Cái</t>
        </is>
      </c>
      <c r="K3116" s="19" t="n">
        <v>3470</v>
      </c>
      <c r="L3116" s="20" t="n"/>
      <c r="M3116" s="20" t="n"/>
      <c r="N3116" s="43" t="n">
        <v>97</v>
      </c>
      <c r="O3116" s="20" t="n">
        <v>336590</v>
      </c>
      <c r="P3116" s="43" t="n">
        <v>97</v>
      </c>
      <c r="Q3116" s="20" t="n">
        <v>336590</v>
      </c>
      <c r="R3116" s="42">
        <f>+L3116+N3116-P3116</f>
        <v/>
      </c>
      <c r="S3116" s="42">
        <f>+M3116+O3116-Q3116</f>
        <v/>
      </c>
    </row>
    <row r="3117" ht="30" customHeight="1">
      <c r="A3117" s="16" t="n">
        <v>45920</v>
      </c>
      <c r="B3117" s="17" t="inlineStr">
        <is>
          <t>MH2509-69</t>
        </is>
      </c>
      <c r="C3117" s="16" t="n">
        <v>45920</v>
      </c>
      <c r="D3117" s="17" t="inlineStr">
        <is>
          <t>00003689</t>
        </is>
      </c>
      <c r="E3117" s="16" t="n">
        <v>45920</v>
      </c>
      <c r="F3117" s="16" t="inlineStr">
        <is>
          <t>XK2509-51</t>
        </is>
      </c>
      <c r="G3117" s="16" t="n">
        <v>45920</v>
      </c>
      <c r="H3117" s="17" t="inlineStr">
        <is>
          <t>CÔNG TY CỔ PHẦN CÔNG NGHIỆP VÀ THƯƠNG MẠI CƯỜNG THỊNH</t>
        </is>
      </c>
      <c r="I3117" s="17" t="inlineStr">
        <is>
          <t>Đai ốc Din 934 8 ZP M16</t>
        </is>
      </c>
      <c r="J3117" s="17" t="inlineStr">
        <is>
          <t>Cái</t>
        </is>
      </c>
      <c r="K3117" s="19" t="n">
        <v>1080</v>
      </c>
      <c r="L3117" s="20" t="n"/>
      <c r="M3117" s="20" t="n"/>
      <c r="N3117" s="43" t="n">
        <v>97</v>
      </c>
      <c r="O3117" s="20" t="n">
        <v>104760</v>
      </c>
      <c r="P3117" s="43" t="n">
        <v>97</v>
      </c>
      <c r="Q3117" s="20" t="n">
        <v>104760</v>
      </c>
      <c r="R3117" s="42">
        <f>+L3117+N3117-P3117</f>
        <v/>
      </c>
      <c r="S3117" s="42">
        <f>+M3117+O3117-Q3117</f>
        <v/>
      </c>
    </row>
    <row r="3118" ht="30" customHeight="1">
      <c r="A3118" s="16" t="n">
        <v>45920</v>
      </c>
      <c r="B3118" s="17" t="inlineStr">
        <is>
          <t>MH2509-69</t>
        </is>
      </c>
      <c r="C3118" s="16" t="n">
        <v>45920</v>
      </c>
      <c r="D3118" s="17" t="inlineStr">
        <is>
          <t>00003689</t>
        </is>
      </c>
      <c r="E3118" s="16" t="n">
        <v>45920</v>
      </c>
      <c r="F3118" s="16" t="inlineStr">
        <is>
          <t>XK2509-51</t>
        </is>
      </c>
      <c r="G3118" s="16" t="n">
        <v>45920</v>
      </c>
      <c r="H3118" s="17" t="inlineStr">
        <is>
          <t>CÔNG TY CỔ PHẦN CÔNG NGHIỆP VÀ THƯƠNG MẠI CƯỜNG THỊNH</t>
        </is>
      </c>
      <c r="I3118" s="17" t="inlineStr">
        <is>
          <t>Long đền thường ZP M16B30D2</t>
        </is>
      </c>
      <c r="J3118" s="17" t="inlineStr">
        <is>
          <t>Cái</t>
        </is>
      </c>
      <c r="K3118" s="19" t="n">
        <v>340</v>
      </c>
      <c r="L3118" s="20" t="n"/>
      <c r="M3118" s="20" t="n"/>
      <c r="N3118" s="43" t="n">
        <v>97</v>
      </c>
      <c r="O3118" s="20" t="n">
        <v>32980</v>
      </c>
      <c r="P3118" s="43" t="n">
        <v>97</v>
      </c>
      <c r="Q3118" s="20" t="n">
        <v>32980</v>
      </c>
      <c r="R3118" s="42">
        <f>+L3118+N3118-P3118</f>
        <v/>
      </c>
      <c r="S3118" s="42">
        <f>+M3118+O3118-Q3118</f>
        <v/>
      </c>
    </row>
    <row r="3119" ht="30" customHeight="1">
      <c r="A3119" s="16" t="n">
        <v>45920</v>
      </c>
      <c r="B3119" s="17" t="inlineStr">
        <is>
          <t>MH2509-69</t>
        </is>
      </c>
      <c r="C3119" s="16" t="n">
        <v>45920</v>
      </c>
      <c r="D3119" s="17" t="inlineStr">
        <is>
          <t>00003689</t>
        </is>
      </c>
      <c r="E3119" s="16" t="n">
        <v>45920</v>
      </c>
      <c r="F3119" s="16" t="inlineStr">
        <is>
          <t>XK2509-51</t>
        </is>
      </c>
      <c r="G3119" s="16" t="n">
        <v>45920</v>
      </c>
      <c r="H3119" s="17" t="inlineStr">
        <is>
          <t>CÔNG TY CỔ PHẦN CÔNG NGHIỆP VÀ THƯƠNG MẠI CƯỜNG THỊNH</t>
        </is>
      </c>
      <c r="I3119" s="17" t="inlineStr">
        <is>
          <t>Bulong Din 933 8.8 ZP M20x60</t>
        </is>
      </c>
      <c r="J3119" s="17" t="inlineStr">
        <is>
          <t>Cái</t>
        </is>
      </c>
      <c r="K3119" s="19" t="n">
        <v>6360</v>
      </c>
      <c r="L3119" s="20" t="n"/>
      <c r="M3119" s="20" t="n"/>
      <c r="N3119" s="43" t="n">
        <v>2292</v>
      </c>
      <c r="O3119" s="20" t="n">
        <v>14577120</v>
      </c>
      <c r="P3119" s="43" t="n">
        <v>2292</v>
      </c>
      <c r="Q3119" s="20" t="n">
        <v>14577120</v>
      </c>
      <c r="R3119" s="42">
        <f>+L3119+N3119-P3119</f>
        <v/>
      </c>
      <c r="S3119" s="42">
        <f>+M3119+O3119-Q3119</f>
        <v/>
      </c>
    </row>
    <row r="3120" ht="30" customHeight="1">
      <c r="A3120" s="16" t="n">
        <v>45920</v>
      </c>
      <c r="B3120" s="17" t="inlineStr">
        <is>
          <t>MH2509-69</t>
        </is>
      </c>
      <c r="C3120" s="16" t="n">
        <v>45920</v>
      </c>
      <c r="D3120" s="17" t="inlineStr">
        <is>
          <t>00003689</t>
        </is>
      </c>
      <c r="E3120" s="16" t="n">
        <v>45920</v>
      </c>
      <c r="F3120" s="16" t="inlineStr">
        <is>
          <t>XK2509-51</t>
        </is>
      </c>
      <c r="G3120" s="16" t="n">
        <v>45920</v>
      </c>
      <c r="H3120" s="17" t="inlineStr">
        <is>
          <t>CÔNG TY CỔ PHẦN CÔNG NGHIỆP VÀ THƯƠNG MẠI CƯỜNG THỊNH</t>
        </is>
      </c>
      <c r="I3120" s="17" t="inlineStr">
        <is>
          <t>Đai ốc Din 934 8 ZP M20</t>
        </is>
      </c>
      <c r="J3120" s="17" t="inlineStr">
        <is>
          <t>Cái</t>
        </is>
      </c>
      <c r="K3120" s="19" t="n">
        <v>2030</v>
      </c>
      <c r="L3120" s="20" t="n"/>
      <c r="M3120" s="20" t="n"/>
      <c r="N3120" s="43" t="n">
        <v>2292</v>
      </c>
      <c r="O3120" s="20" t="n">
        <v>4652760</v>
      </c>
      <c r="P3120" s="43" t="n">
        <v>2292</v>
      </c>
      <c r="Q3120" s="20" t="n">
        <v>4652760</v>
      </c>
      <c r="R3120" s="42">
        <f>+L3120+N3120-P3120</f>
        <v/>
      </c>
      <c r="S3120" s="42">
        <f>+M3120+O3120-Q3120</f>
        <v/>
      </c>
    </row>
    <row r="3121" ht="30" customHeight="1">
      <c r="A3121" s="16" t="n">
        <v>45920</v>
      </c>
      <c r="B3121" s="17" t="inlineStr">
        <is>
          <t>MH2509-69</t>
        </is>
      </c>
      <c r="C3121" s="16" t="n">
        <v>45920</v>
      </c>
      <c r="D3121" s="17" t="inlineStr">
        <is>
          <t>00003689</t>
        </is>
      </c>
      <c r="E3121" s="16" t="n">
        <v>45920</v>
      </c>
      <c r="F3121" s="16" t="inlineStr">
        <is>
          <t>XK2509-51</t>
        </is>
      </c>
      <c r="G3121" s="16" t="n">
        <v>45920</v>
      </c>
      <c r="H3121" s="17" t="inlineStr">
        <is>
          <t>CÔNG TY CỔ PHẦN CÔNG NGHIỆP VÀ THƯƠNG MẠI CƯỜNG THỊNH</t>
        </is>
      </c>
      <c r="I3121" s="17" t="inlineStr">
        <is>
          <t>Long đền thường ZP M20B35D2</t>
        </is>
      </c>
      <c r="J3121" s="17" t="inlineStr">
        <is>
          <t>Cái</t>
        </is>
      </c>
      <c r="K3121" s="19" t="n">
        <v>350</v>
      </c>
      <c r="L3121" s="20" t="n"/>
      <c r="M3121" s="20" t="n"/>
      <c r="N3121" s="43" t="n">
        <v>2292</v>
      </c>
      <c r="O3121" s="20" t="n">
        <v>802200</v>
      </c>
      <c r="P3121" s="43" t="n">
        <v>2292</v>
      </c>
      <c r="Q3121" s="20" t="n">
        <v>802200</v>
      </c>
      <c r="R3121" s="42">
        <f>+L3121+N3121-P3121</f>
        <v/>
      </c>
      <c r="S3121" s="42">
        <f>+M3121+O3121-Q3121</f>
        <v/>
      </c>
    </row>
    <row r="3122" ht="30" customHeight="1">
      <c r="A3122" s="16" t="n">
        <v>45920</v>
      </c>
      <c r="B3122" s="17" t="inlineStr">
        <is>
          <t>MH2509-69</t>
        </is>
      </c>
      <c r="C3122" s="16" t="n">
        <v>45920</v>
      </c>
      <c r="D3122" s="17" t="inlineStr">
        <is>
          <t>00003689</t>
        </is>
      </c>
      <c r="E3122" s="16" t="n">
        <v>45920</v>
      </c>
      <c r="F3122" s="16" t="inlineStr">
        <is>
          <t>XK2509-51</t>
        </is>
      </c>
      <c r="G3122" s="16" t="n">
        <v>45920</v>
      </c>
      <c r="H3122" s="17" t="inlineStr">
        <is>
          <t>CÔNG TY CỔ PHẦN CÔNG NGHIỆP VÀ THƯƠNG MẠI CƯỜNG THỊNH</t>
        </is>
      </c>
      <c r="I3122" s="17" t="inlineStr">
        <is>
          <t>Bulong Din 933 8.8 ZP M24x80</t>
        </is>
      </c>
      <c r="J3122" s="17" t="inlineStr">
        <is>
          <t>Cái</t>
        </is>
      </c>
      <c r="K3122" s="19" t="n">
        <v>12010</v>
      </c>
      <c r="L3122" s="20" t="n"/>
      <c r="M3122" s="20" t="n"/>
      <c r="N3122" s="43" t="n">
        <v>939</v>
      </c>
      <c r="O3122" s="20" t="n">
        <v>11277390</v>
      </c>
      <c r="P3122" s="43" t="n">
        <v>939</v>
      </c>
      <c r="Q3122" s="20" t="n">
        <v>11277390</v>
      </c>
      <c r="R3122" s="42">
        <f>+L3122+N3122-P3122</f>
        <v/>
      </c>
      <c r="S3122" s="42">
        <f>+M3122+O3122-Q3122</f>
        <v/>
      </c>
    </row>
    <row r="3123" ht="30" customHeight="1">
      <c r="A3123" s="16" t="n">
        <v>45920</v>
      </c>
      <c r="B3123" s="17" t="inlineStr">
        <is>
          <t>MH2509-69</t>
        </is>
      </c>
      <c r="C3123" s="16" t="n">
        <v>45920</v>
      </c>
      <c r="D3123" s="17" t="inlineStr">
        <is>
          <t>00003689</t>
        </is>
      </c>
      <c r="E3123" s="16" t="n">
        <v>45920</v>
      </c>
      <c r="F3123" s="16" t="inlineStr">
        <is>
          <t>XK2509-51</t>
        </is>
      </c>
      <c r="G3123" s="16" t="n">
        <v>45920</v>
      </c>
      <c r="H3123" s="17" t="inlineStr">
        <is>
          <t>CÔNG TY CỔ PHẦN CÔNG NGHIỆP VÀ THƯƠNG MẠI CƯỜNG THỊNH</t>
        </is>
      </c>
      <c r="I3123" s="17" t="inlineStr">
        <is>
          <t>Đai ốc Din 934 8 ZP M24</t>
        </is>
      </c>
      <c r="J3123" s="17" t="inlineStr">
        <is>
          <t>Cái</t>
        </is>
      </c>
      <c r="K3123" s="19" t="n">
        <v>3500</v>
      </c>
      <c r="L3123" s="20" t="n"/>
      <c r="M3123" s="20" t="n"/>
      <c r="N3123" s="43" t="n">
        <v>939</v>
      </c>
      <c r="O3123" s="20" t="n">
        <v>3286500</v>
      </c>
      <c r="P3123" s="43" t="n">
        <v>939</v>
      </c>
      <c r="Q3123" s="20" t="n">
        <v>3286500</v>
      </c>
      <c r="R3123" s="42">
        <f>+L3123+N3123-P3123</f>
        <v/>
      </c>
      <c r="S3123" s="42">
        <f>+M3123+O3123-Q3123</f>
        <v/>
      </c>
    </row>
    <row r="3124" ht="30" customHeight="1">
      <c r="A3124" s="16" t="n">
        <v>45920</v>
      </c>
      <c r="B3124" s="17" t="inlineStr">
        <is>
          <t>MH2509-69</t>
        </is>
      </c>
      <c r="C3124" s="16" t="n">
        <v>45920</v>
      </c>
      <c r="D3124" s="17" t="inlineStr">
        <is>
          <t>00003689</t>
        </is>
      </c>
      <c r="E3124" s="16" t="n">
        <v>45920</v>
      </c>
      <c r="F3124" s="16" t="inlineStr">
        <is>
          <t>XK2509-51</t>
        </is>
      </c>
      <c r="G3124" s="16" t="n">
        <v>45920</v>
      </c>
      <c r="H3124" s="17" t="inlineStr">
        <is>
          <t>CÔNG TY CỔ PHẦN CÔNG NGHIỆP VÀ THƯƠNG MẠI CƯỜNG THỊNH</t>
        </is>
      </c>
      <c r="I3124" s="17" t="inlineStr">
        <is>
          <t>Long đền thường ZP M24B40-42D2</t>
        </is>
      </c>
      <c r="J3124" s="17" t="inlineStr">
        <is>
          <t>Cái</t>
        </is>
      </c>
      <c r="K3124" s="19" t="n">
        <v>660</v>
      </c>
      <c r="L3124" s="20" t="n"/>
      <c r="M3124" s="20" t="n"/>
      <c r="N3124" s="43" t="n">
        <v>939</v>
      </c>
      <c r="O3124" s="20" t="n">
        <v>619740</v>
      </c>
      <c r="P3124" s="43" t="n">
        <v>939</v>
      </c>
      <c r="Q3124" s="20" t="n">
        <v>619740</v>
      </c>
      <c r="R3124" s="42">
        <f>+L3124+N3124-P3124</f>
        <v/>
      </c>
      <c r="S3124" s="42">
        <f>+M3124+O3124-Q3124</f>
        <v/>
      </c>
    </row>
    <row r="3125" ht="30" customHeight="1">
      <c r="A3125" s="16" t="n">
        <v>45920</v>
      </c>
      <c r="B3125" s="17" t="inlineStr">
        <is>
          <t>MH2509-69</t>
        </is>
      </c>
      <c r="C3125" s="16" t="n">
        <v>45920</v>
      </c>
      <c r="D3125" s="17" t="inlineStr">
        <is>
          <t>00003689</t>
        </is>
      </c>
      <c r="E3125" s="16" t="n">
        <v>45920</v>
      </c>
      <c r="F3125" s="16" t="inlineStr">
        <is>
          <t>XK2509-51</t>
        </is>
      </c>
      <c r="G3125" s="16" t="n">
        <v>45920</v>
      </c>
      <c r="H3125" s="17" t="inlineStr">
        <is>
          <t>CÔNG TY CỔ PHẦN CÔNG NGHIỆP VÀ THƯƠNG MẠI CƯỜNG THỊNH</t>
        </is>
      </c>
      <c r="I3125" s="17" t="inlineStr">
        <is>
          <t>Vít B2 Dacromet 12-14x20</t>
        </is>
      </c>
      <c r="J3125" s="17" t="inlineStr">
        <is>
          <t>Cái</t>
        </is>
      </c>
      <c r="K3125" s="19" t="n">
        <v>600</v>
      </c>
      <c r="L3125" s="20" t="n"/>
      <c r="M3125" s="20" t="n"/>
      <c r="N3125" s="43" t="n">
        <v>2400</v>
      </c>
      <c r="O3125" s="20" t="n">
        <v>1440000</v>
      </c>
      <c r="P3125" s="43" t="n">
        <v>2400</v>
      </c>
      <c r="Q3125" s="20" t="n">
        <v>1440000</v>
      </c>
      <c r="R3125" s="42">
        <f>+L3125+N3125-P3125</f>
        <v/>
      </c>
      <c r="S3125" s="42">
        <f>+M3125+O3125-Q3125</f>
        <v/>
      </c>
    </row>
    <row r="3126" ht="30" customHeight="1">
      <c r="A3126" s="16" t="n">
        <v>45920</v>
      </c>
      <c r="B3126" s="17" t="inlineStr">
        <is>
          <t>MH2509-69</t>
        </is>
      </c>
      <c r="C3126" s="16" t="n">
        <v>45920</v>
      </c>
      <c r="D3126" s="17" t="inlineStr">
        <is>
          <t>00003689</t>
        </is>
      </c>
      <c r="E3126" s="16" t="n">
        <v>45920</v>
      </c>
      <c r="F3126" s="16" t="inlineStr">
        <is>
          <t>XK2509-51</t>
        </is>
      </c>
      <c r="G3126" s="16" t="n">
        <v>45920</v>
      </c>
      <c r="H3126" s="17" t="inlineStr">
        <is>
          <t>CÔNG TY CỔ PHẦN CÔNG NGHIỆP VÀ THƯƠNG MẠI CƯỜNG THỊNH</t>
        </is>
      </c>
      <c r="I3126" s="17" t="inlineStr">
        <is>
          <t>Đinh hàn 4.8 M16x100</t>
        </is>
      </c>
      <c r="J3126" s="17" t="inlineStr">
        <is>
          <t>Bộ</t>
        </is>
      </c>
      <c r="K3126" s="19" t="n">
        <v>5800</v>
      </c>
      <c r="L3126" s="20" t="n"/>
      <c r="M3126" s="20" t="n"/>
      <c r="N3126" s="43" t="n">
        <v>5837</v>
      </c>
      <c r="O3126" s="20" t="n">
        <v>33854600</v>
      </c>
      <c r="P3126" s="43" t="n">
        <v>5837</v>
      </c>
      <c r="Q3126" s="20" t="n">
        <v>33854600</v>
      </c>
      <c r="R3126" s="42">
        <f>+L3126+N3126-P3126</f>
        <v/>
      </c>
      <c r="S3126" s="42">
        <f>+M3126+O3126-Q3126</f>
        <v/>
      </c>
    </row>
    <row r="3127" ht="30" customHeight="1">
      <c r="A3127" s="16" t="n">
        <v>45920</v>
      </c>
      <c r="B3127" s="17" t="inlineStr">
        <is>
          <t>MH2509-69</t>
        </is>
      </c>
      <c r="C3127" s="16" t="n">
        <v>45920</v>
      </c>
      <c r="D3127" s="17" t="inlineStr">
        <is>
          <t>00003689</t>
        </is>
      </c>
      <c r="E3127" s="16" t="n">
        <v>45920</v>
      </c>
      <c r="F3127" s="16" t="inlineStr">
        <is>
          <t>XK2509-51</t>
        </is>
      </c>
      <c r="G3127" s="16" t="n">
        <v>45920</v>
      </c>
      <c r="H3127" s="17" t="inlineStr">
        <is>
          <t>CÔNG TY CỔ PHẦN CÔNG NGHIỆP VÀ THƯƠNG MẠI CƯỜNG THỊNH</t>
        </is>
      </c>
      <c r="I3127" s="17" t="inlineStr">
        <is>
          <t>Bulong thường 4.6 ZP M12x40</t>
        </is>
      </c>
      <c r="J3127" s="17" t="inlineStr">
        <is>
          <t>Cái</t>
        </is>
      </c>
      <c r="K3127" s="19" t="n">
        <v>1100</v>
      </c>
      <c r="L3127" s="20" t="n"/>
      <c r="M3127" s="20" t="n"/>
      <c r="N3127" s="43" t="n">
        <v>354</v>
      </c>
      <c r="O3127" s="20" t="n">
        <v>389400</v>
      </c>
      <c r="P3127" s="43" t="n">
        <v>354</v>
      </c>
      <c r="Q3127" s="20" t="n">
        <v>389400</v>
      </c>
      <c r="R3127" s="42">
        <f>+L3127+N3127-P3127</f>
        <v/>
      </c>
      <c r="S3127" s="42">
        <f>+M3127+O3127-Q3127</f>
        <v/>
      </c>
    </row>
    <row r="3128" ht="30" customHeight="1">
      <c r="A3128" s="16" t="n">
        <v>45920</v>
      </c>
      <c r="B3128" s="17" t="inlineStr">
        <is>
          <t>MH2509-69</t>
        </is>
      </c>
      <c r="C3128" s="16" t="n">
        <v>45920</v>
      </c>
      <c r="D3128" s="17" t="inlineStr">
        <is>
          <t>00003689</t>
        </is>
      </c>
      <c r="E3128" s="16" t="n">
        <v>45920</v>
      </c>
      <c r="F3128" s="16" t="inlineStr">
        <is>
          <t>XK2509-51</t>
        </is>
      </c>
      <c r="G3128" s="16" t="n">
        <v>45920</v>
      </c>
      <c r="H3128" s="17" t="inlineStr">
        <is>
          <t>CÔNG TY CỔ PHẦN CÔNG NGHIỆP VÀ THƯƠNG MẠI CƯỜNG THỊNH</t>
        </is>
      </c>
      <c r="I3128" s="17" t="inlineStr">
        <is>
          <t>Đai ốc thường 4 ZP M12 (9mm)</t>
        </is>
      </c>
      <c r="J3128" s="17" t="inlineStr">
        <is>
          <t>Cái</t>
        </is>
      </c>
      <c r="K3128" s="19" t="n">
        <v>360</v>
      </c>
      <c r="L3128" s="20" t="n"/>
      <c r="M3128" s="20" t="n"/>
      <c r="N3128" s="43" t="n">
        <v>354</v>
      </c>
      <c r="O3128" s="20" t="n">
        <v>127440</v>
      </c>
      <c r="P3128" s="43" t="n">
        <v>354</v>
      </c>
      <c r="Q3128" s="20" t="n">
        <v>127440</v>
      </c>
      <c r="R3128" s="42">
        <f>+L3128+N3128-P3128</f>
        <v/>
      </c>
      <c r="S3128" s="42">
        <f>+M3128+O3128-Q3128</f>
        <v/>
      </c>
    </row>
    <row r="3129" ht="30" customHeight="1">
      <c r="A3129" s="16" t="n">
        <v>45920</v>
      </c>
      <c r="B3129" s="17" t="inlineStr">
        <is>
          <t>MH2509-69</t>
        </is>
      </c>
      <c r="C3129" s="16" t="n">
        <v>45920</v>
      </c>
      <c r="D3129" s="17" t="inlineStr">
        <is>
          <t>00003689</t>
        </is>
      </c>
      <c r="E3129" s="16" t="n">
        <v>45920</v>
      </c>
      <c r="F3129" s="16" t="inlineStr">
        <is>
          <t>XK2509-51</t>
        </is>
      </c>
      <c r="G3129" s="16" t="n">
        <v>45920</v>
      </c>
      <c r="H3129" s="17" t="inlineStr">
        <is>
          <t>CÔNG TY CỔ PHẦN CÔNG NGHIỆP VÀ THƯƠNG MẠI CƯỜNG THỊNH</t>
        </is>
      </c>
      <c r="I3129" s="17" t="inlineStr">
        <is>
          <t>Long đền thường ZP M12B23D1</t>
        </is>
      </c>
      <c r="J3129" s="17" t="inlineStr">
        <is>
          <t>Cái</t>
        </is>
      </c>
      <c r="K3129" s="19" t="n">
        <v>100</v>
      </c>
      <c r="L3129" s="20" t="n"/>
      <c r="M3129" s="20" t="n"/>
      <c r="N3129" s="43" t="n">
        <v>708</v>
      </c>
      <c r="O3129" s="20" t="n">
        <v>70800</v>
      </c>
      <c r="P3129" s="43" t="n">
        <v>708</v>
      </c>
      <c r="Q3129" s="20" t="n">
        <v>70800</v>
      </c>
      <c r="R3129" s="42">
        <f>+L3129+N3129-P3129</f>
        <v/>
      </c>
      <c r="S3129" s="42">
        <f>+M3129+O3129-Q3129</f>
        <v/>
      </c>
    </row>
    <row r="3130" ht="30" customHeight="1">
      <c r="A3130" s="16" t="n">
        <v>45920</v>
      </c>
      <c r="B3130" s="17" t="inlineStr">
        <is>
          <t>MH2509-69</t>
        </is>
      </c>
      <c r="C3130" s="16" t="n">
        <v>45920</v>
      </c>
      <c r="D3130" s="17" t="inlineStr">
        <is>
          <t>00003689</t>
        </is>
      </c>
      <c r="E3130" s="16" t="n">
        <v>45920</v>
      </c>
      <c r="F3130" s="16" t="inlineStr">
        <is>
          <t>XK2509-51</t>
        </is>
      </c>
      <c r="G3130" s="16" t="n">
        <v>45920</v>
      </c>
      <c r="H3130" s="17" t="inlineStr">
        <is>
          <t>CÔNG TY CỔ PHẦN CÔNG NGHIỆP VÀ THƯƠNG MẠI CƯỜNG THỊNH</t>
        </is>
      </c>
      <c r="I3130" s="17" t="inlineStr">
        <is>
          <t>Bulong Din 933 8.8 ZP M16x40</t>
        </is>
      </c>
      <c r="J3130" s="17" t="inlineStr">
        <is>
          <t>Cái</t>
        </is>
      </c>
      <c r="K3130" s="19" t="n">
        <v>3030</v>
      </c>
      <c r="L3130" s="20" t="n"/>
      <c r="M3130" s="20" t="n"/>
      <c r="N3130" s="43" t="n">
        <v>301</v>
      </c>
      <c r="O3130" s="20" t="n">
        <v>912030</v>
      </c>
      <c r="P3130" s="43" t="n">
        <v>301</v>
      </c>
      <c r="Q3130" s="20" t="n">
        <v>912030</v>
      </c>
      <c r="R3130" s="42">
        <f>+L3130+N3130-P3130</f>
        <v/>
      </c>
      <c r="S3130" s="42">
        <f>+M3130+O3130-Q3130</f>
        <v/>
      </c>
    </row>
    <row r="3131" ht="30" customHeight="1">
      <c r="A3131" s="16" t="n">
        <v>45920</v>
      </c>
      <c r="B3131" s="17" t="inlineStr">
        <is>
          <t>MH2509-69</t>
        </is>
      </c>
      <c r="C3131" s="16" t="n">
        <v>45920</v>
      </c>
      <c r="D3131" s="17" t="inlineStr">
        <is>
          <t>00003689</t>
        </is>
      </c>
      <c r="E3131" s="16" t="n">
        <v>45920</v>
      </c>
      <c r="F3131" s="16" t="inlineStr">
        <is>
          <t>XK2509-51</t>
        </is>
      </c>
      <c r="G3131" s="16" t="n">
        <v>45920</v>
      </c>
      <c r="H3131" s="17" t="inlineStr">
        <is>
          <t>CÔNG TY CỔ PHẦN CÔNG NGHIỆP VÀ THƯƠNG MẠI CƯỜNG THỊNH</t>
        </is>
      </c>
      <c r="I3131" s="17" t="inlineStr">
        <is>
          <t>Đai ốc Din 934 8 ZP M16</t>
        </is>
      </c>
      <c r="J3131" s="17" t="inlineStr">
        <is>
          <t>Cái</t>
        </is>
      </c>
      <c r="K3131" s="19" t="n">
        <v>1080</v>
      </c>
      <c r="L3131" s="20" t="n"/>
      <c r="M3131" s="20" t="n"/>
      <c r="N3131" s="43" t="n">
        <v>301</v>
      </c>
      <c r="O3131" s="20" t="n">
        <v>325080</v>
      </c>
      <c r="P3131" s="43" t="n">
        <v>301</v>
      </c>
      <c r="Q3131" s="20" t="n">
        <v>325080</v>
      </c>
      <c r="R3131" s="42">
        <f>+L3131+N3131-P3131</f>
        <v/>
      </c>
      <c r="S3131" s="42">
        <f>+M3131+O3131-Q3131</f>
        <v/>
      </c>
    </row>
    <row r="3132" ht="30" customHeight="1">
      <c r="A3132" s="16" t="n">
        <v>45920</v>
      </c>
      <c r="B3132" s="17" t="inlineStr">
        <is>
          <t>MH2509-69</t>
        </is>
      </c>
      <c r="C3132" s="16" t="n">
        <v>45920</v>
      </c>
      <c r="D3132" s="17" t="inlineStr">
        <is>
          <t>00003689</t>
        </is>
      </c>
      <c r="E3132" s="16" t="n">
        <v>45920</v>
      </c>
      <c r="F3132" s="16" t="inlineStr">
        <is>
          <t>XK2509-51</t>
        </is>
      </c>
      <c r="G3132" s="16" t="n">
        <v>45920</v>
      </c>
      <c r="H3132" s="17" t="inlineStr">
        <is>
          <t>CÔNG TY CỔ PHẦN CÔNG NGHIỆP VÀ THƯƠNG MẠI CƯỜNG THỊNH</t>
        </is>
      </c>
      <c r="I3132" s="17" t="inlineStr">
        <is>
          <t>Long đền thường ZP M16B30D2</t>
        </is>
      </c>
      <c r="J3132" s="17" t="inlineStr">
        <is>
          <t>Cái</t>
        </is>
      </c>
      <c r="K3132" s="19" t="n">
        <v>340</v>
      </c>
      <c r="L3132" s="20" t="n"/>
      <c r="M3132" s="20" t="n"/>
      <c r="N3132" s="43" t="n">
        <v>301</v>
      </c>
      <c r="O3132" s="20" t="n">
        <v>102340</v>
      </c>
      <c r="P3132" s="43" t="n">
        <v>301</v>
      </c>
      <c r="Q3132" s="20" t="n">
        <v>102340</v>
      </c>
      <c r="R3132" s="42">
        <f>+L3132+N3132-P3132</f>
        <v/>
      </c>
      <c r="S3132" s="42">
        <f>+M3132+O3132-Q3132</f>
        <v/>
      </c>
    </row>
    <row r="3133" ht="30" customHeight="1">
      <c r="A3133" s="16" t="n">
        <v>45920</v>
      </c>
      <c r="B3133" s="17" t="inlineStr">
        <is>
          <t>MH2509-69</t>
        </is>
      </c>
      <c r="C3133" s="16" t="n">
        <v>45920</v>
      </c>
      <c r="D3133" s="17" t="inlineStr">
        <is>
          <t>00003689</t>
        </is>
      </c>
      <c r="E3133" s="16" t="n">
        <v>45920</v>
      </c>
      <c r="F3133" s="16" t="inlineStr">
        <is>
          <t>XK2509-51</t>
        </is>
      </c>
      <c r="G3133" s="16" t="n">
        <v>45920</v>
      </c>
      <c r="H3133" s="17" t="inlineStr">
        <is>
          <t>CÔNG TY CỔ PHẦN CÔNG NGHIỆP VÀ THƯƠNG MẠI CƯỜNG THỊNH</t>
        </is>
      </c>
      <c r="I3133" s="17" t="inlineStr">
        <is>
          <t>Bulong Din 933 8.8 ZP M20x50</t>
        </is>
      </c>
      <c r="J3133" s="17" t="inlineStr">
        <is>
          <t>Cái</t>
        </is>
      </c>
      <c r="K3133" s="19" t="n">
        <v>6150</v>
      </c>
      <c r="L3133" s="20" t="n"/>
      <c r="M3133" s="20" t="n"/>
      <c r="N3133" s="43" t="n">
        <v>2791</v>
      </c>
      <c r="O3133" s="20" t="n">
        <v>17164650</v>
      </c>
      <c r="P3133" s="43" t="n">
        <v>2791</v>
      </c>
      <c r="Q3133" s="20" t="n">
        <v>17164650</v>
      </c>
      <c r="R3133" s="42">
        <f>+L3133+N3133-P3133</f>
        <v/>
      </c>
      <c r="S3133" s="42">
        <f>+M3133+O3133-Q3133</f>
        <v/>
      </c>
    </row>
    <row r="3134" ht="30" customHeight="1">
      <c r="A3134" s="16" t="n">
        <v>45920</v>
      </c>
      <c r="B3134" s="17" t="inlineStr">
        <is>
          <t>MH2509-69</t>
        </is>
      </c>
      <c r="C3134" s="16" t="n">
        <v>45920</v>
      </c>
      <c r="D3134" s="17" t="inlineStr">
        <is>
          <t>00003689</t>
        </is>
      </c>
      <c r="E3134" s="16" t="n">
        <v>45920</v>
      </c>
      <c r="F3134" s="16" t="inlineStr">
        <is>
          <t>XK2509-51</t>
        </is>
      </c>
      <c r="G3134" s="16" t="n">
        <v>45920</v>
      </c>
      <c r="H3134" s="17" t="inlineStr">
        <is>
          <t>CÔNG TY CỔ PHẦN CÔNG NGHIỆP VÀ THƯƠNG MẠI CƯỜNG THỊNH</t>
        </is>
      </c>
      <c r="I3134" s="17" t="inlineStr">
        <is>
          <t>Đai ốc Din 934 8 ZP M20</t>
        </is>
      </c>
      <c r="J3134" s="17" t="inlineStr">
        <is>
          <t>Cái</t>
        </is>
      </c>
      <c r="K3134" s="19" t="n">
        <v>2030</v>
      </c>
      <c r="L3134" s="20" t="n"/>
      <c r="M3134" s="20" t="n"/>
      <c r="N3134" s="43" t="n">
        <v>2791</v>
      </c>
      <c r="O3134" s="20" t="n">
        <v>5665730</v>
      </c>
      <c r="P3134" s="43" t="n">
        <v>2791</v>
      </c>
      <c r="Q3134" s="20" t="n">
        <v>5665730</v>
      </c>
      <c r="R3134" s="42">
        <f>+L3134+N3134-P3134</f>
        <v/>
      </c>
      <c r="S3134" s="42">
        <f>+M3134+O3134-Q3134</f>
        <v/>
      </c>
    </row>
    <row r="3135" ht="30" customHeight="1">
      <c r="A3135" s="16" t="n">
        <v>45920</v>
      </c>
      <c r="B3135" s="17" t="inlineStr">
        <is>
          <t>MH2509-69</t>
        </is>
      </c>
      <c r="C3135" s="16" t="n">
        <v>45920</v>
      </c>
      <c r="D3135" s="17" t="inlineStr">
        <is>
          <t>00003689</t>
        </is>
      </c>
      <c r="E3135" s="16" t="n">
        <v>45920</v>
      </c>
      <c r="F3135" s="16" t="inlineStr">
        <is>
          <t>XK2509-51</t>
        </is>
      </c>
      <c r="G3135" s="16" t="n">
        <v>45920</v>
      </c>
      <c r="H3135" s="17" t="inlineStr">
        <is>
          <t>CÔNG TY CỔ PHẦN CÔNG NGHIỆP VÀ THƯƠNG MẠI CƯỜNG THỊNH</t>
        </is>
      </c>
      <c r="I3135" s="17" t="inlineStr">
        <is>
          <t>Long đền thường ZP M20B35D2</t>
        </is>
      </c>
      <c r="J3135" s="17" t="inlineStr">
        <is>
          <t>Cái</t>
        </is>
      </c>
      <c r="K3135" s="19" t="n">
        <v>350</v>
      </c>
      <c r="L3135" s="20" t="n"/>
      <c r="M3135" s="20" t="n"/>
      <c r="N3135" s="43" t="n">
        <v>2791</v>
      </c>
      <c r="O3135" s="20" t="n">
        <v>976850</v>
      </c>
      <c r="P3135" s="43" t="n">
        <v>2791</v>
      </c>
      <c r="Q3135" s="20" t="n">
        <v>976850</v>
      </c>
      <c r="R3135" s="42">
        <f>+L3135+N3135-P3135</f>
        <v/>
      </c>
      <c r="S3135" s="42">
        <f>+M3135+O3135-Q3135</f>
        <v/>
      </c>
    </row>
    <row r="3136" ht="30" customHeight="1">
      <c r="A3136" s="16" t="n">
        <v>45920</v>
      </c>
      <c r="B3136" s="17" t="inlineStr">
        <is>
          <t>MH2509-69</t>
        </is>
      </c>
      <c r="C3136" s="16" t="n">
        <v>45920</v>
      </c>
      <c r="D3136" s="17" t="inlineStr">
        <is>
          <t>00003689</t>
        </is>
      </c>
      <c r="E3136" s="16" t="n">
        <v>45920</v>
      </c>
      <c r="F3136" s="16" t="inlineStr">
        <is>
          <t>XK2509-51</t>
        </is>
      </c>
      <c r="G3136" s="16" t="n">
        <v>45920</v>
      </c>
      <c r="H3136" s="17" t="inlineStr">
        <is>
          <t>CÔNG TY CỔ PHẦN CÔNG NGHIỆP VÀ THƯƠNG MẠI CƯỜNG THỊNH</t>
        </is>
      </c>
      <c r="I3136" s="17" t="inlineStr">
        <is>
          <t>Bulong Din 933 8.8 ZP M20x70</t>
        </is>
      </c>
      <c r="J3136" s="17" t="inlineStr">
        <is>
          <t>Cái</t>
        </is>
      </c>
      <c r="K3136" s="19" t="n">
        <v>7070</v>
      </c>
      <c r="L3136" s="20" t="n"/>
      <c r="M3136" s="20" t="n"/>
      <c r="N3136" s="43" t="n">
        <v>157</v>
      </c>
      <c r="O3136" s="20" t="n">
        <v>1109990</v>
      </c>
      <c r="P3136" s="43" t="n">
        <v>157</v>
      </c>
      <c r="Q3136" s="20" t="n">
        <v>1109990</v>
      </c>
      <c r="R3136" s="42">
        <f>+L3136+N3136-P3136</f>
        <v/>
      </c>
      <c r="S3136" s="42">
        <f>+M3136+O3136-Q3136</f>
        <v/>
      </c>
    </row>
    <row r="3137" ht="30" customHeight="1">
      <c r="A3137" s="16" t="n">
        <v>45920</v>
      </c>
      <c r="B3137" s="17" t="inlineStr">
        <is>
          <t>MH2509-69</t>
        </is>
      </c>
      <c r="C3137" s="16" t="n">
        <v>45920</v>
      </c>
      <c r="D3137" s="17" t="inlineStr">
        <is>
          <t>00003689</t>
        </is>
      </c>
      <c r="E3137" s="16" t="n">
        <v>45920</v>
      </c>
      <c r="F3137" s="16" t="inlineStr">
        <is>
          <t>XK2509-51</t>
        </is>
      </c>
      <c r="G3137" s="16" t="n">
        <v>45920</v>
      </c>
      <c r="H3137" s="17" t="inlineStr">
        <is>
          <t>CÔNG TY CỔ PHẦN CÔNG NGHIỆP VÀ THƯƠNG MẠI CƯỜNG THỊNH</t>
        </is>
      </c>
      <c r="I3137" s="17" t="inlineStr">
        <is>
          <t>Đai ốc Din 934 8 ZP M20</t>
        </is>
      </c>
      <c r="J3137" s="17" t="inlineStr">
        <is>
          <t>Cái</t>
        </is>
      </c>
      <c r="K3137" s="19" t="n">
        <v>2030</v>
      </c>
      <c r="L3137" s="20" t="n"/>
      <c r="M3137" s="20" t="n"/>
      <c r="N3137" s="43" t="n">
        <v>157</v>
      </c>
      <c r="O3137" s="20" t="n">
        <v>318710</v>
      </c>
      <c r="P3137" s="43" t="n">
        <v>157</v>
      </c>
      <c r="Q3137" s="20" t="n">
        <v>318710</v>
      </c>
      <c r="R3137" s="42">
        <f>+L3137+N3137-P3137</f>
        <v/>
      </c>
      <c r="S3137" s="42">
        <f>+M3137+O3137-Q3137</f>
        <v/>
      </c>
    </row>
    <row r="3138" ht="30" customHeight="1">
      <c r="A3138" s="16" t="n">
        <v>45920</v>
      </c>
      <c r="B3138" s="17" t="inlineStr">
        <is>
          <t>MH2509-69</t>
        </is>
      </c>
      <c r="C3138" s="16" t="n">
        <v>45920</v>
      </c>
      <c r="D3138" s="17" t="inlineStr">
        <is>
          <t>00003689</t>
        </is>
      </c>
      <c r="E3138" s="16" t="n">
        <v>45920</v>
      </c>
      <c r="F3138" s="16" t="inlineStr">
        <is>
          <t>XK2509-51</t>
        </is>
      </c>
      <c r="G3138" s="16" t="n">
        <v>45920</v>
      </c>
      <c r="H3138" s="17" t="inlineStr">
        <is>
          <t>CÔNG TY CỔ PHẦN CÔNG NGHIỆP VÀ THƯƠNG MẠI CƯỜNG THỊNH</t>
        </is>
      </c>
      <c r="I3138" s="17" t="inlineStr">
        <is>
          <t>Long đền thường ZP M20B35D2</t>
        </is>
      </c>
      <c r="J3138" s="17" t="inlineStr">
        <is>
          <t>Cái</t>
        </is>
      </c>
      <c r="K3138" s="19" t="n">
        <v>350</v>
      </c>
      <c r="L3138" s="20" t="n"/>
      <c r="M3138" s="20" t="n"/>
      <c r="N3138" s="43" t="n">
        <v>157</v>
      </c>
      <c r="O3138" s="20" t="n">
        <v>54950</v>
      </c>
      <c r="P3138" s="43" t="n">
        <v>157</v>
      </c>
      <c r="Q3138" s="20" t="n">
        <v>54950</v>
      </c>
      <c r="R3138" s="42">
        <f>+L3138+N3138-P3138</f>
        <v/>
      </c>
      <c r="S3138" s="42">
        <f>+M3138+O3138-Q3138</f>
        <v/>
      </c>
    </row>
    <row r="3139" ht="30" customHeight="1">
      <c r="A3139" s="16" t="n">
        <v>45920</v>
      </c>
      <c r="B3139" s="17" t="inlineStr">
        <is>
          <t>MH2509-69</t>
        </is>
      </c>
      <c r="C3139" s="16" t="n">
        <v>45920</v>
      </c>
      <c r="D3139" s="17" t="inlineStr">
        <is>
          <t>00003689</t>
        </is>
      </c>
      <c r="E3139" s="16" t="n">
        <v>45920</v>
      </c>
      <c r="F3139" s="16" t="inlineStr">
        <is>
          <t>XK2509-51</t>
        </is>
      </c>
      <c r="G3139" s="16" t="n">
        <v>45920</v>
      </c>
      <c r="H3139" s="17" t="inlineStr">
        <is>
          <t>CÔNG TY CỔ PHẦN CÔNG NGHIỆP VÀ THƯƠNG MẠI CƯỜNG THỊNH</t>
        </is>
      </c>
      <c r="I3139" s="17" t="inlineStr">
        <is>
          <t>Bulong Din 933 8.8 ZP M24x60</t>
        </is>
      </c>
      <c r="J3139" s="17" t="inlineStr">
        <is>
          <t>Cái</t>
        </is>
      </c>
      <c r="K3139" s="19" t="n">
        <v>10030</v>
      </c>
      <c r="L3139" s="20" t="n"/>
      <c r="M3139" s="20" t="n"/>
      <c r="N3139" s="43" t="n">
        <v>49</v>
      </c>
      <c r="O3139" s="20" t="n">
        <v>491470</v>
      </c>
      <c r="P3139" s="43" t="n">
        <v>49</v>
      </c>
      <c r="Q3139" s="20" t="n">
        <v>491470</v>
      </c>
      <c r="R3139" s="42">
        <f>+L3139+N3139-P3139</f>
        <v/>
      </c>
      <c r="S3139" s="42">
        <f>+M3139+O3139-Q3139</f>
        <v/>
      </c>
    </row>
    <row r="3140" ht="30" customHeight="1">
      <c r="A3140" s="16" t="n">
        <v>45920</v>
      </c>
      <c r="B3140" s="17" t="inlineStr">
        <is>
          <t>MH2509-69</t>
        </is>
      </c>
      <c r="C3140" s="16" t="n">
        <v>45920</v>
      </c>
      <c r="D3140" s="17" t="inlineStr">
        <is>
          <t>00003689</t>
        </is>
      </c>
      <c r="E3140" s="16" t="n">
        <v>45920</v>
      </c>
      <c r="F3140" s="16" t="inlineStr">
        <is>
          <t>XK2509-51</t>
        </is>
      </c>
      <c r="G3140" s="16" t="n">
        <v>45920</v>
      </c>
      <c r="H3140" s="17" t="inlineStr">
        <is>
          <t>CÔNG TY CỔ PHẦN CÔNG NGHIỆP VÀ THƯƠNG MẠI CƯỜNG THỊNH</t>
        </is>
      </c>
      <c r="I3140" s="17" t="inlineStr">
        <is>
          <t>Đai ốc Din 934 8 ZP M24</t>
        </is>
      </c>
      <c r="J3140" s="17" t="inlineStr">
        <is>
          <t>Cái</t>
        </is>
      </c>
      <c r="K3140" s="19" t="n">
        <v>3500</v>
      </c>
      <c r="L3140" s="20" t="n"/>
      <c r="M3140" s="20" t="n"/>
      <c r="N3140" s="43" t="n">
        <v>49</v>
      </c>
      <c r="O3140" s="20" t="n">
        <v>171500</v>
      </c>
      <c r="P3140" s="43" t="n">
        <v>49</v>
      </c>
      <c r="Q3140" s="20" t="n">
        <v>171500</v>
      </c>
      <c r="R3140" s="42">
        <f>+L3140+N3140-P3140</f>
        <v/>
      </c>
      <c r="S3140" s="42">
        <f>+M3140+O3140-Q3140</f>
        <v/>
      </c>
    </row>
    <row r="3141" ht="30" customHeight="1">
      <c r="A3141" s="16" t="n">
        <v>45920</v>
      </c>
      <c r="B3141" s="17" t="inlineStr">
        <is>
          <t>MH2509-69</t>
        </is>
      </c>
      <c r="C3141" s="16" t="n">
        <v>45920</v>
      </c>
      <c r="D3141" s="17" t="inlineStr">
        <is>
          <t>00003689</t>
        </is>
      </c>
      <c r="E3141" s="16" t="n">
        <v>45920</v>
      </c>
      <c r="F3141" s="16" t="inlineStr">
        <is>
          <t>XK2509-51</t>
        </is>
      </c>
      <c r="G3141" s="16" t="n">
        <v>45920</v>
      </c>
      <c r="H3141" s="17" t="inlineStr">
        <is>
          <t>CÔNG TY CỔ PHẦN CÔNG NGHIỆP VÀ THƯƠNG MẠI CƯỜNG THỊNH</t>
        </is>
      </c>
      <c r="I3141" s="17" t="inlineStr">
        <is>
          <t>Long đền thường ZP M24B40-42D2</t>
        </is>
      </c>
      <c r="J3141" s="17" t="inlineStr">
        <is>
          <t>Cái</t>
        </is>
      </c>
      <c r="K3141" s="19" t="n">
        <v>660</v>
      </c>
      <c r="L3141" s="20" t="n"/>
      <c r="M3141" s="20" t="n"/>
      <c r="N3141" s="43" t="n">
        <v>49</v>
      </c>
      <c r="O3141" s="20" t="n">
        <v>32340</v>
      </c>
      <c r="P3141" s="43" t="n">
        <v>49</v>
      </c>
      <c r="Q3141" s="20" t="n">
        <v>32340</v>
      </c>
      <c r="R3141" s="42">
        <f>+L3141+N3141-P3141</f>
        <v/>
      </c>
      <c r="S3141" s="42">
        <f>+M3141+O3141-Q3141</f>
        <v/>
      </c>
    </row>
    <row r="3142" ht="30" customHeight="1">
      <c r="A3142" s="16" t="n">
        <v>45920</v>
      </c>
      <c r="B3142" s="17" t="inlineStr">
        <is>
          <t>MH2509-69</t>
        </is>
      </c>
      <c r="C3142" s="16" t="n">
        <v>45920</v>
      </c>
      <c r="D3142" s="17" t="inlineStr">
        <is>
          <t>00003689</t>
        </is>
      </c>
      <c r="E3142" s="16" t="n">
        <v>45920</v>
      </c>
      <c r="F3142" s="16" t="inlineStr">
        <is>
          <t>XK2509-51</t>
        </is>
      </c>
      <c r="G3142" s="16" t="n">
        <v>45920</v>
      </c>
      <c r="H3142" s="17" t="inlineStr">
        <is>
          <t>CÔNG TY CỔ PHẦN CÔNG NGHIỆP VÀ THƯƠNG MẠI CƯỜNG THỊNH</t>
        </is>
      </c>
      <c r="I3142" s="17" t="inlineStr">
        <is>
          <t>Vít B2 Dacromet 12-24x38 HWFS (lục giác)</t>
        </is>
      </c>
      <c r="J3142" s="17" t="inlineStr">
        <is>
          <t>Cái</t>
        </is>
      </c>
      <c r="K3142" s="19" t="n">
        <v>1920</v>
      </c>
      <c r="L3142" s="20" t="n"/>
      <c r="M3142" s="20" t="n"/>
      <c r="N3142" s="43" t="n">
        <v>3400</v>
      </c>
      <c r="O3142" s="20" t="n">
        <v>6528000</v>
      </c>
      <c r="P3142" s="43" t="n">
        <v>3400</v>
      </c>
      <c r="Q3142" s="20" t="n">
        <v>6528000</v>
      </c>
      <c r="R3142" s="42">
        <f>+L3142+N3142-P3142</f>
        <v/>
      </c>
      <c r="S3142" s="42">
        <f>+M3142+O3142-Q3142</f>
        <v/>
      </c>
    </row>
    <row r="3143" ht="30" customHeight="1">
      <c r="A3143" s="16" t="n">
        <v>45920</v>
      </c>
      <c r="B3143" s="17" t="inlineStr">
        <is>
          <t>MH2509-69</t>
        </is>
      </c>
      <c r="C3143" s="16" t="n">
        <v>45920</v>
      </c>
      <c r="D3143" s="17" t="inlineStr">
        <is>
          <t>00003689</t>
        </is>
      </c>
      <c r="E3143" s="16" t="n">
        <v>45920</v>
      </c>
      <c r="F3143" s="16" t="inlineStr">
        <is>
          <t>XK2509-51</t>
        </is>
      </c>
      <c r="G3143" s="16" t="n">
        <v>45920</v>
      </c>
      <c r="H3143" s="17" t="inlineStr">
        <is>
          <t>CÔNG TY CỔ PHẦN CÔNG NGHIỆP VÀ THƯƠNG MẠI CƯỜNG THỊNH</t>
        </is>
      </c>
      <c r="I3143" s="17" t="inlineStr">
        <is>
          <t>Bulong nở 5.6 ZP M20x250</t>
        </is>
      </c>
      <c r="J3143" s="17" t="inlineStr">
        <is>
          <t>Bộ</t>
        </is>
      </c>
      <c r="K3143" s="19" t="n">
        <v>45000</v>
      </c>
      <c r="L3143" s="20" t="n"/>
      <c r="M3143" s="20" t="n"/>
      <c r="N3143" s="43" t="n">
        <v>14</v>
      </c>
      <c r="O3143" s="20" t="n">
        <v>630000</v>
      </c>
      <c r="P3143" s="43" t="n">
        <v>14</v>
      </c>
      <c r="Q3143" s="20" t="n">
        <v>630000</v>
      </c>
      <c r="R3143" s="42">
        <f>+L3143+N3143-P3143</f>
        <v/>
      </c>
      <c r="S3143" s="42">
        <f>+M3143+O3143-Q3143</f>
        <v/>
      </c>
    </row>
    <row r="3144" ht="30" customHeight="1">
      <c r="A3144" s="16" t="n">
        <v>45920</v>
      </c>
      <c r="B3144" s="17" t="inlineStr">
        <is>
          <t>MH2509-69</t>
        </is>
      </c>
      <c r="C3144" s="16" t="n">
        <v>45920</v>
      </c>
      <c r="D3144" s="17" t="inlineStr">
        <is>
          <t>00003689</t>
        </is>
      </c>
      <c r="E3144" s="16" t="n">
        <v>45920</v>
      </c>
      <c r="F3144" s="16" t="inlineStr">
        <is>
          <t>XK2509-51</t>
        </is>
      </c>
      <c r="G3144" s="16" t="n">
        <v>45920</v>
      </c>
      <c r="H3144" s="17" t="inlineStr">
        <is>
          <t>CÔNG TY CỔ PHẦN CÔNG NGHIỆP VÀ THƯƠNG MẠI CƯỜNG THỊNH</t>
        </is>
      </c>
      <c r="I3144" s="17" t="inlineStr">
        <is>
          <t>Bulong nở 5.6 ZP M16x180</t>
        </is>
      </c>
      <c r="J3144" s="17" t="inlineStr">
        <is>
          <t>Bộ</t>
        </is>
      </c>
      <c r="K3144" s="19" t="n">
        <v>30000</v>
      </c>
      <c r="L3144" s="20" t="n"/>
      <c r="M3144" s="20" t="n"/>
      <c r="N3144" s="43" t="n">
        <v>18</v>
      </c>
      <c r="O3144" s="20" t="n">
        <v>540000</v>
      </c>
      <c r="P3144" s="43" t="n">
        <v>18</v>
      </c>
      <c r="Q3144" s="20" t="n">
        <v>540000</v>
      </c>
      <c r="R3144" s="42">
        <f>+L3144+N3144-P3144</f>
        <v/>
      </c>
      <c r="S3144" s="42">
        <f>+M3144+O3144-Q3144</f>
        <v/>
      </c>
    </row>
    <row r="3145" ht="30" customHeight="1">
      <c r="A3145" s="16" t="n">
        <v>45920</v>
      </c>
      <c r="B3145" s="17" t="inlineStr">
        <is>
          <t>MH2509-69</t>
        </is>
      </c>
      <c r="C3145" s="16" t="n">
        <v>45920</v>
      </c>
      <c r="D3145" s="17" t="inlineStr">
        <is>
          <t>00003689</t>
        </is>
      </c>
      <c r="E3145" s="16" t="n">
        <v>45920</v>
      </c>
      <c r="F3145" s="16" t="inlineStr">
        <is>
          <t>XK2509-51</t>
        </is>
      </c>
      <c r="G3145" s="16" t="n">
        <v>45920</v>
      </c>
      <c r="H3145" s="17" t="inlineStr">
        <is>
          <t>CÔNG TY CỔ PHẦN CÔNG NGHIỆP VÀ THƯƠNG MẠI CƯỜNG THỊNH</t>
        </is>
      </c>
      <c r="I3145" s="17" t="inlineStr">
        <is>
          <t>Bulong nở 5.6 ZP M12x100</t>
        </is>
      </c>
      <c r="J3145" s="17" t="inlineStr">
        <is>
          <t>Bộ</t>
        </is>
      </c>
      <c r="K3145" s="19" t="n">
        <v>8380</v>
      </c>
      <c r="L3145" s="20" t="n"/>
      <c r="M3145" s="20" t="n"/>
      <c r="N3145" s="43" t="n">
        <v>22</v>
      </c>
      <c r="O3145" s="20" t="n">
        <v>184360</v>
      </c>
      <c r="P3145" s="43" t="n">
        <v>22</v>
      </c>
      <c r="Q3145" s="20" t="n">
        <v>184360</v>
      </c>
      <c r="R3145" s="42">
        <f>+L3145+N3145-P3145</f>
        <v/>
      </c>
      <c r="S3145" s="42">
        <f>+M3145+O3145-Q3145</f>
        <v/>
      </c>
    </row>
    <row r="3146" ht="30" customHeight="1">
      <c r="A3146" s="16" t="n">
        <v>45920</v>
      </c>
      <c r="B3146" s="17" t="inlineStr">
        <is>
          <t>MH2509-70</t>
        </is>
      </c>
      <c r="C3146" s="16" t="n">
        <v>45920</v>
      </c>
      <c r="D3146" s="17" t="inlineStr">
        <is>
          <t>00003691</t>
        </is>
      </c>
      <c r="E3146" s="16" t="n">
        <v>45920</v>
      </c>
      <c r="F3146" s="16" t="inlineStr">
        <is>
          <t>XK2509-52</t>
        </is>
      </c>
      <c r="G3146" s="16" t="n">
        <v>45920</v>
      </c>
      <c r="H3146" s="17" t="inlineStr">
        <is>
          <t>CÔNG TY CỔ PHẦN CÔNG NGHIỆP VÀ THƯƠNG MẠI CƯỜNG THỊNH</t>
        </is>
      </c>
      <c r="I3146" s="17" t="inlineStr">
        <is>
          <t>Bulong Din 933 8.8 ZP M20x60</t>
        </is>
      </c>
      <c r="J3146" s="17" t="inlineStr">
        <is>
          <t>Cái</t>
        </is>
      </c>
      <c r="K3146" s="19" t="n">
        <v>6360</v>
      </c>
      <c r="L3146" s="20" t="n"/>
      <c r="M3146" s="20" t="n"/>
      <c r="N3146" s="43" t="n">
        <v>89</v>
      </c>
      <c r="O3146" s="20" t="n">
        <v>566040</v>
      </c>
      <c r="P3146" s="43" t="n">
        <v>89</v>
      </c>
      <c r="Q3146" s="20" t="n">
        <v>566040</v>
      </c>
      <c r="R3146" s="42">
        <f>+L3146+N3146-P3146</f>
        <v/>
      </c>
      <c r="S3146" s="42">
        <f>+M3146+O3146-Q3146</f>
        <v/>
      </c>
    </row>
    <row r="3147" ht="30" customHeight="1">
      <c r="A3147" s="16" t="n">
        <v>45920</v>
      </c>
      <c r="B3147" s="17" t="inlineStr">
        <is>
          <t>MH2509-70</t>
        </is>
      </c>
      <c r="C3147" s="16" t="n">
        <v>45920</v>
      </c>
      <c r="D3147" s="17" t="inlineStr">
        <is>
          <t>00003691</t>
        </is>
      </c>
      <c r="E3147" s="16" t="n">
        <v>45920</v>
      </c>
      <c r="F3147" s="16" t="inlineStr">
        <is>
          <t>XK2509-52</t>
        </is>
      </c>
      <c r="G3147" s="16" t="n">
        <v>45920</v>
      </c>
      <c r="H3147" s="17" t="inlineStr">
        <is>
          <t>CÔNG TY CỔ PHẦN CÔNG NGHIỆP VÀ THƯƠNG MẠI CƯỜNG THỊNH</t>
        </is>
      </c>
      <c r="I3147" s="17" t="inlineStr">
        <is>
          <t>Đai ốc Din 934 8 ZP M20</t>
        </is>
      </c>
      <c r="J3147" s="17" t="inlineStr">
        <is>
          <t>Cái</t>
        </is>
      </c>
      <c r="K3147" s="19" t="n">
        <v>2030</v>
      </c>
      <c r="L3147" s="20" t="n"/>
      <c r="M3147" s="20" t="n"/>
      <c r="N3147" s="43" t="n">
        <v>89</v>
      </c>
      <c r="O3147" s="20" t="n">
        <v>180670</v>
      </c>
      <c r="P3147" s="43" t="n">
        <v>89</v>
      </c>
      <c r="Q3147" s="20" t="n">
        <v>180670</v>
      </c>
      <c r="R3147" s="42">
        <f>+L3147+N3147-P3147</f>
        <v/>
      </c>
      <c r="S3147" s="42">
        <f>+M3147+O3147-Q3147</f>
        <v/>
      </c>
    </row>
    <row r="3148" ht="30" customHeight="1">
      <c r="A3148" s="16" t="n">
        <v>45920</v>
      </c>
      <c r="B3148" s="17" t="inlineStr">
        <is>
          <t>MH2509-70</t>
        </is>
      </c>
      <c r="C3148" s="16" t="n">
        <v>45920</v>
      </c>
      <c r="D3148" s="17" t="inlineStr">
        <is>
          <t>00003691</t>
        </is>
      </c>
      <c r="E3148" s="16" t="n">
        <v>45920</v>
      </c>
      <c r="F3148" s="16" t="inlineStr">
        <is>
          <t>XK2509-52</t>
        </is>
      </c>
      <c r="G3148" s="16" t="n">
        <v>45920</v>
      </c>
      <c r="H3148" s="17" t="inlineStr">
        <is>
          <t>CÔNG TY CỔ PHẦN CÔNG NGHIỆP VÀ THƯƠNG MẠI CƯỜNG THỊNH</t>
        </is>
      </c>
      <c r="I3148" s="17" t="inlineStr">
        <is>
          <t>Long đền thường ZP M20B35D2</t>
        </is>
      </c>
      <c r="J3148" s="17" t="inlineStr">
        <is>
          <t>Cái</t>
        </is>
      </c>
      <c r="K3148" s="19" t="n">
        <v>350</v>
      </c>
      <c r="L3148" s="20" t="n"/>
      <c r="M3148" s="20" t="n"/>
      <c r="N3148" s="43" t="n">
        <v>89</v>
      </c>
      <c r="O3148" s="20" t="n">
        <v>31150</v>
      </c>
      <c r="P3148" s="43" t="n">
        <v>89</v>
      </c>
      <c r="Q3148" s="20" t="n">
        <v>31150</v>
      </c>
      <c r="R3148" s="42">
        <f>+L3148+N3148-P3148</f>
        <v/>
      </c>
      <c r="S3148" s="42">
        <f>+M3148+O3148-Q3148</f>
        <v/>
      </c>
    </row>
    <row r="3149" ht="30" customHeight="1">
      <c r="A3149" s="16" t="n">
        <v>45920</v>
      </c>
      <c r="B3149" s="17" t="inlineStr">
        <is>
          <t>MH2509-70</t>
        </is>
      </c>
      <c r="C3149" s="16" t="n">
        <v>45920</v>
      </c>
      <c r="D3149" s="17" t="inlineStr">
        <is>
          <t>00003691</t>
        </is>
      </c>
      <c r="E3149" s="16" t="n">
        <v>45920</v>
      </c>
      <c r="F3149" s="16" t="inlineStr">
        <is>
          <t>XK2509-52</t>
        </is>
      </c>
      <c r="G3149" s="16" t="n">
        <v>45920</v>
      </c>
      <c r="H3149" s="17" t="inlineStr">
        <is>
          <t>CÔNG TY CỔ PHẦN CÔNG NGHIỆP VÀ THƯƠNG MẠI CƯỜNG THỊNH</t>
        </is>
      </c>
      <c r="I3149" s="17" t="inlineStr">
        <is>
          <t>Bulong Din 933 8.8 ZP M20x50</t>
        </is>
      </c>
      <c r="J3149" s="17" t="inlineStr">
        <is>
          <t>Cái</t>
        </is>
      </c>
      <c r="K3149" s="19" t="n">
        <v>5760</v>
      </c>
      <c r="L3149" s="20" t="n"/>
      <c r="M3149" s="20" t="n"/>
      <c r="N3149" s="43" t="n">
        <v>128</v>
      </c>
      <c r="O3149" s="20" t="n">
        <v>737280</v>
      </c>
      <c r="P3149" s="43" t="n">
        <v>128</v>
      </c>
      <c r="Q3149" s="20" t="n">
        <v>737280</v>
      </c>
      <c r="R3149" s="42">
        <f>+L3149+N3149-P3149</f>
        <v/>
      </c>
      <c r="S3149" s="42">
        <f>+M3149+O3149-Q3149</f>
        <v/>
      </c>
    </row>
    <row r="3150" ht="30" customHeight="1">
      <c r="A3150" s="16" t="n">
        <v>45920</v>
      </c>
      <c r="B3150" s="17" t="inlineStr">
        <is>
          <t>MH2509-70</t>
        </is>
      </c>
      <c r="C3150" s="16" t="n">
        <v>45920</v>
      </c>
      <c r="D3150" s="17" t="inlineStr">
        <is>
          <t>00003691</t>
        </is>
      </c>
      <c r="E3150" s="16" t="n">
        <v>45920</v>
      </c>
      <c r="F3150" s="16" t="inlineStr">
        <is>
          <t>XK2509-52</t>
        </is>
      </c>
      <c r="G3150" s="16" t="n">
        <v>45920</v>
      </c>
      <c r="H3150" s="17" t="inlineStr">
        <is>
          <t>CÔNG TY CỔ PHẦN CÔNG NGHIỆP VÀ THƯƠNG MẠI CƯỜNG THỊNH</t>
        </is>
      </c>
      <c r="I3150" s="17" t="inlineStr">
        <is>
          <t>Đai ốc Din 934 8 ZP M20</t>
        </is>
      </c>
      <c r="J3150" s="17" t="inlineStr">
        <is>
          <t>Cái</t>
        </is>
      </c>
      <c r="K3150" s="19" t="n">
        <v>2030</v>
      </c>
      <c r="L3150" s="20" t="n"/>
      <c r="M3150" s="20" t="n"/>
      <c r="N3150" s="43" t="n">
        <v>128</v>
      </c>
      <c r="O3150" s="20" t="n">
        <v>259840</v>
      </c>
      <c r="P3150" s="43" t="n">
        <v>128</v>
      </c>
      <c r="Q3150" s="20" t="n">
        <v>259840</v>
      </c>
      <c r="R3150" s="42">
        <f>+L3150+N3150-P3150</f>
        <v/>
      </c>
      <c r="S3150" s="42">
        <f>+M3150+O3150-Q3150</f>
        <v/>
      </c>
    </row>
    <row r="3151" ht="30" customHeight="1">
      <c r="A3151" s="16" t="n">
        <v>45920</v>
      </c>
      <c r="B3151" s="17" t="inlineStr">
        <is>
          <t>MH2509-70</t>
        </is>
      </c>
      <c r="C3151" s="16" t="n">
        <v>45920</v>
      </c>
      <c r="D3151" s="17" t="inlineStr">
        <is>
          <t>00003691</t>
        </is>
      </c>
      <c r="E3151" s="16" t="n">
        <v>45920</v>
      </c>
      <c r="F3151" s="16" t="inlineStr">
        <is>
          <t>XK2509-52</t>
        </is>
      </c>
      <c r="G3151" s="16" t="n">
        <v>45920</v>
      </c>
      <c r="H3151" s="17" t="inlineStr">
        <is>
          <t>CÔNG TY CỔ PHẦN CÔNG NGHIỆP VÀ THƯƠNG MẠI CƯỜNG THỊNH</t>
        </is>
      </c>
      <c r="I3151" s="17" t="inlineStr">
        <is>
          <t>Long đền thường ZP M20B35D2</t>
        </is>
      </c>
      <c r="J3151" s="17" t="inlineStr">
        <is>
          <t>Cái</t>
        </is>
      </c>
      <c r="K3151" s="19" t="n">
        <v>350</v>
      </c>
      <c r="L3151" s="20" t="n"/>
      <c r="M3151" s="20" t="n"/>
      <c r="N3151" s="43" t="n">
        <v>128</v>
      </c>
      <c r="O3151" s="20" t="n">
        <v>44800</v>
      </c>
      <c r="P3151" s="43" t="n">
        <v>128</v>
      </c>
      <c r="Q3151" s="20" t="n">
        <v>44800</v>
      </c>
      <c r="R3151" s="42">
        <f>+L3151+N3151-P3151</f>
        <v/>
      </c>
      <c r="S3151" s="42">
        <f>+M3151+O3151-Q3151</f>
        <v/>
      </c>
    </row>
    <row r="3152" ht="30" customHeight="1">
      <c r="A3152" s="16" t="n">
        <v>45920</v>
      </c>
      <c r="B3152" s="17" t="inlineStr">
        <is>
          <t>MH2509-70</t>
        </is>
      </c>
      <c r="C3152" s="16" t="n">
        <v>45920</v>
      </c>
      <c r="D3152" s="17" t="inlineStr">
        <is>
          <t>00003691</t>
        </is>
      </c>
      <c r="E3152" s="16" t="n">
        <v>45920</v>
      </c>
      <c r="F3152" s="16" t="inlineStr">
        <is>
          <t>XK2509-52</t>
        </is>
      </c>
      <c r="G3152" s="16" t="n">
        <v>45920</v>
      </c>
      <c r="H3152" s="17" t="inlineStr">
        <is>
          <t>CÔNG TY CỔ PHẦN CÔNG NGHIỆP VÀ THƯƠNG MẠI CƯỜNG THỊNH</t>
        </is>
      </c>
      <c r="I3152" s="17" t="inlineStr">
        <is>
          <t>Bulong Din 933 8.8 ZP M24x80</t>
        </is>
      </c>
      <c r="J3152" s="17" t="inlineStr">
        <is>
          <t>Cái</t>
        </is>
      </c>
      <c r="K3152" s="19" t="n">
        <v>12010</v>
      </c>
      <c r="L3152" s="20" t="n"/>
      <c r="M3152" s="20" t="n"/>
      <c r="N3152" s="43" t="n">
        <v>939</v>
      </c>
      <c r="O3152" s="20" t="n">
        <v>11277390</v>
      </c>
      <c r="P3152" s="43" t="n">
        <v>939</v>
      </c>
      <c r="Q3152" s="20" t="n">
        <v>11277390</v>
      </c>
      <c r="R3152" s="42">
        <f>+L3152+N3152-P3152</f>
        <v/>
      </c>
      <c r="S3152" s="42">
        <f>+M3152+O3152-Q3152</f>
        <v/>
      </c>
    </row>
    <row r="3153" ht="30" customHeight="1">
      <c r="A3153" s="16" t="n">
        <v>45920</v>
      </c>
      <c r="B3153" s="17" t="inlineStr">
        <is>
          <t>MH2509-70</t>
        </is>
      </c>
      <c r="C3153" s="16" t="n">
        <v>45920</v>
      </c>
      <c r="D3153" s="17" t="inlineStr">
        <is>
          <t>00003691</t>
        </is>
      </c>
      <c r="E3153" s="16" t="n">
        <v>45920</v>
      </c>
      <c r="F3153" s="16" t="inlineStr">
        <is>
          <t>XK2509-52</t>
        </is>
      </c>
      <c r="G3153" s="16" t="n">
        <v>45920</v>
      </c>
      <c r="H3153" s="17" t="inlineStr">
        <is>
          <t>CÔNG TY CỔ PHẦN CÔNG NGHIỆP VÀ THƯƠNG MẠI CƯỜNG THỊNH</t>
        </is>
      </c>
      <c r="I3153" s="17" t="inlineStr">
        <is>
          <t>Đai ốc Din 934 8 ZP M24</t>
        </is>
      </c>
      <c r="J3153" s="17" t="inlineStr">
        <is>
          <t>Cái</t>
        </is>
      </c>
      <c r="K3153" s="19" t="n">
        <v>3500</v>
      </c>
      <c r="L3153" s="20" t="n"/>
      <c r="M3153" s="20" t="n"/>
      <c r="N3153" s="43" t="n">
        <v>939</v>
      </c>
      <c r="O3153" s="20" t="n">
        <v>3286500</v>
      </c>
      <c r="P3153" s="43" t="n">
        <v>939</v>
      </c>
      <c r="Q3153" s="20" t="n">
        <v>3286500</v>
      </c>
      <c r="R3153" s="42">
        <f>+L3153+N3153-P3153</f>
        <v/>
      </c>
      <c r="S3153" s="42">
        <f>+M3153+O3153-Q3153</f>
        <v/>
      </c>
    </row>
    <row r="3154" ht="30" customHeight="1">
      <c r="A3154" s="16" t="n">
        <v>45920</v>
      </c>
      <c r="B3154" s="17" t="inlineStr">
        <is>
          <t>MH2509-70</t>
        </is>
      </c>
      <c r="C3154" s="16" t="n">
        <v>45920</v>
      </c>
      <c r="D3154" s="17" t="inlineStr">
        <is>
          <t>00003691</t>
        </is>
      </c>
      <c r="E3154" s="16" t="n">
        <v>45920</v>
      </c>
      <c r="F3154" s="16" t="inlineStr">
        <is>
          <t>XK2509-52</t>
        </is>
      </c>
      <c r="G3154" s="16" t="n">
        <v>45920</v>
      </c>
      <c r="H3154" s="17" t="inlineStr">
        <is>
          <t>CÔNG TY CỔ PHẦN CÔNG NGHIỆP VÀ THƯƠNG MẠI CƯỜNG THỊNH</t>
        </is>
      </c>
      <c r="I3154" s="17" t="inlineStr">
        <is>
          <t>Long đền thường ZP M24B40-42D2</t>
        </is>
      </c>
      <c r="J3154" s="17" t="inlineStr">
        <is>
          <t>Cái</t>
        </is>
      </c>
      <c r="K3154" s="19" t="n">
        <v>660</v>
      </c>
      <c r="L3154" s="20" t="n"/>
      <c r="M3154" s="20" t="n"/>
      <c r="N3154" s="43" t="n">
        <v>939</v>
      </c>
      <c r="O3154" s="20" t="n">
        <v>619740</v>
      </c>
      <c r="P3154" s="43" t="n">
        <v>939</v>
      </c>
      <c r="Q3154" s="20" t="n">
        <v>619740</v>
      </c>
      <c r="R3154" s="42">
        <f>+L3154+N3154-P3154</f>
        <v/>
      </c>
      <c r="S3154" s="42">
        <f>+M3154+O3154-Q3154</f>
        <v/>
      </c>
    </row>
    <row r="3155" ht="30" customHeight="1">
      <c r="A3155" s="16" t="n">
        <v>45920</v>
      </c>
      <c r="B3155" s="17" t="inlineStr">
        <is>
          <t>MH2509-70</t>
        </is>
      </c>
      <c r="C3155" s="16" t="n">
        <v>45920</v>
      </c>
      <c r="D3155" s="17" t="inlineStr">
        <is>
          <t>00003691</t>
        </is>
      </c>
      <c r="E3155" s="16" t="n">
        <v>45920</v>
      </c>
      <c r="F3155" s="16" t="inlineStr">
        <is>
          <t>XK2509-52</t>
        </is>
      </c>
      <c r="G3155" s="16" t="n">
        <v>45920</v>
      </c>
      <c r="H3155" s="17" t="inlineStr">
        <is>
          <t>CÔNG TY CỔ PHẦN CÔNG NGHIỆP VÀ THƯƠNG MẠI CƯỜNG THỊNH</t>
        </is>
      </c>
      <c r="I3155" s="17" t="inlineStr">
        <is>
          <t>Bulong Din 933 8.8 ZP M24x60</t>
        </is>
      </c>
      <c r="J3155" s="17" t="inlineStr">
        <is>
          <t>Cái</t>
        </is>
      </c>
      <c r="K3155" s="19" t="n">
        <v>10030</v>
      </c>
      <c r="L3155" s="20" t="n"/>
      <c r="M3155" s="20" t="n"/>
      <c r="N3155" s="43" t="n">
        <v>6</v>
      </c>
      <c r="O3155" s="20" t="n">
        <v>60180</v>
      </c>
      <c r="P3155" s="43" t="n">
        <v>6</v>
      </c>
      <c r="Q3155" s="20" t="n">
        <v>60180</v>
      </c>
      <c r="R3155" s="42">
        <f>+L3155+N3155-P3155</f>
        <v/>
      </c>
      <c r="S3155" s="42">
        <f>+M3155+O3155-Q3155</f>
        <v/>
      </c>
    </row>
    <row r="3156" ht="30" customHeight="1">
      <c r="A3156" s="16" t="n">
        <v>45920</v>
      </c>
      <c r="B3156" s="17" t="inlineStr">
        <is>
          <t>MH2509-70</t>
        </is>
      </c>
      <c r="C3156" s="16" t="n">
        <v>45920</v>
      </c>
      <c r="D3156" s="17" t="inlineStr">
        <is>
          <t>00003691</t>
        </is>
      </c>
      <c r="E3156" s="16" t="n">
        <v>45920</v>
      </c>
      <c r="F3156" s="16" t="inlineStr">
        <is>
          <t>XK2509-52</t>
        </is>
      </c>
      <c r="G3156" s="16" t="n">
        <v>45920</v>
      </c>
      <c r="H3156" s="17" t="inlineStr">
        <is>
          <t>CÔNG TY CỔ PHẦN CÔNG NGHIỆP VÀ THƯƠNG MẠI CƯỜNG THỊNH</t>
        </is>
      </c>
      <c r="I3156" s="17" t="inlineStr">
        <is>
          <t>Đai ốc Din 934 8 ZP M24</t>
        </is>
      </c>
      <c r="J3156" s="17" t="inlineStr">
        <is>
          <t>Cái</t>
        </is>
      </c>
      <c r="K3156" s="19" t="n">
        <v>3500</v>
      </c>
      <c r="L3156" s="20" t="n"/>
      <c r="M3156" s="20" t="n"/>
      <c r="N3156" s="43" t="n">
        <v>6</v>
      </c>
      <c r="O3156" s="20" t="n">
        <v>21000</v>
      </c>
      <c r="P3156" s="43" t="n">
        <v>6</v>
      </c>
      <c r="Q3156" s="20" t="n">
        <v>21000</v>
      </c>
      <c r="R3156" s="42">
        <f>+L3156+N3156-P3156</f>
        <v/>
      </c>
      <c r="S3156" s="42">
        <f>+M3156+O3156-Q3156</f>
        <v/>
      </c>
    </row>
    <row r="3157" ht="30" customHeight="1">
      <c r="A3157" s="16" t="n">
        <v>45920</v>
      </c>
      <c r="B3157" s="17" t="inlineStr">
        <is>
          <t>MH2509-70</t>
        </is>
      </c>
      <c r="C3157" s="16" t="n">
        <v>45920</v>
      </c>
      <c r="D3157" s="17" t="inlineStr">
        <is>
          <t>00003691</t>
        </is>
      </c>
      <c r="E3157" s="16" t="n">
        <v>45920</v>
      </c>
      <c r="F3157" s="16" t="inlineStr">
        <is>
          <t>XK2509-52</t>
        </is>
      </c>
      <c r="G3157" s="16" t="n">
        <v>45920</v>
      </c>
      <c r="H3157" s="17" t="inlineStr">
        <is>
          <t>CÔNG TY CỔ PHẦN CÔNG NGHIỆP VÀ THƯƠNG MẠI CƯỜNG THỊNH</t>
        </is>
      </c>
      <c r="I3157" s="17" t="inlineStr">
        <is>
          <t>Long đền thường ZP M24B40-42D2</t>
        </is>
      </c>
      <c r="J3157" s="17" t="inlineStr">
        <is>
          <t>Cái</t>
        </is>
      </c>
      <c r="K3157" s="19" t="n">
        <v>660</v>
      </c>
      <c r="L3157" s="20" t="n"/>
      <c r="M3157" s="20" t="n"/>
      <c r="N3157" s="43" t="n">
        <v>6</v>
      </c>
      <c r="O3157" s="20" t="n">
        <v>3960</v>
      </c>
      <c r="P3157" s="43" t="n">
        <v>6</v>
      </c>
      <c r="Q3157" s="20" t="n">
        <v>3960</v>
      </c>
      <c r="R3157" s="42">
        <f>+L3157+N3157-P3157</f>
        <v/>
      </c>
      <c r="S3157" s="42">
        <f>+M3157+O3157-Q3157</f>
        <v/>
      </c>
    </row>
    <row r="3158" ht="30" customHeight="1">
      <c r="A3158" s="16" t="n">
        <v>45920</v>
      </c>
      <c r="B3158" s="17" t="inlineStr">
        <is>
          <t>MH2509-70</t>
        </is>
      </c>
      <c r="C3158" s="16" t="n">
        <v>45920</v>
      </c>
      <c r="D3158" s="17" t="inlineStr">
        <is>
          <t>00003691</t>
        </is>
      </c>
      <c r="E3158" s="16" t="n">
        <v>45920</v>
      </c>
      <c r="F3158" s="16" t="inlineStr">
        <is>
          <t>XK2509-52</t>
        </is>
      </c>
      <c r="G3158" s="16" t="n">
        <v>45920</v>
      </c>
      <c r="H3158" s="17" t="inlineStr">
        <is>
          <t>CÔNG TY CỔ PHẦN CÔNG NGHIỆP VÀ THƯƠNG MẠI CƯỜNG THỊNH</t>
        </is>
      </c>
      <c r="I3158" s="17" t="inlineStr">
        <is>
          <t>Bulong Din 933 8.8 ZP M20x40</t>
        </is>
      </c>
      <c r="J3158" s="17" t="inlineStr">
        <is>
          <t>Cái</t>
        </is>
      </c>
      <c r="K3158" s="19" t="n">
        <v>5050</v>
      </c>
      <c r="L3158" s="20" t="n"/>
      <c r="M3158" s="20" t="n"/>
      <c r="N3158" s="43" t="n">
        <v>32</v>
      </c>
      <c r="O3158" s="20" t="n">
        <v>161600</v>
      </c>
      <c r="P3158" s="43" t="n">
        <v>32</v>
      </c>
      <c r="Q3158" s="20" t="n">
        <v>161600</v>
      </c>
      <c r="R3158" s="42">
        <f>+L3158+N3158-P3158</f>
        <v/>
      </c>
      <c r="S3158" s="42">
        <f>+M3158+O3158-Q3158</f>
        <v/>
      </c>
    </row>
    <row r="3159" ht="30" customHeight="1">
      <c r="A3159" s="16" t="n">
        <v>45920</v>
      </c>
      <c r="B3159" s="17" t="inlineStr">
        <is>
          <t>MH2509-70</t>
        </is>
      </c>
      <c r="C3159" s="16" t="n">
        <v>45920</v>
      </c>
      <c r="D3159" s="17" t="inlineStr">
        <is>
          <t>00003691</t>
        </is>
      </c>
      <c r="E3159" s="16" t="n">
        <v>45920</v>
      </c>
      <c r="F3159" s="16" t="inlineStr">
        <is>
          <t>XK2509-52</t>
        </is>
      </c>
      <c r="G3159" s="16" t="n">
        <v>45920</v>
      </c>
      <c r="H3159" s="17" t="inlineStr">
        <is>
          <t>CÔNG TY CỔ PHẦN CÔNG NGHIỆP VÀ THƯƠNG MẠI CƯỜNG THỊNH</t>
        </is>
      </c>
      <c r="I3159" s="17" t="inlineStr">
        <is>
          <t>Đai ốc Din 934 8 ZP M20</t>
        </is>
      </c>
      <c r="J3159" s="17" t="inlineStr">
        <is>
          <t>Cái</t>
        </is>
      </c>
      <c r="K3159" s="19" t="n">
        <v>2030</v>
      </c>
      <c r="L3159" s="20" t="n"/>
      <c r="M3159" s="20" t="n"/>
      <c r="N3159" s="43" t="n">
        <v>32</v>
      </c>
      <c r="O3159" s="20" t="n">
        <v>64960</v>
      </c>
      <c r="P3159" s="43" t="n">
        <v>32</v>
      </c>
      <c r="Q3159" s="20" t="n">
        <v>64960</v>
      </c>
      <c r="R3159" s="42">
        <f>+L3159+N3159-P3159</f>
        <v/>
      </c>
      <c r="S3159" s="42">
        <f>+M3159+O3159-Q3159</f>
        <v/>
      </c>
    </row>
    <row r="3160" ht="30" customHeight="1">
      <c r="A3160" s="16" t="n">
        <v>45920</v>
      </c>
      <c r="B3160" s="17" t="inlineStr">
        <is>
          <t>MH2509-70</t>
        </is>
      </c>
      <c r="C3160" s="16" t="n">
        <v>45920</v>
      </c>
      <c r="D3160" s="17" t="inlineStr">
        <is>
          <t>00003691</t>
        </is>
      </c>
      <c r="E3160" s="16" t="n">
        <v>45920</v>
      </c>
      <c r="F3160" s="16" t="inlineStr">
        <is>
          <t>XK2509-52</t>
        </is>
      </c>
      <c r="G3160" s="16" t="n">
        <v>45920</v>
      </c>
      <c r="H3160" s="17" t="inlineStr">
        <is>
          <t>CÔNG TY CỔ PHẦN CÔNG NGHIỆP VÀ THƯƠNG MẠI CƯỜNG THỊNH</t>
        </is>
      </c>
      <c r="I3160" s="17" t="inlineStr">
        <is>
          <t>Long đền thường ZP M20B35D2</t>
        </is>
      </c>
      <c r="J3160" s="17" t="inlineStr">
        <is>
          <t>Cái</t>
        </is>
      </c>
      <c r="K3160" s="19" t="n">
        <v>350</v>
      </c>
      <c r="L3160" s="20" t="n"/>
      <c r="M3160" s="20" t="n"/>
      <c r="N3160" s="43" t="n">
        <v>32</v>
      </c>
      <c r="O3160" s="20" t="n">
        <v>11200</v>
      </c>
      <c r="P3160" s="43" t="n">
        <v>32</v>
      </c>
      <c r="Q3160" s="20" t="n">
        <v>11200</v>
      </c>
      <c r="R3160" s="42">
        <f>+L3160+N3160-P3160</f>
        <v/>
      </c>
      <c r="S3160" s="42">
        <f>+M3160+O3160-Q3160</f>
        <v/>
      </c>
    </row>
    <row r="3161" ht="30" customHeight="1">
      <c r="A3161" s="16" t="n">
        <v>45920</v>
      </c>
      <c r="B3161" s="17" t="inlineStr">
        <is>
          <t>MH2509-70</t>
        </is>
      </c>
      <c r="C3161" s="16" t="n">
        <v>45920</v>
      </c>
      <c r="D3161" s="17" t="inlineStr">
        <is>
          <t>00003691</t>
        </is>
      </c>
      <c r="E3161" s="16" t="n">
        <v>45920</v>
      </c>
      <c r="F3161" s="16" t="inlineStr">
        <is>
          <t>XK2509-52</t>
        </is>
      </c>
      <c r="G3161" s="16" t="n">
        <v>45920</v>
      </c>
      <c r="H3161" s="17" t="inlineStr">
        <is>
          <t>CÔNG TY CỔ PHẦN CÔNG NGHIỆP VÀ THƯƠNG MẠI CƯỜNG THỊNH</t>
        </is>
      </c>
      <c r="I3161" s="17" t="inlineStr">
        <is>
          <t>Bulong Din 933 8.8 ZP M24x60</t>
        </is>
      </c>
      <c r="J3161" s="17" t="inlineStr">
        <is>
          <t>Cái</t>
        </is>
      </c>
      <c r="K3161" s="19" t="n">
        <v>10030</v>
      </c>
      <c r="L3161" s="20" t="n"/>
      <c r="M3161" s="20" t="n"/>
      <c r="N3161" s="43" t="n">
        <v>49</v>
      </c>
      <c r="O3161" s="20" t="n">
        <v>491470</v>
      </c>
      <c r="P3161" s="43" t="n">
        <v>49</v>
      </c>
      <c r="Q3161" s="20" t="n">
        <v>491470</v>
      </c>
      <c r="R3161" s="42">
        <f>+L3161+N3161-P3161</f>
        <v/>
      </c>
      <c r="S3161" s="42">
        <f>+M3161+O3161-Q3161</f>
        <v/>
      </c>
    </row>
    <row r="3162" ht="30" customHeight="1">
      <c r="A3162" s="16" t="n">
        <v>45920</v>
      </c>
      <c r="B3162" s="17" t="inlineStr">
        <is>
          <t>MH2509-70</t>
        </is>
      </c>
      <c r="C3162" s="16" t="n">
        <v>45920</v>
      </c>
      <c r="D3162" s="17" t="inlineStr">
        <is>
          <t>00003691</t>
        </is>
      </c>
      <c r="E3162" s="16" t="n">
        <v>45920</v>
      </c>
      <c r="F3162" s="16" t="inlineStr">
        <is>
          <t>XK2509-52</t>
        </is>
      </c>
      <c r="G3162" s="16" t="n">
        <v>45920</v>
      </c>
      <c r="H3162" s="17" t="inlineStr">
        <is>
          <t>CÔNG TY CỔ PHẦN CÔNG NGHIỆP VÀ THƯƠNG MẠI CƯỜNG THỊNH</t>
        </is>
      </c>
      <c r="I3162" s="17" t="inlineStr">
        <is>
          <t>Đai ốc Din 934 8 ZP M24</t>
        </is>
      </c>
      <c r="J3162" s="17" t="inlineStr">
        <is>
          <t>Cái</t>
        </is>
      </c>
      <c r="K3162" s="19" t="n">
        <v>3500</v>
      </c>
      <c r="L3162" s="20" t="n"/>
      <c r="M3162" s="20" t="n"/>
      <c r="N3162" s="43" t="n">
        <v>49</v>
      </c>
      <c r="O3162" s="20" t="n">
        <v>171500</v>
      </c>
      <c r="P3162" s="43" t="n">
        <v>49</v>
      </c>
      <c r="Q3162" s="20" t="n">
        <v>171500</v>
      </c>
      <c r="R3162" s="42">
        <f>+L3162+N3162-P3162</f>
        <v/>
      </c>
      <c r="S3162" s="42">
        <f>+M3162+O3162-Q3162</f>
        <v/>
      </c>
    </row>
    <row r="3163" ht="30" customHeight="1">
      <c r="A3163" s="16" t="n">
        <v>45920</v>
      </c>
      <c r="B3163" s="17" t="inlineStr">
        <is>
          <t>MH2509-70</t>
        </is>
      </c>
      <c r="C3163" s="16" t="n">
        <v>45920</v>
      </c>
      <c r="D3163" s="17" t="inlineStr">
        <is>
          <t>00003691</t>
        </is>
      </c>
      <c r="E3163" s="16" t="n">
        <v>45920</v>
      </c>
      <c r="F3163" s="16" t="inlineStr">
        <is>
          <t>XK2509-52</t>
        </is>
      </c>
      <c r="G3163" s="16" t="n">
        <v>45920</v>
      </c>
      <c r="H3163" s="17" t="inlineStr">
        <is>
          <t>CÔNG TY CỔ PHẦN CÔNG NGHIỆP VÀ THƯƠNG MẠI CƯỜNG THỊNH</t>
        </is>
      </c>
      <c r="I3163" s="17" t="inlineStr">
        <is>
          <t>Long đền thường ZP M24B40-42D2</t>
        </is>
      </c>
      <c r="J3163" s="17" t="inlineStr">
        <is>
          <t>Cái</t>
        </is>
      </c>
      <c r="K3163" s="19" t="n">
        <v>660</v>
      </c>
      <c r="L3163" s="20" t="n"/>
      <c r="M3163" s="20" t="n"/>
      <c r="N3163" s="43" t="n">
        <v>49</v>
      </c>
      <c r="O3163" s="20" t="n">
        <v>32340</v>
      </c>
      <c r="P3163" s="43" t="n">
        <v>49</v>
      </c>
      <c r="Q3163" s="20" t="n">
        <v>32340</v>
      </c>
      <c r="R3163" s="42">
        <f>+L3163+N3163-P3163</f>
        <v/>
      </c>
      <c r="S3163" s="42">
        <f>+M3163+O3163-Q3163</f>
        <v/>
      </c>
    </row>
    <row r="3164" ht="15" customHeight="1">
      <c r="A3164" s="16" t="n">
        <v>45920</v>
      </c>
      <c r="B3164" s="17" t="inlineStr">
        <is>
          <t>MH2509-71</t>
        </is>
      </c>
      <c r="C3164" s="16" t="n">
        <v>45920</v>
      </c>
      <c r="D3164" s="17" t="inlineStr">
        <is>
          <t>2510</t>
        </is>
      </c>
      <c r="E3164" s="16" t="n">
        <v>45920</v>
      </c>
      <c r="F3164" s="16" t="inlineStr">
        <is>
          <t>XK2509-54</t>
        </is>
      </c>
      <c r="G3164" s="16" t="n">
        <v>45920</v>
      </c>
      <c r="H3164" s="17" t="inlineStr">
        <is>
          <t>CÔNG TY TNHH THÉP IPC SÀI GÒN</t>
        </is>
      </c>
      <c r="I3164" s="17" t="inlineStr">
        <is>
          <t>Thép tấm 5x2000x6000</t>
        </is>
      </c>
      <c r="J3164" s="17" t="inlineStr">
        <is>
          <t>kg</t>
        </is>
      </c>
      <c r="K3164" s="19" t="n">
        <v>13727.27</v>
      </c>
      <c r="L3164" s="20" t="n"/>
      <c r="M3164" s="20" t="n"/>
      <c r="N3164" s="43" t="n">
        <v>50000</v>
      </c>
      <c r="O3164" s="20" t="n">
        <v>686363500</v>
      </c>
      <c r="P3164" s="43" t="n">
        <v>50000</v>
      </c>
      <c r="Q3164" s="20" t="n">
        <v>686363500</v>
      </c>
      <c r="R3164" s="42">
        <f>+L3164+N3164-P3164</f>
        <v/>
      </c>
      <c r="S3164" s="42">
        <f>+M3164+O3164-Q3164</f>
        <v/>
      </c>
    </row>
    <row r="3165" ht="15" customHeight="1">
      <c r="A3165" s="16" t="n">
        <v>45920</v>
      </c>
      <c r="B3165" s="17" t="inlineStr">
        <is>
          <t>MH2509-71</t>
        </is>
      </c>
      <c r="C3165" s="16" t="n">
        <v>45920</v>
      </c>
      <c r="D3165" s="17" t="inlineStr">
        <is>
          <t>2510</t>
        </is>
      </c>
      <c r="E3165" s="16" t="n">
        <v>45920</v>
      </c>
      <c r="F3165" s="16" t="inlineStr">
        <is>
          <t>XK2509-54</t>
        </is>
      </c>
      <c r="G3165" s="16" t="n">
        <v>45920</v>
      </c>
      <c r="H3165" s="17" t="inlineStr">
        <is>
          <t>CÔNG TY TNHH THÉP IPC SÀI GÒN</t>
        </is>
      </c>
      <c r="I3165" s="17" t="inlineStr">
        <is>
          <t>Thép tấm 5x2000x6000</t>
        </is>
      </c>
      <c r="J3165" s="17" t="inlineStr">
        <is>
          <t>kg</t>
        </is>
      </c>
      <c r="K3165" s="19" t="n">
        <v>13727.27</v>
      </c>
      <c r="L3165" s="20" t="n"/>
      <c r="M3165" s="20" t="n"/>
      <c r="N3165" s="43" t="n">
        <v>14056</v>
      </c>
      <c r="O3165" s="20" t="n">
        <v>192950507</v>
      </c>
      <c r="P3165" s="43" t="n">
        <v>14056</v>
      </c>
      <c r="Q3165" s="20" t="n">
        <v>192950507</v>
      </c>
      <c r="R3165" s="42">
        <f>+L3165+N3165-P3165</f>
        <v/>
      </c>
      <c r="S3165" s="42">
        <f>+M3165+O3165-Q3165</f>
        <v/>
      </c>
    </row>
    <row r="3166" ht="15" customHeight="1">
      <c r="A3166" s="16" t="n">
        <v>45923</v>
      </c>
      <c r="B3166" s="17" t="inlineStr">
        <is>
          <t>MH2509-74</t>
        </is>
      </c>
      <c r="C3166" s="16" t="n">
        <v>45923</v>
      </c>
      <c r="D3166" s="17" t="inlineStr">
        <is>
          <t>2534</t>
        </is>
      </c>
      <c r="E3166" s="16" t="n">
        <v>45923</v>
      </c>
      <c r="F3166" s="16" t="inlineStr">
        <is>
          <t>XK2510-02</t>
        </is>
      </c>
      <c r="G3166" s="16" t="n">
        <v>45931</v>
      </c>
      <c r="H3166" s="17" t="inlineStr">
        <is>
          <t>CÔNG TY TNHH THÉP IPC SÀI GÒN</t>
        </is>
      </c>
      <c r="I3166" s="17" t="inlineStr">
        <is>
          <t>Thép tấm 5x2000x6000</t>
        </is>
      </c>
      <c r="J3166" s="17" t="inlineStr">
        <is>
          <t>kg</t>
        </is>
      </c>
      <c r="K3166" s="19" t="n">
        <v>13727.27</v>
      </c>
      <c r="L3166" s="20" t="n"/>
      <c r="M3166" s="20" t="n"/>
      <c r="N3166" s="43" t="n">
        <v>32028</v>
      </c>
      <c r="O3166" s="20" t="n">
        <v>439657004</v>
      </c>
      <c r="P3166" s="43">
        <f>+N3166</f>
        <v/>
      </c>
      <c r="Q3166" s="20">
        <f>+O3166</f>
        <v/>
      </c>
      <c r="R3166" s="42">
        <f>+L3166+N3166-P3166</f>
        <v/>
      </c>
      <c r="S3166" s="42">
        <f>+M3166+O3166-Q3166</f>
        <v/>
      </c>
    </row>
    <row r="3167" ht="15" customHeight="1">
      <c r="A3167" s="16" t="n">
        <v>45923</v>
      </c>
      <c r="B3167" s="17" t="inlineStr">
        <is>
          <t>MH2509-74</t>
        </is>
      </c>
      <c r="C3167" s="16" t="n">
        <v>45923</v>
      </c>
      <c r="D3167" s="17" t="inlineStr">
        <is>
          <t>2534</t>
        </is>
      </c>
      <c r="E3167" s="16" t="n">
        <v>45923</v>
      </c>
      <c r="F3167" s="16" t="inlineStr">
        <is>
          <t>XK2510-02</t>
        </is>
      </c>
      <c r="G3167" s="16" t="n">
        <v>45931</v>
      </c>
      <c r="H3167" s="17" t="inlineStr">
        <is>
          <t>CÔNG TY TNHH THÉP IPC SÀI GÒN</t>
        </is>
      </c>
      <c r="I3167" s="17" t="inlineStr">
        <is>
          <t>Thép tấm 6x2000x6000</t>
        </is>
      </c>
      <c r="J3167" s="17" t="inlineStr">
        <is>
          <t>kg</t>
        </is>
      </c>
      <c r="K3167" s="19" t="n">
        <v>13727.27</v>
      </c>
      <c r="L3167" s="20" t="n"/>
      <c r="M3167" s="20" t="n"/>
      <c r="N3167" s="43" t="n">
        <v>32216.4</v>
      </c>
      <c r="O3167" s="20" t="n">
        <v>442243221</v>
      </c>
      <c r="P3167" s="43">
        <f>+N3167</f>
        <v/>
      </c>
      <c r="Q3167" s="20">
        <f>+O3167</f>
        <v/>
      </c>
      <c r="R3167" s="42">
        <f>+L3167+N3167-P3167</f>
        <v/>
      </c>
      <c r="S3167" s="42">
        <f>+M3167+O3167-Q3167</f>
        <v/>
      </c>
    </row>
    <row r="3168" ht="30" customHeight="1">
      <c r="A3168" s="16" t="n">
        <v>45923</v>
      </c>
      <c r="B3168" s="17" t="inlineStr">
        <is>
          <t>MH2509-75</t>
        </is>
      </c>
      <c r="C3168" s="16" t="n">
        <v>45923</v>
      </c>
      <c r="D3168" s="17" t="inlineStr">
        <is>
          <t>00005253</t>
        </is>
      </c>
      <c r="E3168" s="16" t="n">
        <v>45923</v>
      </c>
      <c r="F3168" s="16" t="inlineStr">
        <is>
          <t>XK2510-05</t>
        </is>
      </c>
      <c r="G3168" s="16" t="n">
        <v>45931</v>
      </c>
      <c r="H3168" s="17" t="inlineStr">
        <is>
          <t>Công Ty TNHH Đầu Tư Thương Mại Dịch Vụ Việt Tiến Phát</t>
        </is>
      </c>
      <c r="I3168" s="17" t="inlineStr">
        <is>
          <t>Thép hộp 50x100x3.0x11m</t>
        </is>
      </c>
      <c r="J3168" s="17" t="inlineStr">
        <is>
          <t>kg</t>
        </is>
      </c>
      <c r="K3168" s="19" t="n">
        <v>16051.87</v>
      </c>
      <c r="L3168" s="20" t="n"/>
      <c r="M3168" s="20" t="n"/>
      <c r="N3168" s="43" t="n">
        <v>14798</v>
      </c>
      <c r="O3168" s="20" t="n">
        <v>237535550</v>
      </c>
      <c r="P3168" s="43">
        <f>+N3168</f>
        <v/>
      </c>
      <c r="Q3168" s="20">
        <f>+O3168</f>
        <v/>
      </c>
      <c r="R3168" s="42">
        <f>+L3168+N3168-P3168</f>
        <v/>
      </c>
      <c r="S3168" s="42">
        <f>+M3168+O3168-Q3168</f>
        <v/>
      </c>
    </row>
    <row r="3169" ht="30" customHeight="1">
      <c r="A3169" s="16" t="n">
        <v>45923</v>
      </c>
      <c r="B3169" s="17" t="inlineStr">
        <is>
          <t>MH2509-75</t>
        </is>
      </c>
      <c r="C3169" s="16" t="n">
        <v>45923</v>
      </c>
      <c r="D3169" s="17" t="inlineStr">
        <is>
          <t>00005253</t>
        </is>
      </c>
      <c r="E3169" s="16" t="n">
        <v>45923</v>
      </c>
      <c r="F3169" s="16" t="inlineStr">
        <is>
          <t>XK2510-05</t>
        </is>
      </c>
      <c r="G3169" s="16" t="n">
        <v>45931</v>
      </c>
      <c r="H3169" s="17" t="inlineStr">
        <is>
          <t>Công Ty TNHH Đầu Tư Thương Mại Dịch Vụ Việt Tiến Phát</t>
        </is>
      </c>
      <c r="I3169" s="17" t="inlineStr">
        <is>
          <t>Thép hộp 150x150x2.5x12m</t>
        </is>
      </c>
      <c r="J3169" s="17" t="inlineStr">
        <is>
          <t>kg</t>
        </is>
      </c>
      <c r="K3169" s="19" t="n">
        <v>16233.69</v>
      </c>
      <c r="L3169" s="20" t="n"/>
      <c r="M3169" s="20" t="n"/>
      <c r="N3169" s="43" t="n">
        <v>13854</v>
      </c>
      <c r="O3169" s="20" t="n">
        <v>224901541</v>
      </c>
      <c r="P3169" s="43">
        <f>+N3169</f>
        <v/>
      </c>
      <c r="Q3169" s="20">
        <f>+O3169</f>
        <v/>
      </c>
      <c r="R3169" s="42">
        <f>+L3169+N3169-P3169</f>
        <v/>
      </c>
      <c r="S3169" s="42">
        <f>+M3169+O3169-Q3169</f>
        <v/>
      </c>
    </row>
    <row r="3170" ht="30" customHeight="1">
      <c r="A3170" s="16" t="n">
        <v>45924</v>
      </c>
      <c r="B3170" s="17" t="inlineStr">
        <is>
          <t>MH2509-76</t>
        </is>
      </c>
      <c r="C3170" s="16" t="n">
        <v>45924</v>
      </c>
      <c r="D3170" s="17" t="inlineStr">
        <is>
          <t>00003759</t>
        </is>
      </c>
      <c r="E3170" s="16" t="n">
        <v>45924</v>
      </c>
      <c r="F3170" s="16" t="inlineStr">
        <is>
          <t>XK2509-55</t>
        </is>
      </c>
      <c r="G3170" s="16" t="n">
        <v>45924</v>
      </c>
      <c r="H3170" s="17" t="inlineStr">
        <is>
          <t>CÔNG TY CỔ PHẦN CÔNG NGHIỆP VÀ THƯƠNG MẠI CƯỜNG THỊNH</t>
        </is>
      </c>
      <c r="I3170" s="17" t="inlineStr">
        <is>
          <t>Ty giằng 2 đầu ren 4.6 Ф11.3-11.5mm ZP M12</t>
        </is>
      </c>
      <c r="J3170" s="17" t="inlineStr">
        <is>
          <t>Mét</t>
        </is>
      </c>
      <c r="K3170" s="19" t="n">
        <v>20500</v>
      </c>
      <c r="L3170" s="20" t="n"/>
      <c r="M3170" s="20" t="n"/>
      <c r="N3170" s="43" t="n">
        <v>383.62</v>
      </c>
      <c r="O3170" s="20" t="n">
        <v>7864210</v>
      </c>
      <c r="P3170" s="43" t="n">
        <v>383.62</v>
      </c>
      <c r="Q3170" s="20" t="n">
        <v>7864210</v>
      </c>
      <c r="R3170" s="42">
        <f>+L3170+N3170-P3170</f>
        <v/>
      </c>
      <c r="S3170" s="42">
        <f>+M3170+O3170-Q3170</f>
        <v/>
      </c>
    </row>
    <row r="3171" ht="30" customHeight="1">
      <c r="A3171" s="16" t="n">
        <v>45924</v>
      </c>
      <c r="B3171" s="17" t="inlineStr">
        <is>
          <t>MH2509-76</t>
        </is>
      </c>
      <c r="C3171" s="16" t="n">
        <v>45924</v>
      </c>
      <c r="D3171" s="17" t="inlineStr">
        <is>
          <t>00003759</t>
        </is>
      </c>
      <c r="E3171" s="16" t="n">
        <v>45924</v>
      </c>
      <c r="F3171" s="16" t="inlineStr">
        <is>
          <t>XK2509-55</t>
        </is>
      </c>
      <c r="G3171" s="16" t="n">
        <v>45924</v>
      </c>
      <c r="H3171" s="17" t="inlineStr">
        <is>
          <t>CÔNG TY CỔ PHẦN CÔNG NGHIỆP VÀ THƯƠNG MẠI CƯỜNG THỊNH</t>
        </is>
      </c>
      <c r="I3171" s="17" t="inlineStr">
        <is>
          <t>Đai ốc thường 4 ZP M12 (9mm)</t>
        </is>
      </c>
      <c r="J3171" s="17" t="inlineStr">
        <is>
          <t>Cái</t>
        </is>
      </c>
      <c r="K3171" s="19" t="n">
        <v>360</v>
      </c>
      <c r="L3171" s="20" t="n"/>
      <c r="M3171" s="20" t="n"/>
      <c r="N3171" s="43" t="n">
        <v>1544</v>
      </c>
      <c r="O3171" s="20" t="n">
        <v>555840</v>
      </c>
      <c r="P3171" s="43" t="n">
        <v>1544</v>
      </c>
      <c r="Q3171" s="20" t="n">
        <v>555840</v>
      </c>
      <c r="R3171" s="42">
        <f>+L3171+N3171-P3171</f>
        <v/>
      </c>
      <c r="S3171" s="42">
        <f>+M3171+O3171-Q3171</f>
        <v/>
      </c>
    </row>
    <row r="3172" ht="30" customHeight="1">
      <c r="A3172" s="16" t="n">
        <v>45924</v>
      </c>
      <c r="B3172" s="17" t="inlineStr">
        <is>
          <t>MH2509-76</t>
        </is>
      </c>
      <c r="C3172" s="16" t="n">
        <v>45924</v>
      </c>
      <c r="D3172" s="17" t="inlineStr">
        <is>
          <t>00003759</t>
        </is>
      </c>
      <c r="E3172" s="16" t="n">
        <v>45924</v>
      </c>
      <c r="F3172" s="16" t="inlineStr">
        <is>
          <t>XK2509-55</t>
        </is>
      </c>
      <c r="G3172" s="16" t="n">
        <v>45924</v>
      </c>
      <c r="H3172" s="17" t="inlineStr">
        <is>
          <t>CÔNG TY CỔ PHẦN CÔNG NGHIỆP VÀ THƯƠNG MẠI CƯỜNG THỊNH</t>
        </is>
      </c>
      <c r="I3172" s="17" t="inlineStr">
        <is>
          <t>Long đền thường ZP M12B26D1.5</t>
        </is>
      </c>
      <c r="J3172" s="17" t="inlineStr">
        <is>
          <t>Cái</t>
        </is>
      </c>
      <c r="K3172" s="19" t="n">
        <v>170</v>
      </c>
      <c r="L3172" s="20" t="n"/>
      <c r="M3172" s="20" t="n"/>
      <c r="N3172" s="43" t="n">
        <v>1544</v>
      </c>
      <c r="O3172" s="20" t="n">
        <v>262480</v>
      </c>
      <c r="P3172" s="43" t="n">
        <v>1544</v>
      </c>
      <c r="Q3172" s="20" t="n">
        <v>262480</v>
      </c>
      <c r="R3172" s="42">
        <f>+L3172+N3172-P3172</f>
        <v/>
      </c>
      <c r="S3172" s="42">
        <f>+M3172+O3172-Q3172</f>
        <v/>
      </c>
    </row>
    <row r="3173" ht="30" customHeight="1">
      <c r="A3173" s="16" t="n">
        <v>45924</v>
      </c>
      <c r="B3173" s="17" t="inlineStr">
        <is>
          <t>MH2509-76</t>
        </is>
      </c>
      <c r="C3173" s="16" t="n">
        <v>45924</v>
      </c>
      <c r="D3173" s="17" t="inlineStr">
        <is>
          <t>00003759</t>
        </is>
      </c>
      <c r="E3173" s="16" t="n">
        <v>45924</v>
      </c>
      <c r="F3173" s="16" t="inlineStr">
        <is>
          <t>XK2509-55</t>
        </is>
      </c>
      <c r="G3173" s="16" t="n">
        <v>45924</v>
      </c>
      <c r="H3173" s="17" t="inlineStr">
        <is>
          <t>CÔNG TY CỔ PHẦN CÔNG NGHIỆP VÀ THƯƠNG MẠI CƯỜNG THỊNH</t>
        </is>
      </c>
      <c r="I3173" s="17" t="inlineStr">
        <is>
          <t>Ty giằng 2 đầu ren 4.6 Ф11.3-11.5mm ZP M12</t>
        </is>
      </c>
      <c r="J3173" s="17" t="inlineStr">
        <is>
          <t>Mét</t>
        </is>
      </c>
      <c r="K3173" s="19" t="n">
        <v>22500</v>
      </c>
      <c r="L3173" s="20" t="n"/>
      <c r="M3173" s="20" t="n"/>
      <c r="N3173" s="43" t="n">
        <v>22.71</v>
      </c>
      <c r="O3173" s="20" t="n">
        <v>510975</v>
      </c>
      <c r="P3173" s="43" t="n">
        <v>22.71</v>
      </c>
      <c r="Q3173" s="20" t="n">
        <v>510975</v>
      </c>
      <c r="R3173" s="42">
        <f>+L3173+N3173-P3173</f>
        <v/>
      </c>
      <c r="S3173" s="42">
        <f>+M3173+O3173-Q3173</f>
        <v/>
      </c>
    </row>
    <row r="3174" ht="30" customHeight="1">
      <c r="A3174" s="16" t="n">
        <v>45924</v>
      </c>
      <c r="B3174" s="17" t="inlineStr">
        <is>
          <t>MH2509-77</t>
        </is>
      </c>
      <c r="C3174" s="16" t="n">
        <v>45924</v>
      </c>
      <c r="D3174" s="17" t="inlineStr">
        <is>
          <t>00003754</t>
        </is>
      </c>
      <c r="E3174" s="16" t="n">
        <v>45924</v>
      </c>
      <c r="F3174" s="16" t="inlineStr">
        <is>
          <t>XK2509-56</t>
        </is>
      </c>
      <c r="G3174" s="16" t="n">
        <v>45924</v>
      </c>
      <c r="H3174" s="17" t="inlineStr">
        <is>
          <t>CÔNG TY CỔ PHẦN CÔNG NGHIỆP VÀ THƯƠNG MẠI CƯỜNG THỊNH</t>
        </is>
      </c>
      <c r="I3174" s="17" t="inlineStr">
        <is>
          <t>Bulong thường 4.6 ZP M12x30</t>
        </is>
      </c>
      <c r="J3174" s="17" t="inlineStr">
        <is>
          <t>Cái</t>
        </is>
      </c>
      <c r="K3174" s="19" t="n">
        <v>950</v>
      </c>
      <c r="L3174" s="20" t="n"/>
      <c r="M3174" s="20" t="n"/>
      <c r="N3174" s="43" t="n">
        <v>1162</v>
      </c>
      <c r="O3174" s="20" t="n">
        <v>1103900</v>
      </c>
      <c r="P3174" s="43" t="n">
        <v>1162</v>
      </c>
      <c r="Q3174" s="20" t="n">
        <v>1103900</v>
      </c>
      <c r="R3174" s="42">
        <f>+L3174+N3174-P3174</f>
        <v/>
      </c>
      <c r="S3174" s="42">
        <f>+M3174+O3174-Q3174</f>
        <v/>
      </c>
    </row>
    <row r="3175" ht="30" customHeight="1">
      <c r="A3175" s="16" t="n">
        <v>45924</v>
      </c>
      <c r="B3175" s="17" t="inlineStr">
        <is>
          <t>MH2509-77</t>
        </is>
      </c>
      <c r="C3175" s="16" t="n">
        <v>45924</v>
      </c>
      <c r="D3175" s="17" t="inlineStr">
        <is>
          <t>00003754</t>
        </is>
      </c>
      <c r="E3175" s="16" t="n">
        <v>45924</v>
      </c>
      <c r="F3175" s="16" t="inlineStr">
        <is>
          <t>XK2509-56</t>
        </is>
      </c>
      <c r="G3175" s="16" t="n">
        <v>45924</v>
      </c>
      <c r="H3175" s="17" t="inlineStr">
        <is>
          <t>CÔNG TY CỔ PHẦN CÔNG NGHIỆP VÀ THƯƠNG MẠI CƯỜNG THỊNH</t>
        </is>
      </c>
      <c r="I3175" s="17" t="inlineStr">
        <is>
          <t>Đai ốc thường 4 ZP M12 (8mm)</t>
        </is>
      </c>
      <c r="J3175" s="17" t="inlineStr">
        <is>
          <t>Cái</t>
        </is>
      </c>
      <c r="K3175" s="19" t="n">
        <v>360</v>
      </c>
      <c r="L3175" s="20" t="n"/>
      <c r="M3175" s="20" t="n"/>
      <c r="N3175" s="43" t="n">
        <v>1162</v>
      </c>
      <c r="O3175" s="20" t="n">
        <v>418320</v>
      </c>
      <c r="P3175" s="43" t="n">
        <v>1162</v>
      </c>
      <c r="Q3175" s="20" t="n">
        <v>418320</v>
      </c>
      <c r="R3175" s="42">
        <f>+L3175+N3175-P3175</f>
        <v/>
      </c>
      <c r="S3175" s="42">
        <f>+M3175+O3175-Q3175</f>
        <v/>
      </c>
    </row>
    <row r="3176" ht="30" customHeight="1">
      <c r="A3176" s="16" t="n">
        <v>45924</v>
      </c>
      <c r="B3176" s="17" t="inlineStr">
        <is>
          <t>MH2509-77</t>
        </is>
      </c>
      <c r="C3176" s="16" t="n">
        <v>45924</v>
      </c>
      <c r="D3176" s="17" t="inlineStr">
        <is>
          <t>00003754</t>
        </is>
      </c>
      <c r="E3176" s="16" t="n">
        <v>45924</v>
      </c>
      <c r="F3176" s="16" t="inlineStr">
        <is>
          <t>XK2509-56</t>
        </is>
      </c>
      <c r="G3176" s="16" t="n">
        <v>45924</v>
      </c>
      <c r="H3176" s="17" t="inlineStr">
        <is>
          <t>CÔNG TY CỔ PHẦN CÔNG NGHIỆP VÀ THƯƠNG MẠI CƯỜNG THỊNH</t>
        </is>
      </c>
      <c r="I3176" s="17" t="inlineStr">
        <is>
          <t>Long đền thường ZP M12B23D1</t>
        </is>
      </c>
      <c r="J3176" s="17" t="inlineStr">
        <is>
          <t>Cái</t>
        </is>
      </c>
      <c r="K3176" s="19" t="n">
        <v>100</v>
      </c>
      <c r="L3176" s="20" t="n"/>
      <c r="M3176" s="20" t="n"/>
      <c r="N3176" s="43" t="n">
        <v>2324</v>
      </c>
      <c r="O3176" s="20" t="n">
        <v>232400</v>
      </c>
      <c r="P3176" s="43" t="n">
        <v>2324</v>
      </c>
      <c r="Q3176" s="20" t="n">
        <v>232400</v>
      </c>
      <c r="R3176" s="42">
        <f>+L3176+N3176-P3176</f>
        <v/>
      </c>
      <c r="S3176" s="42">
        <f>+M3176+O3176-Q3176</f>
        <v/>
      </c>
    </row>
    <row r="3177" ht="30" customHeight="1">
      <c r="A3177" s="16" t="n">
        <v>45924</v>
      </c>
      <c r="B3177" s="17" t="inlineStr">
        <is>
          <t>MH2509-77</t>
        </is>
      </c>
      <c r="C3177" s="16" t="n">
        <v>45924</v>
      </c>
      <c r="D3177" s="17" t="inlineStr">
        <is>
          <t>00003754</t>
        </is>
      </c>
      <c r="E3177" s="16" t="n">
        <v>45924</v>
      </c>
      <c r="F3177" s="16" t="inlineStr">
        <is>
          <t>XK2509-56</t>
        </is>
      </c>
      <c r="G3177" s="16" t="n">
        <v>45924</v>
      </c>
      <c r="H3177" s="17" t="inlineStr">
        <is>
          <t>CÔNG TY CỔ PHẦN CÔNG NGHIỆP VÀ THƯƠNG MẠI CƯỜNG THỊNH</t>
        </is>
      </c>
      <c r="I3177" s="17" t="inlineStr">
        <is>
          <t>Bulong Din 933 8.8 ZP M16x50</t>
        </is>
      </c>
      <c r="J3177" s="17" t="inlineStr">
        <is>
          <t>Cái</t>
        </is>
      </c>
      <c r="K3177" s="19" t="n">
        <v>3470</v>
      </c>
      <c r="L3177" s="20" t="n"/>
      <c r="M3177" s="20" t="n"/>
      <c r="N3177" s="43" t="n">
        <v>6</v>
      </c>
      <c r="O3177" s="20" t="n">
        <v>20820</v>
      </c>
      <c r="P3177" s="43" t="n">
        <v>6</v>
      </c>
      <c r="Q3177" s="20" t="n">
        <v>20820</v>
      </c>
      <c r="R3177" s="42">
        <f>+L3177+N3177-P3177</f>
        <v/>
      </c>
      <c r="S3177" s="42">
        <f>+M3177+O3177-Q3177</f>
        <v/>
      </c>
    </row>
    <row r="3178" ht="30" customHeight="1">
      <c r="A3178" s="16" t="n">
        <v>45924</v>
      </c>
      <c r="B3178" s="17" t="inlineStr">
        <is>
          <t>MH2509-77</t>
        </is>
      </c>
      <c r="C3178" s="16" t="n">
        <v>45924</v>
      </c>
      <c r="D3178" s="17" t="inlineStr">
        <is>
          <t>00003754</t>
        </is>
      </c>
      <c r="E3178" s="16" t="n">
        <v>45924</v>
      </c>
      <c r="F3178" s="16" t="inlineStr">
        <is>
          <t>XK2509-56</t>
        </is>
      </c>
      <c r="G3178" s="16" t="n">
        <v>45924</v>
      </c>
      <c r="H3178" s="17" t="inlineStr">
        <is>
          <t>CÔNG TY CỔ PHẦN CÔNG NGHIỆP VÀ THƯƠNG MẠI CƯỜNG THỊNH</t>
        </is>
      </c>
      <c r="I3178" s="17" t="inlineStr">
        <is>
          <t>Đai ốc Din 934 8 ZP M16</t>
        </is>
      </c>
      <c r="J3178" s="17" t="inlineStr">
        <is>
          <t>Cái</t>
        </is>
      </c>
      <c r="K3178" s="19" t="n">
        <v>1080</v>
      </c>
      <c r="L3178" s="20" t="n"/>
      <c r="M3178" s="20" t="n"/>
      <c r="N3178" s="43" t="n">
        <v>6</v>
      </c>
      <c r="O3178" s="20" t="n">
        <v>6480</v>
      </c>
      <c r="P3178" s="43" t="n">
        <v>6</v>
      </c>
      <c r="Q3178" s="20" t="n">
        <v>6480</v>
      </c>
      <c r="R3178" s="42">
        <f>+L3178+N3178-P3178</f>
        <v/>
      </c>
      <c r="S3178" s="42">
        <f>+M3178+O3178-Q3178</f>
        <v/>
      </c>
    </row>
    <row r="3179" ht="30" customHeight="1">
      <c r="A3179" s="16" t="n">
        <v>45924</v>
      </c>
      <c r="B3179" s="17" t="inlineStr">
        <is>
          <t>MH2509-77</t>
        </is>
      </c>
      <c r="C3179" s="16" t="n">
        <v>45924</v>
      </c>
      <c r="D3179" s="17" t="inlineStr">
        <is>
          <t>00003754</t>
        </is>
      </c>
      <c r="E3179" s="16" t="n">
        <v>45924</v>
      </c>
      <c r="F3179" s="16" t="inlineStr">
        <is>
          <t>XK2509-56</t>
        </is>
      </c>
      <c r="G3179" s="16" t="n">
        <v>45924</v>
      </c>
      <c r="H3179" s="17" t="inlineStr">
        <is>
          <t>CÔNG TY CỔ PHẦN CÔNG NGHIỆP VÀ THƯƠNG MẠI CƯỜNG THỊNH</t>
        </is>
      </c>
      <c r="I3179" s="17" t="inlineStr">
        <is>
          <t>Long đền thường ZP M16B30D2</t>
        </is>
      </c>
      <c r="J3179" s="17" t="inlineStr">
        <is>
          <t>Cái</t>
        </is>
      </c>
      <c r="K3179" s="19" t="n">
        <v>340</v>
      </c>
      <c r="L3179" s="20" t="n"/>
      <c r="M3179" s="20" t="n"/>
      <c r="N3179" s="43" t="n">
        <v>6</v>
      </c>
      <c r="O3179" s="20" t="n">
        <v>2040</v>
      </c>
      <c r="P3179" s="43" t="n">
        <v>6</v>
      </c>
      <c r="Q3179" s="20" t="n">
        <v>2040</v>
      </c>
      <c r="R3179" s="42">
        <f>+L3179+N3179-P3179</f>
        <v/>
      </c>
      <c r="S3179" s="42">
        <f>+M3179+O3179-Q3179</f>
        <v/>
      </c>
    </row>
    <row r="3180" ht="30" customHeight="1">
      <c r="A3180" s="16" t="n">
        <v>45924</v>
      </c>
      <c r="B3180" s="17" t="inlineStr">
        <is>
          <t>MH2509-77</t>
        </is>
      </c>
      <c r="C3180" s="16" t="n">
        <v>45924</v>
      </c>
      <c r="D3180" s="17" t="inlineStr">
        <is>
          <t>00003754</t>
        </is>
      </c>
      <c r="E3180" s="16" t="n">
        <v>45924</v>
      </c>
      <c r="F3180" s="16" t="inlineStr">
        <is>
          <t>XK2509-56</t>
        </is>
      </c>
      <c r="G3180" s="16" t="n">
        <v>45924</v>
      </c>
      <c r="H3180" s="17" t="inlineStr">
        <is>
          <t>CÔNG TY CỔ PHẦN CÔNG NGHIỆP VÀ THƯƠNG MẠI CƯỜNG THỊNH</t>
        </is>
      </c>
      <c r="I3180" s="17" t="inlineStr">
        <is>
          <t>Bulong Din 933 8.8 ZP M20x60</t>
        </is>
      </c>
      <c r="J3180" s="17" t="inlineStr">
        <is>
          <t>Cái</t>
        </is>
      </c>
      <c r="K3180" s="19" t="n">
        <v>6360</v>
      </c>
      <c r="L3180" s="20" t="n"/>
      <c r="M3180" s="20" t="n"/>
      <c r="N3180" s="43" t="n">
        <v>1670</v>
      </c>
      <c r="O3180" s="20" t="n">
        <v>10621200</v>
      </c>
      <c r="P3180" s="43" t="n">
        <v>1670</v>
      </c>
      <c r="Q3180" s="20" t="n">
        <v>10621200</v>
      </c>
      <c r="R3180" s="42">
        <f>+L3180+N3180-P3180</f>
        <v/>
      </c>
      <c r="S3180" s="42">
        <f>+M3180+O3180-Q3180</f>
        <v/>
      </c>
    </row>
    <row r="3181" ht="30" customHeight="1">
      <c r="A3181" s="16" t="n">
        <v>45924</v>
      </c>
      <c r="B3181" s="17" t="inlineStr">
        <is>
          <t>MH2509-77</t>
        </is>
      </c>
      <c r="C3181" s="16" t="n">
        <v>45924</v>
      </c>
      <c r="D3181" s="17" t="inlineStr">
        <is>
          <t>00003754</t>
        </is>
      </c>
      <c r="E3181" s="16" t="n">
        <v>45924</v>
      </c>
      <c r="F3181" s="16" t="inlineStr">
        <is>
          <t>XK2509-56</t>
        </is>
      </c>
      <c r="G3181" s="16" t="n">
        <v>45924</v>
      </c>
      <c r="H3181" s="17" t="inlineStr">
        <is>
          <t>CÔNG TY CỔ PHẦN CÔNG NGHIỆP VÀ THƯƠNG MẠI CƯỜNG THỊNH</t>
        </is>
      </c>
      <c r="I3181" s="17" t="inlineStr">
        <is>
          <t>Đai ốc Din 934 8 ZP M20</t>
        </is>
      </c>
      <c r="J3181" s="17" t="inlineStr">
        <is>
          <t>Cái</t>
        </is>
      </c>
      <c r="K3181" s="19" t="n">
        <v>2030</v>
      </c>
      <c r="L3181" s="20" t="n"/>
      <c r="M3181" s="20" t="n"/>
      <c r="N3181" s="43" t="n">
        <v>1670</v>
      </c>
      <c r="O3181" s="20" t="n">
        <v>3390100</v>
      </c>
      <c r="P3181" s="43" t="n">
        <v>1670</v>
      </c>
      <c r="Q3181" s="20" t="n">
        <v>3390100</v>
      </c>
      <c r="R3181" s="42">
        <f>+L3181+N3181-P3181</f>
        <v/>
      </c>
      <c r="S3181" s="42">
        <f>+M3181+O3181-Q3181</f>
        <v/>
      </c>
    </row>
    <row r="3182" ht="30" customHeight="1">
      <c r="A3182" s="16" t="n">
        <v>45924</v>
      </c>
      <c r="B3182" s="17" t="inlineStr">
        <is>
          <t>MH2509-77</t>
        </is>
      </c>
      <c r="C3182" s="16" t="n">
        <v>45924</v>
      </c>
      <c r="D3182" s="17" t="inlineStr">
        <is>
          <t>00003754</t>
        </is>
      </c>
      <c r="E3182" s="16" t="n">
        <v>45924</v>
      </c>
      <c r="F3182" s="16" t="inlineStr">
        <is>
          <t>XK2509-56</t>
        </is>
      </c>
      <c r="G3182" s="16" t="n">
        <v>45924</v>
      </c>
      <c r="H3182" s="17" t="inlineStr">
        <is>
          <t>CÔNG TY CỔ PHẦN CÔNG NGHIỆP VÀ THƯƠNG MẠI CƯỜNG THỊNH</t>
        </is>
      </c>
      <c r="I3182" s="17" t="inlineStr">
        <is>
          <t>Long đền thường ZP M20B35D2</t>
        </is>
      </c>
      <c r="J3182" s="17" t="inlineStr">
        <is>
          <t>Cái</t>
        </is>
      </c>
      <c r="K3182" s="19" t="n">
        <v>350</v>
      </c>
      <c r="L3182" s="20" t="n"/>
      <c r="M3182" s="20" t="n"/>
      <c r="N3182" s="43" t="n">
        <v>1670</v>
      </c>
      <c r="O3182" s="20" t="n">
        <v>584500</v>
      </c>
      <c r="P3182" s="43" t="n">
        <v>1670</v>
      </c>
      <c r="Q3182" s="20" t="n">
        <v>584500</v>
      </c>
      <c r="R3182" s="42">
        <f>+L3182+N3182-P3182</f>
        <v/>
      </c>
      <c r="S3182" s="42">
        <f>+M3182+O3182-Q3182</f>
        <v/>
      </c>
    </row>
    <row r="3183" ht="30" customHeight="1">
      <c r="A3183" s="16" t="n">
        <v>45924</v>
      </c>
      <c r="B3183" s="17" t="inlineStr">
        <is>
          <t>MH2509-77</t>
        </is>
      </c>
      <c r="C3183" s="16" t="n">
        <v>45924</v>
      </c>
      <c r="D3183" s="17" t="inlineStr">
        <is>
          <t>00003754</t>
        </is>
      </c>
      <c r="E3183" s="16" t="n">
        <v>45924</v>
      </c>
      <c r="F3183" s="16" t="inlineStr">
        <is>
          <t>XK2509-56</t>
        </is>
      </c>
      <c r="G3183" s="16" t="n">
        <v>45924</v>
      </c>
      <c r="H3183" s="17" t="inlineStr">
        <is>
          <t>CÔNG TY CỔ PHẦN CÔNG NGHIỆP VÀ THƯƠNG MẠI CƯỜNG THỊNH</t>
        </is>
      </c>
      <c r="I3183" s="17" t="inlineStr">
        <is>
          <t>Bulong thường 4.6 ZP M12x50</t>
        </is>
      </c>
      <c r="J3183" s="17" t="inlineStr">
        <is>
          <t>Cái</t>
        </is>
      </c>
      <c r="K3183" s="19" t="n">
        <v>1300</v>
      </c>
      <c r="L3183" s="20" t="n"/>
      <c r="M3183" s="20" t="n"/>
      <c r="N3183" s="43" t="n">
        <v>400</v>
      </c>
      <c r="O3183" s="20" t="n">
        <v>520000</v>
      </c>
      <c r="P3183" s="43" t="n">
        <v>400</v>
      </c>
      <c r="Q3183" s="20" t="n">
        <v>520000</v>
      </c>
      <c r="R3183" s="42">
        <f>+L3183+N3183-P3183</f>
        <v/>
      </c>
      <c r="S3183" s="42">
        <f>+M3183+O3183-Q3183</f>
        <v/>
      </c>
    </row>
    <row r="3184" ht="30" customHeight="1">
      <c r="A3184" s="16" t="n">
        <v>45924</v>
      </c>
      <c r="B3184" s="17" t="inlineStr">
        <is>
          <t>MH2509-77</t>
        </is>
      </c>
      <c r="C3184" s="16" t="n">
        <v>45924</v>
      </c>
      <c r="D3184" s="17" t="inlineStr">
        <is>
          <t>00003754</t>
        </is>
      </c>
      <c r="E3184" s="16" t="n">
        <v>45924</v>
      </c>
      <c r="F3184" s="16" t="inlineStr">
        <is>
          <t>XK2509-56</t>
        </is>
      </c>
      <c r="G3184" s="16" t="n">
        <v>45924</v>
      </c>
      <c r="H3184" s="17" t="inlineStr">
        <is>
          <t>CÔNG TY CỔ PHẦN CÔNG NGHIỆP VÀ THƯƠNG MẠI CƯỜNG THỊNH</t>
        </is>
      </c>
      <c r="I3184" s="17" t="inlineStr">
        <is>
          <t>Đai ốc thường 4 ZP M12 (9mm)</t>
        </is>
      </c>
      <c r="J3184" s="17" t="inlineStr">
        <is>
          <t>Cái</t>
        </is>
      </c>
      <c r="K3184" s="19" t="n">
        <v>360</v>
      </c>
      <c r="L3184" s="20" t="n"/>
      <c r="M3184" s="20" t="n"/>
      <c r="N3184" s="43" t="n">
        <v>400</v>
      </c>
      <c r="O3184" s="20" t="n">
        <v>144000</v>
      </c>
      <c r="P3184" s="43" t="n">
        <v>400</v>
      </c>
      <c r="Q3184" s="20" t="n">
        <v>144000</v>
      </c>
      <c r="R3184" s="42">
        <f>+L3184+N3184-P3184</f>
        <v/>
      </c>
      <c r="S3184" s="42">
        <f>+M3184+O3184-Q3184</f>
        <v/>
      </c>
    </row>
    <row r="3185" ht="30" customHeight="1">
      <c r="A3185" s="16" t="n">
        <v>45924</v>
      </c>
      <c r="B3185" s="17" t="inlineStr">
        <is>
          <t>MH2509-77</t>
        </is>
      </c>
      <c r="C3185" s="16" t="n">
        <v>45924</v>
      </c>
      <c r="D3185" s="17" t="inlineStr">
        <is>
          <t>00003754</t>
        </is>
      </c>
      <c r="E3185" s="16" t="n">
        <v>45924</v>
      </c>
      <c r="F3185" s="16" t="inlineStr">
        <is>
          <t>XK2509-56</t>
        </is>
      </c>
      <c r="G3185" s="16" t="n">
        <v>45924</v>
      </c>
      <c r="H3185" s="17" t="inlineStr">
        <is>
          <t>CÔNG TY CỔ PHẦN CÔNG NGHIỆP VÀ THƯƠNG MẠI CƯỜNG THỊNH</t>
        </is>
      </c>
      <c r="I3185" s="17" t="inlineStr">
        <is>
          <t>Long đền thường ZP M12B23D1</t>
        </is>
      </c>
      <c r="J3185" s="17" t="inlineStr">
        <is>
          <t>Cái</t>
        </is>
      </c>
      <c r="K3185" s="19" t="n">
        <v>100</v>
      </c>
      <c r="L3185" s="20" t="n"/>
      <c r="M3185" s="20" t="n"/>
      <c r="N3185" s="43" t="n">
        <v>800</v>
      </c>
      <c r="O3185" s="20" t="n">
        <v>80000</v>
      </c>
      <c r="P3185" s="43" t="n">
        <v>800</v>
      </c>
      <c r="Q3185" s="20" t="n">
        <v>80000</v>
      </c>
      <c r="R3185" s="42">
        <f>+L3185+N3185-P3185</f>
        <v/>
      </c>
      <c r="S3185" s="42">
        <f>+M3185+O3185-Q3185</f>
        <v/>
      </c>
    </row>
    <row r="3186" ht="30" customHeight="1">
      <c r="A3186" s="16" t="n">
        <v>45924</v>
      </c>
      <c r="B3186" s="17" t="inlineStr">
        <is>
          <t>MH2509-77</t>
        </is>
      </c>
      <c r="C3186" s="16" t="n">
        <v>45924</v>
      </c>
      <c r="D3186" s="17" t="inlineStr">
        <is>
          <t>00003754</t>
        </is>
      </c>
      <c r="E3186" s="16" t="n">
        <v>45924</v>
      </c>
      <c r="F3186" s="16" t="inlineStr">
        <is>
          <t>XK2509-56</t>
        </is>
      </c>
      <c r="G3186" s="16" t="n">
        <v>45924</v>
      </c>
      <c r="H3186" s="17" t="inlineStr">
        <is>
          <t>CÔNG TY CỔ PHẦN CÔNG NGHIỆP VÀ THƯƠNG MẠI CƯỜNG THỊNH</t>
        </is>
      </c>
      <c r="I3186" s="17" t="inlineStr">
        <is>
          <t>Bulong Din 933 8.8 ZP M20x80</t>
        </is>
      </c>
      <c r="J3186" s="17" t="inlineStr">
        <is>
          <t>Cái</t>
        </is>
      </c>
      <c r="K3186" s="19" t="n">
        <v>7630</v>
      </c>
      <c r="L3186" s="20" t="n"/>
      <c r="M3186" s="20" t="n"/>
      <c r="N3186" s="43" t="n">
        <v>117</v>
      </c>
      <c r="O3186" s="20" t="n">
        <v>892710</v>
      </c>
      <c r="P3186" s="43" t="n">
        <v>117</v>
      </c>
      <c r="Q3186" s="20" t="n">
        <v>892710</v>
      </c>
      <c r="R3186" s="42">
        <f>+L3186+N3186-P3186</f>
        <v/>
      </c>
      <c r="S3186" s="42">
        <f>+M3186+O3186-Q3186</f>
        <v/>
      </c>
    </row>
    <row r="3187" ht="30" customHeight="1">
      <c r="A3187" s="16" t="n">
        <v>45924</v>
      </c>
      <c r="B3187" s="17" t="inlineStr">
        <is>
          <t>MH2509-77</t>
        </is>
      </c>
      <c r="C3187" s="16" t="n">
        <v>45924</v>
      </c>
      <c r="D3187" s="17" t="inlineStr">
        <is>
          <t>00003754</t>
        </is>
      </c>
      <c r="E3187" s="16" t="n">
        <v>45924</v>
      </c>
      <c r="F3187" s="16" t="inlineStr">
        <is>
          <t>XK2509-56</t>
        </is>
      </c>
      <c r="G3187" s="16" t="n">
        <v>45924</v>
      </c>
      <c r="H3187" s="17" t="inlineStr">
        <is>
          <t>CÔNG TY CỔ PHẦN CÔNG NGHIỆP VÀ THƯƠNG MẠI CƯỜNG THỊNH</t>
        </is>
      </c>
      <c r="I3187" s="17" t="inlineStr">
        <is>
          <t>Đai ốc Din 934 8 ZP M20</t>
        </is>
      </c>
      <c r="J3187" s="17" t="inlineStr">
        <is>
          <t>Cái</t>
        </is>
      </c>
      <c r="K3187" s="19" t="n">
        <v>2030</v>
      </c>
      <c r="L3187" s="20" t="n"/>
      <c r="M3187" s="20" t="n"/>
      <c r="N3187" s="43" t="n">
        <v>117</v>
      </c>
      <c r="O3187" s="20" t="n">
        <v>237510</v>
      </c>
      <c r="P3187" s="43" t="n">
        <v>117</v>
      </c>
      <c r="Q3187" s="20" t="n">
        <v>237510</v>
      </c>
      <c r="R3187" s="42">
        <f>+L3187+N3187-P3187</f>
        <v/>
      </c>
      <c r="S3187" s="42">
        <f>+M3187+O3187-Q3187</f>
        <v/>
      </c>
    </row>
    <row r="3188" ht="30" customHeight="1">
      <c r="A3188" s="16" t="n">
        <v>45924</v>
      </c>
      <c r="B3188" s="17" t="inlineStr">
        <is>
          <t>MH2509-77</t>
        </is>
      </c>
      <c r="C3188" s="16" t="n">
        <v>45924</v>
      </c>
      <c r="D3188" s="17" t="inlineStr">
        <is>
          <t>00003754</t>
        </is>
      </c>
      <c r="E3188" s="16" t="n">
        <v>45924</v>
      </c>
      <c r="F3188" s="16" t="inlineStr">
        <is>
          <t>XK2509-56</t>
        </is>
      </c>
      <c r="G3188" s="16" t="n">
        <v>45924</v>
      </c>
      <c r="H3188" s="17" t="inlineStr">
        <is>
          <t>CÔNG TY CỔ PHẦN CÔNG NGHIỆP VÀ THƯƠNG MẠI CƯỜNG THỊNH</t>
        </is>
      </c>
      <c r="I3188" s="17" t="inlineStr">
        <is>
          <t>Long đền thường ZP M20B35D2</t>
        </is>
      </c>
      <c r="J3188" s="17" t="inlineStr">
        <is>
          <t>Cái</t>
        </is>
      </c>
      <c r="K3188" s="19" t="n">
        <v>350</v>
      </c>
      <c r="L3188" s="20" t="n"/>
      <c r="M3188" s="20" t="n"/>
      <c r="N3188" s="43" t="n">
        <v>117</v>
      </c>
      <c r="O3188" s="20" t="n">
        <v>40950</v>
      </c>
      <c r="P3188" s="43" t="n">
        <v>117</v>
      </c>
      <c r="Q3188" s="20" t="n">
        <v>40950</v>
      </c>
      <c r="R3188" s="42">
        <f>+L3188+N3188-P3188</f>
        <v/>
      </c>
      <c r="S3188" s="42">
        <f>+M3188+O3188-Q3188</f>
        <v/>
      </c>
    </row>
    <row r="3189" ht="30" customHeight="1">
      <c r="A3189" s="16" t="n">
        <v>45924</v>
      </c>
      <c r="B3189" s="17" t="inlineStr">
        <is>
          <t>MH2509-77</t>
        </is>
      </c>
      <c r="C3189" s="16" t="n">
        <v>45924</v>
      </c>
      <c r="D3189" s="17" t="inlineStr">
        <is>
          <t>00003754</t>
        </is>
      </c>
      <c r="E3189" s="16" t="n">
        <v>45924</v>
      </c>
      <c r="F3189" s="16" t="inlineStr">
        <is>
          <t>XK2509-56</t>
        </is>
      </c>
      <c r="G3189" s="16" t="n">
        <v>45924</v>
      </c>
      <c r="H3189" s="17" t="inlineStr">
        <is>
          <t>CÔNG TY CỔ PHẦN CÔNG NGHIỆP VÀ THƯƠNG MẠI CƯỜNG THỊNH</t>
        </is>
      </c>
      <c r="I3189" s="17" t="inlineStr">
        <is>
          <t>Bulong Din 933 8.8 ZP M24x70</t>
        </is>
      </c>
      <c r="J3189" s="17" t="inlineStr">
        <is>
          <t>Cái</t>
        </is>
      </c>
      <c r="K3189" s="19" t="n">
        <v>11010</v>
      </c>
      <c r="L3189" s="20" t="n"/>
      <c r="M3189" s="20" t="n"/>
      <c r="N3189" s="43" t="n">
        <v>575</v>
      </c>
      <c r="O3189" s="20" t="n">
        <v>6330750</v>
      </c>
      <c r="P3189" s="43" t="n">
        <v>575</v>
      </c>
      <c r="Q3189" s="20" t="n">
        <v>6330750</v>
      </c>
      <c r="R3189" s="42">
        <f>+L3189+N3189-P3189</f>
        <v/>
      </c>
      <c r="S3189" s="42">
        <f>+M3189+O3189-Q3189</f>
        <v/>
      </c>
    </row>
    <row r="3190" ht="30" customHeight="1">
      <c r="A3190" s="16" t="n">
        <v>45924</v>
      </c>
      <c r="B3190" s="17" t="inlineStr">
        <is>
          <t>MH2509-77</t>
        </is>
      </c>
      <c r="C3190" s="16" t="n">
        <v>45924</v>
      </c>
      <c r="D3190" s="17" t="inlineStr">
        <is>
          <t>00003754</t>
        </is>
      </c>
      <c r="E3190" s="16" t="n">
        <v>45924</v>
      </c>
      <c r="F3190" s="16" t="inlineStr">
        <is>
          <t>XK2509-56</t>
        </is>
      </c>
      <c r="G3190" s="16" t="n">
        <v>45924</v>
      </c>
      <c r="H3190" s="17" t="inlineStr">
        <is>
          <t>CÔNG TY CỔ PHẦN CÔNG NGHIỆP VÀ THƯƠNG MẠI CƯỜNG THỊNH</t>
        </is>
      </c>
      <c r="I3190" s="17" t="inlineStr">
        <is>
          <t>Đai ốc Din 934 8 ZP M24</t>
        </is>
      </c>
      <c r="J3190" s="17" t="inlineStr">
        <is>
          <t>Cái</t>
        </is>
      </c>
      <c r="K3190" s="19" t="n">
        <v>3500</v>
      </c>
      <c r="L3190" s="20" t="n"/>
      <c r="M3190" s="20" t="n"/>
      <c r="N3190" s="43" t="n">
        <v>575</v>
      </c>
      <c r="O3190" s="20" t="n">
        <v>2012500</v>
      </c>
      <c r="P3190" s="43" t="n">
        <v>575</v>
      </c>
      <c r="Q3190" s="20" t="n">
        <v>2012500</v>
      </c>
      <c r="R3190" s="42">
        <f>+L3190+N3190-P3190</f>
        <v/>
      </c>
      <c r="S3190" s="42">
        <f>+M3190+O3190-Q3190</f>
        <v/>
      </c>
    </row>
    <row r="3191" ht="30" customHeight="1">
      <c r="A3191" s="16" t="n">
        <v>45924</v>
      </c>
      <c r="B3191" s="17" t="inlineStr">
        <is>
          <t>MH2509-77</t>
        </is>
      </c>
      <c r="C3191" s="16" t="n">
        <v>45924</v>
      </c>
      <c r="D3191" s="17" t="inlineStr">
        <is>
          <t>00003754</t>
        </is>
      </c>
      <c r="E3191" s="16" t="n">
        <v>45924</v>
      </c>
      <c r="F3191" s="16" t="inlineStr">
        <is>
          <t>XK2509-56</t>
        </is>
      </c>
      <c r="G3191" s="16" t="n">
        <v>45924</v>
      </c>
      <c r="H3191" s="17" t="inlineStr">
        <is>
          <t>CÔNG TY CỔ PHẦN CÔNG NGHIỆP VÀ THƯƠNG MẠI CƯỜNG THỊNH</t>
        </is>
      </c>
      <c r="I3191" s="17" t="inlineStr">
        <is>
          <t>Long đền thường ZP M24B40-42D2</t>
        </is>
      </c>
      <c r="J3191" s="17" t="inlineStr">
        <is>
          <t>Cái</t>
        </is>
      </c>
      <c r="K3191" s="19" t="n">
        <v>660</v>
      </c>
      <c r="L3191" s="20" t="n"/>
      <c r="M3191" s="20" t="n"/>
      <c r="N3191" s="43" t="n">
        <v>575</v>
      </c>
      <c r="O3191" s="20" t="n">
        <v>379500</v>
      </c>
      <c r="P3191" s="43" t="n">
        <v>575</v>
      </c>
      <c r="Q3191" s="20" t="n">
        <v>379500</v>
      </c>
      <c r="R3191" s="42">
        <f>+L3191+N3191-P3191</f>
        <v/>
      </c>
      <c r="S3191" s="42">
        <f>+M3191+O3191-Q3191</f>
        <v/>
      </c>
    </row>
    <row r="3192" ht="30" customHeight="1">
      <c r="A3192" s="16" t="n">
        <v>45924</v>
      </c>
      <c r="B3192" s="17" t="inlineStr">
        <is>
          <t>MH2509-77</t>
        </is>
      </c>
      <c r="C3192" s="16" t="n">
        <v>45924</v>
      </c>
      <c r="D3192" s="17" t="inlineStr">
        <is>
          <t>00003754</t>
        </is>
      </c>
      <c r="E3192" s="16" t="n">
        <v>45924</v>
      </c>
      <c r="F3192" s="16" t="inlineStr">
        <is>
          <t>XK2509-56</t>
        </is>
      </c>
      <c r="G3192" s="16" t="n">
        <v>45924</v>
      </c>
      <c r="H3192" s="17" t="inlineStr">
        <is>
          <t>CÔNG TY CỔ PHẦN CÔNG NGHIỆP VÀ THƯƠNG MẠI CƯỜNG THỊNH</t>
        </is>
      </c>
      <c r="I3192" s="17" t="inlineStr">
        <is>
          <t>Bulong Din 933 8.8 ZP M24x90</t>
        </is>
      </c>
      <c r="J3192" s="17" t="inlineStr">
        <is>
          <t>Cái</t>
        </is>
      </c>
      <c r="K3192" s="19" t="n">
        <v>12950</v>
      </c>
      <c r="L3192" s="20" t="n"/>
      <c r="M3192" s="20" t="n"/>
      <c r="N3192" s="43" t="n">
        <v>1059</v>
      </c>
      <c r="O3192" s="20" t="n">
        <v>13714050</v>
      </c>
      <c r="P3192" s="43" t="n">
        <v>1059</v>
      </c>
      <c r="Q3192" s="20" t="n">
        <v>13714050</v>
      </c>
      <c r="R3192" s="42">
        <f>+L3192+N3192-P3192</f>
        <v/>
      </c>
      <c r="S3192" s="42">
        <f>+M3192+O3192-Q3192</f>
        <v/>
      </c>
    </row>
    <row r="3193" ht="30" customHeight="1">
      <c r="A3193" s="16" t="n">
        <v>45924</v>
      </c>
      <c r="B3193" s="17" t="inlineStr">
        <is>
          <t>MH2509-77</t>
        </is>
      </c>
      <c r="C3193" s="16" t="n">
        <v>45924</v>
      </c>
      <c r="D3193" s="17" t="inlineStr">
        <is>
          <t>00003754</t>
        </is>
      </c>
      <c r="E3193" s="16" t="n">
        <v>45924</v>
      </c>
      <c r="F3193" s="16" t="inlineStr">
        <is>
          <t>XK2509-56</t>
        </is>
      </c>
      <c r="G3193" s="16" t="n">
        <v>45924</v>
      </c>
      <c r="H3193" s="17" t="inlineStr">
        <is>
          <t>CÔNG TY CỔ PHẦN CÔNG NGHIỆP VÀ THƯƠNG MẠI CƯỜNG THỊNH</t>
        </is>
      </c>
      <c r="I3193" s="17" t="inlineStr">
        <is>
          <t>Đai ốc Din 934 8 ZP M24</t>
        </is>
      </c>
      <c r="J3193" s="17" t="inlineStr">
        <is>
          <t>Cái</t>
        </is>
      </c>
      <c r="K3193" s="19" t="n">
        <v>3500</v>
      </c>
      <c r="L3193" s="20" t="n"/>
      <c r="M3193" s="20" t="n"/>
      <c r="N3193" s="43" t="n">
        <v>1059</v>
      </c>
      <c r="O3193" s="20" t="n">
        <v>3706500</v>
      </c>
      <c r="P3193" s="43" t="n">
        <v>1059</v>
      </c>
      <c r="Q3193" s="20" t="n">
        <v>3706500</v>
      </c>
      <c r="R3193" s="42">
        <f>+L3193+N3193-P3193</f>
        <v/>
      </c>
      <c r="S3193" s="42">
        <f>+M3193+O3193-Q3193</f>
        <v/>
      </c>
    </row>
    <row r="3194" ht="30" customHeight="1">
      <c r="A3194" s="16" t="n">
        <v>45924</v>
      </c>
      <c r="B3194" s="17" t="inlineStr">
        <is>
          <t>MH2509-77</t>
        </is>
      </c>
      <c r="C3194" s="16" t="n">
        <v>45924</v>
      </c>
      <c r="D3194" s="17" t="inlineStr">
        <is>
          <t>00003754</t>
        </is>
      </c>
      <c r="E3194" s="16" t="n">
        <v>45924</v>
      </c>
      <c r="F3194" s="16" t="inlineStr">
        <is>
          <t>XK2509-56</t>
        </is>
      </c>
      <c r="G3194" s="16" t="n">
        <v>45924</v>
      </c>
      <c r="H3194" s="17" t="inlineStr">
        <is>
          <t>CÔNG TY CỔ PHẦN CÔNG NGHIỆP VÀ THƯƠNG MẠI CƯỜNG THỊNH</t>
        </is>
      </c>
      <c r="I3194" s="17" t="inlineStr">
        <is>
          <t>Long đền thường ZP M24B40-42D2</t>
        </is>
      </c>
      <c r="J3194" s="17" t="inlineStr">
        <is>
          <t>Cái</t>
        </is>
      </c>
      <c r="K3194" s="19" t="n">
        <v>680</v>
      </c>
      <c r="L3194" s="20" t="n"/>
      <c r="M3194" s="20" t="n"/>
      <c r="N3194" s="43" t="n">
        <v>1059</v>
      </c>
      <c r="O3194" s="20" t="n">
        <v>720120</v>
      </c>
      <c r="P3194" s="43" t="n">
        <v>1059</v>
      </c>
      <c r="Q3194" s="20" t="n">
        <v>720120</v>
      </c>
      <c r="R3194" s="42">
        <f>+L3194+N3194-P3194</f>
        <v/>
      </c>
      <c r="S3194" s="42">
        <f>+M3194+O3194-Q3194</f>
        <v/>
      </c>
    </row>
    <row r="3195" ht="30" customHeight="1">
      <c r="A3195" s="16" t="n">
        <v>45924</v>
      </c>
      <c r="B3195" s="17" t="inlineStr">
        <is>
          <t>MH2509-77</t>
        </is>
      </c>
      <c r="C3195" s="16" t="n">
        <v>45924</v>
      </c>
      <c r="D3195" s="17" t="inlineStr">
        <is>
          <t>00003754</t>
        </is>
      </c>
      <c r="E3195" s="16" t="n">
        <v>45924</v>
      </c>
      <c r="F3195" s="16" t="inlineStr">
        <is>
          <t>XK2509-56</t>
        </is>
      </c>
      <c r="G3195" s="16" t="n">
        <v>45924</v>
      </c>
      <c r="H3195" s="17" t="inlineStr">
        <is>
          <t>CÔNG TY CỔ PHẦN CÔNG NGHIỆP VÀ THƯƠNG MẠI CƯỜNG THỊNH</t>
        </is>
      </c>
      <c r="I3195" s="17" t="inlineStr">
        <is>
          <t>Bulong Din 933 8.8 ZP M30x100</t>
        </is>
      </c>
      <c r="J3195" s="17" t="inlineStr">
        <is>
          <t>Cái</t>
        </is>
      </c>
      <c r="K3195" s="19" t="n">
        <v>25460</v>
      </c>
      <c r="L3195" s="20" t="n"/>
      <c r="M3195" s="20" t="n"/>
      <c r="N3195" s="43" t="n">
        <v>1143</v>
      </c>
      <c r="O3195" s="20" t="n">
        <v>29100780</v>
      </c>
      <c r="P3195" s="43" t="n">
        <v>1143</v>
      </c>
      <c r="Q3195" s="20" t="n">
        <v>29100780</v>
      </c>
      <c r="R3195" s="42">
        <f>+L3195+N3195-P3195</f>
        <v/>
      </c>
      <c r="S3195" s="42">
        <f>+M3195+O3195-Q3195</f>
        <v/>
      </c>
    </row>
    <row r="3196" ht="30" customHeight="1">
      <c r="A3196" s="16" t="n">
        <v>45924</v>
      </c>
      <c r="B3196" s="17" t="inlineStr">
        <is>
          <t>MH2509-77</t>
        </is>
      </c>
      <c r="C3196" s="16" t="n">
        <v>45924</v>
      </c>
      <c r="D3196" s="17" t="inlineStr">
        <is>
          <t>00003754</t>
        </is>
      </c>
      <c r="E3196" s="16" t="n">
        <v>45924</v>
      </c>
      <c r="F3196" s="16" t="inlineStr">
        <is>
          <t>XK2509-56</t>
        </is>
      </c>
      <c r="G3196" s="16" t="n">
        <v>45924</v>
      </c>
      <c r="H3196" s="17" t="inlineStr">
        <is>
          <t>CÔNG TY CỔ PHẦN CÔNG NGHIỆP VÀ THƯƠNG MẠI CƯỜNG THỊNH</t>
        </is>
      </c>
      <c r="I3196" s="17" t="inlineStr">
        <is>
          <t>Đai ốc Din 934 8 ZP M30</t>
        </is>
      </c>
      <c r="J3196" s="17" t="inlineStr">
        <is>
          <t>Cái</t>
        </is>
      </c>
      <c r="K3196" s="19" t="n">
        <v>7750</v>
      </c>
      <c r="L3196" s="20" t="n"/>
      <c r="M3196" s="20" t="n"/>
      <c r="N3196" s="43" t="n">
        <v>1143</v>
      </c>
      <c r="O3196" s="20" t="n">
        <v>8858250</v>
      </c>
      <c r="P3196" s="43" t="n">
        <v>1143</v>
      </c>
      <c r="Q3196" s="20" t="n">
        <v>8858250</v>
      </c>
      <c r="R3196" s="42">
        <f>+L3196+N3196-P3196</f>
        <v/>
      </c>
      <c r="S3196" s="42">
        <f>+M3196+O3196-Q3196</f>
        <v/>
      </c>
    </row>
    <row r="3197" ht="30" customHeight="1">
      <c r="A3197" s="16" t="n">
        <v>45924</v>
      </c>
      <c r="B3197" s="17" t="inlineStr">
        <is>
          <t>MH2509-77</t>
        </is>
      </c>
      <c r="C3197" s="16" t="n">
        <v>45924</v>
      </c>
      <c r="D3197" s="17" t="inlineStr">
        <is>
          <t>00003754</t>
        </is>
      </c>
      <c r="E3197" s="16" t="n">
        <v>45924</v>
      </c>
      <c r="F3197" s="16" t="inlineStr">
        <is>
          <t>XK2509-56</t>
        </is>
      </c>
      <c r="G3197" s="16" t="n">
        <v>45924</v>
      </c>
      <c r="H3197" s="17" t="inlineStr">
        <is>
          <t>CÔNG TY CỔ PHẦN CÔNG NGHIỆP VÀ THƯƠNG MẠI CƯỜNG THỊNH</t>
        </is>
      </c>
      <c r="I3197" s="17" t="inlineStr">
        <is>
          <t>Long đền thường ZP M30B50D2</t>
        </is>
      </c>
      <c r="J3197" s="17" t="inlineStr">
        <is>
          <t>Cái</t>
        </is>
      </c>
      <c r="K3197" s="19" t="n">
        <v>890</v>
      </c>
      <c r="L3197" s="20" t="n"/>
      <c r="M3197" s="20" t="n"/>
      <c r="N3197" s="43" t="n">
        <v>1143</v>
      </c>
      <c r="O3197" s="20" t="n">
        <v>1017270</v>
      </c>
      <c r="P3197" s="43" t="n">
        <v>1143</v>
      </c>
      <c r="Q3197" s="20" t="n">
        <v>1017270</v>
      </c>
      <c r="R3197" s="42">
        <f>+L3197+N3197-P3197</f>
        <v/>
      </c>
      <c r="S3197" s="42">
        <f>+M3197+O3197-Q3197</f>
        <v/>
      </c>
    </row>
    <row r="3198" ht="30" customHeight="1">
      <c r="A3198" s="16" t="n">
        <v>45924</v>
      </c>
      <c r="B3198" s="17" t="inlineStr">
        <is>
          <t>MH2509-77</t>
        </is>
      </c>
      <c r="C3198" s="16" t="n">
        <v>45924</v>
      </c>
      <c r="D3198" s="17" t="inlineStr">
        <is>
          <t>00003754</t>
        </is>
      </c>
      <c r="E3198" s="16" t="n">
        <v>45924</v>
      </c>
      <c r="F3198" s="16" t="inlineStr">
        <is>
          <t>XK2509-56</t>
        </is>
      </c>
      <c r="G3198" s="16" t="n">
        <v>45924</v>
      </c>
      <c r="H3198" s="17" t="inlineStr">
        <is>
          <t>CÔNG TY CỔ PHẦN CÔNG NGHIỆP VÀ THƯƠNG MẠI CƯỜNG THỊNH</t>
        </is>
      </c>
      <c r="I3198" s="17" t="inlineStr">
        <is>
          <t>Bulong Din 933 8.8 ZP M30x120</t>
        </is>
      </c>
      <c r="J3198" s="17" t="inlineStr">
        <is>
          <t>Cái</t>
        </is>
      </c>
      <c r="K3198" s="19" t="n">
        <v>28640</v>
      </c>
      <c r="L3198" s="20" t="n"/>
      <c r="M3198" s="20" t="n"/>
      <c r="N3198" s="43" t="n">
        <v>760</v>
      </c>
      <c r="O3198" s="20" t="n">
        <v>21766400</v>
      </c>
      <c r="P3198" s="43" t="n">
        <v>760</v>
      </c>
      <c r="Q3198" s="20" t="n">
        <v>21766400</v>
      </c>
      <c r="R3198" s="42">
        <f>+L3198+N3198-P3198</f>
        <v/>
      </c>
      <c r="S3198" s="42">
        <f>+M3198+O3198-Q3198</f>
        <v/>
      </c>
    </row>
    <row r="3199" ht="30" customHeight="1">
      <c r="A3199" s="16" t="n">
        <v>45924</v>
      </c>
      <c r="B3199" s="17" t="inlineStr">
        <is>
          <t>MH2509-77</t>
        </is>
      </c>
      <c r="C3199" s="16" t="n">
        <v>45924</v>
      </c>
      <c r="D3199" s="17" t="inlineStr">
        <is>
          <t>00003754</t>
        </is>
      </c>
      <c r="E3199" s="16" t="n">
        <v>45924</v>
      </c>
      <c r="F3199" s="16" t="inlineStr">
        <is>
          <t>XK2509-56</t>
        </is>
      </c>
      <c r="G3199" s="16" t="n">
        <v>45924</v>
      </c>
      <c r="H3199" s="17" t="inlineStr">
        <is>
          <t>CÔNG TY CỔ PHẦN CÔNG NGHIỆP VÀ THƯƠNG MẠI CƯỜNG THỊNH</t>
        </is>
      </c>
      <c r="I3199" s="17" t="inlineStr">
        <is>
          <t>Đai ốc Din 934 8 ZP M30</t>
        </is>
      </c>
      <c r="J3199" s="17" t="inlineStr">
        <is>
          <t>Cái</t>
        </is>
      </c>
      <c r="K3199" s="19" t="n">
        <v>7750</v>
      </c>
      <c r="L3199" s="20" t="n"/>
      <c r="M3199" s="20" t="n"/>
      <c r="N3199" s="43" t="n">
        <v>760</v>
      </c>
      <c r="O3199" s="20" t="n">
        <v>5890000</v>
      </c>
      <c r="P3199" s="43" t="n">
        <v>760</v>
      </c>
      <c r="Q3199" s="20" t="n">
        <v>5890000</v>
      </c>
      <c r="R3199" s="42">
        <f>+L3199+N3199-P3199</f>
        <v/>
      </c>
      <c r="S3199" s="42">
        <f>+M3199+O3199-Q3199</f>
        <v/>
      </c>
    </row>
    <row r="3200" ht="30" customHeight="1">
      <c r="A3200" s="16" t="n">
        <v>45924</v>
      </c>
      <c r="B3200" s="17" t="inlineStr">
        <is>
          <t>MH2509-77</t>
        </is>
      </c>
      <c r="C3200" s="16" t="n">
        <v>45924</v>
      </c>
      <c r="D3200" s="17" t="inlineStr">
        <is>
          <t>00003754</t>
        </is>
      </c>
      <c r="E3200" s="16" t="n">
        <v>45924</v>
      </c>
      <c r="F3200" s="16" t="inlineStr">
        <is>
          <t>XK2509-56</t>
        </is>
      </c>
      <c r="G3200" s="16" t="n">
        <v>45924</v>
      </c>
      <c r="H3200" s="17" t="inlineStr">
        <is>
          <t>CÔNG TY CỔ PHẦN CÔNG NGHIỆP VÀ THƯƠNG MẠI CƯỜNG THỊNH</t>
        </is>
      </c>
      <c r="I3200" s="17" t="inlineStr">
        <is>
          <t>Long đền thường ZP M30B50D2</t>
        </is>
      </c>
      <c r="J3200" s="17" t="inlineStr">
        <is>
          <t>Cái</t>
        </is>
      </c>
      <c r="K3200" s="19" t="n">
        <v>890</v>
      </c>
      <c r="L3200" s="20" t="n"/>
      <c r="M3200" s="20" t="n"/>
      <c r="N3200" s="43" t="n">
        <v>760</v>
      </c>
      <c r="O3200" s="20" t="n">
        <v>676400</v>
      </c>
      <c r="P3200" s="43" t="n">
        <v>760</v>
      </c>
      <c r="Q3200" s="20" t="n">
        <v>676400</v>
      </c>
      <c r="R3200" s="42">
        <f>+L3200+N3200-P3200</f>
        <v/>
      </c>
      <c r="S3200" s="42">
        <f>+M3200+O3200-Q3200</f>
        <v/>
      </c>
    </row>
    <row r="3201" ht="15" customHeight="1">
      <c r="A3201" s="16" t="n">
        <v>45924</v>
      </c>
      <c r="B3201" s="17" t="inlineStr">
        <is>
          <t>MH2509-78</t>
        </is>
      </c>
      <c r="C3201" s="16" t="n">
        <v>45924</v>
      </c>
      <c r="D3201" s="17" t="inlineStr">
        <is>
          <t>00008870</t>
        </is>
      </c>
      <c r="E3201" s="16" t="n">
        <v>45924</v>
      </c>
      <c r="F3201" s="16" t="inlineStr">
        <is>
          <t>XK2509-57</t>
        </is>
      </c>
      <c r="G3201" s="16" t="n">
        <v>45924</v>
      </c>
      <c r="H3201" s="17" t="inlineStr">
        <is>
          <t>CÔNG TY TNHH SƠN JOTUN VIỆT NAM</t>
        </is>
      </c>
      <c r="I3201" s="17" t="inlineStr">
        <is>
          <t>SƠN JOTAMASTIC 70 GREY 18L</t>
        </is>
      </c>
      <c r="J3201" s="17" t="inlineStr">
        <is>
          <t>Lít</t>
        </is>
      </c>
      <c r="K3201" s="19" t="n">
        <v>90000</v>
      </c>
      <c r="L3201" s="20" t="n"/>
      <c r="M3201" s="20" t="n"/>
      <c r="N3201" s="43" t="n">
        <v>612</v>
      </c>
      <c r="O3201" s="20" t="n">
        <v>55080000</v>
      </c>
      <c r="P3201" s="43" t="n">
        <v>612</v>
      </c>
      <c r="Q3201" s="20" t="n">
        <v>55080000</v>
      </c>
      <c r="R3201" s="42">
        <f>+L3201+N3201-P3201</f>
        <v/>
      </c>
      <c r="S3201" s="42">
        <f>+M3201+O3201-Q3201</f>
        <v/>
      </c>
    </row>
    <row r="3202" ht="15" customHeight="1">
      <c r="A3202" s="16" t="n">
        <v>45924</v>
      </c>
      <c r="B3202" s="17" t="inlineStr">
        <is>
          <t>MH2509-78</t>
        </is>
      </c>
      <c r="C3202" s="16" t="n">
        <v>45924</v>
      </c>
      <c r="D3202" s="17" t="inlineStr">
        <is>
          <t>00008870</t>
        </is>
      </c>
      <c r="E3202" s="16" t="n">
        <v>45924</v>
      </c>
      <c r="F3202" s="16" t="inlineStr">
        <is>
          <t>XK2509-57</t>
        </is>
      </c>
      <c r="G3202" s="16" t="n">
        <v>45924</v>
      </c>
      <c r="H3202" s="17" t="inlineStr">
        <is>
          <t>CÔNG TY TNHH SƠN JOTUN VIỆT NAM</t>
        </is>
      </c>
      <c r="I3202" s="17" t="inlineStr">
        <is>
          <t>SƠN FUTURA CLASSIC RAL 7031 18.99L</t>
        </is>
      </c>
      <c r="J3202" s="17" t="inlineStr">
        <is>
          <t>Thùng</t>
        </is>
      </c>
      <c r="K3202" s="19" t="n">
        <v>155000</v>
      </c>
      <c r="L3202" s="20" t="n"/>
      <c r="M3202" s="20" t="n"/>
      <c r="N3202" s="43" t="n">
        <v>189.9</v>
      </c>
      <c r="O3202" s="20" t="n">
        <v>29434500</v>
      </c>
      <c r="P3202" s="43" t="n">
        <v>189.9</v>
      </c>
      <c r="Q3202" s="20" t="n">
        <v>29434500</v>
      </c>
      <c r="R3202" s="42">
        <f>+L3202+N3202-P3202</f>
        <v/>
      </c>
      <c r="S3202" s="42">
        <f>+M3202+O3202-Q3202</f>
        <v/>
      </c>
    </row>
    <row r="3203" ht="15" customHeight="1">
      <c r="A3203" s="16" t="n">
        <v>45924</v>
      </c>
      <c r="B3203" s="17" t="inlineStr">
        <is>
          <t>MH2509-78</t>
        </is>
      </c>
      <c r="C3203" s="16" t="n">
        <v>45924</v>
      </c>
      <c r="D3203" s="17" t="inlineStr">
        <is>
          <t>00008870</t>
        </is>
      </c>
      <c r="E3203" s="16" t="n">
        <v>45924</v>
      </c>
      <c r="F3203" s="16" t="inlineStr">
        <is>
          <t>XK2509-57</t>
        </is>
      </c>
      <c r="G3203" s="16" t="n">
        <v>45924</v>
      </c>
      <c r="H3203" s="17" t="inlineStr">
        <is>
          <t>CÔNG TY TNHH SƠN JOTUN VIỆT NAM</t>
        </is>
      </c>
      <c r="I3203" s="17" t="inlineStr">
        <is>
          <t>SƠN FUTURA CLASSIC RAL 7031 4.75L</t>
        </is>
      </c>
      <c r="J3203" s="17" t="inlineStr">
        <is>
          <t>Thùng</t>
        </is>
      </c>
      <c r="K3203" s="19" t="n">
        <v>155000</v>
      </c>
      <c r="L3203" s="20" t="n"/>
      <c r="M3203" s="20" t="n"/>
      <c r="N3203" s="43" t="n">
        <v>42.75</v>
      </c>
      <c r="O3203" s="20" t="n">
        <v>6626250</v>
      </c>
      <c r="P3203" s="43" t="n">
        <v>42.75</v>
      </c>
      <c r="Q3203" s="20" t="n">
        <v>6626250</v>
      </c>
      <c r="R3203" s="42">
        <f>+L3203+N3203-P3203</f>
        <v/>
      </c>
      <c r="S3203" s="42">
        <f>+M3203+O3203-Q3203</f>
        <v/>
      </c>
    </row>
    <row r="3204" ht="15" customHeight="1">
      <c r="A3204" s="16" t="n">
        <v>45924</v>
      </c>
      <c r="B3204" s="17" t="inlineStr">
        <is>
          <t>MH2509-78</t>
        </is>
      </c>
      <c r="C3204" s="16" t="n">
        <v>45924</v>
      </c>
      <c r="D3204" s="17" t="inlineStr">
        <is>
          <t>00008870</t>
        </is>
      </c>
      <c r="E3204" s="16" t="n">
        <v>45924</v>
      </c>
      <c r="F3204" s="16" t="inlineStr">
        <is>
          <t>XK2509-57</t>
        </is>
      </c>
      <c r="G3204" s="16" t="n">
        <v>45924</v>
      </c>
      <c r="H3204" s="17" t="inlineStr">
        <is>
          <t>CÔNG TY TNHH SƠN JOTUN VIỆT NAM</t>
        </is>
      </c>
      <c r="I3204" s="17" t="inlineStr">
        <is>
          <t>DUNG MÔI JOTUN THINNER NO. 10 20L</t>
        </is>
      </c>
      <c r="J3204" s="17" t="inlineStr">
        <is>
          <t>Lít</t>
        </is>
      </c>
      <c r="K3204" s="19" t="n">
        <v>60000</v>
      </c>
      <c r="L3204" s="20" t="n"/>
      <c r="M3204" s="20" t="n"/>
      <c r="N3204" s="43" t="n">
        <v>80</v>
      </c>
      <c r="O3204" s="20" t="n">
        <v>4800000</v>
      </c>
      <c r="P3204" s="43" t="n">
        <v>80</v>
      </c>
      <c r="Q3204" s="20" t="n">
        <v>4800000</v>
      </c>
      <c r="R3204" s="42">
        <f>+L3204+N3204-P3204</f>
        <v/>
      </c>
      <c r="S3204" s="42">
        <f>+M3204+O3204-Q3204</f>
        <v/>
      </c>
    </row>
    <row r="3205" ht="15" customHeight="1">
      <c r="A3205" s="16" t="n">
        <v>45924</v>
      </c>
      <c r="B3205" s="17" t="inlineStr">
        <is>
          <t>MH2509-78</t>
        </is>
      </c>
      <c r="C3205" s="16" t="n">
        <v>45924</v>
      </c>
      <c r="D3205" s="17" t="inlineStr">
        <is>
          <t>00008870</t>
        </is>
      </c>
      <c r="E3205" s="16" t="n">
        <v>45924</v>
      </c>
      <c r="F3205" s="16" t="inlineStr">
        <is>
          <t>XK2509-57</t>
        </is>
      </c>
      <c r="G3205" s="16" t="n">
        <v>45924</v>
      </c>
      <c r="H3205" s="17" t="inlineStr">
        <is>
          <t>CÔNG TY TNHH SƠN JOTUN VIỆT NAM</t>
        </is>
      </c>
      <c r="I3205" s="17" t="inlineStr">
        <is>
          <t>DUNG MÔI JOTUN THINNER NO. 10 5L</t>
        </is>
      </c>
      <c r="J3205" s="17" t="inlineStr">
        <is>
          <t>Lít</t>
        </is>
      </c>
      <c r="K3205" s="19" t="n">
        <v>60000</v>
      </c>
      <c r="L3205" s="20" t="n"/>
      <c r="M3205" s="20" t="n"/>
      <c r="N3205" s="43" t="n">
        <v>10</v>
      </c>
      <c r="O3205" s="20" t="n">
        <v>600000</v>
      </c>
      <c r="P3205" s="43" t="n">
        <v>10</v>
      </c>
      <c r="Q3205" s="20" t="n">
        <v>600000</v>
      </c>
      <c r="R3205" s="42">
        <f>+L3205+N3205-P3205</f>
        <v/>
      </c>
      <c r="S3205" s="42">
        <f>+M3205+O3205-Q3205</f>
        <v/>
      </c>
    </row>
    <row r="3206" ht="15" customHeight="1">
      <c r="A3206" s="16" t="n">
        <v>45924</v>
      </c>
      <c r="B3206" s="17" t="inlineStr">
        <is>
          <t>MH2509-78</t>
        </is>
      </c>
      <c r="C3206" s="16" t="n">
        <v>45924</v>
      </c>
      <c r="D3206" s="17" t="inlineStr">
        <is>
          <t>00008870</t>
        </is>
      </c>
      <c r="E3206" s="16" t="n">
        <v>45924</v>
      </c>
      <c r="F3206" s="16" t="inlineStr">
        <is>
          <t>XK2509-57</t>
        </is>
      </c>
      <c r="G3206" s="16" t="n">
        <v>45924</v>
      </c>
      <c r="H3206" s="17" t="inlineStr">
        <is>
          <t>CÔNG TY TNHH SƠN JOTUN VIỆT NAM</t>
        </is>
      </c>
      <c r="I3206" s="17" t="inlineStr">
        <is>
          <t>DUNG MÔI JOTUN THINNER NO. 17 20L</t>
        </is>
      </c>
      <c r="J3206" s="17" t="inlineStr">
        <is>
          <t>Lít</t>
        </is>
      </c>
      <c r="K3206" s="19" t="n">
        <v>60000</v>
      </c>
      <c r="L3206" s="20" t="n"/>
      <c r="M3206" s="20" t="n"/>
      <c r="N3206" s="43" t="n">
        <v>80</v>
      </c>
      <c r="O3206" s="20" t="n">
        <v>4800000</v>
      </c>
      <c r="P3206" s="43" t="n">
        <v>80</v>
      </c>
      <c r="Q3206" s="20" t="n">
        <v>4800000</v>
      </c>
      <c r="R3206" s="42">
        <f>+L3206+N3206-P3206</f>
        <v/>
      </c>
      <c r="S3206" s="42">
        <f>+M3206+O3206-Q3206</f>
        <v/>
      </c>
    </row>
    <row r="3207" ht="15" customHeight="1">
      <c r="A3207" s="16" t="n">
        <v>45924</v>
      </c>
      <c r="B3207" s="17" t="inlineStr">
        <is>
          <t>MH2509-78</t>
        </is>
      </c>
      <c r="C3207" s="16" t="n">
        <v>45924</v>
      </c>
      <c r="D3207" s="17" t="inlineStr">
        <is>
          <t>00008870</t>
        </is>
      </c>
      <c r="E3207" s="16" t="n">
        <v>45924</v>
      </c>
      <c r="F3207" s="16" t="inlineStr">
        <is>
          <t>XK2509-57</t>
        </is>
      </c>
      <c r="G3207" s="16" t="n">
        <v>45924</v>
      </c>
      <c r="H3207" s="17" t="inlineStr">
        <is>
          <t>CÔNG TY TNHH SƠN JOTUN VIỆT NAM</t>
        </is>
      </c>
      <c r="I3207" s="17" t="inlineStr">
        <is>
          <t>DUNG MÔI JOTUN THINNER NO. 17 5L</t>
        </is>
      </c>
      <c r="J3207" s="17" t="inlineStr">
        <is>
          <t>Lít</t>
        </is>
      </c>
      <c r="K3207" s="19" t="n">
        <v>60000</v>
      </c>
      <c r="L3207" s="20" t="n"/>
      <c r="M3207" s="20" t="n"/>
      <c r="N3207" s="43" t="n">
        <v>10</v>
      </c>
      <c r="O3207" s="20" t="n">
        <v>600000</v>
      </c>
      <c r="P3207" s="43" t="n">
        <v>10</v>
      </c>
      <c r="Q3207" s="20" t="n">
        <v>600000</v>
      </c>
      <c r="R3207" s="42">
        <f>+L3207+N3207-P3207</f>
        <v/>
      </c>
      <c r="S3207" s="42">
        <f>+M3207+O3207-Q3207</f>
        <v/>
      </c>
    </row>
    <row r="3208" ht="15" customHeight="1">
      <c r="A3208" s="16" t="n">
        <v>45924</v>
      </c>
      <c r="B3208" s="17" t="inlineStr">
        <is>
          <t>MH2509-79</t>
        </is>
      </c>
      <c r="C3208" s="16" t="n">
        <v>45924</v>
      </c>
      <c r="D3208" s="17" t="inlineStr">
        <is>
          <t>2540</t>
        </is>
      </c>
      <c r="E3208" s="16" t="n">
        <v>45924</v>
      </c>
      <c r="F3208" s="16" t="inlineStr">
        <is>
          <t>XK2510-04</t>
        </is>
      </c>
      <c r="G3208" s="16" t="n">
        <v>45931</v>
      </c>
      <c r="H3208" s="17" t="inlineStr">
        <is>
          <t>CÔNG TY TNHH THÉP IPC SÀI GÒN</t>
        </is>
      </c>
      <c r="I3208" s="17" t="inlineStr">
        <is>
          <t>Thép tấm 5x2000x6000</t>
        </is>
      </c>
      <c r="J3208" s="17" t="inlineStr">
        <is>
          <t>kg</t>
        </is>
      </c>
      <c r="K3208" s="19" t="n">
        <v>13727.27</v>
      </c>
      <c r="L3208" s="20" t="n"/>
      <c r="M3208" s="20" t="n"/>
      <c r="N3208" s="43" t="n">
        <v>90432</v>
      </c>
      <c r="O3208" s="20" t="n">
        <v>1241384481</v>
      </c>
      <c r="P3208" s="43">
        <f>+N3208</f>
        <v/>
      </c>
      <c r="Q3208" s="20">
        <f>+O3208</f>
        <v/>
      </c>
      <c r="R3208" s="42">
        <f>+L3208+N3208-P3208</f>
        <v/>
      </c>
      <c r="S3208" s="42">
        <f>+M3208+O3208-Q3208</f>
        <v/>
      </c>
    </row>
    <row r="3209" ht="15" customHeight="1">
      <c r="A3209" s="16" t="n">
        <v>45924</v>
      </c>
      <c r="B3209" s="17" t="inlineStr">
        <is>
          <t>MH2509-79</t>
        </is>
      </c>
      <c r="C3209" s="16" t="n">
        <v>45924</v>
      </c>
      <c r="D3209" s="17" t="inlineStr">
        <is>
          <t>2540</t>
        </is>
      </c>
      <c r="E3209" s="16" t="n">
        <v>45924</v>
      </c>
      <c r="F3209" s="16" t="inlineStr">
        <is>
          <t>XK2510-04</t>
        </is>
      </c>
      <c r="G3209" s="16" t="n">
        <v>45931</v>
      </c>
      <c r="H3209" s="17" t="inlineStr">
        <is>
          <t>CÔNG TY TNHH THÉP IPC SÀI GÒN</t>
        </is>
      </c>
      <c r="I3209" s="17" t="inlineStr">
        <is>
          <t>Thép tấm 6x2000x6000</t>
        </is>
      </c>
      <c r="J3209" s="17" t="inlineStr">
        <is>
          <t>kg</t>
        </is>
      </c>
      <c r="K3209" s="19" t="n">
        <v>13727.27</v>
      </c>
      <c r="L3209" s="20" t="n"/>
      <c r="M3209" s="20" t="n"/>
      <c r="N3209" s="43" t="n">
        <v>3391.2</v>
      </c>
      <c r="O3209" s="20" t="n">
        <v>46551918</v>
      </c>
      <c r="P3209" s="43">
        <f>+N3209</f>
        <v/>
      </c>
      <c r="Q3209" s="20">
        <f>+O3209</f>
        <v/>
      </c>
      <c r="R3209" s="42">
        <f>+L3209+N3209-P3209</f>
        <v/>
      </c>
      <c r="S3209" s="42">
        <f>+M3209+O3209-Q3209</f>
        <v/>
      </c>
    </row>
    <row r="3210" ht="30" customHeight="1">
      <c r="A3210" s="16" t="n">
        <v>45925</v>
      </c>
      <c r="B3210" s="17" t="inlineStr">
        <is>
          <t>MH2509-82</t>
        </is>
      </c>
      <c r="C3210" s="16" t="n">
        <v>45925</v>
      </c>
      <c r="D3210" s="17" t="inlineStr">
        <is>
          <t>00003773</t>
        </is>
      </c>
      <c r="E3210" s="16" t="n">
        <v>45925</v>
      </c>
      <c r="F3210" s="16" t="inlineStr">
        <is>
          <t>XK2509-58</t>
        </is>
      </c>
      <c r="G3210" s="16" t="n">
        <v>45925</v>
      </c>
      <c r="H3210" s="17" t="inlineStr">
        <is>
          <t>CÔNG TY CỔ PHẦN CÔNG NGHIỆP VÀ THƯƠNG MẠI CƯỜNG THỊNH</t>
        </is>
      </c>
      <c r="I3210" s="17" t="inlineStr">
        <is>
          <t>Vít B2 Dacromet 12-14x20</t>
        </is>
      </c>
      <c r="J3210" s="17" t="inlineStr">
        <is>
          <t>Cái</t>
        </is>
      </c>
      <c r="K3210" s="19" t="n">
        <v>600</v>
      </c>
      <c r="L3210" s="20" t="n"/>
      <c r="M3210" s="20" t="n"/>
      <c r="N3210" s="43" t="n">
        <v>2000</v>
      </c>
      <c r="O3210" s="20" t="n">
        <v>1200000</v>
      </c>
      <c r="P3210" s="43" t="n">
        <v>2000</v>
      </c>
      <c r="Q3210" s="20" t="n">
        <v>1200000</v>
      </c>
      <c r="R3210" s="42">
        <f>+L3210+N3210-P3210</f>
        <v/>
      </c>
      <c r="S3210" s="42">
        <f>+M3210+O3210-Q3210</f>
        <v/>
      </c>
    </row>
    <row r="3211" ht="30" customHeight="1">
      <c r="A3211" s="16" t="n">
        <v>45925</v>
      </c>
      <c r="B3211" s="17" t="inlineStr">
        <is>
          <t>MH2509-82</t>
        </is>
      </c>
      <c r="C3211" s="16" t="n">
        <v>45925</v>
      </c>
      <c r="D3211" s="17" t="inlineStr">
        <is>
          <t>00003773</t>
        </is>
      </c>
      <c r="E3211" s="16" t="n">
        <v>45925</v>
      </c>
      <c r="F3211" s="16" t="inlineStr">
        <is>
          <t>XK2509-58</t>
        </is>
      </c>
      <c r="G3211" s="16" t="n">
        <v>45925</v>
      </c>
      <c r="H3211" s="17" t="inlineStr">
        <is>
          <t>CÔNG TY CỔ PHẦN CÔNG NGHIỆP VÀ THƯƠNG MẠI CƯỜNG THỊNH</t>
        </is>
      </c>
      <c r="I3211" s="17" t="inlineStr">
        <is>
          <t>Bulong thường 4.6 ZP M12x30</t>
        </is>
      </c>
      <c r="J3211" s="17" t="inlineStr">
        <is>
          <t>Cái</t>
        </is>
      </c>
      <c r="K3211" s="19" t="n">
        <v>950</v>
      </c>
      <c r="L3211" s="20" t="n"/>
      <c r="M3211" s="20" t="n"/>
      <c r="N3211" s="43" t="n">
        <v>853</v>
      </c>
      <c r="O3211" s="20" t="n">
        <v>810350</v>
      </c>
      <c r="P3211" s="43" t="n">
        <v>853</v>
      </c>
      <c r="Q3211" s="20" t="n">
        <v>810350</v>
      </c>
      <c r="R3211" s="42">
        <f>+L3211+N3211-P3211</f>
        <v/>
      </c>
      <c r="S3211" s="42">
        <f>+M3211+O3211-Q3211</f>
        <v/>
      </c>
    </row>
    <row r="3212" ht="30" customHeight="1">
      <c r="A3212" s="16" t="n">
        <v>45925</v>
      </c>
      <c r="B3212" s="17" t="inlineStr">
        <is>
          <t>MH2509-82</t>
        </is>
      </c>
      <c r="C3212" s="16" t="n">
        <v>45925</v>
      </c>
      <c r="D3212" s="17" t="inlineStr">
        <is>
          <t>00003773</t>
        </is>
      </c>
      <c r="E3212" s="16" t="n">
        <v>45925</v>
      </c>
      <c r="F3212" s="16" t="inlineStr">
        <is>
          <t>XK2509-58</t>
        </is>
      </c>
      <c r="G3212" s="16" t="n">
        <v>45925</v>
      </c>
      <c r="H3212" s="17" t="inlineStr">
        <is>
          <t>CÔNG TY CỔ PHẦN CÔNG NGHIỆP VÀ THƯƠNG MẠI CƯỜNG THỊNH</t>
        </is>
      </c>
      <c r="I3212" s="17" t="inlineStr">
        <is>
          <t>Đai ốc thường 4 ZP M12 (8mm)</t>
        </is>
      </c>
      <c r="J3212" s="17" t="inlineStr">
        <is>
          <t>Cái</t>
        </is>
      </c>
      <c r="K3212" s="19" t="n">
        <v>360</v>
      </c>
      <c r="L3212" s="20" t="n"/>
      <c r="M3212" s="20" t="n"/>
      <c r="N3212" s="43" t="n">
        <v>853</v>
      </c>
      <c r="O3212" s="20" t="n">
        <v>307080</v>
      </c>
      <c r="P3212" s="43" t="n">
        <v>853</v>
      </c>
      <c r="Q3212" s="20" t="n">
        <v>307080</v>
      </c>
      <c r="R3212" s="42">
        <f>+L3212+N3212-P3212</f>
        <v/>
      </c>
      <c r="S3212" s="42">
        <f>+M3212+O3212-Q3212</f>
        <v/>
      </c>
    </row>
    <row r="3213" ht="30" customHeight="1">
      <c r="A3213" s="16" t="n">
        <v>45925</v>
      </c>
      <c r="B3213" s="17" t="inlineStr">
        <is>
          <t>MH2509-82</t>
        </is>
      </c>
      <c r="C3213" s="16" t="n">
        <v>45925</v>
      </c>
      <c r="D3213" s="17" t="inlineStr">
        <is>
          <t>00003773</t>
        </is>
      </c>
      <c r="E3213" s="16" t="n">
        <v>45925</v>
      </c>
      <c r="F3213" s="16" t="inlineStr">
        <is>
          <t>XK2509-58</t>
        </is>
      </c>
      <c r="G3213" s="16" t="n">
        <v>45925</v>
      </c>
      <c r="H3213" s="17" t="inlineStr">
        <is>
          <t>CÔNG TY CỔ PHẦN CÔNG NGHIỆP VÀ THƯƠNG MẠI CƯỜNG THỊNH</t>
        </is>
      </c>
      <c r="I3213" s="17" t="inlineStr">
        <is>
          <t>Long đền thường ZP M12B23D1</t>
        </is>
      </c>
      <c r="J3213" s="17" t="inlineStr">
        <is>
          <t>Cái</t>
        </is>
      </c>
      <c r="K3213" s="19" t="n">
        <v>100</v>
      </c>
      <c r="L3213" s="20" t="n"/>
      <c r="M3213" s="20" t="n"/>
      <c r="N3213" s="43" t="n">
        <v>1706</v>
      </c>
      <c r="O3213" s="20" t="n">
        <v>170600</v>
      </c>
      <c r="P3213" s="43" t="n">
        <v>1706</v>
      </c>
      <c r="Q3213" s="20" t="n">
        <v>170600</v>
      </c>
      <c r="R3213" s="42">
        <f>+L3213+N3213-P3213</f>
        <v/>
      </c>
      <c r="S3213" s="42">
        <f>+M3213+O3213-Q3213</f>
        <v/>
      </c>
    </row>
    <row r="3214" ht="30" customHeight="1">
      <c r="A3214" s="16" t="n">
        <v>45925</v>
      </c>
      <c r="B3214" s="17" t="inlineStr">
        <is>
          <t>MH2509-82</t>
        </is>
      </c>
      <c r="C3214" s="16" t="n">
        <v>45925</v>
      </c>
      <c r="D3214" s="17" t="inlineStr">
        <is>
          <t>00003773</t>
        </is>
      </c>
      <c r="E3214" s="16" t="n">
        <v>45925</v>
      </c>
      <c r="F3214" s="16" t="inlineStr">
        <is>
          <t>XK2509-58</t>
        </is>
      </c>
      <c r="G3214" s="16" t="n">
        <v>45925</v>
      </c>
      <c r="H3214" s="17" t="inlineStr">
        <is>
          <t>CÔNG TY CỔ PHẦN CÔNG NGHIỆP VÀ THƯƠNG MẠI CƯỜNG THỊNH</t>
        </is>
      </c>
      <c r="I3214" s="17" t="inlineStr">
        <is>
          <t>Bulong Din 933 8.8 ZP M16x40</t>
        </is>
      </c>
      <c r="J3214" s="17" t="inlineStr">
        <is>
          <t>Cái</t>
        </is>
      </c>
      <c r="K3214" s="19" t="n">
        <v>3030</v>
      </c>
      <c r="L3214" s="20" t="n"/>
      <c r="M3214" s="20" t="n"/>
      <c r="N3214" s="43" t="n">
        <v>556</v>
      </c>
      <c r="O3214" s="20" t="n">
        <v>1684680</v>
      </c>
      <c r="P3214" s="43" t="n">
        <v>556</v>
      </c>
      <c r="Q3214" s="20" t="n">
        <v>1684680</v>
      </c>
      <c r="R3214" s="42">
        <f>+L3214+N3214-P3214</f>
        <v/>
      </c>
      <c r="S3214" s="42">
        <f>+M3214+O3214-Q3214</f>
        <v/>
      </c>
    </row>
    <row r="3215" ht="30" customHeight="1">
      <c r="A3215" s="16" t="n">
        <v>45925</v>
      </c>
      <c r="B3215" s="17" t="inlineStr">
        <is>
          <t>MH2509-82</t>
        </is>
      </c>
      <c r="C3215" s="16" t="n">
        <v>45925</v>
      </c>
      <c r="D3215" s="17" t="inlineStr">
        <is>
          <t>00003773</t>
        </is>
      </c>
      <c r="E3215" s="16" t="n">
        <v>45925</v>
      </c>
      <c r="F3215" s="16" t="inlineStr">
        <is>
          <t>XK2509-58</t>
        </is>
      </c>
      <c r="G3215" s="16" t="n">
        <v>45925</v>
      </c>
      <c r="H3215" s="17" t="inlineStr">
        <is>
          <t>CÔNG TY CỔ PHẦN CÔNG NGHIỆP VÀ THƯƠNG MẠI CƯỜNG THỊNH</t>
        </is>
      </c>
      <c r="I3215" s="17" t="inlineStr">
        <is>
          <t>Đai ốc Din 934 8 ZP M16</t>
        </is>
      </c>
      <c r="J3215" s="17" t="inlineStr">
        <is>
          <t>Cái</t>
        </is>
      </c>
      <c r="K3215" s="19" t="n">
        <v>1080</v>
      </c>
      <c r="L3215" s="20" t="n"/>
      <c r="M3215" s="20" t="n"/>
      <c r="N3215" s="43" t="n">
        <v>556</v>
      </c>
      <c r="O3215" s="20" t="n">
        <v>600480</v>
      </c>
      <c r="P3215" s="43" t="n">
        <v>556</v>
      </c>
      <c r="Q3215" s="20" t="n">
        <v>600480</v>
      </c>
      <c r="R3215" s="42">
        <f>+L3215+N3215-P3215</f>
        <v/>
      </c>
      <c r="S3215" s="42">
        <f>+M3215+O3215-Q3215</f>
        <v/>
      </c>
    </row>
    <row r="3216" ht="30" customHeight="1">
      <c r="A3216" s="16" t="n">
        <v>45925</v>
      </c>
      <c r="B3216" s="17" t="inlineStr">
        <is>
          <t>MH2509-82</t>
        </is>
      </c>
      <c r="C3216" s="16" t="n">
        <v>45925</v>
      </c>
      <c r="D3216" s="17" t="inlineStr">
        <is>
          <t>00003773</t>
        </is>
      </c>
      <c r="E3216" s="16" t="n">
        <v>45925</v>
      </c>
      <c r="F3216" s="16" t="inlineStr">
        <is>
          <t>XK2509-58</t>
        </is>
      </c>
      <c r="G3216" s="16" t="n">
        <v>45925</v>
      </c>
      <c r="H3216" s="17" t="inlineStr">
        <is>
          <t>CÔNG TY CỔ PHẦN CÔNG NGHIỆP VÀ THƯƠNG MẠI CƯỜNG THỊNH</t>
        </is>
      </c>
      <c r="I3216" s="17" t="inlineStr">
        <is>
          <t>Long đền thường ZP M16B30D2</t>
        </is>
      </c>
      <c r="J3216" s="17" t="inlineStr">
        <is>
          <t>Cái</t>
        </is>
      </c>
      <c r="K3216" s="19" t="n">
        <v>340</v>
      </c>
      <c r="L3216" s="20" t="n"/>
      <c r="M3216" s="20" t="n"/>
      <c r="N3216" s="43" t="n">
        <v>556</v>
      </c>
      <c r="O3216" s="20" t="n">
        <v>189040</v>
      </c>
      <c r="P3216" s="43" t="n">
        <v>556</v>
      </c>
      <c r="Q3216" s="20" t="n">
        <v>189040</v>
      </c>
      <c r="R3216" s="42">
        <f>+L3216+N3216-P3216</f>
        <v/>
      </c>
      <c r="S3216" s="42">
        <f>+M3216+O3216-Q3216</f>
        <v/>
      </c>
    </row>
    <row r="3217" ht="30" customHeight="1">
      <c r="A3217" s="16" t="n">
        <v>45925</v>
      </c>
      <c r="B3217" s="17" t="inlineStr">
        <is>
          <t>MH2509-82</t>
        </is>
      </c>
      <c r="C3217" s="16" t="n">
        <v>45925</v>
      </c>
      <c r="D3217" s="17" t="inlineStr">
        <is>
          <t>00003773</t>
        </is>
      </c>
      <c r="E3217" s="16" t="n">
        <v>45925</v>
      </c>
      <c r="F3217" s="16" t="inlineStr">
        <is>
          <t>XK2509-58</t>
        </is>
      </c>
      <c r="G3217" s="16" t="n">
        <v>45925</v>
      </c>
      <c r="H3217" s="17" t="inlineStr">
        <is>
          <t>CÔNG TY CỔ PHẦN CÔNG NGHIỆP VÀ THƯƠNG MẠI CƯỜNG THỊNH</t>
        </is>
      </c>
      <c r="I3217" s="17" t="inlineStr">
        <is>
          <t>Bulong Din 933 8.8 ZP M20x50</t>
        </is>
      </c>
      <c r="J3217" s="17" t="inlineStr">
        <is>
          <t>Cái</t>
        </is>
      </c>
      <c r="K3217" s="19" t="n">
        <v>5760</v>
      </c>
      <c r="L3217" s="20" t="n"/>
      <c r="M3217" s="20" t="n"/>
      <c r="N3217" s="43" t="n">
        <v>519</v>
      </c>
      <c r="O3217" s="20" t="n">
        <v>2989440</v>
      </c>
      <c r="P3217" s="43" t="n">
        <v>519</v>
      </c>
      <c r="Q3217" s="20" t="n">
        <v>2989440</v>
      </c>
      <c r="R3217" s="42">
        <f>+L3217+N3217-P3217</f>
        <v/>
      </c>
      <c r="S3217" s="42">
        <f>+M3217+O3217-Q3217</f>
        <v/>
      </c>
    </row>
    <row r="3218" ht="30" customHeight="1">
      <c r="A3218" s="16" t="n">
        <v>45925</v>
      </c>
      <c r="B3218" s="17" t="inlineStr">
        <is>
          <t>MH2509-82</t>
        </is>
      </c>
      <c r="C3218" s="16" t="n">
        <v>45925</v>
      </c>
      <c r="D3218" s="17" t="inlineStr">
        <is>
          <t>00003773</t>
        </is>
      </c>
      <c r="E3218" s="16" t="n">
        <v>45925</v>
      </c>
      <c r="F3218" s="16" t="inlineStr">
        <is>
          <t>XK2509-58</t>
        </is>
      </c>
      <c r="G3218" s="16" t="n">
        <v>45925</v>
      </c>
      <c r="H3218" s="17" t="inlineStr">
        <is>
          <t>CÔNG TY CỔ PHẦN CÔNG NGHIỆP VÀ THƯƠNG MẠI CƯỜNG THỊNH</t>
        </is>
      </c>
      <c r="I3218" s="17" t="inlineStr">
        <is>
          <t>Đai ốc Din 934 8 ZP M20</t>
        </is>
      </c>
      <c r="J3218" s="17" t="inlineStr">
        <is>
          <t>Cái</t>
        </is>
      </c>
      <c r="K3218" s="19" t="n">
        <v>2030</v>
      </c>
      <c r="L3218" s="20" t="n"/>
      <c r="M3218" s="20" t="n"/>
      <c r="N3218" s="43" t="n">
        <v>519</v>
      </c>
      <c r="O3218" s="20" t="n">
        <v>1053570</v>
      </c>
      <c r="P3218" s="43" t="n">
        <v>519</v>
      </c>
      <c r="Q3218" s="20" t="n">
        <v>1053570</v>
      </c>
      <c r="R3218" s="42">
        <f>+L3218+N3218-P3218</f>
        <v/>
      </c>
      <c r="S3218" s="42">
        <f>+M3218+O3218-Q3218</f>
        <v/>
      </c>
    </row>
    <row r="3219" ht="30" customHeight="1">
      <c r="A3219" s="16" t="n">
        <v>45925</v>
      </c>
      <c r="B3219" s="17" t="inlineStr">
        <is>
          <t>MH2509-82</t>
        </is>
      </c>
      <c r="C3219" s="16" t="n">
        <v>45925</v>
      </c>
      <c r="D3219" s="17" t="inlineStr">
        <is>
          <t>00003773</t>
        </is>
      </c>
      <c r="E3219" s="16" t="n">
        <v>45925</v>
      </c>
      <c r="F3219" s="16" t="inlineStr">
        <is>
          <t>XK2509-58</t>
        </is>
      </c>
      <c r="G3219" s="16" t="n">
        <v>45925</v>
      </c>
      <c r="H3219" s="17" t="inlineStr">
        <is>
          <t>CÔNG TY CỔ PHẦN CÔNG NGHIỆP VÀ THƯƠNG MẠI CƯỜNG THỊNH</t>
        </is>
      </c>
      <c r="I3219" s="17" t="inlineStr">
        <is>
          <t>Long đền thường ZP M20B35D2</t>
        </is>
      </c>
      <c r="J3219" s="17" t="inlineStr">
        <is>
          <t>Cái</t>
        </is>
      </c>
      <c r="K3219" s="19" t="n">
        <v>350</v>
      </c>
      <c r="L3219" s="20" t="n"/>
      <c r="M3219" s="20" t="n"/>
      <c r="N3219" s="43" t="n">
        <v>519</v>
      </c>
      <c r="O3219" s="20" t="n">
        <v>181650</v>
      </c>
      <c r="P3219" s="43" t="n">
        <v>519</v>
      </c>
      <c r="Q3219" s="20" t="n">
        <v>181650</v>
      </c>
      <c r="R3219" s="42">
        <f>+L3219+N3219-P3219</f>
        <v/>
      </c>
      <c r="S3219" s="42">
        <f>+M3219+O3219-Q3219</f>
        <v/>
      </c>
    </row>
    <row r="3220" ht="30" customHeight="1">
      <c r="A3220" s="16" t="n">
        <v>45925</v>
      </c>
      <c r="B3220" s="17" t="inlineStr">
        <is>
          <t>MH2509-82</t>
        </is>
      </c>
      <c r="C3220" s="16" t="n">
        <v>45925</v>
      </c>
      <c r="D3220" s="17" t="inlineStr">
        <is>
          <t>00003773</t>
        </is>
      </c>
      <c r="E3220" s="16" t="n">
        <v>45925</v>
      </c>
      <c r="F3220" s="16" t="inlineStr">
        <is>
          <t>XK2509-58</t>
        </is>
      </c>
      <c r="G3220" s="16" t="n">
        <v>45925</v>
      </c>
      <c r="H3220" s="17" t="inlineStr">
        <is>
          <t>CÔNG TY CỔ PHẦN CÔNG NGHIỆP VÀ THƯƠNG MẠI CƯỜNG THỊNH</t>
        </is>
      </c>
      <c r="I3220" s="17" t="inlineStr">
        <is>
          <t>Bulong Din 933 8.8 ZP M20x60</t>
        </is>
      </c>
      <c r="J3220" s="17" t="inlineStr">
        <is>
          <t>Cái</t>
        </is>
      </c>
      <c r="K3220" s="19" t="n">
        <v>6360</v>
      </c>
      <c r="L3220" s="20" t="n"/>
      <c r="M3220" s="20" t="n"/>
      <c r="N3220" s="43" t="n">
        <v>4524</v>
      </c>
      <c r="O3220" s="20" t="n">
        <v>28772640</v>
      </c>
      <c r="P3220" s="43" t="n">
        <v>4524</v>
      </c>
      <c r="Q3220" s="20" t="n">
        <v>28772640</v>
      </c>
      <c r="R3220" s="42">
        <f>+L3220+N3220-P3220</f>
        <v/>
      </c>
      <c r="S3220" s="42">
        <f>+M3220+O3220-Q3220</f>
        <v/>
      </c>
    </row>
    <row r="3221" ht="30" customHeight="1">
      <c r="A3221" s="16" t="n">
        <v>45925</v>
      </c>
      <c r="B3221" s="17" t="inlineStr">
        <is>
          <t>MH2509-82</t>
        </is>
      </c>
      <c r="C3221" s="16" t="n">
        <v>45925</v>
      </c>
      <c r="D3221" s="17" t="inlineStr">
        <is>
          <t>00003773</t>
        </is>
      </c>
      <c r="E3221" s="16" t="n">
        <v>45925</v>
      </c>
      <c r="F3221" s="16" t="inlineStr">
        <is>
          <t>XK2509-58</t>
        </is>
      </c>
      <c r="G3221" s="16" t="n">
        <v>45925</v>
      </c>
      <c r="H3221" s="17" t="inlineStr">
        <is>
          <t>CÔNG TY CỔ PHẦN CÔNG NGHIỆP VÀ THƯƠNG MẠI CƯỜNG THỊNH</t>
        </is>
      </c>
      <c r="I3221" s="17" t="inlineStr">
        <is>
          <t>Đai ốc Din 934 8 ZP M20</t>
        </is>
      </c>
      <c r="J3221" s="17" t="inlineStr">
        <is>
          <t>Cái</t>
        </is>
      </c>
      <c r="K3221" s="19" t="n">
        <v>2030</v>
      </c>
      <c r="L3221" s="20" t="n"/>
      <c r="M3221" s="20" t="n"/>
      <c r="N3221" s="43" t="n">
        <v>4524</v>
      </c>
      <c r="O3221" s="20" t="n">
        <v>9183720</v>
      </c>
      <c r="P3221" s="43" t="n">
        <v>4524</v>
      </c>
      <c r="Q3221" s="20" t="n">
        <v>9183720</v>
      </c>
      <c r="R3221" s="42">
        <f>+L3221+N3221-P3221</f>
        <v/>
      </c>
      <c r="S3221" s="42">
        <f>+M3221+O3221-Q3221</f>
        <v/>
      </c>
    </row>
    <row r="3222" ht="30" customHeight="1">
      <c r="A3222" s="16" t="n">
        <v>45925</v>
      </c>
      <c r="B3222" s="17" t="inlineStr">
        <is>
          <t>MH2509-82</t>
        </is>
      </c>
      <c r="C3222" s="16" t="n">
        <v>45925</v>
      </c>
      <c r="D3222" s="17" t="inlineStr">
        <is>
          <t>00003773</t>
        </is>
      </c>
      <c r="E3222" s="16" t="n">
        <v>45925</v>
      </c>
      <c r="F3222" s="16" t="inlineStr">
        <is>
          <t>XK2509-58</t>
        </is>
      </c>
      <c r="G3222" s="16" t="n">
        <v>45925</v>
      </c>
      <c r="H3222" s="17" t="inlineStr">
        <is>
          <t>CÔNG TY CỔ PHẦN CÔNG NGHIỆP VÀ THƯƠNG MẠI CƯỜNG THỊNH</t>
        </is>
      </c>
      <c r="I3222" s="17" t="inlineStr">
        <is>
          <t>Long đền thường ZP M20B35D2</t>
        </is>
      </c>
      <c r="J3222" s="17" t="inlineStr">
        <is>
          <t>Cái</t>
        </is>
      </c>
      <c r="K3222" s="19" t="n">
        <v>350</v>
      </c>
      <c r="L3222" s="20" t="n"/>
      <c r="M3222" s="20" t="n"/>
      <c r="N3222" s="43" t="n">
        <v>4524</v>
      </c>
      <c r="O3222" s="20" t="n">
        <v>1583400</v>
      </c>
      <c r="P3222" s="43" t="n">
        <v>4524</v>
      </c>
      <c r="Q3222" s="20" t="n">
        <v>1583400</v>
      </c>
      <c r="R3222" s="42">
        <f>+L3222+N3222-P3222</f>
        <v/>
      </c>
      <c r="S3222" s="42">
        <f>+M3222+O3222-Q3222</f>
        <v/>
      </c>
    </row>
    <row r="3223" ht="30" customHeight="1">
      <c r="A3223" s="16" t="n">
        <v>45925</v>
      </c>
      <c r="B3223" s="17" t="inlineStr">
        <is>
          <t>MH2509-83</t>
        </is>
      </c>
      <c r="C3223" s="16" t="n">
        <v>45925</v>
      </c>
      <c r="D3223" s="17" t="inlineStr">
        <is>
          <t>00003774</t>
        </is>
      </c>
      <c r="E3223" s="16" t="n">
        <v>45925</v>
      </c>
      <c r="F3223" s="16" t="inlineStr">
        <is>
          <t>XK2509-59</t>
        </is>
      </c>
      <c r="G3223" s="16" t="n">
        <v>45925</v>
      </c>
      <c r="H3223" s="17" t="inlineStr">
        <is>
          <t>CÔNG TY CỔ PHẦN CÔNG NGHIỆP VÀ THƯƠNG MẠI CƯỜNG THỊNH</t>
        </is>
      </c>
      <c r="I3223" s="17" t="inlineStr">
        <is>
          <t>Bulong thường 4.6 ZP M12x30</t>
        </is>
      </c>
      <c r="J3223" s="17" t="inlineStr">
        <is>
          <t>Cái</t>
        </is>
      </c>
      <c r="K3223" s="19" t="n">
        <v>950</v>
      </c>
      <c r="L3223" s="20" t="n"/>
      <c r="M3223" s="20" t="n"/>
      <c r="N3223" s="43" t="n">
        <v>95</v>
      </c>
      <c r="O3223" s="20" t="n">
        <v>90250</v>
      </c>
      <c r="P3223" s="43" t="n">
        <v>95</v>
      </c>
      <c r="Q3223" s="20" t="n">
        <v>90250</v>
      </c>
      <c r="R3223" s="42">
        <f>+L3223+N3223-P3223</f>
        <v/>
      </c>
      <c r="S3223" s="42">
        <f>+M3223+O3223-Q3223</f>
        <v/>
      </c>
    </row>
    <row r="3224" ht="30" customHeight="1">
      <c r="A3224" s="16" t="n">
        <v>45925</v>
      </c>
      <c r="B3224" s="17" t="inlineStr">
        <is>
          <t>MH2509-83</t>
        </is>
      </c>
      <c r="C3224" s="16" t="n">
        <v>45925</v>
      </c>
      <c r="D3224" s="17" t="inlineStr">
        <is>
          <t>00003774</t>
        </is>
      </c>
      <c r="E3224" s="16" t="n">
        <v>45925</v>
      </c>
      <c r="F3224" s="16" t="inlineStr">
        <is>
          <t>XK2509-59</t>
        </is>
      </c>
      <c r="G3224" s="16" t="n">
        <v>45925</v>
      </c>
      <c r="H3224" s="17" t="inlineStr">
        <is>
          <t>CÔNG TY CỔ PHẦN CÔNG NGHIỆP VÀ THƯƠNG MẠI CƯỜNG THỊNH</t>
        </is>
      </c>
      <c r="I3224" s="17" t="inlineStr">
        <is>
          <t>Đai ốc thường 4 ZP M12 (8mm)</t>
        </is>
      </c>
      <c r="J3224" s="17" t="inlineStr">
        <is>
          <t>Cái</t>
        </is>
      </c>
      <c r="K3224" s="19" t="n">
        <v>360</v>
      </c>
      <c r="L3224" s="20" t="n"/>
      <c r="M3224" s="20" t="n"/>
      <c r="N3224" s="43" t="n">
        <v>95</v>
      </c>
      <c r="O3224" s="20" t="n">
        <v>34200</v>
      </c>
      <c r="P3224" s="43" t="n">
        <v>95</v>
      </c>
      <c r="Q3224" s="20" t="n">
        <v>34200</v>
      </c>
      <c r="R3224" s="42">
        <f>+L3224+N3224-P3224</f>
        <v/>
      </c>
      <c r="S3224" s="42">
        <f>+M3224+O3224-Q3224</f>
        <v/>
      </c>
    </row>
    <row r="3225" ht="30" customHeight="1">
      <c r="A3225" s="16" t="n">
        <v>45925</v>
      </c>
      <c r="B3225" s="17" t="inlineStr">
        <is>
          <t>MH2509-83</t>
        </is>
      </c>
      <c r="C3225" s="16" t="n">
        <v>45925</v>
      </c>
      <c r="D3225" s="17" t="inlineStr">
        <is>
          <t>00003774</t>
        </is>
      </c>
      <c r="E3225" s="16" t="n">
        <v>45925</v>
      </c>
      <c r="F3225" s="16" t="inlineStr">
        <is>
          <t>XK2509-59</t>
        </is>
      </c>
      <c r="G3225" s="16" t="n">
        <v>45925</v>
      </c>
      <c r="H3225" s="17" t="inlineStr">
        <is>
          <t>CÔNG TY CỔ PHẦN CÔNG NGHIỆP VÀ THƯƠNG MẠI CƯỜNG THỊNH</t>
        </is>
      </c>
      <c r="I3225" s="17" t="inlineStr">
        <is>
          <t>Long đền thường ZP M12B23D1</t>
        </is>
      </c>
      <c r="J3225" s="17" t="inlineStr">
        <is>
          <t>Cái</t>
        </is>
      </c>
      <c r="K3225" s="19" t="n">
        <v>100</v>
      </c>
      <c r="L3225" s="20" t="n"/>
      <c r="M3225" s="20" t="n"/>
      <c r="N3225" s="43" t="n">
        <v>190</v>
      </c>
      <c r="O3225" s="20" t="n">
        <v>19000</v>
      </c>
      <c r="P3225" s="43" t="n">
        <v>190</v>
      </c>
      <c r="Q3225" s="20" t="n">
        <v>19000</v>
      </c>
      <c r="R3225" s="42">
        <f>+L3225+N3225-P3225</f>
        <v/>
      </c>
      <c r="S3225" s="42">
        <f>+M3225+O3225-Q3225</f>
        <v/>
      </c>
    </row>
    <row r="3226" ht="30" customHeight="1">
      <c r="A3226" s="16" t="n">
        <v>45925</v>
      </c>
      <c r="B3226" s="17" t="inlineStr">
        <is>
          <t>MH2509-83</t>
        </is>
      </c>
      <c r="C3226" s="16" t="n">
        <v>45925</v>
      </c>
      <c r="D3226" s="17" t="inlineStr">
        <is>
          <t>00003774</t>
        </is>
      </c>
      <c r="E3226" s="16" t="n">
        <v>45925</v>
      </c>
      <c r="F3226" s="16" t="inlineStr">
        <is>
          <t>XK2509-59</t>
        </is>
      </c>
      <c r="G3226" s="16" t="n">
        <v>45925</v>
      </c>
      <c r="H3226" s="17" t="inlineStr">
        <is>
          <t>CÔNG TY CỔ PHẦN CÔNG NGHIỆP VÀ THƯƠNG MẠI CƯỜNG THỊNH</t>
        </is>
      </c>
      <c r="I3226" s="17" t="inlineStr">
        <is>
          <t>Bulong Din 933 8.8 ZP M16x40</t>
        </is>
      </c>
      <c r="J3226" s="17" t="inlineStr">
        <is>
          <t>Cái</t>
        </is>
      </c>
      <c r="K3226" s="19" t="n">
        <v>3030</v>
      </c>
      <c r="L3226" s="20" t="n"/>
      <c r="M3226" s="20" t="n"/>
      <c r="N3226" s="43" t="n">
        <v>62</v>
      </c>
      <c r="O3226" s="20" t="n">
        <v>187860</v>
      </c>
      <c r="P3226" s="43" t="n">
        <v>62</v>
      </c>
      <c r="Q3226" s="20" t="n">
        <v>187860</v>
      </c>
      <c r="R3226" s="42">
        <f>+L3226+N3226-P3226</f>
        <v/>
      </c>
      <c r="S3226" s="42">
        <f>+M3226+O3226-Q3226</f>
        <v/>
      </c>
    </row>
    <row r="3227" ht="30" customHeight="1">
      <c r="A3227" s="16" t="n">
        <v>45925</v>
      </c>
      <c r="B3227" s="17" t="inlineStr">
        <is>
          <t>MH2509-83</t>
        </is>
      </c>
      <c r="C3227" s="16" t="n">
        <v>45925</v>
      </c>
      <c r="D3227" s="17" t="inlineStr">
        <is>
          <t>00003774</t>
        </is>
      </c>
      <c r="E3227" s="16" t="n">
        <v>45925</v>
      </c>
      <c r="F3227" s="16" t="inlineStr">
        <is>
          <t>XK2509-59</t>
        </is>
      </c>
      <c r="G3227" s="16" t="n">
        <v>45925</v>
      </c>
      <c r="H3227" s="17" t="inlineStr">
        <is>
          <t>CÔNG TY CỔ PHẦN CÔNG NGHIỆP VÀ THƯƠNG MẠI CƯỜNG THỊNH</t>
        </is>
      </c>
      <c r="I3227" s="17" t="inlineStr">
        <is>
          <t>Đai ốc Din 934 8 ZP M16</t>
        </is>
      </c>
      <c r="J3227" s="17" t="inlineStr">
        <is>
          <t>Cái</t>
        </is>
      </c>
      <c r="K3227" s="19" t="n">
        <v>1080</v>
      </c>
      <c r="L3227" s="20" t="n"/>
      <c r="M3227" s="20" t="n"/>
      <c r="N3227" s="43" t="n">
        <v>62</v>
      </c>
      <c r="O3227" s="20" t="n">
        <v>66960</v>
      </c>
      <c r="P3227" s="43" t="n">
        <v>62</v>
      </c>
      <c r="Q3227" s="20" t="n">
        <v>66960</v>
      </c>
      <c r="R3227" s="42">
        <f>+L3227+N3227-P3227</f>
        <v/>
      </c>
      <c r="S3227" s="42">
        <f>+M3227+O3227-Q3227</f>
        <v/>
      </c>
    </row>
    <row r="3228" ht="30" customHeight="1">
      <c r="A3228" s="16" t="n">
        <v>45925</v>
      </c>
      <c r="B3228" s="17" t="inlineStr">
        <is>
          <t>MH2509-83</t>
        </is>
      </c>
      <c r="C3228" s="16" t="n">
        <v>45925</v>
      </c>
      <c r="D3228" s="17" t="inlineStr">
        <is>
          <t>00003774</t>
        </is>
      </c>
      <c r="E3228" s="16" t="n">
        <v>45925</v>
      </c>
      <c r="F3228" s="16" t="inlineStr">
        <is>
          <t>XK2509-59</t>
        </is>
      </c>
      <c r="G3228" s="16" t="n">
        <v>45925</v>
      </c>
      <c r="H3228" s="17" t="inlineStr">
        <is>
          <t>CÔNG TY CỔ PHẦN CÔNG NGHIỆP VÀ THƯƠNG MẠI CƯỜNG THỊNH</t>
        </is>
      </c>
      <c r="I3228" s="17" t="inlineStr">
        <is>
          <t>Long đền thường ZP M16B30D2</t>
        </is>
      </c>
      <c r="J3228" s="17" t="inlineStr">
        <is>
          <t>Cái</t>
        </is>
      </c>
      <c r="K3228" s="19" t="n">
        <v>340</v>
      </c>
      <c r="L3228" s="20" t="n"/>
      <c r="M3228" s="20" t="n"/>
      <c r="N3228" s="43" t="n">
        <v>62</v>
      </c>
      <c r="O3228" s="20" t="n">
        <v>21080</v>
      </c>
      <c r="P3228" s="43" t="n">
        <v>62</v>
      </c>
      <c r="Q3228" s="20" t="n">
        <v>21080</v>
      </c>
      <c r="R3228" s="42">
        <f>+L3228+N3228-P3228</f>
        <v/>
      </c>
      <c r="S3228" s="42">
        <f>+M3228+O3228-Q3228</f>
        <v/>
      </c>
    </row>
    <row r="3229" ht="30" customHeight="1">
      <c r="A3229" s="16" t="n">
        <v>45925</v>
      </c>
      <c r="B3229" s="17" t="inlineStr">
        <is>
          <t>MH2509-83</t>
        </is>
      </c>
      <c r="C3229" s="16" t="n">
        <v>45925</v>
      </c>
      <c r="D3229" s="17" t="inlineStr">
        <is>
          <t>00003774</t>
        </is>
      </c>
      <c r="E3229" s="16" t="n">
        <v>45925</v>
      </c>
      <c r="F3229" s="16" t="inlineStr">
        <is>
          <t>XK2509-59</t>
        </is>
      </c>
      <c r="G3229" s="16" t="n">
        <v>45925</v>
      </c>
      <c r="H3229" s="17" t="inlineStr">
        <is>
          <t>CÔNG TY CỔ PHẦN CÔNG NGHIỆP VÀ THƯƠNG MẠI CƯỜNG THỊNH</t>
        </is>
      </c>
      <c r="I3229" s="17" t="inlineStr">
        <is>
          <t>Bulong Din 933 8.8 ZP M20x50</t>
        </is>
      </c>
      <c r="J3229" s="17" t="inlineStr">
        <is>
          <t>Cái</t>
        </is>
      </c>
      <c r="K3229" s="19" t="n">
        <v>5760</v>
      </c>
      <c r="L3229" s="20" t="n"/>
      <c r="M3229" s="20" t="n"/>
      <c r="N3229" s="43" t="n">
        <v>58</v>
      </c>
      <c r="O3229" s="20" t="n">
        <v>334080</v>
      </c>
      <c r="P3229" s="43" t="n">
        <v>58</v>
      </c>
      <c r="Q3229" s="20" t="n">
        <v>334080</v>
      </c>
      <c r="R3229" s="42">
        <f>+L3229+N3229-P3229</f>
        <v/>
      </c>
      <c r="S3229" s="42">
        <f>+M3229+O3229-Q3229</f>
        <v/>
      </c>
    </row>
    <row r="3230" ht="30" customHeight="1">
      <c r="A3230" s="16" t="n">
        <v>45925</v>
      </c>
      <c r="B3230" s="17" t="inlineStr">
        <is>
          <t>MH2509-83</t>
        </is>
      </c>
      <c r="C3230" s="16" t="n">
        <v>45925</v>
      </c>
      <c r="D3230" s="17" t="inlineStr">
        <is>
          <t>00003774</t>
        </is>
      </c>
      <c r="E3230" s="16" t="n">
        <v>45925</v>
      </c>
      <c r="F3230" s="16" t="inlineStr">
        <is>
          <t>XK2509-59</t>
        </is>
      </c>
      <c r="G3230" s="16" t="n">
        <v>45925</v>
      </c>
      <c r="H3230" s="17" t="inlineStr">
        <is>
          <t>CÔNG TY CỔ PHẦN CÔNG NGHIỆP VÀ THƯƠNG MẠI CƯỜNG THỊNH</t>
        </is>
      </c>
      <c r="I3230" s="17" t="inlineStr">
        <is>
          <t>Đai ốc Din 934 8 ZP M20</t>
        </is>
      </c>
      <c r="J3230" s="17" t="inlineStr">
        <is>
          <t>Cái</t>
        </is>
      </c>
      <c r="K3230" s="19" t="n">
        <v>2030</v>
      </c>
      <c r="L3230" s="20" t="n"/>
      <c r="M3230" s="20" t="n"/>
      <c r="N3230" s="43" t="n">
        <v>58</v>
      </c>
      <c r="O3230" s="20" t="n">
        <v>117740</v>
      </c>
      <c r="P3230" s="43" t="n">
        <v>58</v>
      </c>
      <c r="Q3230" s="20" t="n">
        <v>117740</v>
      </c>
      <c r="R3230" s="42">
        <f>+L3230+N3230-P3230</f>
        <v/>
      </c>
      <c r="S3230" s="42">
        <f>+M3230+O3230-Q3230</f>
        <v/>
      </c>
    </row>
    <row r="3231" ht="30" customHeight="1">
      <c r="A3231" s="16" t="n">
        <v>45925</v>
      </c>
      <c r="B3231" s="17" t="inlineStr">
        <is>
          <t>MH2509-83</t>
        </is>
      </c>
      <c r="C3231" s="16" t="n">
        <v>45925</v>
      </c>
      <c r="D3231" s="17" t="inlineStr">
        <is>
          <t>00003774</t>
        </is>
      </c>
      <c r="E3231" s="16" t="n">
        <v>45925</v>
      </c>
      <c r="F3231" s="16" t="inlineStr">
        <is>
          <t>XK2509-59</t>
        </is>
      </c>
      <c r="G3231" s="16" t="n">
        <v>45925</v>
      </c>
      <c r="H3231" s="17" t="inlineStr">
        <is>
          <t>CÔNG TY CỔ PHẦN CÔNG NGHIỆP VÀ THƯƠNG MẠI CƯỜNG THỊNH</t>
        </is>
      </c>
      <c r="I3231" s="17" t="inlineStr">
        <is>
          <t>Long đền thường ZP M20B35D2</t>
        </is>
      </c>
      <c r="J3231" s="17" t="inlineStr">
        <is>
          <t>Cái</t>
        </is>
      </c>
      <c r="K3231" s="19" t="n">
        <v>350</v>
      </c>
      <c r="L3231" s="20" t="n"/>
      <c r="M3231" s="20" t="n"/>
      <c r="N3231" s="43" t="n">
        <v>58</v>
      </c>
      <c r="O3231" s="20" t="n">
        <v>20300</v>
      </c>
      <c r="P3231" s="43" t="n">
        <v>58</v>
      </c>
      <c r="Q3231" s="20" t="n">
        <v>20300</v>
      </c>
      <c r="R3231" s="42">
        <f>+L3231+N3231-P3231</f>
        <v/>
      </c>
      <c r="S3231" s="42">
        <f>+M3231+O3231-Q3231</f>
        <v/>
      </c>
    </row>
    <row r="3232" ht="30" customHeight="1">
      <c r="A3232" s="16" t="n">
        <v>45925</v>
      </c>
      <c r="B3232" s="17" t="inlineStr">
        <is>
          <t>MH2509-83</t>
        </is>
      </c>
      <c r="C3232" s="16" t="n">
        <v>45925</v>
      </c>
      <c r="D3232" s="17" t="inlineStr">
        <is>
          <t>00003774</t>
        </is>
      </c>
      <c r="E3232" s="16" t="n">
        <v>45925</v>
      </c>
      <c r="F3232" s="16" t="inlineStr">
        <is>
          <t>XK2509-59</t>
        </is>
      </c>
      <c r="G3232" s="16" t="n">
        <v>45925</v>
      </c>
      <c r="H3232" s="17" t="inlineStr">
        <is>
          <t>CÔNG TY CỔ PHẦN CÔNG NGHIỆP VÀ THƯƠNG MẠI CƯỜNG THỊNH</t>
        </is>
      </c>
      <c r="I3232" s="17" t="inlineStr">
        <is>
          <t>Bulong Din 933 8.8 ZP M20x60</t>
        </is>
      </c>
      <c r="J3232" s="17" t="inlineStr">
        <is>
          <t>Cái</t>
        </is>
      </c>
      <c r="K3232" s="19" t="n">
        <v>6360</v>
      </c>
      <c r="L3232" s="20" t="n"/>
      <c r="M3232" s="20" t="n"/>
      <c r="N3232" s="43" t="n">
        <v>503</v>
      </c>
      <c r="O3232" s="20" t="n">
        <v>3199080</v>
      </c>
      <c r="P3232" s="43" t="n">
        <v>503</v>
      </c>
      <c r="Q3232" s="20" t="n">
        <v>3199080</v>
      </c>
      <c r="R3232" s="42">
        <f>+L3232+N3232-P3232</f>
        <v/>
      </c>
      <c r="S3232" s="42">
        <f>+M3232+O3232-Q3232</f>
        <v/>
      </c>
    </row>
    <row r="3233" ht="30" customHeight="1">
      <c r="A3233" s="16" t="n">
        <v>45925</v>
      </c>
      <c r="B3233" s="17" t="inlineStr">
        <is>
          <t>MH2509-83</t>
        </is>
      </c>
      <c r="C3233" s="16" t="n">
        <v>45925</v>
      </c>
      <c r="D3233" s="17" t="inlineStr">
        <is>
          <t>00003774</t>
        </is>
      </c>
      <c r="E3233" s="16" t="n">
        <v>45925</v>
      </c>
      <c r="F3233" s="16" t="inlineStr">
        <is>
          <t>XK2509-59</t>
        </is>
      </c>
      <c r="G3233" s="16" t="n">
        <v>45925</v>
      </c>
      <c r="H3233" s="17" t="inlineStr">
        <is>
          <t>CÔNG TY CỔ PHẦN CÔNG NGHIỆP VÀ THƯƠNG MẠI CƯỜNG THỊNH</t>
        </is>
      </c>
      <c r="I3233" s="17" t="inlineStr">
        <is>
          <t>Đai ốc Din 934 8 ZP M20</t>
        </is>
      </c>
      <c r="J3233" s="17" t="inlineStr">
        <is>
          <t>Cái</t>
        </is>
      </c>
      <c r="K3233" s="19" t="n">
        <v>2030</v>
      </c>
      <c r="L3233" s="20" t="n"/>
      <c r="M3233" s="20" t="n"/>
      <c r="N3233" s="43" t="n">
        <v>503</v>
      </c>
      <c r="O3233" s="20" t="n">
        <v>1021090</v>
      </c>
      <c r="P3233" s="43" t="n">
        <v>503</v>
      </c>
      <c r="Q3233" s="20" t="n">
        <v>1021090</v>
      </c>
      <c r="R3233" s="42">
        <f>+L3233+N3233-P3233</f>
        <v/>
      </c>
      <c r="S3233" s="42">
        <f>+M3233+O3233-Q3233</f>
        <v/>
      </c>
    </row>
    <row r="3234" ht="30" customHeight="1">
      <c r="A3234" s="16" t="n">
        <v>45925</v>
      </c>
      <c r="B3234" s="17" t="inlineStr">
        <is>
          <t>MH2509-83</t>
        </is>
      </c>
      <c r="C3234" s="16" t="n">
        <v>45925</v>
      </c>
      <c r="D3234" s="17" t="inlineStr">
        <is>
          <t>00003774</t>
        </is>
      </c>
      <c r="E3234" s="16" t="n">
        <v>45925</v>
      </c>
      <c r="F3234" s="16" t="inlineStr">
        <is>
          <t>XK2509-59</t>
        </is>
      </c>
      <c r="G3234" s="16" t="n">
        <v>45925</v>
      </c>
      <c r="H3234" s="17" t="inlineStr">
        <is>
          <t>CÔNG TY CỔ PHẦN CÔNG NGHIỆP VÀ THƯƠNG MẠI CƯỜNG THỊNH</t>
        </is>
      </c>
      <c r="I3234" s="17" t="inlineStr">
        <is>
          <t>Long đền thường ZP M20B35D2</t>
        </is>
      </c>
      <c r="J3234" s="17" t="inlineStr">
        <is>
          <t>Cái</t>
        </is>
      </c>
      <c r="K3234" s="19" t="n">
        <v>350</v>
      </c>
      <c r="L3234" s="20" t="n"/>
      <c r="M3234" s="20" t="n"/>
      <c r="N3234" s="43" t="n">
        <v>503</v>
      </c>
      <c r="O3234" s="20" t="n">
        <v>176050</v>
      </c>
      <c r="P3234" s="43" t="n">
        <v>503</v>
      </c>
      <c r="Q3234" s="20" t="n">
        <v>176050</v>
      </c>
      <c r="R3234" s="42">
        <f>+L3234+N3234-P3234</f>
        <v/>
      </c>
      <c r="S3234" s="42">
        <f>+M3234+O3234-Q3234</f>
        <v/>
      </c>
    </row>
    <row r="3235" ht="30" customHeight="1">
      <c r="A3235" s="16" t="n">
        <v>45925</v>
      </c>
      <c r="B3235" s="17" t="inlineStr">
        <is>
          <t>MH2509-83</t>
        </is>
      </c>
      <c r="C3235" s="16" t="n">
        <v>45925</v>
      </c>
      <c r="D3235" s="17" t="inlineStr">
        <is>
          <t>00003774</t>
        </is>
      </c>
      <c r="E3235" s="16" t="n">
        <v>45925</v>
      </c>
      <c r="F3235" s="16" t="inlineStr">
        <is>
          <t>XK2509-59</t>
        </is>
      </c>
      <c r="G3235" s="16" t="n">
        <v>45925</v>
      </c>
      <c r="H3235" s="17" t="inlineStr">
        <is>
          <t>CÔNG TY CỔ PHẦN CÔNG NGHIỆP VÀ THƯƠNG MẠI CƯỜNG THỊNH</t>
        </is>
      </c>
      <c r="I3235" s="17" t="inlineStr">
        <is>
          <t>Vít B2 Dacromet 12-14x20</t>
        </is>
      </c>
      <c r="J3235" s="17" t="inlineStr">
        <is>
          <t>Cái</t>
        </is>
      </c>
      <c r="K3235" s="19" t="n">
        <v>600</v>
      </c>
      <c r="L3235" s="20" t="n"/>
      <c r="M3235" s="20" t="n"/>
      <c r="N3235" s="43" t="n">
        <v>400</v>
      </c>
      <c r="O3235" s="20" t="n">
        <v>240000</v>
      </c>
      <c r="P3235" s="43" t="n">
        <v>400</v>
      </c>
      <c r="Q3235" s="20" t="n">
        <v>240000</v>
      </c>
      <c r="R3235" s="42">
        <f>+L3235+N3235-P3235</f>
        <v/>
      </c>
      <c r="S3235" s="42">
        <f>+M3235+O3235-Q3235</f>
        <v/>
      </c>
    </row>
    <row r="3236" ht="30" customHeight="1">
      <c r="A3236" s="16" t="n">
        <v>45925</v>
      </c>
      <c r="B3236" s="17" t="inlineStr">
        <is>
          <t>MH2509-84</t>
        </is>
      </c>
      <c r="C3236" s="16" t="n">
        <v>45925</v>
      </c>
      <c r="D3236" s="17" t="inlineStr">
        <is>
          <t>00003775</t>
        </is>
      </c>
      <c r="E3236" s="16" t="n">
        <v>45925</v>
      </c>
      <c r="F3236" s="16" t="inlineStr">
        <is>
          <t>XK2509-60</t>
        </is>
      </c>
      <c r="G3236" s="16" t="n">
        <v>45925</v>
      </c>
      <c r="H3236" s="17" t="inlineStr">
        <is>
          <t>CÔNG TY CỔ PHẦN CÔNG NGHIỆP VÀ THƯƠNG MẠI CƯỜNG THỊNH</t>
        </is>
      </c>
      <c r="I3236" s="17" t="inlineStr">
        <is>
          <t>Ty giằng 2 đầu ren 4.6 ZP M16</t>
        </is>
      </c>
      <c r="J3236" s="17" t="inlineStr">
        <is>
          <t>Mét</t>
        </is>
      </c>
      <c r="K3236" s="19" t="n">
        <v>48000</v>
      </c>
      <c r="L3236" s="20" t="n"/>
      <c r="M3236" s="20" t="n"/>
      <c r="N3236" s="43" t="n">
        <v>457.34</v>
      </c>
      <c r="O3236" s="20" t="n">
        <v>21952320</v>
      </c>
      <c r="P3236" s="43" t="n">
        <v>457.34</v>
      </c>
      <c r="Q3236" s="20" t="n">
        <v>21952320</v>
      </c>
      <c r="R3236" s="42">
        <f>+L3236+N3236-P3236</f>
        <v/>
      </c>
      <c r="S3236" s="42">
        <f>+M3236+O3236-Q3236</f>
        <v/>
      </c>
    </row>
    <row r="3237" ht="30" customHeight="1">
      <c r="A3237" s="16" t="n">
        <v>45925</v>
      </c>
      <c r="B3237" s="17" t="inlineStr">
        <is>
          <t>MH2509-84</t>
        </is>
      </c>
      <c r="C3237" s="16" t="n">
        <v>45925</v>
      </c>
      <c r="D3237" s="17" t="inlineStr">
        <is>
          <t>00003775</t>
        </is>
      </c>
      <c r="E3237" s="16" t="n">
        <v>45925</v>
      </c>
      <c r="F3237" s="16" t="inlineStr">
        <is>
          <t>XK2509-60</t>
        </is>
      </c>
      <c r="G3237" s="16" t="n">
        <v>45925</v>
      </c>
      <c r="H3237" s="17" t="inlineStr">
        <is>
          <t>CÔNG TY CỔ PHẦN CÔNG NGHIỆP VÀ THƯƠNG MẠI CƯỜNG THỊNH</t>
        </is>
      </c>
      <c r="I3237" s="17" t="inlineStr">
        <is>
          <t>Đai ốc Din 934 5 ZP M16</t>
        </is>
      </c>
      <c r="J3237" s="17" t="inlineStr">
        <is>
          <t>Cái</t>
        </is>
      </c>
      <c r="K3237" s="19" t="n">
        <v>990</v>
      </c>
      <c r="L3237" s="20" t="n"/>
      <c r="M3237" s="20" t="n"/>
      <c r="N3237" s="43" t="n">
        <v>144</v>
      </c>
      <c r="O3237" s="20" t="n">
        <v>142560</v>
      </c>
      <c r="P3237" s="43" t="n">
        <v>144</v>
      </c>
      <c r="Q3237" s="20" t="n">
        <v>142560</v>
      </c>
      <c r="R3237" s="42">
        <f>+L3237+N3237-P3237</f>
        <v/>
      </c>
      <c r="S3237" s="42">
        <f>+M3237+O3237-Q3237</f>
        <v/>
      </c>
    </row>
    <row r="3238" ht="30" customHeight="1">
      <c r="A3238" s="16" t="n">
        <v>45925</v>
      </c>
      <c r="B3238" s="17" t="inlineStr">
        <is>
          <t>MH2509-84</t>
        </is>
      </c>
      <c r="C3238" s="16" t="n">
        <v>45925</v>
      </c>
      <c r="D3238" s="17" t="inlineStr">
        <is>
          <t>00003775</t>
        </is>
      </c>
      <c r="E3238" s="16" t="n">
        <v>45925</v>
      </c>
      <c r="F3238" s="16" t="inlineStr">
        <is>
          <t>XK2509-60</t>
        </is>
      </c>
      <c r="G3238" s="16" t="n">
        <v>45925</v>
      </c>
      <c r="H3238" s="17" t="inlineStr">
        <is>
          <t>CÔNG TY CỔ PHẦN CÔNG NGHIỆP VÀ THƯƠNG MẠI CƯỜNG THỊNH</t>
        </is>
      </c>
      <c r="I3238" s="17" t="inlineStr">
        <is>
          <t>Long đền móng ngựa ZP M16</t>
        </is>
      </c>
      <c r="J3238" s="17" t="inlineStr">
        <is>
          <t>Cái</t>
        </is>
      </c>
      <c r="K3238" s="19" t="n">
        <v>14830</v>
      </c>
      <c r="L3238" s="20" t="n"/>
      <c r="M3238" s="20" t="n"/>
      <c r="N3238" s="43" t="n">
        <v>144</v>
      </c>
      <c r="O3238" s="20" t="n">
        <v>2135520</v>
      </c>
      <c r="P3238" s="43" t="n">
        <v>144</v>
      </c>
      <c r="Q3238" s="20" t="n">
        <v>2135520</v>
      </c>
      <c r="R3238" s="42">
        <f>+L3238+N3238-P3238</f>
        <v/>
      </c>
      <c r="S3238" s="42">
        <f>+M3238+O3238-Q3238</f>
        <v/>
      </c>
    </row>
    <row r="3239" ht="30" customHeight="1">
      <c r="A3239" s="16" t="n">
        <v>45925</v>
      </c>
      <c r="B3239" s="17" t="inlineStr">
        <is>
          <t>MH2509-84</t>
        </is>
      </c>
      <c r="C3239" s="16" t="n">
        <v>45925</v>
      </c>
      <c r="D3239" s="17" t="inlineStr">
        <is>
          <t>00003775</t>
        </is>
      </c>
      <c r="E3239" s="16" t="n">
        <v>45925</v>
      </c>
      <c r="F3239" s="16" t="inlineStr">
        <is>
          <t>XK2509-60</t>
        </is>
      </c>
      <c r="G3239" s="16" t="n">
        <v>45925</v>
      </c>
      <c r="H3239" s="17" t="inlineStr">
        <is>
          <t>CÔNG TY CỔ PHẦN CÔNG NGHIỆP VÀ THƯƠNG MẠI CƯỜNG THỊNH</t>
        </is>
      </c>
      <c r="I3239" s="17" t="inlineStr">
        <is>
          <t>Long đền thường ZP M16B42D2</t>
        </is>
      </c>
      <c r="J3239" s="17" t="inlineStr">
        <is>
          <t>Cái</t>
        </is>
      </c>
      <c r="K3239" s="19" t="n">
        <v>700</v>
      </c>
      <c r="L3239" s="20" t="n"/>
      <c r="M3239" s="20" t="n"/>
      <c r="N3239" s="43" t="n">
        <v>144</v>
      </c>
      <c r="O3239" s="20" t="n">
        <v>100800</v>
      </c>
      <c r="P3239" s="43" t="n">
        <v>144</v>
      </c>
      <c r="Q3239" s="20" t="n">
        <v>100800</v>
      </c>
      <c r="R3239" s="42">
        <f>+L3239+N3239-P3239</f>
        <v/>
      </c>
      <c r="S3239" s="42">
        <f>+M3239+O3239-Q3239</f>
        <v/>
      </c>
    </row>
    <row r="3240" ht="30" customHeight="1">
      <c r="A3240" s="16" t="n">
        <v>45925</v>
      </c>
      <c r="B3240" s="17" t="inlineStr">
        <is>
          <t>MH2509-84</t>
        </is>
      </c>
      <c r="C3240" s="16" t="n">
        <v>45925</v>
      </c>
      <c r="D3240" s="17" t="inlineStr">
        <is>
          <t>00003775</t>
        </is>
      </c>
      <c r="E3240" s="16" t="n">
        <v>45925</v>
      </c>
      <c r="F3240" s="16" t="inlineStr">
        <is>
          <t>XK2509-60</t>
        </is>
      </c>
      <c r="G3240" s="16" t="n">
        <v>45925</v>
      </c>
      <c r="H3240" s="17" t="inlineStr">
        <is>
          <t>CÔNG TY CỔ PHẦN CÔNG NGHIỆP VÀ THƯƠNG MẠI CƯỜNG THỊNH</t>
        </is>
      </c>
      <c r="I3240" s="17" t="inlineStr">
        <is>
          <t>Nối Ty ZP M16x100 (23mm)</t>
        </is>
      </c>
      <c r="J3240" s="17" t="inlineStr">
        <is>
          <t>Cái</t>
        </is>
      </c>
      <c r="K3240" s="19" t="n">
        <v>19960</v>
      </c>
      <c r="L3240" s="20" t="n"/>
      <c r="M3240" s="20" t="n"/>
      <c r="N3240" s="43" t="n">
        <v>36</v>
      </c>
      <c r="O3240" s="20" t="n">
        <v>718560</v>
      </c>
      <c r="P3240" s="43" t="n">
        <v>36</v>
      </c>
      <c r="Q3240" s="20" t="n">
        <v>718560</v>
      </c>
      <c r="R3240" s="42">
        <f>+L3240+N3240-P3240</f>
        <v/>
      </c>
      <c r="S3240" s="42">
        <f>+M3240+O3240-Q3240</f>
        <v/>
      </c>
    </row>
    <row r="3241" ht="30" customHeight="1">
      <c r="A3241" s="16" t="n">
        <v>45925</v>
      </c>
      <c r="B3241" s="17" t="inlineStr">
        <is>
          <t>MH2509-85</t>
        </is>
      </c>
      <c r="C3241" s="16" t="n">
        <v>45925</v>
      </c>
      <c r="D3241" s="17" t="inlineStr">
        <is>
          <t>00003776</t>
        </is>
      </c>
      <c r="E3241" s="16" t="n">
        <v>45925</v>
      </c>
      <c r="F3241" s="16" t="inlineStr">
        <is>
          <t>XK2509-61</t>
        </is>
      </c>
      <c r="G3241" s="16" t="n">
        <v>45925</v>
      </c>
      <c r="H3241" s="17" t="inlineStr">
        <is>
          <t>CÔNG TY CỔ PHẦN CÔNG NGHIỆP VÀ THƯƠNG MẠI CƯỜNG THỊNH</t>
        </is>
      </c>
      <c r="I3241" s="17" t="inlineStr">
        <is>
          <t>Ty giằng 2 đầu ren 4.6 ZP M16</t>
        </is>
      </c>
      <c r="J3241" s="17" t="inlineStr">
        <is>
          <t>Mét</t>
        </is>
      </c>
      <c r="K3241" s="19" t="n">
        <v>48000</v>
      </c>
      <c r="L3241" s="20" t="n"/>
      <c r="M3241" s="20" t="n"/>
      <c r="N3241" s="43" t="n">
        <v>50.82</v>
      </c>
      <c r="O3241" s="20" t="n">
        <v>2439360</v>
      </c>
      <c r="P3241" s="43" t="n">
        <v>50.82</v>
      </c>
      <c r="Q3241" s="20" t="n">
        <v>2439360</v>
      </c>
      <c r="R3241" s="42">
        <f>+L3241+N3241-P3241</f>
        <v/>
      </c>
      <c r="S3241" s="42">
        <f>+M3241+O3241-Q3241</f>
        <v/>
      </c>
    </row>
    <row r="3242" ht="30" customHeight="1">
      <c r="A3242" s="16" t="n">
        <v>45925</v>
      </c>
      <c r="B3242" s="17" t="inlineStr">
        <is>
          <t>MH2509-85</t>
        </is>
      </c>
      <c r="C3242" s="16" t="n">
        <v>45925</v>
      </c>
      <c r="D3242" s="17" t="inlineStr">
        <is>
          <t>00003776</t>
        </is>
      </c>
      <c r="E3242" s="16" t="n">
        <v>45925</v>
      </c>
      <c r="F3242" s="16" t="inlineStr">
        <is>
          <t>XK2509-61</t>
        </is>
      </c>
      <c r="G3242" s="16" t="n">
        <v>45925</v>
      </c>
      <c r="H3242" s="17" t="inlineStr">
        <is>
          <t>CÔNG TY CỔ PHẦN CÔNG NGHIỆP VÀ THƯƠNG MẠI CƯỜNG THỊNH</t>
        </is>
      </c>
      <c r="I3242" s="17" t="inlineStr">
        <is>
          <t>Đai ốc Din 934 5 ZP M16</t>
        </is>
      </c>
      <c r="J3242" s="17" t="inlineStr">
        <is>
          <t>Cái</t>
        </is>
      </c>
      <c r="K3242" s="19" t="n">
        <v>990</v>
      </c>
      <c r="L3242" s="20" t="n"/>
      <c r="M3242" s="20" t="n"/>
      <c r="N3242" s="43" t="n">
        <v>16</v>
      </c>
      <c r="O3242" s="20" t="n">
        <v>15840</v>
      </c>
      <c r="P3242" s="43" t="n">
        <v>16</v>
      </c>
      <c r="Q3242" s="20" t="n">
        <v>15840</v>
      </c>
      <c r="R3242" s="42">
        <f>+L3242+N3242-P3242</f>
        <v/>
      </c>
      <c r="S3242" s="42">
        <f>+M3242+O3242-Q3242</f>
        <v/>
      </c>
    </row>
    <row r="3243" ht="30" customHeight="1">
      <c r="A3243" s="16" t="n">
        <v>45925</v>
      </c>
      <c r="B3243" s="17" t="inlineStr">
        <is>
          <t>MH2509-85</t>
        </is>
      </c>
      <c r="C3243" s="16" t="n">
        <v>45925</v>
      </c>
      <c r="D3243" s="17" t="inlineStr">
        <is>
          <t>00003776</t>
        </is>
      </c>
      <c r="E3243" s="16" t="n">
        <v>45925</v>
      </c>
      <c r="F3243" s="16" t="inlineStr">
        <is>
          <t>XK2509-61</t>
        </is>
      </c>
      <c r="G3243" s="16" t="n">
        <v>45925</v>
      </c>
      <c r="H3243" s="17" t="inlineStr">
        <is>
          <t>CÔNG TY CỔ PHẦN CÔNG NGHIỆP VÀ THƯƠNG MẠI CƯỜNG THỊNH</t>
        </is>
      </c>
      <c r="I3243" s="17" t="inlineStr">
        <is>
          <t>Long đền móng ngựa ZP M16</t>
        </is>
      </c>
      <c r="J3243" s="17" t="inlineStr">
        <is>
          <t>Cái</t>
        </is>
      </c>
      <c r="K3243" s="19" t="n">
        <v>14830</v>
      </c>
      <c r="L3243" s="20" t="n"/>
      <c r="M3243" s="20" t="n"/>
      <c r="N3243" s="43" t="n">
        <v>16</v>
      </c>
      <c r="O3243" s="20" t="n">
        <v>237280</v>
      </c>
      <c r="P3243" s="43" t="n">
        <v>16</v>
      </c>
      <c r="Q3243" s="20" t="n">
        <v>237280</v>
      </c>
      <c r="R3243" s="42">
        <f>+L3243+N3243-P3243</f>
        <v/>
      </c>
      <c r="S3243" s="42">
        <f>+M3243+O3243-Q3243</f>
        <v/>
      </c>
    </row>
    <row r="3244" ht="30" customHeight="1">
      <c r="A3244" s="16" t="n">
        <v>45925</v>
      </c>
      <c r="B3244" s="17" t="inlineStr">
        <is>
          <t>MH2509-85</t>
        </is>
      </c>
      <c r="C3244" s="16" t="n">
        <v>45925</v>
      </c>
      <c r="D3244" s="17" t="inlineStr">
        <is>
          <t>00003776</t>
        </is>
      </c>
      <c r="E3244" s="16" t="n">
        <v>45925</v>
      </c>
      <c r="F3244" s="16" t="inlineStr">
        <is>
          <t>XK2509-61</t>
        </is>
      </c>
      <c r="G3244" s="16" t="n">
        <v>45925</v>
      </c>
      <c r="H3244" s="17" t="inlineStr">
        <is>
          <t>CÔNG TY CỔ PHẦN CÔNG NGHIỆP VÀ THƯƠNG MẠI CƯỜNG THỊNH</t>
        </is>
      </c>
      <c r="I3244" s="17" t="inlineStr">
        <is>
          <t>Long đền thường ZP M16B42D2</t>
        </is>
      </c>
      <c r="J3244" s="17" t="inlineStr">
        <is>
          <t>Cái</t>
        </is>
      </c>
      <c r="K3244" s="19" t="n">
        <v>700</v>
      </c>
      <c r="L3244" s="20" t="n"/>
      <c r="M3244" s="20" t="n"/>
      <c r="N3244" s="43" t="n">
        <v>16</v>
      </c>
      <c r="O3244" s="20" t="n">
        <v>11200</v>
      </c>
      <c r="P3244" s="43" t="n">
        <v>16</v>
      </c>
      <c r="Q3244" s="20" t="n">
        <v>11200</v>
      </c>
      <c r="R3244" s="42">
        <f>+L3244+N3244-P3244</f>
        <v/>
      </c>
      <c r="S3244" s="42">
        <f>+M3244+O3244-Q3244</f>
        <v/>
      </c>
    </row>
    <row r="3245" ht="30" customHeight="1">
      <c r="A3245" s="16" t="n">
        <v>45925</v>
      </c>
      <c r="B3245" s="17" t="inlineStr">
        <is>
          <t>MH2509-85</t>
        </is>
      </c>
      <c r="C3245" s="16" t="n">
        <v>45925</v>
      </c>
      <c r="D3245" s="17" t="inlineStr">
        <is>
          <t>00003776</t>
        </is>
      </c>
      <c r="E3245" s="16" t="n">
        <v>45925</v>
      </c>
      <c r="F3245" s="16" t="inlineStr">
        <is>
          <t>XK2509-61</t>
        </is>
      </c>
      <c r="G3245" s="16" t="n">
        <v>45925</v>
      </c>
      <c r="H3245" s="17" t="inlineStr">
        <is>
          <t>CÔNG TY CỔ PHẦN CÔNG NGHIỆP VÀ THƯƠNG MẠI CƯỜNG THỊNH</t>
        </is>
      </c>
      <c r="I3245" s="17" t="inlineStr">
        <is>
          <t>Nối Ty ZP M16x100 (23mm)</t>
        </is>
      </c>
      <c r="J3245" s="17" t="inlineStr">
        <is>
          <t>Cái</t>
        </is>
      </c>
      <c r="K3245" s="19" t="n">
        <v>19960</v>
      </c>
      <c r="L3245" s="20" t="n"/>
      <c r="M3245" s="20" t="n"/>
      <c r="N3245" s="43" t="n">
        <v>4</v>
      </c>
      <c r="O3245" s="20" t="n">
        <v>79840</v>
      </c>
      <c r="P3245" s="43" t="n">
        <v>4</v>
      </c>
      <c r="Q3245" s="20" t="n">
        <v>79840</v>
      </c>
      <c r="R3245" s="42">
        <f>+L3245+N3245-P3245</f>
        <v/>
      </c>
      <c r="S3245" s="42">
        <f>+M3245+O3245-Q3245</f>
        <v/>
      </c>
    </row>
    <row r="3246" ht="30" customHeight="1">
      <c r="A3246" s="16" t="n">
        <v>45925</v>
      </c>
      <c r="B3246" s="17" t="inlineStr">
        <is>
          <t>MH2509-86</t>
        </is>
      </c>
      <c r="C3246" s="16" t="n">
        <v>45925</v>
      </c>
      <c r="D3246" s="17" t="inlineStr">
        <is>
          <t>00003777</t>
        </is>
      </c>
      <c r="E3246" s="16" t="n">
        <v>45925</v>
      </c>
      <c r="F3246" s="16" t="inlineStr">
        <is>
          <t>XK2509-62</t>
        </is>
      </c>
      <c r="G3246" s="16" t="n">
        <v>45925</v>
      </c>
      <c r="H3246" s="17" t="inlineStr">
        <is>
          <t>CÔNG TY CỔ PHẦN CÔNG NGHIỆP VÀ THƯƠNG MẠI CƯỜNG THỊNH</t>
        </is>
      </c>
      <c r="I3246" s="17" t="inlineStr">
        <is>
          <t>Ty giằng 2 đầu ren 4.6 ZP M16</t>
        </is>
      </c>
      <c r="J3246" s="17" t="inlineStr">
        <is>
          <t>Mét</t>
        </is>
      </c>
      <c r="K3246" s="19" t="n">
        <v>48000</v>
      </c>
      <c r="L3246" s="20" t="n"/>
      <c r="M3246" s="20" t="n"/>
      <c r="N3246" s="43" t="n">
        <v>96.58</v>
      </c>
      <c r="O3246" s="20" t="n">
        <v>4635840</v>
      </c>
      <c r="P3246" s="43" t="n">
        <v>96.58</v>
      </c>
      <c r="Q3246" s="20" t="n">
        <v>4635840</v>
      </c>
      <c r="R3246" s="42">
        <f>+L3246+N3246-P3246</f>
        <v/>
      </c>
      <c r="S3246" s="42">
        <f>+M3246+O3246-Q3246</f>
        <v/>
      </c>
    </row>
    <row r="3247" ht="30" customHeight="1">
      <c r="A3247" s="16" t="n">
        <v>45925</v>
      </c>
      <c r="B3247" s="17" t="inlineStr">
        <is>
          <t>MH2509-86</t>
        </is>
      </c>
      <c r="C3247" s="16" t="n">
        <v>45925</v>
      </c>
      <c r="D3247" s="17" t="inlineStr">
        <is>
          <t>00003777</t>
        </is>
      </c>
      <c r="E3247" s="16" t="n">
        <v>45925</v>
      </c>
      <c r="F3247" s="16" t="inlineStr">
        <is>
          <t>XK2509-62</t>
        </is>
      </c>
      <c r="G3247" s="16" t="n">
        <v>45925</v>
      </c>
      <c r="H3247" s="17" t="inlineStr">
        <is>
          <t>CÔNG TY CỔ PHẦN CÔNG NGHIỆP VÀ THƯƠNG MẠI CƯỜNG THỊNH</t>
        </is>
      </c>
      <c r="I3247" s="17" t="inlineStr">
        <is>
          <t>Đai ốc Din 934 5 ZP M16</t>
        </is>
      </c>
      <c r="J3247" s="17" t="inlineStr">
        <is>
          <t>Cái</t>
        </is>
      </c>
      <c r="K3247" s="19" t="n">
        <v>990</v>
      </c>
      <c r="L3247" s="20" t="n"/>
      <c r="M3247" s="20" t="n"/>
      <c r="N3247" s="43" t="n">
        <v>52</v>
      </c>
      <c r="O3247" s="20" t="n">
        <v>51480</v>
      </c>
      <c r="P3247" s="43" t="n">
        <v>52</v>
      </c>
      <c r="Q3247" s="20" t="n">
        <v>51480</v>
      </c>
      <c r="R3247" s="42">
        <f>+L3247+N3247-P3247</f>
        <v/>
      </c>
      <c r="S3247" s="42">
        <f>+M3247+O3247-Q3247</f>
        <v/>
      </c>
    </row>
    <row r="3248" ht="30" customHeight="1">
      <c r="A3248" s="16" t="n">
        <v>45925</v>
      </c>
      <c r="B3248" s="17" t="inlineStr">
        <is>
          <t>MH2509-86</t>
        </is>
      </c>
      <c r="C3248" s="16" t="n">
        <v>45925</v>
      </c>
      <c r="D3248" s="17" t="inlineStr">
        <is>
          <t>00003777</t>
        </is>
      </c>
      <c r="E3248" s="16" t="n">
        <v>45925</v>
      </c>
      <c r="F3248" s="16" t="inlineStr">
        <is>
          <t>XK2509-62</t>
        </is>
      </c>
      <c r="G3248" s="16" t="n">
        <v>45925</v>
      </c>
      <c r="H3248" s="17" t="inlineStr">
        <is>
          <t>CÔNG TY CỔ PHẦN CÔNG NGHIỆP VÀ THƯƠNG MẠI CƯỜNG THỊNH</t>
        </is>
      </c>
      <c r="I3248" s="17" t="inlineStr">
        <is>
          <t>Long đền móng ngựa ZP M16</t>
        </is>
      </c>
      <c r="J3248" s="17" t="inlineStr">
        <is>
          <t>Cái</t>
        </is>
      </c>
      <c r="K3248" s="19" t="n">
        <v>14830</v>
      </c>
      <c r="L3248" s="20" t="n"/>
      <c r="M3248" s="20" t="n"/>
      <c r="N3248" s="43" t="n">
        <v>52</v>
      </c>
      <c r="O3248" s="20" t="n">
        <v>771160</v>
      </c>
      <c r="P3248" s="43" t="n">
        <v>52</v>
      </c>
      <c r="Q3248" s="20" t="n">
        <v>771160</v>
      </c>
      <c r="R3248" s="42">
        <f>+L3248+N3248-P3248</f>
        <v/>
      </c>
      <c r="S3248" s="42">
        <f>+M3248+O3248-Q3248</f>
        <v/>
      </c>
    </row>
    <row r="3249" ht="30" customHeight="1">
      <c r="A3249" s="16" t="n">
        <v>45925</v>
      </c>
      <c r="B3249" s="17" t="inlineStr">
        <is>
          <t>MH2509-86</t>
        </is>
      </c>
      <c r="C3249" s="16" t="n">
        <v>45925</v>
      </c>
      <c r="D3249" s="17" t="inlineStr">
        <is>
          <t>00003777</t>
        </is>
      </c>
      <c r="E3249" s="16" t="n">
        <v>45925</v>
      </c>
      <c r="F3249" s="16" t="inlineStr">
        <is>
          <t>XK2509-62</t>
        </is>
      </c>
      <c r="G3249" s="16" t="n">
        <v>45925</v>
      </c>
      <c r="H3249" s="17" t="inlineStr">
        <is>
          <t>CÔNG TY CỔ PHẦN CÔNG NGHIỆP VÀ THƯƠNG MẠI CƯỜNG THỊNH</t>
        </is>
      </c>
      <c r="I3249" s="17" t="inlineStr">
        <is>
          <t>Long đền thường ZP M16B42D2</t>
        </is>
      </c>
      <c r="J3249" s="17" t="inlineStr">
        <is>
          <t>Cái</t>
        </is>
      </c>
      <c r="K3249" s="19" t="n">
        <v>700</v>
      </c>
      <c r="L3249" s="20" t="n"/>
      <c r="M3249" s="20" t="n"/>
      <c r="N3249" s="43" t="n">
        <v>52</v>
      </c>
      <c r="O3249" s="20" t="n">
        <v>36400</v>
      </c>
      <c r="P3249" s="43" t="n">
        <v>52</v>
      </c>
      <c r="Q3249" s="20" t="n">
        <v>36400</v>
      </c>
      <c r="R3249" s="42">
        <f>+L3249+N3249-P3249</f>
        <v/>
      </c>
      <c r="S3249" s="42">
        <f>+M3249+O3249-Q3249</f>
        <v/>
      </c>
    </row>
    <row r="3250" ht="30" customHeight="1">
      <c r="A3250" s="16" t="n">
        <v>45925</v>
      </c>
      <c r="B3250" s="17" t="inlineStr">
        <is>
          <t>MH2509-87</t>
        </is>
      </c>
      <c r="C3250" s="16" t="n">
        <v>45925</v>
      </c>
      <c r="D3250" s="17" t="inlineStr">
        <is>
          <t>00003778</t>
        </is>
      </c>
      <c r="E3250" s="16" t="n">
        <v>45925</v>
      </c>
      <c r="F3250" s="16" t="inlineStr">
        <is>
          <t>XK2509-63</t>
        </is>
      </c>
      <c r="G3250" s="16" t="n">
        <v>45925</v>
      </c>
      <c r="H3250" s="17" t="inlineStr">
        <is>
          <t>CÔNG TY CỔ PHẦN CÔNG NGHIỆP VÀ THƯƠNG MẠI CƯỜNG THỊNH</t>
        </is>
      </c>
      <c r="I3250" s="17" t="inlineStr">
        <is>
          <t>Bulong thường 4.6 ZP M12x30</t>
        </is>
      </c>
      <c r="J3250" s="17" t="inlineStr">
        <is>
          <t>Cái</t>
        </is>
      </c>
      <c r="K3250" s="19" t="n">
        <v>950</v>
      </c>
      <c r="L3250" s="20" t="n"/>
      <c r="M3250" s="20" t="n"/>
      <c r="N3250" s="43" t="n">
        <v>327</v>
      </c>
      <c r="O3250" s="20" t="n">
        <v>310650</v>
      </c>
      <c r="P3250" s="43" t="n">
        <v>327</v>
      </c>
      <c r="Q3250" s="20" t="n">
        <v>310650</v>
      </c>
      <c r="R3250" s="42">
        <f>+L3250+N3250-P3250</f>
        <v/>
      </c>
      <c r="S3250" s="42">
        <f>+M3250+O3250-Q3250</f>
        <v/>
      </c>
    </row>
    <row r="3251" ht="30" customHeight="1">
      <c r="A3251" s="16" t="n">
        <v>45925</v>
      </c>
      <c r="B3251" s="17" t="inlineStr">
        <is>
          <t>MH2509-87</t>
        </is>
      </c>
      <c r="C3251" s="16" t="n">
        <v>45925</v>
      </c>
      <c r="D3251" s="17" t="inlineStr">
        <is>
          <t>00003778</t>
        </is>
      </c>
      <c r="E3251" s="16" t="n">
        <v>45925</v>
      </c>
      <c r="F3251" s="16" t="inlineStr">
        <is>
          <t>XK2509-63</t>
        </is>
      </c>
      <c r="G3251" s="16" t="n">
        <v>45925</v>
      </c>
      <c r="H3251" s="17" t="inlineStr">
        <is>
          <t>CÔNG TY CỔ PHẦN CÔNG NGHIỆP VÀ THƯƠNG MẠI CƯỜNG THỊNH</t>
        </is>
      </c>
      <c r="I3251" s="17" t="inlineStr">
        <is>
          <t>Đai ốc thường 4 ZP M12 (8mm)</t>
        </is>
      </c>
      <c r="J3251" s="17" t="inlineStr">
        <is>
          <t>Cái</t>
        </is>
      </c>
      <c r="K3251" s="19" t="n">
        <v>360</v>
      </c>
      <c r="L3251" s="20" t="n"/>
      <c r="M3251" s="20" t="n"/>
      <c r="N3251" s="43" t="n">
        <v>327</v>
      </c>
      <c r="O3251" s="20" t="n">
        <v>117720</v>
      </c>
      <c r="P3251" s="43" t="n">
        <v>327</v>
      </c>
      <c r="Q3251" s="20" t="n">
        <v>117720</v>
      </c>
      <c r="R3251" s="42">
        <f>+L3251+N3251-P3251</f>
        <v/>
      </c>
      <c r="S3251" s="42">
        <f>+M3251+O3251-Q3251</f>
        <v/>
      </c>
    </row>
    <row r="3252" ht="30" customHeight="1">
      <c r="A3252" s="16" t="n">
        <v>45925</v>
      </c>
      <c r="B3252" s="17" t="inlineStr">
        <is>
          <t>MH2509-87</t>
        </is>
      </c>
      <c r="C3252" s="16" t="n">
        <v>45925</v>
      </c>
      <c r="D3252" s="17" t="inlineStr">
        <is>
          <t>00003778</t>
        </is>
      </c>
      <c r="E3252" s="16" t="n">
        <v>45925</v>
      </c>
      <c r="F3252" s="16" t="inlineStr">
        <is>
          <t>XK2509-63</t>
        </is>
      </c>
      <c r="G3252" s="16" t="n">
        <v>45925</v>
      </c>
      <c r="H3252" s="17" t="inlineStr">
        <is>
          <t>CÔNG TY CỔ PHẦN CÔNG NGHIỆP VÀ THƯƠNG MẠI CƯỜNG THỊNH</t>
        </is>
      </c>
      <c r="I3252" s="17" t="inlineStr">
        <is>
          <t>Long đền thường ZP M12B23D1</t>
        </is>
      </c>
      <c r="J3252" s="17" t="inlineStr">
        <is>
          <t>Cái</t>
        </is>
      </c>
      <c r="K3252" s="19" t="n">
        <v>100</v>
      </c>
      <c r="L3252" s="20" t="n"/>
      <c r="M3252" s="20" t="n"/>
      <c r="N3252" s="43" t="n">
        <v>654</v>
      </c>
      <c r="O3252" s="20" t="n">
        <v>65400</v>
      </c>
      <c r="P3252" s="43" t="n">
        <v>654</v>
      </c>
      <c r="Q3252" s="20" t="n">
        <v>65400</v>
      </c>
      <c r="R3252" s="42">
        <f>+L3252+N3252-P3252</f>
        <v/>
      </c>
      <c r="S3252" s="42">
        <f>+M3252+O3252-Q3252</f>
        <v/>
      </c>
    </row>
    <row r="3253" ht="30" customHeight="1">
      <c r="A3253" s="16" t="n">
        <v>45925</v>
      </c>
      <c r="B3253" s="17" t="inlineStr">
        <is>
          <t>MH2509-87</t>
        </is>
      </c>
      <c r="C3253" s="16" t="n">
        <v>45925</v>
      </c>
      <c r="D3253" s="17" t="inlineStr">
        <is>
          <t>00003778</t>
        </is>
      </c>
      <c r="E3253" s="16" t="n">
        <v>45925</v>
      </c>
      <c r="F3253" s="16" t="inlineStr">
        <is>
          <t>XK2509-63</t>
        </is>
      </c>
      <c r="G3253" s="16" t="n">
        <v>45925</v>
      </c>
      <c r="H3253" s="17" t="inlineStr">
        <is>
          <t>CÔNG TY CỔ PHẦN CÔNG NGHIỆP VÀ THƯƠNG MẠI CƯỜNG THỊNH</t>
        </is>
      </c>
      <c r="I3253" s="17" t="inlineStr">
        <is>
          <t>Bulong Din 933 8.8 ZP M16x40</t>
        </is>
      </c>
      <c r="J3253" s="17" t="inlineStr">
        <is>
          <t>Cái</t>
        </is>
      </c>
      <c r="K3253" s="19" t="n">
        <v>3030</v>
      </c>
      <c r="L3253" s="20" t="n"/>
      <c r="M3253" s="20" t="n"/>
      <c r="N3253" s="43" t="n">
        <v>218</v>
      </c>
      <c r="O3253" s="20" t="n">
        <v>660540</v>
      </c>
      <c r="P3253" s="43" t="n">
        <v>218</v>
      </c>
      <c r="Q3253" s="20" t="n">
        <v>660540</v>
      </c>
      <c r="R3253" s="42">
        <f>+L3253+N3253-P3253</f>
        <v/>
      </c>
      <c r="S3253" s="42">
        <f>+M3253+O3253-Q3253</f>
        <v/>
      </c>
    </row>
    <row r="3254" ht="30" customHeight="1">
      <c r="A3254" s="16" t="n">
        <v>45925</v>
      </c>
      <c r="B3254" s="17" t="inlineStr">
        <is>
          <t>MH2509-87</t>
        </is>
      </c>
      <c r="C3254" s="16" t="n">
        <v>45925</v>
      </c>
      <c r="D3254" s="17" t="inlineStr">
        <is>
          <t>00003778</t>
        </is>
      </c>
      <c r="E3254" s="16" t="n">
        <v>45925</v>
      </c>
      <c r="F3254" s="16" t="inlineStr">
        <is>
          <t>XK2509-63</t>
        </is>
      </c>
      <c r="G3254" s="16" t="n">
        <v>45925</v>
      </c>
      <c r="H3254" s="17" t="inlineStr">
        <is>
          <t>CÔNG TY CỔ PHẦN CÔNG NGHIỆP VÀ THƯƠNG MẠI CƯỜNG THỊNH</t>
        </is>
      </c>
      <c r="I3254" s="17" t="inlineStr">
        <is>
          <t>Đai ốc Din 934 8 ZP M16</t>
        </is>
      </c>
      <c r="J3254" s="17" t="inlineStr">
        <is>
          <t>Cái</t>
        </is>
      </c>
      <c r="K3254" s="19" t="n">
        <v>1080</v>
      </c>
      <c r="L3254" s="20" t="n"/>
      <c r="M3254" s="20" t="n"/>
      <c r="N3254" s="43" t="n">
        <v>218</v>
      </c>
      <c r="O3254" s="20" t="n">
        <v>235440</v>
      </c>
      <c r="P3254" s="43" t="n">
        <v>218</v>
      </c>
      <c r="Q3254" s="20" t="n">
        <v>235440</v>
      </c>
      <c r="R3254" s="42">
        <f>+L3254+N3254-P3254</f>
        <v/>
      </c>
      <c r="S3254" s="42">
        <f>+M3254+O3254-Q3254</f>
        <v/>
      </c>
    </row>
    <row r="3255" ht="30" customHeight="1">
      <c r="A3255" s="16" t="n">
        <v>45925</v>
      </c>
      <c r="B3255" s="17" t="inlineStr">
        <is>
          <t>MH2509-87</t>
        </is>
      </c>
      <c r="C3255" s="16" t="n">
        <v>45925</v>
      </c>
      <c r="D3255" s="17" t="inlineStr">
        <is>
          <t>00003778</t>
        </is>
      </c>
      <c r="E3255" s="16" t="n">
        <v>45925</v>
      </c>
      <c r="F3255" s="16" t="inlineStr">
        <is>
          <t>XK2509-63</t>
        </is>
      </c>
      <c r="G3255" s="16" t="n">
        <v>45925</v>
      </c>
      <c r="H3255" s="17" t="inlineStr">
        <is>
          <t>CÔNG TY CỔ PHẦN CÔNG NGHIỆP VÀ THƯƠNG MẠI CƯỜNG THỊNH</t>
        </is>
      </c>
      <c r="I3255" s="17" t="inlineStr">
        <is>
          <t>Long đền thường ZP M16B30D2</t>
        </is>
      </c>
      <c r="J3255" s="17" t="inlineStr">
        <is>
          <t>Cái</t>
        </is>
      </c>
      <c r="K3255" s="19" t="n">
        <v>340</v>
      </c>
      <c r="L3255" s="20" t="n"/>
      <c r="M3255" s="20" t="n"/>
      <c r="N3255" s="43" t="n">
        <v>218</v>
      </c>
      <c r="O3255" s="20" t="n">
        <v>74120</v>
      </c>
      <c r="P3255" s="43" t="n">
        <v>218</v>
      </c>
      <c r="Q3255" s="20" t="n">
        <v>74120</v>
      </c>
      <c r="R3255" s="42">
        <f>+L3255+N3255-P3255</f>
        <v/>
      </c>
      <c r="S3255" s="42">
        <f>+M3255+O3255-Q3255</f>
        <v/>
      </c>
    </row>
    <row r="3256" ht="30" customHeight="1">
      <c r="A3256" s="16" t="n">
        <v>45925</v>
      </c>
      <c r="B3256" s="17" t="inlineStr">
        <is>
          <t>MH2509-87</t>
        </is>
      </c>
      <c r="C3256" s="16" t="n">
        <v>45925</v>
      </c>
      <c r="D3256" s="17" t="inlineStr">
        <is>
          <t>00003778</t>
        </is>
      </c>
      <c r="E3256" s="16" t="n">
        <v>45925</v>
      </c>
      <c r="F3256" s="16" t="inlineStr">
        <is>
          <t>XK2509-63</t>
        </is>
      </c>
      <c r="G3256" s="16" t="n">
        <v>45925</v>
      </c>
      <c r="H3256" s="17" t="inlineStr">
        <is>
          <t>CÔNG TY CỔ PHẦN CÔNG NGHIỆP VÀ THƯƠNG MẠI CƯỜNG THỊNH</t>
        </is>
      </c>
      <c r="I3256" s="17" t="inlineStr">
        <is>
          <t>Bulong Din 933 8.8 ZP M20x50</t>
        </is>
      </c>
      <c r="J3256" s="17" t="inlineStr">
        <is>
          <t>Cái</t>
        </is>
      </c>
      <c r="K3256" s="19" t="n">
        <v>5760</v>
      </c>
      <c r="L3256" s="20" t="n"/>
      <c r="M3256" s="20" t="n"/>
      <c r="N3256" s="43" t="n">
        <v>54</v>
      </c>
      <c r="O3256" s="20" t="n">
        <v>311040</v>
      </c>
      <c r="P3256" s="43" t="n">
        <v>54</v>
      </c>
      <c r="Q3256" s="20" t="n">
        <v>311040</v>
      </c>
      <c r="R3256" s="42">
        <f>+L3256+N3256-P3256</f>
        <v/>
      </c>
      <c r="S3256" s="42">
        <f>+M3256+O3256-Q3256</f>
        <v/>
      </c>
    </row>
    <row r="3257" ht="30" customHeight="1">
      <c r="A3257" s="16" t="n">
        <v>45925</v>
      </c>
      <c r="B3257" s="17" t="inlineStr">
        <is>
          <t>MH2509-87</t>
        </is>
      </c>
      <c r="C3257" s="16" t="n">
        <v>45925</v>
      </c>
      <c r="D3257" s="17" t="inlineStr">
        <is>
          <t>00003778</t>
        </is>
      </c>
      <c r="E3257" s="16" t="n">
        <v>45925</v>
      </c>
      <c r="F3257" s="16" t="inlineStr">
        <is>
          <t>XK2509-63</t>
        </is>
      </c>
      <c r="G3257" s="16" t="n">
        <v>45925</v>
      </c>
      <c r="H3257" s="17" t="inlineStr">
        <is>
          <t>CÔNG TY CỔ PHẦN CÔNG NGHIỆP VÀ THƯƠNG MẠI CƯỜNG THỊNH</t>
        </is>
      </c>
      <c r="I3257" s="17" t="inlineStr">
        <is>
          <t>Đai ốc Din 934 8 ZP M20</t>
        </is>
      </c>
      <c r="J3257" s="17" t="inlineStr">
        <is>
          <t>Cái</t>
        </is>
      </c>
      <c r="K3257" s="19" t="n">
        <v>2030</v>
      </c>
      <c r="L3257" s="20" t="n"/>
      <c r="M3257" s="20" t="n"/>
      <c r="N3257" s="43" t="n">
        <v>54</v>
      </c>
      <c r="O3257" s="20" t="n">
        <v>109620</v>
      </c>
      <c r="P3257" s="43" t="n">
        <v>54</v>
      </c>
      <c r="Q3257" s="20" t="n">
        <v>109620</v>
      </c>
      <c r="R3257" s="42">
        <f>+L3257+N3257-P3257</f>
        <v/>
      </c>
      <c r="S3257" s="42">
        <f>+M3257+O3257-Q3257</f>
        <v/>
      </c>
    </row>
    <row r="3258" ht="30" customHeight="1">
      <c r="A3258" s="16" t="n">
        <v>45925</v>
      </c>
      <c r="B3258" s="17" t="inlineStr">
        <is>
          <t>MH2509-87</t>
        </is>
      </c>
      <c r="C3258" s="16" t="n">
        <v>45925</v>
      </c>
      <c r="D3258" s="17" t="inlineStr">
        <is>
          <t>00003778</t>
        </is>
      </c>
      <c r="E3258" s="16" t="n">
        <v>45925</v>
      </c>
      <c r="F3258" s="16" t="inlineStr">
        <is>
          <t>XK2509-63</t>
        </is>
      </c>
      <c r="G3258" s="16" t="n">
        <v>45925</v>
      </c>
      <c r="H3258" s="17" t="inlineStr">
        <is>
          <t>CÔNG TY CỔ PHẦN CÔNG NGHIỆP VÀ THƯƠNG MẠI CƯỜNG THỊNH</t>
        </is>
      </c>
      <c r="I3258" s="17" t="inlineStr">
        <is>
          <t>Long đền thường ZP M20B35D2</t>
        </is>
      </c>
      <c r="J3258" s="17" t="inlineStr">
        <is>
          <t>Cái</t>
        </is>
      </c>
      <c r="K3258" s="19" t="n">
        <v>350</v>
      </c>
      <c r="L3258" s="20" t="n"/>
      <c r="M3258" s="20" t="n"/>
      <c r="N3258" s="43" t="n">
        <v>54</v>
      </c>
      <c r="O3258" s="20" t="n">
        <v>18900</v>
      </c>
      <c r="P3258" s="43" t="n">
        <v>54</v>
      </c>
      <c r="Q3258" s="20" t="n">
        <v>18900</v>
      </c>
      <c r="R3258" s="42">
        <f>+L3258+N3258-P3258</f>
        <v/>
      </c>
      <c r="S3258" s="42">
        <f>+M3258+O3258-Q3258</f>
        <v/>
      </c>
    </row>
    <row r="3259" ht="30" customHeight="1">
      <c r="A3259" s="16" t="n">
        <v>45925</v>
      </c>
      <c r="B3259" s="17" t="inlineStr">
        <is>
          <t>MH2509-87</t>
        </is>
      </c>
      <c r="C3259" s="16" t="n">
        <v>45925</v>
      </c>
      <c r="D3259" s="17" t="inlineStr">
        <is>
          <t>00003778</t>
        </is>
      </c>
      <c r="E3259" s="16" t="n">
        <v>45925</v>
      </c>
      <c r="F3259" s="16" t="inlineStr">
        <is>
          <t>XK2509-63</t>
        </is>
      </c>
      <c r="G3259" s="16" t="n">
        <v>45925</v>
      </c>
      <c r="H3259" s="17" t="inlineStr">
        <is>
          <t>CÔNG TY CỔ PHẦN CÔNG NGHIỆP VÀ THƯƠNG MẠI CƯỜNG THỊNH</t>
        </is>
      </c>
      <c r="I3259" s="17" t="inlineStr">
        <is>
          <t>Bulong Din 933 8.8 ZP M20x60</t>
        </is>
      </c>
      <c r="J3259" s="17" t="inlineStr">
        <is>
          <t>Cái</t>
        </is>
      </c>
      <c r="K3259" s="19" t="n">
        <v>6360</v>
      </c>
      <c r="L3259" s="20" t="n"/>
      <c r="M3259" s="20" t="n"/>
      <c r="N3259" s="43" t="n">
        <v>672</v>
      </c>
      <c r="O3259" s="20" t="n">
        <v>4273920</v>
      </c>
      <c r="P3259" s="43" t="n">
        <v>672</v>
      </c>
      <c r="Q3259" s="20" t="n">
        <v>4273920</v>
      </c>
      <c r="R3259" s="42">
        <f>+L3259+N3259-P3259</f>
        <v/>
      </c>
      <c r="S3259" s="42">
        <f>+M3259+O3259-Q3259</f>
        <v/>
      </c>
    </row>
    <row r="3260" ht="30" customHeight="1">
      <c r="A3260" s="16" t="n">
        <v>45925</v>
      </c>
      <c r="B3260" s="17" t="inlineStr">
        <is>
          <t>MH2509-87</t>
        </is>
      </c>
      <c r="C3260" s="16" t="n">
        <v>45925</v>
      </c>
      <c r="D3260" s="17" t="inlineStr">
        <is>
          <t>00003778</t>
        </is>
      </c>
      <c r="E3260" s="16" t="n">
        <v>45925</v>
      </c>
      <c r="F3260" s="16" t="inlineStr">
        <is>
          <t>XK2509-63</t>
        </is>
      </c>
      <c r="G3260" s="16" t="n">
        <v>45925</v>
      </c>
      <c r="H3260" s="17" t="inlineStr">
        <is>
          <t>CÔNG TY CỔ PHẦN CÔNG NGHIỆP VÀ THƯƠNG MẠI CƯỜNG THỊNH</t>
        </is>
      </c>
      <c r="I3260" s="17" t="inlineStr">
        <is>
          <t>Đai ốc Din 934 8 ZP M20</t>
        </is>
      </c>
      <c r="J3260" s="17" t="inlineStr">
        <is>
          <t>Cái</t>
        </is>
      </c>
      <c r="K3260" s="19" t="n">
        <v>2030</v>
      </c>
      <c r="L3260" s="20" t="n"/>
      <c r="M3260" s="20" t="n"/>
      <c r="N3260" s="43" t="n">
        <v>672</v>
      </c>
      <c r="O3260" s="20" t="n">
        <v>1364160</v>
      </c>
      <c r="P3260" s="43" t="n">
        <v>672</v>
      </c>
      <c r="Q3260" s="20" t="n">
        <v>1364160</v>
      </c>
      <c r="R3260" s="42">
        <f>+L3260+N3260-P3260</f>
        <v/>
      </c>
      <c r="S3260" s="42">
        <f>+M3260+O3260-Q3260</f>
        <v/>
      </c>
    </row>
    <row r="3261" ht="30" customHeight="1">
      <c r="A3261" s="16" t="n">
        <v>45925</v>
      </c>
      <c r="B3261" s="17" t="inlineStr">
        <is>
          <t>MH2509-87</t>
        </is>
      </c>
      <c r="C3261" s="16" t="n">
        <v>45925</v>
      </c>
      <c r="D3261" s="17" t="inlineStr">
        <is>
          <t>00003778</t>
        </is>
      </c>
      <c r="E3261" s="16" t="n">
        <v>45925</v>
      </c>
      <c r="F3261" s="16" t="inlineStr">
        <is>
          <t>XK2509-63</t>
        </is>
      </c>
      <c r="G3261" s="16" t="n">
        <v>45925</v>
      </c>
      <c r="H3261" s="17" t="inlineStr">
        <is>
          <t>CÔNG TY CỔ PHẦN CÔNG NGHIỆP VÀ THƯƠNG MẠI CƯỜNG THỊNH</t>
        </is>
      </c>
      <c r="I3261" s="17" t="inlineStr">
        <is>
          <t>Long đền thường ZP M20B35D2</t>
        </is>
      </c>
      <c r="J3261" s="17" t="inlineStr">
        <is>
          <t>Cái</t>
        </is>
      </c>
      <c r="K3261" s="19" t="n">
        <v>350</v>
      </c>
      <c r="L3261" s="20" t="n"/>
      <c r="M3261" s="20" t="n"/>
      <c r="N3261" s="43" t="n">
        <v>672</v>
      </c>
      <c r="O3261" s="20" t="n">
        <v>235200</v>
      </c>
      <c r="P3261" s="43" t="n">
        <v>672</v>
      </c>
      <c r="Q3261" s="20" t="n">
        <v>235200</v>
      </c>
      <c r="R3261" s="42">
        <f>+L3261+N3261-P3261</f>
        <v/>
      </c>
      <c r="S3261" s="42">
        <f>+M3261+O3261-Q3261</f>
        <v/>
      </c>
    </row>
    <row r="3262" ht="30" customHeight="1">
      <c r="A3262" s="16" t="n">
        <v>45925</v>
      </c>
      <c r="B3262" s="17" t="inlineStr">
        <is>
          <t>MH2509-87</t>
        </is>
      </c>
      <c r="C3262" s="16" t="n">
        <v>45925</v>
      </c>
      <c r="D3262" s="17" t="inlineStr">
        <is>
          <t>00003778</t>
        </is>
      </c>
      <c r="E3262" s="16" t="n">
        <v>45925</v>
      </c>
      <c r="F3262" s="16" t="inlineStr">
        <is>
          <t>XK2509-63</t>
        </is>
      </c>
      <c r="G3262" s="16" t="n">
        <v>45925</v>
      </c>
      <c r="H3262" s="17" t="inlineStr">
        <is>
          <t>CÔNG TY CỔ PHẦN CÔNG NGHIỆP VÀ THƯƠNG MẠI CƯỜNG THỊNH</t>
        </is>
      </c>
      <c r="I3262" s="17" t="inlineStr">
        <is>
          <t>Vít B2 Dacromet 12-14x20</t>
        </is>
      </c>
      <c r="J3262" s="17" t="inlineStr">
        <is>
          <t>Cái</t>
        </is>
      </c>
      <c r="K3262" s="19" t="n">
        <v>600</v>
      </c>
      <c r="L3262" s="20" t="n"/>
      <c r="M3262" s="20" t="n"/>
      <c r="N3262" s="43" t="n">
        <v>400</v>
      </c>
      <c r="O3262" s="20" t="n">
        <v>240000</v>
      </c>
      <c r="P3262" s="43" t="n">
        <v>400</v>
      </c>
      <c r="Q3262" s="20" t="n">
        <v>240000</v>
      </c>
      <c r="R3262" s="42">
        <f>+L3262+N3262-P3262</f>
        <v/>
      </c>
      <c r="S3262" s="42">
        <f>+M3262+O3262-Q3262</f>
        <v/>
      </c>
    </row>
    <row r="3263" ht="30" customHeight="1">
      <c r="A3263" s="16" t="n">
        <v>45925</v>
      </c>
      <c r="B3263" s="17" t="inlineStr">
        <is>
          <t>MH2509-87</t>
        </is>
      </c>
      <c r="C3263" s="16" t="n">
        <v>45925</v>
      </c>
      <c r="D3263" s="17" t="inlineStr">
        <is>
          <t>00003778</t>
        </is>
      </c>
      <c r="E3263" s="16" t="n">
        <v>45925</v>
      </c>
      <c r="F3263" s="16" t="inlineStr">
        <is>
          <t>XK2509-63</t>
        </is>
      </c>
      <c r="G3263" s="16" t="n">
        <v>45925</v>
      </c>
      <c r="H3263" s="17" t="inlineStr">
        <is>
          <t>CÔNG TY CỔ PHẦN CÔNG NGHIỆP VÀ THƯƠNG MẠI CƯỜNG THỊNH</t>
        </is>
      </c>
      <c r="I3263" s="17" t="inlineStr">
        <is>
          <t>Bulong Din 933 8.8 ZP M16x50</t>
        </is>
      </c>
      <c r="J3263" s="17" t="inlineStr">
        <is>
          <t>Cái</t>
        </is>
      </c>
      <c r="K3263" s="19" t="n">
        <v>3470</v>
      </c>
      <c r="L3263" s="20" t="n"/>
      <c r="M3263" s="20" t="n"/>
      <c r="N3263" s="43" t="n">
        <v>56</v>
      </c>
      <c r="O3263" s="20" t="n">
        <v>194320</v>
      </c>
      <c r="P3263" s="43" t="n">
        <v>56</v>
      </c>
      <c r="Q3263" s="20" t="n">
        <v>194320</v>
      </c>
      <c r="R3263" s="42">
        <f>+L3263+N3263-P3263</f>
        <v/>
      </c>
      <c r="S3263" s="42">
        <f>+M3263+O3263-Q3263</f>
        <v/>
      </c>
    </row>
    <row r="3264" ht="30" customHeight="1">
      <c r="A3264" s="16" t="n">
        <v>45925</v>
      </c>
      <c r="B3264" s="17" t="inlineStr">
        <is>
          <t>MH2509-87</t>
        </is>
      </c>
      <c r="C3264" s="16" t="n">
        <v>45925</v>
      </c>
      <c r="D3264" s="17" t="inlineStr">
        <is>
          <t>00003778</t>
        </is>
      </c>
      <c r="E3264" s="16" t="n">
        <v>45925</v>
      </c>
      <c r="F3264" s="16" t="inlineStr">
        <is>
          <t>XK2509-63</t>
        </is>
      </c>
      <c r="G3264" s="16" t="n">
        <v>45925</v>
      </c>
      <c r="H3264" s="17" t="inlineStr">
        <is>
          <t>CÔNG TY CỔ PHẦN CÔNG NGHIỆP VÀ THƯƠNG MẠI CƯỜNG THỊNH</t>
        </is>
      </c>
      <c r="I3264" s="17" t="inlineStr">
        <is>
          <t>Đai ốc Din 934 8 ZP M16</t>
        </is>
      </c>
      <c r="J3264" s="17" t="inlineStr">
        <is>
          <t>Cái</t>
        </is>
      </c>
      <c r="K3264" s="19" t="n">
        <v>1080</v>
      </c>
      <c r="L3264" s="20" t="n"/>
      <c r="M3264" s="20" t="n"/>
      <c r="N3264" s="43" t="n">
        <v>56</v>
      </c>
      <c r="O3264" s="20" t="n">
        <v>60480</v>
      </c>
      <c r="P3264" s="43" t="n">
        <v>56</v>
      </c>
      <c r="Q3264" s="20" t="n">
        <v>60480</v>
      </c>
      <c r="R3264" s="42">
        <f>+L3264+N3264-P3264</f>
        <v/>
      </c>
      <c r="S3264" s="42">
        <f>+M3264+O3264-Q3264</f>
        <v/>
      </c>
    </row>
    <row r="3265" ht="30" customHeight="1">
      <c r="A3265" s="16" t="n">
        <v>45925</v>
      </c>
      <c r="B3265" s="17" t="inlineStr">
        <is>
          <t>MH2509-87</t>
        </is>
      </c>
      <c r="C3265" s="16" t="n">
        <v>45925</v>
      </c>
      <c r="D3265" s="17" t="inlineStr">
        <is>
          <t>00003778</t>
        </is>
      </c>
      <c r="E3265" s="16" t="n">
        <v>45925</v>
      </c>
      <c r="F3265" s="16" t="inlineStr">
        <is>
          <t>XK2509-63</t>
        </is>
      </c>
      <c r="G3265" s="16" t="n">
        <v>45925</v>
      </c>
      <c r="H3265" s="17" t="inlineStr">
        <is>
          <t>CÔNG TY CỔ PHẦN CÔNG NGHIỆP VÀ THƯƠNG MẠI CƯỜNG THỊNH</t>
        </is>
      </c>
      <c r="I3265" s="17" t="inlineStr">
        <is>
          <t>Long đền thường ZP M16B30D2</t>
        </is>
      </c>
      <c r="J3265" s="17" t="inlineStr">
        <is>
          <t>Cái</t>
        </is>
      </c>
      <c r="K3265" s="19" t="n">
        <v>340</v>
      </c>
      <c r="L3265" s="20" t="n"/>
      <c r="M3265" s="20" t="n"/>
      <c r="N3265" s="43" t="n">
        <v>56</v>
      </c>
      <c r="O3265" s="20" t="n">
        <v>19040</v>
      </c>
      <c r="P3265" s="43" t="n">
        <v>56</v>
      </c>
      <c r="Q3265" s="20" t="n">
        <v>19040</v>
      </c>
      <c r="R3265" s="42">
        <f>+L3265+N3265-P3265</f>
        <v/>
      </c>
      <c r="S3265" s="42">
        <f>+M3265+O3265-Q3265</f>
        <v/>
      </c>
    </row>
    <row r="3266" ht="30" customHeight="1">
      <c r="A3266" s="16" t="n">
        <v>45925</v>
      </c>
      <c r="B3266" s="17" t="inlineStr">
        <is>
          <t>MH2509-89</t>
        </is>
      </c>
      <c r="C3266" s="16" t="n">
        <v>45925</v>
      </c>
      <c r="D3266" s="17" t="inlineStr">
        <is>
          <t>00005610</t>
        </is>
      </c>
      <c r="E3266" s="16" t="n">
        <v>45925</v>
      </c>
      <c r="F3266" s="16" t="inlineStr">
        <is>
          <t>XK2509-64</t>
        </is>
      </c>
      <c r="G3266" s="16" t="n">
        <v>45925</v>
      </c>
      <c r="H3266" s="17" t="inlineStr">
        <is>
          <t>CÔNG TY TNHH MTV SẢN XUẤT THƯƠNG MẠI DỊCH VỤ THANH HUYỀN</t>
        </is>
      </c>
      <c r="I3266" s="17" t="inlineStr">
        <is>
          <t>Thép mạ kẽm chấn</t>
        </is>
      </c>
      <c r="J3266" s="17" t="inlineStr">
        <is>
          <t>kg</t>
        </is>
      </c>
      <c r="K3266" s="19" t="n">
        <v>21708.12</v>
      </c>
      <c r="L3266" s="20" t="n"/>
      <c r="M3266" s="20" t="n"/>
      <c r="N3266" s="43" t="n">
        <v>1240</v>
      </c>
      <c r="O3266" s="20" t="n">
        <v>26918068</v>
      </c>
      <c r="P3266" s="43" t="n">
        <v>1240</v>
      </c>
      <c r="Q3266" s="20" t="n">
        <v>26918068</v>
      </c>
      <c r="R3266" s="42">
        <f>+L3266+N3266-P3266</f>
        <v/>
      </c>
      <c r="S3266" s="42">
        <f>+M3266+O3266-Q3266</f>
        <v/>
      </c>
    </row>
    <row r="3267" ht="30" customHeight="1">
      <c r="A3267" s="16" t="n">
        <v>45925</v>
      </c>
      <c r="B3267" s="17" t="inlineStr">
        <is>
          <t>MH2509-89</t>
        </is>
      </c>
      <c r="C3267" s="16" t="n">
        <v>45925</v>
      </c>
      <c r="D3267" s="17" t="inlineStr">
        <is>
          <t>00005610</t>
        </is>
      </c>
      <c r="E3267" s="16" t="n">
        <v>45925</v>
      </c>
      <c r="F3267" s="16" t="inlineStr">
        <is>
          <t>XK2509-64</t>
        </is>
      </c>
      <c r="G3267" s="16" t="n">
        <v>45925</v>
      </c>
      <c r="H3267" s="17" t="inlineStr">
        <is>
          <t>CÔNG TY TNHH MTV SẢN XUẤT THƯƠNG MẠI DỊCH VỤ THANH HUYỀN</t>
        </is>
      </c>
      <c r="I3267" s="17" t="inlineStr">
        <is>
          <t>Thép dày mạ kẽm</t>
        </is>
      </c>
      <c r="J3267" s="17" t="inlineStr">
        <is>
          <t>kg</t>
        </is>
      </c>
      <c r="K3267" s="19" t="n">
        <v>16863.07</v>
      </c>
      <c r="L3267" s="20" t="n"/>
      <c r="M3267" s="20" t="n"/>
      <c r="N3267" s="43" t="n">
        <v>9623</v>
      </c>
      <c r="O3267" s="20" t="n">
        <v>162273284</v>
      </c>
      <c r="P3267" s="43" t="n">
        <v>9623</v>
      </c>
      <c r="Q3267" s="20" t="n">
        <v>162273284</v>
      </c>
      <c r="R3267" s="42">
        <f>+L3267+N3267-P3267</f>
        <v/>
      </c>
      <c r="S3267" s="42">
        <f>+M3267+O3267-Q3267</f>
        <v/>
      </c>
    </row>
    <row r="3268" ht="30" customHeight="1">
      <c r="A3268" s="16" t="n">
        <v>45925</v>
      </c>
      <c r="B3268" s="17" t="inlineStr">
        <is>
          <t>MH2509-90</t>
        </is>
      </c>
      <c r="C3268" s="16" t="n">
        <v>45925</v>
      </c>
      <c r="D3268" s="17" t="inlineStr">
        <is>
          <t>00005609</t>
        </is>
      </c>
      <c r="E3268" s="16" t="n">
        <v>45925</v>
      </c>
      <c r="F3268" s="16" t="inlineStr">
        <is>
          <t>XK2509-65</t>
        </is>
      </c>
      <c r="G3268" s="16" t="n">
        <v>45925</v>
      </c>
      <c r="H3268" s="17" t="inlineStr">
        <is>
          <t>CÔNG TY TNHH MTV SẢN XUẤT THƯƠNG MẠI DỊCH VỤ THANH HUYỀN</t>
        </is>
      </c>
      <c r="I3268" s="17" t="inlineStr">
        <is>
          <t>Thép mạ kẽm chấn</t>
        </is>
      </c>
      <c r="J3268" s="17" t="inlineStr">
        <is>
          <t>kg</t>
        </is>
      </c>
      <c r="K3268" s="19" t="n">
        <v>21711.2</v>
      </c>
      <c r="L3268" s="20" t="n"/>
      <c r="M3268" s="20" t="n"/>
      <c r="N3268" s="43" t="n">
        <v>1595</v>
      </c>
      <c r="O3268" s="20" t="n">
        <v>34629367</v>
      </c>
      <c r="P3268" s="43" t="n">
        <v>1595</v>
      </c>
      <c r="Q3268" s="20" t="n">
        <v>34629367</v>
      </c>
      <c r="R3268" s="42">
        <f>+L3268+N3268-P3268</f>
        <v/>
      </c>
      <c r="S3268" s="42">
        <f>+M3268+O3268-Q3268</f>
        <v/>
      </c>
    </row>
    <row r="3269" ht="30" customHeight="1">
      <c r="A3269" s="16" t="n">
        <v>45925</v>
      </c>
      <c r="B3269" s="17" t="inlineStr">
        <is>
          <t>MH2509-90</t>
        </is>
      </c>
      <c r="C3269" s="16" t="n">
        <v>45925</v>
      </c>
      <c r="D3269" s="17" t="inlineStr">
        <is>
          <t>00005609</t>
        </is>
      </c>
      <c r="E3269" s="16" t="n">
        <v>45925</v>
      </c>
      <c r="F3269" s="16" t="inlineStr">
        <is>
          <t>XK2509-65</t>
        </is>
      </c>
      <c r="G3269" s="16" t="n">
        <v>45925</v>
      </c>
      <c r="H3269" s="17" t="inlineStr">
        <is>
          <t>CÔNG TY TNHH MTV SẢN XUẤT THƯƠNG MẠI DỊCH VỤ THANH HUYỀN</t>
        </is>
      </c>
      <c r="I3269" s="17" t="inlineStr">
        <is>
          <t>Xà gồ mạ kẽm</t>
        </is>
      </c>
      <c r="J3269" s="17" t="inlineStr">
        <is>
          <t>kg</t>
        </is>
      </c>
      <c r="K3269" s="19" t="n">
        <v>17864.77</v>
      </c>
      <c r="L3269" s="20" t="n"/>
      <c r="M3269" s="20" t="n"/>
      <c r="N3269" s="43" t="n">
        <v>6770</v>
      </c>
      <c r="O3269" s="20" t="n">
        <v>120944466</v>
      </c>
      <c r="P3269" s="43" t="n">
        <v>6770</v>
      </c>
      <c r="Q3269" s="20" t="n">
        <v>120944466</v>
      </c>
      <c r="R3269" s="42">
        <f>+L3269+N3269-P3269</f>
        <v/>
      </c>
      <c r="S3269" s="42">
        <f>+M3269+O3269-Q3269</f>
        <v/>
      </c>
    </row>
    <row r="3270" ht="30" customHeight="1">
      <c r="A3270" s="16" t="n">
        <v>45925</v>
      </c>
      <c r="B3270" s="17" t="inlineStr">
        <is>
          <t>MH2509-90</t>
        </is>
      </c>
      <c r="C3270" s="16" t="n">
        <v>45925</v>
      </c>
      <c r="D3270" s="17" t="inlineStr">
        <is>
          <t>00005609</t>
        </is>
      </c>
      <c r="E3270" s="16" t="n">
        <v>45925</v>
      </c>
      <c r="F3270" s="16" t="inlineStr">
        <is>
          <t>XK2509-65</t>
        </is>
      </c>
      <c r="G3270" s="16" t="n">
        <v>45925</v>
      </c>
      <c r="H3270" s="17" t="inlineStr">
        <is>
          <t>CÔNG TY TNHH MTV SẢN XUẤT THƯƠNG MẠI DỊCH VỤ THANH HUYỀN</t>
        </is>
      </c>
      <c r="I3270" s="17" t="inlineStr">
        <is>
          <t>Thép dày mạ kẽm</t>
        </is>
      </c>
      <c r="J3270" s="17" t="inlineStr">
        <is>
          <t>kg</t>
        </is>
      </c>
      <c r="K3270" s="19" t="n">
        <v>16863.95</v>
      </c>
      <c r="L3270" s="20" t="n"/>
      <c r="M3270" s="20" t="n"/>
      <c r="N3270" s="43" t="n">
        <v>13185</v>
      </c>
      <c r="O3270" s="20" t="n">
        <v>222351128</v>
      </c>
      <c r="P3270" s="43" t="n">
        <v>13185</v>
      </c>
      <c r="Q3270" s="20" t="n">
        <v>222351128</v>
      </c>
      <c r="R3270" s="42">
        <f>+L3270+N3270-P3270</f>
        <v/>
      </c>
      <c r="S3270" s="42">
        <f>+M3270+O3270-Q3270</f>
        <v/>
      </c>
    </row>
    <row r="3271" ht="15" customHeight="1">
      <c r="A3271" s="16" t="n">
        <v>45925</v>
      </c>
      <c r="B3271" s="17" t="inlineStr">
        <is>
          <t>MH2509-91</t>
        </is>
      </c>
      <c r="C3271" s="16" t="n">
        <v>45925</v>
      </c>
      <c r="D3271" s="17" t="inlineStr">
        <is>
          <t>663</t>
        </is>
      </c>
      <c r="E3271" s="16" t="n">
        <v>45925</v>
      </c>
      <c r="F3271" s="16" t="inlineStr">
        <is>
          <t>XK2509-66</t>
        </is>
      </c>
      <c r="G3271" s="16" t="n">
        <v>45925</v>
      </c>
      <c r="H3271" s="17" t="inlineStr">
        <is>
          <t>CÔNG TY CỔ PHẦN THÉP TOÀN THẮNG - LA</t>
        </is>
      </c>
      <c r="I3271" s="17" t="inlineStr">
        <is>
          <t>Thép tấm  8x2000x12000mm CL A572</t>
        </is>
      </c>
      <c r="J3271" s="17" t="inlineStr">
        <is>
          <t>kg</t>
        </is>
      </c>
      <c r="K3271" s="19" t="n">
        <v>14000</v>
      </c>
      <c r="L3271" s="20" t="n"/>
      <c r="M3271" s="20" t="n"/>
      <c r="N3271" s="43" t="n">
        <v>60288</v>
      </c>
      <c r="O3271" s="20" t="n">
        <v>844032000</v>
      </c>
      <c r="P3271" s="43" t="n">
        <v>60288</v>
      </c>
      <c r="Q3271" s="20" t="n">
        <v>844032000</v>
      </c>
      <c r="R3271" s="42">
        <f>+L3271+N3271-P3271</f>
        <v/>
      </c>
      <c r="S3271" s="42">
        <f>+M3271+O3271-Q3271</f>
        <v/>
      </c>
    </row>
    <row r="3272" ht="15" customHeight="1">
      <c r="A3272" s="16" t="n">
        <v>45926</v>
      </c>
      <c r="B3272" s="17" t="inlineStr">
        <is>
          <t>MH2509-92</t>
        </is>
      </c>
      <c r="C3272" s="16" t="n">
        <v>45926</v>
      </c>
      <c r="D3272" s="17" t="inlineStr">
        <is>
          <t>00001126</t>
        </is>
      </c>
      <c r="E3272" s="16" t="n">
        <v>45926</v>
      </c>
      <c r="F3272" s="16" t="inlineStr">
        <is>
          <t>XK2509-67</t>
        </is>
      </c>
      <c r="G3272" s="16" t="n">
        <v>45926</v>
      </c>
      <c r="H3272" s="17" t="inlineStr">
        <is>
          <t>CÔNG TY TNHH TÂN MỸ HẠNH</t>
        </is>
      </c>
      <c r="I3272" s="17" t="inlineStr">
        <is>
          <t>Thép dày mạ kẽm</t>
        </is>
      </c>
      <c r="J3272" s="17" t="inlineStr">
        <is>
          <t>kg</t>
        </is>
      </c>
      <c r="K3272" s="19" t="n">
        <v>22696</v>
      </c>
      <c r="L3272" s="20" t="n"/>
      <c r="M3272" s="20" t="n"/>
      <c r="N3272" s="43" t="n">
        <v>292.2574</v>
      </c>
      <c r="O3272" s="20" t="n">
        <v>6633074</v>
      </c>
      <c r="P3272" s="43" t="n">
        <v>292.2574</v>
      </c>
      <c r="Q3272" s="20" t="n">
        <v>6633074</v>
      </c>
      <c r="R3272" s="42">
        <f>+L3272+N3272-P3272</f>
        <v/>
      </c>
      <c r="S3272" s="42">
        <f>+M3272+O3272-Q3272</f>
        <v/>
      </c>
    </row>
    <row r="3273" ht="15" customHeight="1">
      <c r="A3273" s="16" t="n">
        <v>45926</v>
      </c>
      <c r="B3273" s="17" t="inlineStr">
        <is>
          <t>MH2509-92</t>
        </is>
      </c>
      <c r="C3273" s="16" t="n">
        <v>45926</v>
      </c>
      <c r="D3273" s="17" t="inlineStr">
        <is>
          <t>00001126</t>
        </is>
      </c>
      <c r="E3273" s="16" t="n">
        <v>45926</v>
      </c>
      <c r="F3273" s="16" t="inlineStr">
        <is>
          <t>XK2509-67</t>
        </is>
      </c>
      <c r="G3273" s="16" t="n">
        <v>45926</v>
      </c>
      <c r="H3273" s="17" t="inlineStr">
        <is>
          <t>CÔNG TY TNHH TÂN MỸ HẠNH</t>
        </is>
      </c>
      <c r="I3273" s="17" t="inlineStr">
        <is>
          <t>Xà gồ kẽm Z</t>
        </is>
      </c>
      <c r="J3273" s="17" t="inlineStr">
        <is>
          <t>kg</t>
        </is>
      </c>
      <c r="K3273" s="19" t="n">
        <v>18976</v>
      </c>
      <c r="L3273" s="20" t="n"/>
      <c r="M3273" s="20" t="n"/>
      <c r="N3273" s="43" t="n">
        <v>4356.752</v>
      </c>
      <c r="O3273" s="20" t="n">
        <v>82673726</v>
      </c>
      <c r="P3273" s="43" t="n">
        <v>4356.752</v>
      </c>
      <c r="Q3273" s="20" t="n">
        <v>82673726</v>
      </c>
      <c r="R3273" s="42">
        <f>+L3273+N3273-P3273</f>
        <v/>
      </c>
      <c r="S3273" s="42">
        <f>+M3273+O3273-Q3273</f>
        <v/>
      </c>
    </row>
    <row r="3274" ht="15" customHeight="1">
      <c r="A3274" s="16" t="n">
        <v>45926</v>
      </c>
      <c r="B3274" s="17" t="inlineStr">
        <is>
          <t>MH2509-93</t>
        </is>
      </c>
      <c r="C3274" s="16" t="n">
        <v>45926</v>
      </c>
      <c r="D3274" s="17" t="inlineStr">
        <is>
          <t>00001124</t>
        </is>
      </c>
      <c r="E3274" s="16" t="n">
        <v>45926</v>
      </c>
      <c r="F3274" s="16" t="inlineStr">
        <is>
          <t>XK2509-68</t>
        </is>
      </c>
      <c r="G3274" s="16" t="n">
        <v>45926</v>
      </c>
      <c r="H3274" s="17" t="inlineStr">
        <is>
          <t>CÔNG TY TNHH TÂN MỸ HẠNH</t>
        </is>
      </c>
      <c r="I3274" s="17" t="inlineStr">
        <is>
          <t>Thép dày mạ kẽm</t>
        </is>
      </c>
      <c r="J3274" s="17" t="inlineStr">
        <is>
          <t>kg</t>
        </is>
      </c>
      <c r="K3274" s="19" t="n">
        <v>22696</v>
      </c>
      <c r="L3274" s="20" t="n"/>
      <c r="M3274" s="20" t="n"/>
      <c r="N3274" s="43" t="n">
        <v>85.17700000000001</v>
      </c>
      <c r="O3274" s="20" t="n">
        <v>1933177</v>
      </c>
      <c r="P3274" s="43" t="n">
        <v>85.17700000000001</v>
      </c>
      <c r="Q3274" s="20" t="n">
        <v>1933177</v>
      </c>
      <c r="R3274" s="42">
        <f>+L3274+N3274-P3274</f>
        <v/>
      </c>
      <c r="S3274" s="42">
        <f>+M3274+O3274-Q3274</f>
        <v/>
      </c>
    </row>
    <row r="3275" ht="15" customHeight="1">
      <c r="A3275" s="16" t="n">
        <v>45926</v>
      </c>
      <c r="B3275" s="17" t="inlineStr">
        <is>
          <t>MH2509-93</t>
        </is>
      </c>
      <c r="C3275" s="16" t="n">
        <v>45926</v>
      </c>
      <c r="D3275" s="17" t="inlineStr">
        <is>
          <t>00001124</t>
        </is>
      </c>
      <c r="E3275" s="16" t="n">
        <v>45926</v>
      </c>
      <c r="F3275" s="16" t="inlineStr">
        <is>
          <t>XK2509-68</t>
        </is>
      </c>
      <c r="G3275" s="16" t="n">
        <v>45926</v>
      </c>
      <c r="H3275" s="17" t="inlineStr">
        <is>
          <t>CÔNG TY TNHH TÂN MỸ HẠNH</t>
        </is>
      </c>
      <c r="I3275" s="17" t="inlineStr">
        <is>
          <t>Xà gồ kẽm Z</t>
        </is>
      </c>
      <c r="J3275" s="17" t="inlineStr">
        <is>
          <t>kg</t>
        </is>
      </c>
      <c r="K3275" s="19" t="n">
        <v>18976</v>
      </c>
      <c r="L3275" s="20" t="n"/>
      <c r="M3275" s="20" t="n"/>
      <c r="N3275" s="43" t="n">
        <v>642.931</v>
      </c>
      <c r="O3275" s="20" t="n">
        <v>12200259</v>
      </c>
      <c r="P3275" s="43" t="n">
        <v>642.931</v>
      </c>
      <c r="Q3275" s="20" t="n">
        <v>12200259</v>
      </c>
      <c r="R3275" s="42">
        <f>+L3275+N3275-P3275</f>
        <v/>
      </c>
      <c r="S3275" s="42">
        <f>+M3275+O3275-Q3275</f>
        <v/>
      </c>
    </row>
    <row r="3276" ht="15" customHeight="1">
      <c r="A3276" s="16" t="n">
        <v>45926</v>
      </c>
      <c r="B3276" s="17" t="inlineStr">
        <is>
          <t>MH2509-94</t>
        </is>
      </c>
      <c r="C3276" s="16" t="n">
        <v>45926</v>
      </c>
      <c r="D3276" s="17" t="inlineStr">
        <is>
          <t>00001127</t>
        </is>
      </c>
      <c r="E3276" s="16" t="n">
        <v>45926</v>
      </c>
      <c r="F3276" s="16" t="inlineStr">
        <is>
          <t>XK2509-69</t>
        </is>
      </c>
      <c r="G3276" s="16" t="n">
        <v>45926</v>
      </c>
      <c r="H3276" s="17" t="inlineStr">
        <is>
          <t>CÔNG TY TNHH TÂN MỸ HẠNH</t>
        </is>
      </c>
      <c r="I3276" s="17" t="inlineStr">
        <is>
          <t>Thép dày mạ kẽm</t>
        </is>
      </c>
      <c r="J3276" s="17" t="inlineStr">
        <is>
          <t>kg</t>
        </is>
      </c>
      <c r="K3276" s="19" t="n">
        <v>22696</v>
      </c>
      <c r="L3276" s="20" t="n"/>
      <c r="M3276" s="20" t="n"/>
      <c r="N3276" s="43" t="n">
        <v>214.818</v>
      </c>
      <c r="O3276" s="20" t="n">
        <v>4875509</v>
      </c>
      <c r="P3276" s="43" t="n">
        <v>214.818</v>
      </c>
      <c r="Q3276" s="20" t="n">
        <v>4875509</v>
      </c>
      <c r="R3276" s="42">
        <f>+L3276+N3276-P3276</f>
        <v/>
      </c>
      <c r="S3276" s="42">
        <f>+M3276+O3276-Q3276</f>
        <v/>
      </c>
    </row>
    <row r="3277" ht="15" customHeight="1">
      <c r="A3277" s="16" t="n">
        <v>45926</v>
      </c>
      <c r="B3277" s="17" t="inlineStr">
        <is>
          <t>MH2509-94</t>
        </is>
      </c>
      <c r="C3277" s="16" t="n">
        <v>45926</v>
      </c>
      <c r="D3277" s="17" t="inlineStr">
        <is>
          <t>00001127</t>
        </is>
      </c>
      <c r="E3277" s="16" t="n">
        <v>45926</v>
      </c>
      <c r="F3277" s="16" t="inlineStr">
        <is>
          <t>XK2509-69</t>
        </is>
      </c>
      <c r="G3277" s="16" t="n">
        <v>45926</v>
      </c>
      <c r="H3277" s="17" t="inlineStr">
        <is>
          <t>CÔNG TY TNHH TÂN MỸ HẠNH</t>
        </is>
      </c>
      <c r="I3277" s="17" t="inlineStr">
        <is>
          <t>Xà gồ kẽm Z</t>
        </is>
      </c>
      <c r="J3277" s="17" t="inlineStr">
        <is>
          <t>kg</t>
        </is>
      </c>
      <c r="K3277" s="19" t="n">
        <v>18976</v>
      </c>
      <c r="L3277" s="20" t="n"/>
      <c r="M3277" s="20" t="n"/>
      <c r="N3277" s="43" t="n">
        <v>4936.132</v>
      </c>
      <c r="O3277" s="20" t="n">
        <v>93668041</v>
      </c>
      <c r="P3277" s="43" t="n">
        <v>4936.132</v>
      </c>
      <c r="Q3277" s="20" t="n">
        <v>93668041</v>
      </c>
      <c r="R3277" s="42">
        <f>+L3277+N3277-P3277</f>
        <v/>
      </c>
      <c r="S3277" s="42">
        <f>+M3277+O3277-Q3277</f>
        <v/>
      </c>
    </row>
    <row r="3278" ht="15" customHeight="1">
      <c r="A3278" s="16" t="n">
        <v>45926</v>
      </c>
      <c r="B3278" s="17" t="inlineStr">
        <is>
          <t>MH2509-95</t>
        </is>
      </c>
      <c r="C3278" s="16" t="n">
        <v>45926</v>
      </c>
      <c r="D3278" s="17" t="inlineStr">
        <is>
          <t>00001125</t>
        </is>
      </c>
      <c r="E3278" s="16" t="n">
        <v>45926</v>
      </c>
      <c r="F3278" s="16" t="inlineStr">
        <is>
          <t>XK2509-70</t>
        </is>
      </c>
      <c r="G3278" s="16" t="n">
        <v>45926</v>
      </c>
      <c r="H3278" s="17" t="inlineStr">
        <is>
          <t>CÔNG TY TNHH TÂN MỸ HẠNH</t>
        </is>
      </c>
      <c r="I3278" s="17" t="inlineStr">
        <is>
          <t>Thép dày mạ kẽm</t>
        </is>
      </c>
      <c r="J3278" s="17" t="inlineStr">
        <is>
          <t>kg</t>
        </is>
      </c>
      <c r="K3278" s="19" t="n">
        <v>22696</v>
      </c>
      <c r="L3278" s="20" t="n"/>
      <c r="M3278" s="20" t="n"/>
      <c r="N3278" s="43" t="n">
        <v>32.477</v>
      </c>
      <c r="O3278" s="20" t="n">
        <v>737098</v>
      </c>
      <c r="P3278" s="43" t="n">
        <v>32.477</v>
      </c>
      <c r="Q3278" s="20" t="n">
        <v>737098</v>
      </c>
      <c r="R3278" s="42">
        <f>+L3278+N3278-P3278</f>
        <v/>
      </c>
      <c r="S3278" s="42">
        <f>+M3278+O3278-Q3278</f>
        <v/>
      </c>
    </row>
    <row r="3279" ht="15" customHeight="1">
      <c r="A3279" s="16" t="n">
        <v>45926</v>
      </c>
      <c r="B3279" s="17" t="inlineStr">
        <is>
          <t>MH2509-95</t>
        </is>
      </c>
      <c r="C3279" s="16" t="n">
        <v>45926</v>
      </c>
      <c r="D3279" s="17" t="inlineStr">
        <is>
          <t>00001125</t>
        </is>
      </c>
      <c r="E3279" s="16" t="n">
        <v>45926</v>
      </c>
      <c r="F3279" s="16" t="inlineStr">
        <is>
          <t>XK2509-70</t>
        </is>
      </c>
      <c r="G3279" s="16" t="n">
        <v>45926</v>
      </c>
      <c r="H3279" s="17" t="inlineStr">
        <is>
          <t>CÔNG TY TNHH TÂN MỸ HẠNH</t>
        </is>
      </c>
      <c r="I3279" s="17" t="inlineStr">
        <is>
          <t>Xà gồ kẽm Z</t>
        </is>
      </c>
      <c r="J3279" s="17" t="inlineStr">
        <is>
          <t>kg</t>
        </is>
      </c>
      <c r="K3279" s="19" t="n">
        <v>18976</v>
      </c>
      <c r="L3279" s="20" t="n"/>
      <c r="M3279" s="20" t="n"/>
      <c r="N3279" s="43" t="n">
        <v>505.371</v>
      </c>
      <c r="O3279" s="20" t="n">
        <v>9589920</v>
      </c>
      <c r="P3279" s="43" t="n">
        <v>505.371</v>
      </c>
      <c r="Q3279" s="20" t="n">
        <v>9589920</v>
      </c>
      <c r="R3279" s="42">
        <f>+L3279+N3279-P3279</f>
        <v/>
      </c>
      <c r="S3279" s="42">
        <f>+M3279+O3279-Q3279</f>
        <v/>
      </c>
    </row>
    <row r="3280" ht="15" customHeight="1">
      <c r="A3280" s="16" t="n">
        <v>45926</v>
      </c>
      <c r="B3280" s="17" t="inlineStr">
        <is>
          <t>MH2509-96</t>
        </is>
      </c>
      <c r="C3280" s="16" t="n">
        <v>45926</v>
      </c>
      <c r="D3280" s="17" t="inlineStr">
        <is>
          <t>667</t>
        </is>
      </c>
      <c r="E3280" s="16" t="n">
        <v>45926</v>
      </c>
      <c r="F3280" s="16" t="inlineStr">
        <is>
          <t>XK2509-71</t>
        </is>
      </c>
      <c r="G3280" s="16" t="n">
        <v>45926</v>
      </c>
      <c r="H3280" s="17" t="inlineStr">
        <is>
          <t>CÔNG TY CỔ PHẦN THÉP TOÀN THẮNG - LA</t>
        </is>
      </c>
      <c r="I3280" s="17" t="inlineStr">
        <is>
          <t>Thép tấm 8x2000x12000mm CL A572</t>
        </is>
      </c>
      <c r="J3280" s="17" t="inlineStr">
        <is>
          <t>kg</t>
        </is>
      </c>
      <c r="K3280" s="19" t="n">
        <v>14000</v>
      </c>
      <c r="L3280" s="20" t="n"/>
      <c r="M3280" s="20" t="n"/>
      <c r="N3280" s="43" t="n">
        <v>90432</v>
      </c>
      <c r="O3280" s="20" t="n">
        <v>1266048000</v>
      </c>
      <c r="P3280" s="43" t="n">
        <v>90432</v>
      </c>
      <c r="Q3280" s="20" t="n">
        <v>1266048000</v>
      </c>
      <c r="R3280" s="42">
        <f>+L3280+N3280-P3280</f>
        <v/>
      </c>
      <c r="S3280" s="42">
        <f>+M3280+O3280-Q3280</f>
        <v/>
      </c>
    </row>
    <row r="3281" ht="15" customHeight="1">
      <c r="A3281" s="16" t="n">
        <v>45926</v>
      </c>
      <c r="B3281" s="17" t="inlineStr">
        <is>
          <t>MH2509-97</t>
        </is>
      </c>
      <c r="C3281" s="16" t="n">
        <v>45926</v>
      </c>
      <c r="D3281" s="17" t="inlineStr">
        <is>
          <t>00009021</t>
        </is>
      </c>
      <c r="E3281" s="16" t="n">
        <v>45926</v>
      </c>
      <c r="F3281" s="16" t="inlineStr">
        <is>
          <t>XK2509-72</t>
        </is>
      </c>
      <c r="G3281" s="16" t="n">
        <v>45926</v>
      </c>
      <c r="H3281" s="17" t="inlineStr">
        <is>
          <t>CÔNG TY TNHH SƠN JOTUN VIỆT NAM</t>
        </is>
      </c>
      <c r="I3281" s="17" t="inlineStr">
        <is>
          <t>SƠN FUTURA CLASSIC STD 6317 18.25L</t>
        </is>
      </c>
      <c r="J3281" s="17" t="inlineStr">
        <is>
          <t>Lít</t>
        </is>
      </c>
      <c r="K3281" s="19" t="n">
        <v>155000</v>
      </c>
      <c r="L3281" s="20" t="n"/>
      <c r="M3281" s="20" t="n"/>
      <c r="N3281" s="43" t="n">
        <v>91.25</v>
      </c>
      <c r="O3281" s="20" t="n">
        <v>14143750</v>
      </c>
      <c r="P3281" s="43" t="n">
        <v>91.25</v>
      </c>
      <c r="Q3281" s="20" t="n">
        <v>14143750</v>
      </c>
      <c r="R3281" s="42">
        <f>+L3281+N3281-P3281</f>
        <v/>
      </c>
      <c r="S3281" s="42">
        <f>+M3281+O3281-Q3281</f>
        <v/>
      </c>
    </row>
    <row r="3282" ht="15" customHeight="1">
      <c r="A3282" s="16" t="n">
        <v>45929</v>
      </c>
      <c r="B3282" s="17" t="inlineStr">
        <is>
          <t>MH2509-98</t>
        </is>
      </c>
      <c r="C3282" s="16" t="n">
        <v>45929</v>
      </c>
      <c r="D3282" s="17" t="inlineStr">
        <is>
          <t>671</t>
        </is>
      </c>
      <c r="E3282" s="16" t="n">
        <v>45929</v>
      </c>
      <c r="F3282" s="16" t="inlineStr">
        <is>
          <t>XK2509-73</t>
        </is>
      </c>
      <c r="G3282" s="16" t="n">
        <v>45929</v>
      </c>
      <c r="H3282" s="17" t="inlineStr">
        <is>
          <t>CÔNG TY CỔ PHẦN THÉP TOÀN THẮNG - LA</t>
        </is>
      </c>
      <c r="I3282" s="17" t="inlineStr">
        <is>
          <t>Thép tấm 8x2000x12000mm CL A572</t>
        </is>
      </c>
      <c r="J3282" s="17" t="inlineStr">
        <is>
          <t>kg</t>
        </is>
      </c>
      <c r="K3282" s="19" t="n">
        <v>14000</v>
      </c>
      <c r="L3282" s="20" t="n"/>
      <c r="M3282" s="20" t="n"/>
      <c r="N3282" s="43" t="n">
        <v>60288</v>
      </c>
      <c r="O3282" s="20" t="n">
        <v>844032000</v>
      </c>
      <c r="P3282" s="43" t="n">
        <v>60288</v>
      </c>
      <c r="Q3282" s="20" t="n">
        <v>844032000</v>
      </c>
      <c r="R3282" s="42">
        <f>+L3282+N3282-P3282</f>
        <v/>
      </c>
      <c r="S3282" s="42">
        <f>+M3282+O3282-Q3282</f>
        <v/>
      </c>
    </row>
    <row r="3283" ht="15" customHeight="1">
      <c r="A3283" s="16" t="n">
        <v>45931</v>
      </c>
      <c r="B3283" s="17" t="inlineStr">
        <is>
          <t>MH2510-01</t>
        </is>
      </c>
      <c r="C3283" s="16" t="n">
        <v>45931</v>
      </c>
      <c r="D3283" s="17" t="inlineStr">
        <is>
          <t>00009243</t>
        </is>
      </c>
      <c r="E3283" s="16" t="n">
        <v>45931</v>
      </c>
      <c r="F3283" s="16" t="inlineStr">
        <is>
          <t>XK2510-05</t>
        </is>
      </c>
      <c r="G3283" s="16" t="n">
        <v>45931</v>
      </c>
      <c r="H3283" s="17" t="inlineStr">
        <is>
          <t>CÔNG TY TNHH SƠN JOTUN VIỆT NAM</t>
        </is>
      </c>
      <c r="I3283" s="17" t="inlineStr">
        <is>
          <t>SƠN JOTAMASTIC 70 RED 18L</t>
        </is>
      </c>
      <c r="J3283" s="17" t="inlineStr">
        <is>
          <t>Lít</t>
        </is>
      </c>
      <c r="K3283" s="19" t="n">
        <v>90000</v>
      </c>
      <c r="L3283" s="20" t="n"/>
      <c r="M3283" s="20" t="n"/>
      <c r="N3283" s="43" t="n">
        <v>162</v>
      </c>
      <c r="O3283" s="20" t="n">
        <v>14580000</v>
      </c>
      <c r="P3283" s="43" t="n">
        <v>162</v>
      </c>
      <c r="Q3283" s="20" t="n">
        <v>14580000</v>
      </c>
      <c r="R3283" s="42">
        <f>+L3283+N3283-P3283</f>
        <v/>
      </c>
      <c r="S3283" s="42">
        <f>+M3283+O3283-Q3283</f>
        <v/>
      </c>
    </row>
    <row r="3284" ht="15" customHeight="1">
      <c r="A3284" s="16" t="n">
        <v>45931</v>
      </c>
      <c r="B3284" s="17" t="inlineStr">
        <is>
          <t>MH2510-01</t>
        </is>
      </c>
      <c r="C3284" s="16" t="n">
        <v>45931</v>
      </c>
      <c r="D3284" s="17" t="inlineStr">
        <is>
          <t>00009243</t>
        </is>
      </c>
      <c r="E3284" s="16" t="n">
        <v>45931</v>
      </c>
      <c r="F3284" s="16" t="inlineStr">
        <is>
          <t>XK2510-05</t>
        </is>
      </c>
      <c r="G3284" s="16" t="n">
        <v>45931</v>
      </c>
      <c r="H3284" s="17" t="inlineStr">
        <is>
          <t>CÔNG TY TNHH SƠN JOTUN VIỆT NAM</t>
        </is>
      </c>
      <c r="I3284" s="17" t="inlineStr">
        <is>
          <t>DUNG MÔI JOTUN THINNER NO. 17 20L</t>
        </is>
      </c>
      <c r="J3284" s="17" t="inlineStr">
        <is>
          <t>Lít</t>
        </is>
      </c>
      <c r="K3284" s="19" t="n">
        <v>60000</v>
      </c>
      <c r="L3284" s="20" t="n"/>
      <c r="M3284" s="20" t="n"/>
      <c r="N3284" s="43" t="n">
        <v>20</v>
      </c>
      <c r="O3284" s="20" t="n">
        <v>1200000</v>
      </c>
      <c r="P3284" s="43" t="n">
        <v>20</v>
      </c>
      <c r="Q3284" s="20" t="n">
        <v>1200000</v>
      </c>
      <c r="R3284" s="42">
        <f>+L3284+N3284-P3284</f>
        <v/>
      </c>
      <c r="S3284" s="42">
        <f>+M3284+O3284-Q3284</f>
        <v/>
      </c>
    </row>
    <row r="3285" ht="15" customHeight="1">
      <c r="A3285" s="16" t="n">
        <v>45931</v>
      </c>
      <c r="B3285" s="17" t="inlineStr">
        <is>
          <t>MH2510-01</t>
        </is>
      </c>
      <c r="C3285" s="16" t="n">
        <v>45931</v>
      </c>
      <c r="D3285" s="17" t="inlineStr">
        <is>
          <t>00009243</t>
        </is>
      </c>
      <c r="E3285" s="16" t="n">
        <v>45931</v>
      </c>
      <c r="F3285" s="16" t="inlineStr">
        <is>
          <t>XK2510-05</t>
        </is>
      </c>
      <c r="G3285" s="16" t="n">
        <v>45931</v>
      </c>
      <c r="H3285" s="17" t="inlineStr">
        <is>
          <t>CÔNG TY TNHH SƠN JOTUN VIỆT NAM</t>
        </is>
      </c>
      <c r="I3285" s="17" t="inlineStr">
        <is>
          <t>DUNG MÔI JOTUN THINNER NO. 17 5L</t>
        </is>
      </c>
      <c r="J3285" s="17" t="inlineStr">
        <is>
          <t>Lít</t>
        </is>
      </c>
      <c r="K3285" s="19" t="n">
        <v>60000</v>
      </c>
      <c r="L3285" s="20" t="n"/>
      <c r="M3285" s="20" t="n"/>
      <c r="N3285" s="43" t="n">
        <v>5</v>
      </c>
      <c r="O3285" s="20" t="n">
        <v>300000</v>
      </c>
      <c r="P3285" s="43" t="n">
        <v>5</v>
      </c>
      <c r="Q3285" s="20" t="n">
        <v>300000</v>
      </c>
      <c r="R3285" s="42">
        <f>+L3285+N3285-P3285</f>
        <v/>
      </c>
      <c r="S3285" s="42">
        <f>+M3285+O3285-Q3285</f>
        <v/>
      </c>
    </row>
    <row r="3286" ht="15" customHeight="1">
      <c r="A3286" s="16" t="n">
        <v>45931</v>
      </c>
      <c r="B3286" s="17" t="inlineStr">
        <is>
          <t>MH2510-03</t>
        </is>
      </c>
      <c r="C3286" s="16" t="n">
        <v>45931</v>
      </c>
      <c r="D3286" s="17" t="inlineStr">
        <is>
          <t>00009244</t>
        </is>
      </c>
      <c r="E3286" s="16" t="n">
        <v>45931</v>
      </c>
      <c r="F3286" s="16" t="inlineStr">
        <is>
          <t>XK2510-06</t>
        </is>
      </c>
      <c r="G3286" s="16" t="n">
        <v>45931</v>
      </c>
      <c r="H3286" s="17" t="inlineStr">
        <is>
          <t>CÔNG TY TNHH SƠN JOTUN VIỆT NAM</t>
        </is>
      </c>
      <c r="I3286" s="17" t="inlineStr">
        <is>
          <t>SƠN JOTAMASTIC 70 GREY 18L</t>
        </is>
      </c>
      <c r="J3286" s="17" t="inlineStr">
        <is>
          <t>Lít</t>
        </is>
      </c>
      <c r="K3286" s="19" t="n">
        <v>90000</v>
      </c>
      <c r="L3286" s="20" t="n"/>
      <c r="M3286" s="20" t="n"/>
      <c r="N3286" s="43" t="n">
        <v>738</v>
      </c>
      <c r="O3286" s="20" t="n">
        <v>66420000</v>
      </c>
      <c r="P3286" s="43" t="n">
        <v>738</v>
      </c>
      <c r="Q3286" s="20" t="n">
        <v>66420000</v>
      </c>
      <c r="R3286" s="42">
        <f>+L3286+N3286-P3286</f>
        <v/>
      </c>
      <c r="S3286" s="42">
        <f>+M3286+O3286-Q3286</f>
        <v/>
      </c>
    </row>
    <row r="3287" ht="15" customHeight="1">
      <c r="A3287" s="16" t="n">
        <v>45931</v>
      </c>
      <c r="B3287" s="17" t="inlineStr">
        <is>
          <t>MH2510-03</t>
        </is>
      </c>
      <c r="C3287" s="16" t="n">
        <v>45931</v>
      </c>
      <c r="D3287" s="17" t="inlineStr">
        <is>
          <t>00009244</t>
        </is>
      </c>
      <c r="E3287" s="16" t="n">
        <v>45931</v>
      </c>
      <c r="F3287" s="16" t="inlineStr">
        <is>
          <t>XK2510-06</t>
        </is>
      </c>
      <c r="G3287" s="16" t="n">
        <v>45931</v>
      </c>
      <c r="H3287" s="17" t="inlineStr">
        <is>
          <t>CÔNG TY TNHH SƠN JOTUN VIỆT NAM</t>
        </is>
      </c>
      <c r="I3287" s="17" t="inlineStr">
        <is>
          <t>DUNG MÔI JOTUN THINNER NO. 17 20L</t>
        </is>
      </c>
      <c r="J3287" s="17" t="inlineStr">
        <is>
          <t>Lít</t>
        </is>
      </c>
      <c r="K3287" s="19" t="n">
        <v>60000</v>
      </c>
      <c r="L3287" s="20" t="n"/>
      <c r="M3287" s="20" t="n"/>
      <c r="N3287" s="43" t="n">
        <v>100</v>
      </c>
      <c r="O3287" s="20" t="n">
        <v>6000000</v>
      </c>
      <c r="P3287" s="43" t="n">
        <v>100</v>
      </c>
      <c r="Q3287" s="20" t="n">
        <v>6000000</v>
      </c>
      <c r="R3287" s="42">
        <f>+L3287+N3287-P3287</f>
        <v/>
      </c>
      <c r="S3287" s="42">
        <f>+M3287+O3287-Q3287</f>
        <v/>
      </c>
    </row>
    <row r="3288" ht="15" customHeight="1">
      <c r="A3288" s="16" t="n">
        <v>45931</v>
      </c>
      <c r="B3288" s="17" t="inlineStr">
        <is>
          <t>MH2510-03</t>
        </is>
      </c>
      <c r="C3288" s="16" t="n">
        <v>45931</v>
      </c>
      <c r="D3288" s="17" t="inlineStr">
        <is>
          <t>00009244</t>
        </is>
      </c>
      <c r="E3288" s="16" t="n">
        <v>45931</v>
      </c>
      <c r="F3288" s="16" t="inlineStr">
        <is>
          <t>XK2510-06</t>
        </is>
      </c>
      <c r="G3288" s="16" t="n">
        <v>45931</v>
      </c>
      <c r="H3288" s="17" t="inlineStr">
        <is>
          <t>CÔNG TY TNHH SƠN JOTUN VIỆT NAM</t>
        </is>
      </c>
      <c r="I3288" s="17" t="inlineStr">
        <is>
          <t>DUNG MÔI JOTUN THINNER NO. 17 5L</t>
        </is>
      </c>
      <c r="J3288" s="17" t="inlineStr">
        <is>
          <t>Lít</t>
        </is>
      </c>
      <c r="K3288" s="19" t="n">
        <v>60000</v>
      </c>
      <c r="L3288" s="20" t="n"/>
      <c r="M3288" s="20" t="n"/>
      <c r="N3288" s="43" t="n">
        <v>10</v>
      </c>
      <c r="O3288" s="20" t="n">
        <v>600000</v>
      </c>
      <c r="P3288" s="43" t="n">
        <v>10</v>
      </c>
      <c r="Q3288" s="20" t="n">
        <v>600000</v>
      </c>
      <c r="R3288" s="42">
        <f>+L3288+N3288-P3288</f>
        <v/>
      </c>
      <c r="S3288" s="42">
        <f>+M3288+O3288-Q3288</f>
        <v/>
      </c>
    </row>
    <row r="3289" ht="15" customHeight="1">
      <c r="A3289" s="16" t="n">
        <v>45932</v>
      </c>
      <c r="B3289" s="17" t="inlineStr">
        <is>
          <t>MH2510-04</t>
        </is>
      </c>
      <c r="C3289" s="16" t="n">
        <v>45932</v>
      </c>
      <c r="D3289" s="17" t="inlineStr">
        <is>
          <t>00009256</t>
        </is>
      </c>
      <c r="E3289" s="16" t="n">
        <v>45932</v>
      </c>
      <c r="F3289" s="16" t="inlineStr">
        <is>
          <t>XK2510-07</t>
        </is>
      </c>
      <c r="G3289" s="16" t="n">
        <v>45932</v>
      </c>
      <c r="H3289" s="17" t="inlineStr">
        <is>
          <t>CÔNG TY TNHH SƠN JOTUN VIỆT NAM</t>
        </is>
      </c>
      <c r="I3289" s="17" t="inlineStr">
        <is>
          <t>SƠN JOTAMASTIC 70 GREY 18L</t>
        </is>
      </c>
      <c r="J3289" s="17" t="inlineStr">
        <is>
          <t>Lít</t>
        </is>
      </c>
      <c r="K3289" s="19" t="n">
        <v>90000</v>
      </c>
      <c r="L3289" s="20" t="n"/>
      <c r="M3289" s="20" t="n"/>
      <c r="N3289" s="43" t="n">
        <v>180</v>
      </c>
      <c r="O3289" s="20" t="n">
        <v>16200000</v>
      </c>
      <c r="P3289" s="43" t="n">
        <v>180</v>
      </c>
      <c r="Q3289" s="20" t="n">
        <v>16200000</v>
      </c>
      <c r="R3289" s="42">
        <f>+L3289+N3289-P3289</f>
        <v/>
      </c>
      <c r="S3289" s="42">
        <f>+M3289+O3289-Q3289</f>
        <v/>
      </c>
    </row>
    <row r="3290" ht="15" customHeight="1">
      <c r="A3290" s="16" t="n">
        <v>45932</v>
      </c>
      <c r="B3290" s="17" t="inlineStr">
        <is>
          <t>MH2510-04</t>
        </is>
      </c>
      <c r="C3290" s="16" t="n">
        <v>45932</v>
      </c>
      <c r="D3290" s="17" t="inlineStr">
        <is>
          <t>00009256</t>
        </is>
      </c>
      <c r="E3290" s="16" t="n">
        <v>45932</v>
      </c>
      <c r="F3290" s="16" t="inlineStr">
        <is>
          <t>XK2510-07</t>
        </is>
      </c>
      <c r="G3290" s="16" t="n">
        <v>45932</v>
      </c>
      <c r="H3290" s="17" t="inlineStr">
        <is>
          <t>CÔNG TY TNHH SƠN JOTUN VIỆT NAM</t>
        </is>
      </c>
      <c r="I3290" s="17" t="inlineStr">
        <is>
          <t>SƠN FUTURA CLASSIC RAL 9016 18.21L</t>
        </is>
      </c>
      <c r="J3290" s="17" t="inlineStr">
        <is>
          <t>Lít</t>
        </is>
      </c>
      <c r="K3290" s="19" t="n">
        <v>155000</v>
      </c>
      <c r="L3290" s="20" t="n"/>
      <c r="M3290" s="20" t="n"/>
      <c r="N3290" s="43" t="n">
        <v>127.47</v>
      </c>
      <c r="O3290" s="20" t="n">
        <v>19757850</v>
      </c>
      <c r="P3290" s="43" t="n">
        <v>127.47</v>
      </c>
      <c r="Q3290" s="20" t="n">
        <v>19757850</v>
      </c>
      <c r="R3290" s="42">
        <f>+L3290+N3290-P3290</f>
        <v/>
      </c>
      <c r="S3290" s="42">
        <f>+M3290+O3290-Q3290</f>
        <v/>
      </c>
    </row>
    <row r="3291" ht="15" customHeight="1">
      <c r="A3291" s="16" t="n">
        <v>45932</v>
      </c>
      <c r="B3291" s="17" t="inlineStr">
        <is>
          <t>MH2510-04</t>
        </is>
      </c>
      <c r="C3291" s="16" t="n">
        <v>45932</v>
      </c>
      <c r="D3291" s="17" t="inlineStr">
        <is>
          <t>00009256</t>
        </is>
      </c>
      <c r="E3291" s="16" t="n">
        <v>45932</v>
      </c>
      <c r="F3291" s="16" t="inlineStr">
        <is>
          <t>XK2510-07</t>
        </is>
      </c>
      <c r="G3291" s="16" t="n">
        <v>45932</v>
      </c>
      <c r="H3291" s="17" t="inlineStr">
        <is>
          <t>CÔNG TY TNHH SƠN JOTUN VIỆT NAM</t>
        </is>
      </c>
      <c r="I3291" s="17" t="inlineStr">
        <is>
          <t>SƠN FUTURA CLASSIC RAL 9016 4.55L</t>
        </is>
      </c>
      <c r="J3291" s="17" t="inlineStr">
        <is>
          <t>Lít</t>
        </is>
      </c>
      <c r="K3291" s="19" t="n">
        <v>155000</v>
      </c>
      <c r="L3291" s="20" t="n"/>
      <c r="M3291" s="20" t="n"/>
      <c r="N3291" s="43" t="n">
        <v>9.1</v>
      </c>
      <c r="O3291" s="20" t="n">
        <v>1410500</v>
      </c>
      <c r="P3291" s="43" t="n">
        <v>9.1</v>
      </c>
      <c r="Q3291" s="20" t="n">
        <v>1410500</v>
      </c>
      <c r="R3291" s="42">
        <f>+L3291+N3291-P3291</f>
        <v/>
      </c>
      <c r="S3291" s="42">
        <f>+M3291+O3291-Q3291</f>
        <v/>
      </c>
    </row>
    <row r="3292" ht="15" customHeight="1">
      <c r="A3292" s="16" t="n">
        <v>45932</v>
      </c>
      <c r="B3292" s="17" t="inlineStr">
        <is>
          <t>MH2510-04</t>
        </is>
      </c>
      <c r="C3292" s="16" t="n">
        <v>45932</v>
      </c>
      <c r="D3292" s="17" t="inlineStr">
        <is>
          <t>00009256</t>
        </is>
      </c>
      <c r="E3292" s="16" t="n">
        <v>45932</v>
      </c>
      <c r="F3292" s="16" t="inlineStr">
        <is>
          <t>XK2510-07</t>
        </is>
      </c>
      <c r="G3292" s="16" t="n">
        <v>45932</v>
      </c>
      <c r="H3292" s="17" t="inlineStr">
        <is>
          <t>CÔNG TY TNHH SƠN JOTUN VIỆT NAM</t>
        </is>
      </c>
      <c r="I3292" s="17" t="inlineStr">
        <is>
          <t>DUNG MÔI JOTUN THINNER NO. 17 20L</t>
        </is>
      </c>
      <c r="J3292" s="17" t="inlineStr">
        <is>
          <t>Lít</t>
        </is>
      </c>
      <c r="K3292" s="19" t="n">
        <v>60000</v>
      </c>
      <c r="L3292" s="20" t="n"/>
      <c r="M3292" s="20" t="n"/>
      <c r="N3292" s="43" t="n">
        <v>20</v>
      </c>
      <c r="O3292" s="20" t="n">
        <v>1200000</v>
      </c>
      <c r="P3292" s="43" t="n">
        <v>20</v>
      </c>
      <c r="Q3292" s="20" t="n">
        <v>1200000</v>
      </c>
      <c r="R3292" s="42">
        <f>+L3292+N3292-P3292</f>
        <v/>
      </c>
      <c r="S3292" s="42">
        <f>+M3292+O3292-Q3292</f>
        <v/>
      </c>
    </row>
    <row r="3293" ht="15" customHeight="1">
      <c r="A3293" s="16" t="n">
        <v>45932</v>
      </c>
      <c r="B3293" s="17" t="inlineStr">
        <is>
          <t>MH2510-04</t>
        </is>
      </c>
      <c r="C3293" s="16" t="n">
        <v>45932</v>
      </c>
      <c r="D3293" s="17" t="inlineStr">
        <is>
          <t>00009256</t>
        </is>
      </c>
      <c r="E3293" s="16" t="n">
        <v>45932</v>
      </c>
      <c r="F3293" s="16" t="inlineStr">
        <is>
          <t>XK2510-07</t>
        </is>
      </c>
      <c r="G3293" s="16" t="n">
        <v>45932</v>
      </c>
      <c r="H3293" s="17" t="inlineStr">
        <is>
          <t>CÔNG TY TNHH SƠN JOTUN VIỆT NAM</t>
        </is>
      </c>
      <c r="I3293" s="17" t="inlineStr">
        <is>
          <t>DUNG MÔI JOTUN THINNER NO. 17 5L</t>
        </is>
      </c>
      <c r="J3293" s="17" t="inlineStr">
        <is>
          <t>Lít</t>
        </is>
      </c>
      <c r="K3293" s="19" t="n">
        <v>60000</v>
      </c>
      <c r="L3293" s="20" t="n"/>
      <c r="M3293" s="20" t="n"/>
      <c r="N3293" s="43" t="n">
        <v>10</v>
      </c>
      <c r="O3293" s="20" t="n">
        <v>600000</v>
      </c>
      <c r="P3293" s="43" t="n">
        <v>10</v>
      </c>
      <c r="Q3293" s="20" t="n">
        <v>600000</v>
      </c>
      <c r="R3293" s="42">
        <f>+L3293+N3293-P3293</f>
        <v/>
      </c>
      <c r="S3293" s="42">
        <f>+M3293+O3293-Q3293</f>
        <v/>
      </c>
    </row>
    <row r="3294" ht="15" customHeight="1">
      <c r="A3294" s="16" t="n">
        <v>45932</v>
      </c>
      <c r="B3294" s="17" t="inlineStr">
        <is>
          <t>MH2510-04</t>
        </is>
      </c>
      <c r="C3294" s="16" t="n">
        <v>45932</v>
      </c>
      <c r="D3294" s="17" t="inlineStr">
        <is>
          <t>00009256</t>
        </is>
      </c>
      <c r="E3294" s="16" t="n">
        <v>45932</v>
      </c>
      <c r="F3294" s="16" t="inlineStr">
        <is>
          <t>XK2510-07</t>
        </is>
      </c>
      <c r="G3294" s="16" t="n">
        <v>45932</v>
      </c>
      <c r="H3294" s="17" t="inlineStr">
        <is>
          <t>CÔNG TY TNHH SƠN JOTUN VIỆT NAM</t>
        </is>
      </c>
      <c r="I3294" s="17" t="inlineStr">
        <is>
          <t>DUNG MÔI JOTUN THINNER NO. 10 20L</t>
        </is>
      </c>
      <c r="J3294" s="17" t="inlineStr">
        <is>
          <t>Lít</t>
        </is>
      </c>
      <c r="K3294" s="19" t="n">
        <v>60000</v>
      </c>
      <c r="L3294" s="20" t="n"/>
      <c r="M3294" s="20" t="n"/>
      <c r="N3294" s="43" t="n">
        <v>20</v>
      </c>
      <c r="O3294" s="20" t="n">
        <v>1200000</v>
      </c>
      <c r="P3294" s="43" t="n">
        <v>20</v>
      </c>
      <c r="Q3294" s="20" t="n">
        <v>1200000</v>
      </c>
      <c r="R3294" s="42">
        <f>+L3294+N3294-P3294</f>
        <v/>
      </c>
      <c r="S3294" s="42">
        <f>+M3294+O3294-Q3294</f>
        <v/>
      </c>
    </row>
    <row r="3295" ht="15" customHeight="1">
      <c r="A3295" s="16" t="n">
        <v>45932</v>
      </c>
      <c r="B3295" s="17" t="inlineStr">
        <is>
          <t>MH2510-04</t>
        </is>
      </c>
      <c r="C3295" s="16" t="n">
        <v>45932</v>
      </c>
      <c r="D3295" s="17" t="inlineStr">
        <is>
          <t>00009256</t>
        </is>
      </c>
      <c r="E3295" s="16" t="n">
        <v>45932</v>
      </c>
      <c r="F3295" s="16" t="inlineStr">
        <is>
          <t>XK2510-07</t>
        </is>
      </c>
      <c r="G3295" s="16" t="n">
        <v>45932</v>
      </c>
      <c r="H3295" s="17" t="inlineStr">
        <is>
          <t>CÔNG TY TNHH SƠN JOTUN VIỆT NAM</t>
        </is>
      </c>
      <c r="I3295" s="17" t="inlineStr">
        <is>
          <t>DUNG MÔI JOTUN THINNER NO. 10 5L</t>
        </is>
      </c>
      <c r="J3295" s="17" t="inlineStr">
        <is>
          <t>Lít</t>
        </is>
      </c>
      <c r="K3295" s="19" t="n">
        <v>60000</v>
      </c>
      <c r="L3295" s="20" t="n"/>
      <c r="M3295" s="20" t="n"/>
      <c r="N3295" s="43" t="n">
        <v>10</v>
      </c>
      <c r="O3295" s="20" t="n">
        <v>600000</v>
      </c>
      <c r="P3295" s="43" t="n">
        <v>10</v>
      </c>
      <c r="Q3295" s="20" t="n">
        <v>600000</v>
      </c>
      <c r="R3295" s="42">
        <f>+L3295+N3295-P3295</f>
        <v/>
      </c>
      <c r="S3295" s="42">
        <f>+M3295+O3295-Q3295</f>
        <v/>
      </c>
    </row>
    <row r="3296" ht="15" customHeight="1">
      <c r="A3296" s="16" t="n">
        <v>45932</v>
      </c>
      <c r="B3296" s="17" t="inlineStr">
        <is>
          <t>MH2510-05</t>
        </is>
      </c>
      <c r="C3296" s="16" t="n">
        <v>45932</v>
      </c>
      <c r="D3296" s="17" t="inlineStr">
        <is>
          <t>00009255</t>
        </is>
      </c>
      <c r="E3296" s="16" t="n">
        <v>45932</v>
      </c>
      <c r="F3296" s="16" t="inlineStr">
        <is>
          <t>XK2510-08</t>
        </is>
      </c>
      <c r="G3296" s="16" t="n">
        <v>45932</v>
      </c>
      <c r="H3296" s="17" t="inlineStr">
        <is>
          <t>CÔNG TY TNHH SƠN JOTUN VIỆT NAM</t>
        </is>
      </c>
      <c r="I3296" s="17" t="inlineStr">
        <is>
          <t>SƠN JOTAMASTIC 70 GREY 18L</t>
        </is>
      </c>
      <c r="J3296" s="17" t="inlineStr">
        <is>
          <t>Lít</t>
        </is>
      </c>
      <c r="K3296" s="19" t="n">
        <v>90000</v>
      </c>
      <c r="L3296" s="20" t="n"/>
      <c r="M3296" s="20" t="n"/>
      <c r="N3296" s="43" t="n">
        <v>216</v>
      </c>
      <c r="O3296" s="20" t="n">
        <v>19440000</v>
      </c>
      <c r="P3296" s="43" t="n">
        <v>216</v>
      </c>
      <c r="Q3296" s="20" t="n">
        <v>19440000</v>
      </c>
      <c r="R3296" s="42">
        <f>+L3296+N3296-P3296</f>
        <v/>
      </c>
      <c r="S3296" s="42">
        <f>+M3296+O3296-Q3296</f>
        <v/>
      </c>
    </row>
    <row r="3297" ht="15" customHeight="1">
      <c r="A3297" s="16" t="n">
        <v>45932</v>
      </c>
      <c r="B3297" s="17" t="inlineStr">
        <is>
          <t>MH2510-05</t>
        </is>
      </c>
      <c r="C3297" s="16" t="n">
        <v>45932</v>
      </c>
      <c r="D3297" s="17" t="inlineStr">
        <is>
          <t>00009255</t>
        </is>
      </c>
      <c r="E3297" s="16" t="n">
        <v>45932</v>
      </c>
      <c r="F3297" s="16" t="inlineStr">
        <is>
          <t>XK2510-08</t>
        </is>
      </c>
      <c r="G3297" s="16" t="n">
        <v>45932</v>
      </c>
      <c r="H3297" s="17" t="inlineStr">
        <is>
          <t>CÔNG TY TNHH SƠN JOTUN VIỆT NAM</t>
        </is>
      </c>
      <c r="I3297" s="17" t="inlineStr">
        <is>
          <t>SƠN FUTURA CLASSIC RAL 6018 19.97L</t>
        </is>
      </c>
      <c r="J3297" s="17" t="inlineStr">
        <is>
          <t>Lít</t>
        </is>
      </c>
      <c r="K3297" s="19" t="n">
        <v>185000</v>
      </c>
      <c r="L3297" s="20" t="n"/>
      <c r="M3297" s="20" t="n"/>
      <c r="N3297" s="43" t="n">
        <v>99.84999999999999</v>
      </c>
      <c r="O3297" s="20" t="n">
        <v>18472250</v>
      </c>
      <c r="P3297" s="43" t="n">
        <v>99.84999999999999</v>
      </c>
      <c r="Q3297" s="20" t="n">
        <v>18472250</v>
      </c>
      <c r="R3297" s="42">
        <f>+L3297+N3297-P3297</f>
        <v/>
      </c>
      <c r="S3297" s="42">
        <f>+M3297+O3297-Q3297</f>
        <v/>
      </c>
    </row>
    <row r="3298" ht="15" customHeight="1">
      <c r="A3298" s="16" t="n">
        <v>45932</v>
      </c>
      <c r="B3298" s="17" t="inlineStr">
        <is>
          <t>MH2510-05</t>
        </is>
      </c>
      <c r="C3298" s="16" t="n">
        <v>45932</v>
      </c>
      <c r="D3298" s="17" t="inlineStr">
        <is>
          <t>00009255</t>
        </is>
      </c>
      <c r="E3298" s="16" t="n">
        <v>45932</v>
      </c>
      <c r="F3298" s="16" t="inlineStr">
        <is>
          <t>XK2510-08</t>
        </is>
      </c>
      <c r="G3298" s="16" t="n">
        <v>45932</v>
      </c>
      <c r="H3298" s="17" t="inlineStr">
        <is>
          <t>CÔNG TY TNHH SƠN JOTUN VIỆT NAM</t>
        </is>
      </c>
      <c r="I3298" s="17" t="inlineStr">
        <is>
          <t>SƠN FUTURA CLASSIC RAL 6018 4.99L</t>
        </is>
      </c>
      <c r="J3298" s="17" t="inlineStr">
        <is>
          <t>Lít</t>
        </is>
      </c>
      <c r="K3298" s="19" t="n">
        <v>185000</v>
      </c>
      <c r="L3298" s="20" t="n"/>
      <c r="M3298" s="20" t="n"/>
      <c r="N3298" s="43" t="n">
        <v>14.97</v>
      </c>
      <c r="O3298" s="20" t="n">
        <v>2769450</v>
      </c>
      <c r="P3298" s="43" t="n">
        <v>14.97</v>
      </c>
      <c r="Q3298" s="20" t="n">
        <v>2769450</v>
      </c>
      <c r="R3298" s="42">
        <f>+L3298+N3298-P3298</f>
        <v/>
      </c>
      <c r="S3298" s="42">
        <f>+M3298+O3298-Q3298</f>
        <v/>
      </c>
    </row>
    <row r="3299" ht="15" customHeight="1">
      <c r="A3299" s="16" t="n">
        <v>45932</v>
      </c>
      <c r="B3299" s="17" t="inlineStr">
        <is>
          <t>MH2510-05</t>
        </is>
      </c>
      <c r="C3299" s="16" t="n">
        <v>45932</v>
      </c>
      <c r="D3299" s="17" t="inlineStr">
        <is>
          <t>00009255</t>
        </is>
      </c>
      <c r="E3299" s="16" t="n">
        <v>45932</v>
      </c>
      <c r="F3299" s="16" t="inlineStr">
        <is>
          <t>XK2510-08</t>
        </is>
      </c>
      <c r="G3299" s="16" t="n">
        <v>45932</v>
      </c>
      <c r="H3299" s="17" t="inlineStr">
        <is>
          <t>CÔNG TY TNHH SƠN JOTUN VIỆT NAM</t>
        </is>
      </c>
      <c r="I3299" s="17" t="inlineStr">
        <is>
          <t>DUNG MÔI JOTUN THINNER NO. 17 20L</t>
        </is>
      </c>
      <c r="J3299" s="17" t="inlineStr">
        <is>
          <t>Lít</t>
        </is>
      </c>
      <c r="K3299" s="19" t="n">
        <v>60000</v>
      </c>
      <c r="L3299" s="20" t="n"/>
      <c r="M3299" s="20" t="n"/>
      <c r="N3299" s="43" t="n">
        <v>20</v>
      </c>
      <c r="O3299" s="20" t="n">
        <v>1200000</v>
      </c>
      <c r="P3299" s="43" t="n">
        <v>20</v>
      </c>
      <c r="Q3299" s="20" t="n">
        <v>1200000</v>
      </c>
      <c r="R3299" s="42">
        <f>+L3299+N3299-P3299</f>
        <v/>
      </c>
      <c r="S3299" s="42">
        <f>+M3299+O3299-Q3299</f>
        <v/>
      </c>
    </row>
    <row r="3300" ht="15" customHeight="1">
      <c r="A3300" s="16" t="n">
        <v>45932</v>
      </c>
      <c r="B3300" s="17" t="inlineStr">
        <is>
          <t>MH2510-05</t>
        </is>
      </c>
      <c r="C3300" s="16" t="n">
        <v>45932</v>
      </c>
      <c r="D3300" s="17" t="inlineStr">
        <is>
          <t>00009255</t>
        </is>
      </c>
      <c r="E3300" s="16" t="n">
        <v>45932</v>
      </c>
      <c r="F3300" s="16" t="inlineStr">
        <is>
          <t>XK2510-08</t>
        </is>
      </c>
      <c r="G3300" s="16" t="n">
        <v>45932</v>
      </c>
      <c r="H3300" s="17" t="inlineStr">
        <is>
          <t>CÔNG TY TNHH SƠN JOTUN VIỆT NAM</t>
        </is>
      </c>
      <c r="I3300" s="17" t="inlineStr">
        <is>
          <t>DUNG MÔI JOTUN THINNER NO. 17 5L</t>
        </is>
      </c>
      <c r="J3300" s="17" t="inlineStr">
        <is>
          <t>Lít</t>
        </is>
      </c>
      <c r="K3300" s="19" t="n">
        <v>60000</v>
      </c>
      <c r="L3300" s="20" t="n"/>
      <c r="M3300" s="20" t="n"/>
      <c r="N3300" s="43" t="n">
        <v>10</v>
      </c>
      <c r="O3300" s="20" t="n">
        <v>600000</v>
      </c>
      <c r="P3300" s="43" t="n">
        <v>10</v>
      </c>
      <c r="Q3300" s="20" t="n">
        <v>600000</v>
      </c>
      <c r="R3300" s="42">
        <f>+L3300+N3300-P3300</f>
        <v/>
      </c>
      <c r="S3300" s="42">
        <f>+M3300+O3300-Q3300</f>
        <v/>
      </c>
    </row>
    <row r="3301" ht="15" customHeight="1">
      <c r="A3301" s="16" t="n">
        <v>45932</v>
      </c>
      <c r="B3301" s="17" t="inlineStr">
        <is>
          <t>MH2510-05</t>
        </is>
      </c>
      <c r="C3301" s="16" t="n">
        <v>45932</v>
      </c>
      <c r="D3301" s="17" t="inlineStr">
        <is>
          <t>00009255</t>
        </is>
      </c>
      <c r="E3301" s="16" t="n">
        <v>45932</v>
      </c>
      <c r="F3301" s="16" t="inlineStr">
        <is>
          <t>XK2510-08</t>
        </is>
      </c>
      <c r="G3301" s="16" t="n">
        <v>45932</v>
      </c>
      <c r="H3301" s="17" t="inlineStr">
        <is>
          <t>CÔNG TY TNHH SƠN JOTUN VIỆT NAM</t>
        </is>
      </c>
      <c r="I3301" s="17" t="inlineStr">
        <is>
          <t>DUNG MÔI JOTUN THINNER NO. 10 20L</t>
        </is>
      </c>
      <c r="J3301" s="17" t="inlineStr">
        <is>
          <t>Lít</t>
        </is>
      </c>
      <c r="K3301" s="19" t="n">
        <v>60000</v>
      </c>
      <c r="L3301" s="20" t="n"/>
      <c r="M3301" s="20" t="n"/>
      <c r="N3301" s="43" t="n">
        <v>20</v>
      </c>
      <c r="O3301" s="20" t="n">
        <v>1200000</v>
      </c>
      <c r="P3301" s="43" t="n">
        <v>20</v>
      </c>
      <c r="Q3301" s="20" t="n">
        <v>1200000</v>
      </c>
      <c r="R3301" s="42">
        <f>+L3301+N3301-P3301</f>
        <v/>
      </c>
      <c r="S3301" s="42">
        <f>+M3301+O3301-Q3301</f>
        <v/>
      </c>
    </row>
    <row r="3302" ht="15" customHeight="1">
      <c r="A3302" s="16" t="n">
        <v>45932</v>
      </c>
      <c r="B3302" s="17" t="inlineStr">
        <is>
          <t>MH2510-05</t>
        </is>
      </c>
      <c r="C3302" s="16" t="n">
        <v>45932</v>
      </c>
      <c r="D3302" s="17" t="inlineStr">
        <is>
          <t>00009255</t>
        </is>
      </c>
      <c r="E3302" s="16" t="n">
        <v>45932</v>
      </c>
      <c r="F3302" s="16" t="inlineStr">
        <is>
          <t>XK2510-08</t>
        </is>
      </c>
      <c r="G3302" s="16" t="n">
        <v>45932</v>
      </c>
      <c r="H3302" s="17" t="inlineStr">
        <is>
          <t>CÔNG TY TNHH SƠN JOTUN VIỆT NAM</t>
        </is>
      </c>
      <c r="I3302" s="17" t="inlineStr">
        <is>
          <t>DUNG MÔI JOTUN THINNER NO. 10 5L</t>
        </is>
      </c>
      <c r="J3302" s="17" t="inlineStr">
        <is>
          <t>Lít</t>
        </is>
      </c>
      <c r="K3302" s="19" t="n">
        <v>60000</v>
      </c>
      <c r="L3302" s="20" t="n"/>
      <c r="M3302" s="20" t="n"/>
      <c r="N3302" s="43" t="n">
        <v>10</v>
      </c>
      <c r="O3302" s="20" t="n">
        <v>600000</v>
      </c>
      <c r="P3302" s="43" t="n">
        <v>10</v>
      </c>
      <c r="Q3302" s="20" t="n">
        <v>600000</v>
      </c>
      <c r="R3302" s="42">
        <f>+L3302+N3302-P3302</f>
        <v/>
      </c>
      <c r="S3302" s="42">
        <f>+M3302+O3302-Q3302</f>
        <v/>
      </c>
    </row>
    <row r="3303" ht="30" customHeight="1">
      <c r="A3303" s="16" t="n">
        <v>45932</v>
      </c>
      <c r="B3303" s="17" t="inlineStr">
        <is>
          <t>MH2510-06</t>
        </is>
      </c>
      <c r="C3303" s="16" t="n">
        <v>45932</v>
      </c>
      <c r="D3303" s="17" t="inlineStr">
        <is>
          <t>00002138</t>
        </is>
      </c>
      <c r="E3303" s="16" t="n">
        <v>45932</v>
      </c>
      <c r="F3303" s="16" t="inlineStr">
        <is>
          <t>XK2510-09</t>
        </is>
      </c>
      <c r="G3303" s="16" t="n">
        <v>45932</v>
      </c>
      <c r="H3303" s="17" t="inlineStr">
        <is>
          <t>CÔNG TY TNHH DỊCH VỤ - THƯƠNG MẠI THÉP THIÊN LONG</t>
        </is>
      </c>
      <c r="I3303" s="17" t="inlineStr">
        <is>
          <t>Thép hình U200</t>
        </is>
      </c>
      <c r="J3303" s="17" t="inlineStr">
        <is>
          <t>kg</t>
        </is>
      </c>
      <c r="K3303" s="19" t="n">
        <v>14000</v>
      </c>
      <c r="L3303" s="20" t="n"/>
      <c r="M3303" s="20" t="n"/>
      <c r="N3303" s="43" t="n">
        <v>6732</v>
      </c>
      <c r="O3303" s="20" t="n">
        <v>94248000</v>
      </c>
      <c r="P3303" s="43" t="n">
        <v>6732</v>
      </c>
      <c r="Q3303" s="20" t="n">
        <v>94248000</v>
      </c>
      <c r="R3303" s="42">
        <f>+L3303+N3303-P3303</f>
        <v/>
      </c>
      <c r="S3303" s="42">
        <f>+M3303+O3303-Q3303</f>
        <v/>
      </c>
    </row>
    <row r="3304" ht="30" customHeight="1">
      <c r="A3304" s="16" t="n">
        <v>45932</v>
      </c>
      <c r="B3304" s="17" t="inlineStr">
        <is>
          <t>MH2510-06</t>
        </is>
      </c>
      <c r="C3304" s="16" t="n">
        <v>45932</v>
      </c>
      <c r="D3304" s="17" t="inlineStr">
        <is>
          <t>00002138</t>
        </is>
      </c>
      <c r="E3304" s="16" t="n">
        <v>45932</v>
      </c>
      <c r="F3304" s="16" t="inlineStr">
        <is>
          <t>XK2510-09</t>
        </is>
      </c>
      <c r="G3304" s="16" t="n">
        <v>45932</v>
      </c>
      <c r="H3304" s="17" t="inlineStr">
        <is>
          <t>CÔNG TY TNHH DỊCH VỤ - THƯƠNG MẠI THÉP THIÊN LONG</t>
        </is>
      </c>
      <c r="I3304" s="17" t="inlineStr">
        <is>
          <t>Thép hộp 100x100x2.5x6m</t>
        </is>
      </c>
      <c r="J3304" s="17" t="inlineStr">
        <is>
          <t>kg</t>
        </is>
      </c>
      <c r="K3304" s="19" t="n">
        <v>16272.72</v>
      </c>
      <c r="L3304" s="20" t="n"/>
      <c r="M3304" s="20" t="n"/>
      <c r="N3304" s="43" t="n">
        <v>822.42</v>
      </c>
      <c r="O3304" s="20" t="n">
        <v>13383010</v>
      </c>
      <c r="P3304" s="43" t="n">
        <v>822.42</v>
      </c>
      <c r="Q3304" s="20" t="n">
        <v>13383010</v>
      </c>
      <c r="R3304" s="42">
        <f>+L3304+N3304-P3304</f>
        <v/>
      </c>
      <c r="S3304" s="42">
        <f>+M3304+O3304-Q3304</f>
        <v/>
      </c>
    </row>
    <row r="3305" ht="30" customHeight="1">
      <c r="A3305" s="16" t="n">
        <v>45932</v>
      </c>
      <c r="B3305" s="17" t="inlineStr">
        <is>
          <t>MH2510-06</t>
        </is>
      </c>
      <c r="C3305" s="16" t="n">
        <v>45932</v>
      </c>
      <c r="D3305" s="17" t="inlineStr">
        <is>
          <t>00002138</t>
        </is>
      </c>
      <c r="E3305" s="16" t="n">
        <v>45932</v>
      </c>
      <c r="F3305" s="16" t="inlineStr">
        <is>
          <t>XK2510-09</t>
        </is>
      </c>
      <c r="G3305" s="16" t="n">
        <v>45932</v>
      </c>
      <c r="H3305" s="17" t="inlineStr">
        <is>
          <t>CÔNG TY TNHH DỊCH VỤ - THƯƠNG MẠI THÉP THIÊN LONG</t>
        </is>
      </c>
      <c r="I3305" s="17" t="inlineStr">
        <is>
          <t>Thép hình H150</t>
        </is>
      </c>
      <c r="J3305" s="17" t="inlineStr">
        <is>
          <t>kg</t>
        </is>
      </c>
      <c r="K3305" s="19" t="n">
        <v>17272.72</v>
      </c>
      <c r="L3305" s="20" t="n"/>
      <c r="M3305" s="20" t="n"/>
      <c r="N3305" s="43" t="n">
        <v>3192</v>
      </c>
      <c r="O3305" s="20" t="n">
        <v>55134522</v>
      </c>
      <c r="P3305" s="43" t="n">
        <v>3192</v>
      </c>
      <c r="Q3305" s="20" t="n">
        <v>55134522</v>
      </c>
      <c r="R3305" s="42">
        <f>+L3305+N3305-P3305</f>
        <v/>
      </c>
      <c r="S3305" s="42">
        <f>+M3305+O3305-Q3305</f>
        <v/>
      </c>
    </row>
    <row r="3306" ht="30" customHeight="1">
      <c r="A3306" s="16" t="n">
        <v>45932</v>
      </c>
      <c r="B3306" s="17" t="inlineStr">
        <is>
          <t>MH2510-07</t>
        </is>
      </c>
      <c r="C3306" s="16" t="n">
        <v>45932</v>
      </c>
      <c r="D3306" s="17" t="inlineStr">
        <is>
          <t>00002137</t>
        </is>
      </c>
      <c r="E3306" s="16" t="n">
        <v>45932</v>
      </c>
      <c r="F3306" s="16" t="inlineStr">
        <is>
          <t>XK2510-10</t>
        </is>
      </c>
      <c r="G3306" s="16" t="n">
        <v>45932</v>
      </c>
      <c r="H3306" s="17" t="inlineStr">
        <is>
          <t>CÔNG TY TNHH DỊCH VỤ - THƯƠNG MẠI THÉP THIÊN LONG</t>
        </is>
      </c>
      <c r="I3306" s="17" t="inlineStr">
        <is>
          <t>Thép hộp 40x40x3x6m</t>
        </is>
      </c>
      <c r="J3306" s="17" t="inlineStr">
        <is>
          <t>kg</t>
        </is>
      </c>
      <c r="K3306" s="19" t="n">
        <v>16272.72</v>
      </c>
      <c r="L3306" s="20" t="n"/>
      <c r="M3306" s="20" t="n"/>
      <c r="N3306" s="43" t="n">
        <v>1069.64</v>
      </c>
      <c r="O3306" s="20" t="n">
        <v>17405952</v>
      </c>
      <c r="P3306" s="43" t="n">
        <v>1069.64</v>
      </c>
      <c r="Q3306" s="20" t="n">
        <v>17405952</v>
      </c>
      <c r="R3306" s="42">
        <f>+L3306+N3306-P3306</f>
        <v/>
      </c>
      <c r="S3306" s="42">
        <f>+M3306+O3306-Q3306</f>
        <v/>
      </c>
    </row>
    <row r="3307" ht="30" customHeight="1">
      <c r="A3307" s="16" t="n">
        <v>45932</v>
      </c>
      <c r="B3307" s="17" t="inlineStr">
        <is>
          <t>MH2510-07</t>
        </is>
      </c>
      <c r="C3307" s="16" t="n">
        <v>45932</v>
      </c>
      <c r="D3307" s="17" t="inlineStr">
        <is>
          <t>00002137</t>
        </is>
      </c>
      <c r="E3307" s="16" t="n">
        <v>45932</v>
      </c>
      <c r="F3307" s="16" t="inlineStr">
        <is>
          <t>XK2510-10</t>
        </is>
      </c>
      <c r="G3307" s="16" t="n">
        <v>45932</v>
      </c>
      <c r="H3307" s="17" t="inlineStr">
        <is>
          <t>CÔNG TY TNHH DỊCH VỤ - THƯƠNG MẠI THÉP THIÊN LONG</t>
        </is>
      </c>
      <c r="I3307" s="17" t="inlineStr">
        <is>
          <t>Thép hộp 50x50x3x6m</t>
        </is>
      </c>
      <c r="J3307" s="17" t="inlineStr">
        <is>
          <t>kg</t>
        </is>
      </c>
      <c r="K3307" s="19" t="n">
        <v>16272.72</v>
      </c>
      <c r="L3307" s="20" t="n"/>
      <c r="M3307" s="20" t="n"/>
      <c r="N3307" s="43" t="n">
        <v>104.92</v>
      </c>
      <c r="O3307" s="20" t="n">
        <v>1707334</v>
      </c>
      <c r="P3307" s="43" t="n">
        <v>104.92</v>
      </c>
      <c r="Q3307" s="20" t="n">
        <v>1707334</v>
      </c>
      <c r="R3307" s="42">
        <f>+L3307+N3307-P3307</f>
        <v/>
      </c>
      <c r="S3307" s="42">
        <f>+M3307+O3307-Q3307</f>
        <v/>
      </c>
    </row>
    <row r="3308" ht="30" customHeight="1">
      <c r="A3308" s="16" t="n">
        <v>45932</v>
      </c>
      <c r="B3308" s="17" t="inlineStr">
        <is>
          <t>MH2510-07</t>
        </is>
      </c>
      <c r="C3308" s="16" t="n">
        <v>45932</v>
      </c>
      <c r="D3308" s="17" t="inlineStr">
        <is>
          <t>00002137</t>
        </is>
      </c>
      <c r="E3308" s="16" t="n">
        <v>45932</v>
      </c>
      <c r="F3308" s="16" t="inlineStr">
        <is>
          <t>XK2510-10</t>
        </is>
      </c>
      <c r="G3308" s="16" t="n">
        <v>45932</v>
      </c>
      <c r="H3308" s="17" t="inlineStr">
        <is>
          <t>CÔNG TY TNHH DỊCH VỤ - THƯƠNG MẠI THÉP THIÊN LONG</t>
        </is>
      </c>
      <c r="I3308" s="17" t="inlineStr">
        <is>
          <t>Thép ống đen 42</t>
        </is>
      </c>
      <c r="J3308" s="17" t="inlineStr">
        <is>
          <t>kg</t>
        </is>
      </c>
      <c r="K3308" s="19" t="n">
        <v>16272.72</v>
      </c>
      <c r="L3308" s="20" t="n"/>
      <c r="M3308" s="20" t="n"/>
      <c r="N3308" s="43" t="n">
        <v>3480</v>
      </c>
      <c r="O3308" s="20" t="n">
        <v>56629066</v>
      </c>
      <c r="P3308" s="43" t="n">
        <v>3480</v>
      </c>
      <c r="Q3308" s="20" t="n">
        <v>56629066</v>
      </c>
      <c r="R3308" s="42">
        <f>+L3308+N3308-P3308</f>
        <v/>
      </c>
      <c r="S3308" s="42">
        <f>+M3308+O3308-Q3308</f>
        <v/>
      </c>
    </row>
    <row r="3309" ht="30" customHeight="1">
      <c r="A3309" s="16" t="n">
        <v>45932</v>
      </c>
      <c r="B3309" s="17" t="inlineStr">
        <is>
          <t>MH2510-07</t>
        </is>
      </c>
      <c r="C3309" s="16" t="n">
        <v>45932</v>
      </c>
      <c r="D3309" s="17" t="inlineStr">
        <is>
          <t>00002137</t>
        </is>
      </c>
      <c r="E3309" s="16" t="n">
        <v>45932</v>
      </c>
      <c r="F3309" s="16" t="inlineStr">
        <is>
          <t>XK2510-10</t>
        </is>
      </c>
      <c r="G3309" s="16" t="n">
        <v>45932</v>
      </c>
      <c r="H3309" s="17" t="inlineStr">
        <is>
          <t>CÔNG TY TNHH DỊCH VỤ - THƯƠNG MẠI THÉP THIÊN LONG</t>
        </is>
      </c>
      <c r="I3309" s="17" t="inlineStr">
        <is>
          <t>Thép phi 10</t>
        </is>
      </c>
      <c r="J3309" s="17" t="inlineStr">
        <is>
          <t>kg</t>
        </is>
      </c>
      <c r="K3309" s="19" t="n">
        <v>17727.27</v>
      </c>
      <c r="L3309" s="20" t="n"/>
      <c r="M3309" s="20" t="n"/>
      <c r="N3309" s="43" t="n">
        <v>131.2</v>
      </c>
      <c r="O3309" s="20" t="n">
        <v>2325818</v>
      </c>
      <c r="P3309" s="43" t="n">
        <v>131.2</v>
      </c>
      <c r="Q3309" s="20" t="n">
        <v>2325818</v>
      </c>
      <c r="R3309" s="42">
        <f>+L3309+N3309-P3309</f>
        <v/>
      </c>
      <c r="S3309" s="42">
        <f>+M3309+O3309-Q3309</f>
        <v/>
      </c>
    </row>
    <row r="3310" ht="30" customHeight="1">
      <c r="A3310" s="16" t="n">
        <v>45932</v>
      </c>
      <c r="B3310" s="17" t="inlineStr">
        <is>
          <t>MH2510-07</t>
        </is>
      </c>
      <c r="C3310" s="16" t="n">
        <v>45932</v>
      </c>
      <c r="D3310" s="17" t="inlineStr">
        <is>
          <t>00002137</t>
        </is>
      </c>
      <c r="E3310" s="16" t="n">
        <v>45932</v>
      </c>
      <c r="F3310" s="16" t="inlineStr">
        <is>
          <t>XK2510-10</t>
        </is>
      </c>
      <c r="G3310" s="16" t="n">
        <v>45932</v>
      </c>
      <c r="H3310" s="17" t="inlineStr">
        <is>
          <t>CÔNG TY TNHH DỊCH VỤ - THƯƠNG MẠI THÉP THIÊN LONG</t>
        </is>
      </c>
      <c r="I3310" s="17" t="inlineStr">
        <is>
          <t>Thép phi 14</t>
        </is>
      </c>
      <c r="J3310" s="17" t="inlineStr">
        <is>
          <t>kg</t>
        </is>
      </c>
      <c r="K3310" s="19" t="n">
        <v>17727.27</v>
      </c>
      <c r="L3310" s="20" t="n"/>
      <c r="M3310" s="20" t="n"/>
      <c r="N3310" s="43" t="n">
        <v>525.6</v>
      </c>
      <c r="O3310" s="20" t="n">
        <v>9317453</v>
      </c>
      <c r="P3310" s="43" t="n">
        <v>525.6</v>
      </c>
      <c r="Q3310" s="20" t="n">
        <v>9317453</v>
      </c>
      <c r="R3310" s="42">
        <f>+L3310+N3310-P3310</f>
        <v/>
      </c>
      <c r="S3310" s="42">
        <f>+M3310+O3310-Q3310</f>
        <v/>
      </c>
    </row>
    <row r="3311" ht="30" customHeight="1">
      <c r="A3311" s="16" t="n">
        <v>45932</v>
      </c>
      <c r="B3311" s="17" t="inlineStr">
        <is>
          <t>MH2510-08</t>
        </is>
      </c>
      <c r="C3311" s="16" t="n">
        <v>45932</v>
      </c>
      <c r="D3311" s="17" t="inlineStr">
        <is>
          <t>00002135</t>
        </is>
      </c>
      <c r="E3311" s="16" t="n">
        <v>45932</v>
      </c>
      <c r="F3311" s="16" t="inlineStr">
        <is>
          <t>XK2510-11</t>
        </is>
      </c>
      <c r="G3311" s="16" t="n">
        <v>45932</v>
      </c>
      <c r="H3311" s="17" t="inlineStr">
        <is>
          <t>CÔNG TY TNHH DỊCH VỤ - THƯƠNG MẠI THÉP THIÊN LONG</t>
        </is>
      </c>
      <c r="I3311" s="17" t="inlineStr">
        <is>
          <t>Thép hình U250</t>
        </is>
      </c>
      <c r="J3311" s="17" t="inlineStr">
        <is>
          <t>kg</t>
        </is>
      </c>
      <c r="K3311" s="19" t="n">
        <v>14681.81</v>
      </c>
      <c r="L3311" s="20" t="n"/>
      <c r="M3311" s="20" t="n"/>
      <c r="N3311" s="43" t="n">
        <v>4604.88</v>
      </c>
      <c r="O3311" s="20" t="n">
        <v>67607973</v>
      </c>
      <c r="P3311" s="43" t="n">
        <v>4604.88</v>
      </c>
      <c r="Q3311" s="20" t="n">
        <v>67607973</v>
      </c>
      <c r="R3311" s="42">
        <f>+L3311+N3311-P3311</f>
        <v/>
      </c>
      <c r="S3311" s="42">
        <f>+M3311+O3311-Q3311</f>
        <v/>
      </c>
    </row>
    <row r="3312" ht="30" customHeight="1">
      <c r="A3312" s="16" t="n">
        <v>45932</v>
      </c>
      <c r="B3312" s="17" t="inlineStr">
        <is>
          <t>MH2510-08</t>
        </is>
      </c>
      <c r="C3312" s="16" t="n">
        <v>45932</v>
      </c>
      <c r="D3312" s="17" t="inlineStr">
        <is>
          <t>00002135</t>
        </is>
      </c>
      <c r="E3312" s="16" t="n">
        <v>45932</v>
      </c>
      <c r="F3312" s="16" t="inlineStr">
        <is>
          <t>XK2510-11</t>
        </is>
      </c>
      <c r="G3312" s="16" t="n">
        <v>45932</v>
      </c>
      <c r="H3312" s="17" t="inlineStr">
        <is>
          <t>CÔNG TY TNHH DỊCH VỤ - THƯƠNG MẠI THÉP THIÊN LONG</t>
        </is>
      </c>
      <c r="I3312" s="17" t="inlineStr">
        <is>
          <t>Thép hình U120</t>
        </is>
      </c>
      <c r="J3312" s="17" t="inlineStr">
        <is>
          <t>kg</t>
        </is>
      </c>
      <c r="K3312" s="19" t="n">
        <v>14181.81</v>
      </c>
      <c r="L3312" s="20" t="n"/>
      <c r="M3312" s="20" t="n"/>
      <c r="N3312" s="43" t="n">
        <v>334.8</v>
      </c>
      <c r="O3312" s="20" t="n">
        <v>4748070</v>
      </c>
      <c r="P3312" s="43" t="n">
        <v>334.8</v>
      </c>
      <c r="Q3312" s="20" t="n">
        <v>4748070</v>
      </c>
      <c r="R3312" s="42">
        <f>+L3312+N3312-P3312</f>
        <v/>
      </c>
      <c r="S3312" s="42">
        <f>+M3312+O3312-Q3312</f>
        <v/>
      </c>
    </row>
    <row r="3313" ht="30" customHeight="1">
      <c r="A3313" s="16" t="n">
        <v>45932</v>
      </c>
      <c r="B3313" s="17" t="inlineStr">
        <is>
          <t>MH2510-08</t>
        </is>
      </c>
      <c r="C3313" s="16" t="n">
        <v>45932</v>
      </c>
      <c r="D3313" s="17" t="inlineStr">
        <is>
          <t>00002135</t>
        </is>
      </c>
      <c r="E3313" s="16" t="n">
        <v>45932</v>
      </c>
      <c r="F3313" s="16" t="inlineStr">
        <is>
          <t>XK2510-11</t>
        </is>
      </c>
      <c r="G3313" s="16" t="n">
        <v>45932</v>
      </c>
      <c r="H3313" s="17" t="inlineStr">
        <is>
          <t>CÔNG TY TNHH DỊCH VỤ - THƯƠNG MẠI THÉP THIÊN LONG</t>
        </is>
      </c>
      <c r="I3313" s="17" t="inlineStr">
        <is>
          <t>Thép góc V50</t>
        </is>
      </c>
      <c r="J3313" s="17" t="inlineStr">
        <is>
          <t>kg</t>
        </is>
      </c>
      <c r="K3313" s="19" t="n">
        <v>14454.54</v>
      </c>
      <c r="L3313" s="20" t="n"/>
      <c r="M3313" s="20" t="n"/>
      <c r="N3313" s="43" t="n">
        <v>1211.76</v>
      </c>
      <c r="O3313" s="20" t="n">
        <v>17515433</v>
      </c>
      <c r="P3313" s="43" t="n">
        <v>1211.76</v>
      </c>
      <c r="Q3313" s="20" t="n">
        <v>17515433</v>
      </c>
      <c r="R3313" s="42">
        <f>+L3313+N3313-P3313</f>
        <v/>
      </c>
      <c r="S3313" s="42">
        <f>+M3313+O3313-Q3313</f>
        <v/>
      </c>
    </row>
    <row r="3314" ht="30" customHeight="1">
      <c r="A3314" s="16" t="n">
        <v>45932</v>
      </c>
      <c r="B3314" s="17" t="inlineStr">
        <is>
          <t>MH2510-08</t>
        </is>
      </c>
      <c r="C3314" s="16" t="n">
        <v>45932</v>
      </c>
      <c r="D3314" s="17" t="inlineStr">
        <is>
          <t>00002135</t>
        </is>
      </c>
      <c r="E3314" s="16" t="n">
        <v>45932</v>
      </c>
      <c r="F3314" s="16" t="inlineStr">
        <is>
          <t>XK2510-11</t>
        </is>
      </c>
      <c r="G3314" s="16" t="n">
        <v>45932</v>
      </c>
      <c r="H3314" s="17" t="inlineStr">
        <is>
          <t>CÔNG TY TNHH DỊCH VỤ - THƯƠNG MẠI THÉP THIÊN LONG</t>
        </is>
      </c>
      <c r="I3314" s="17" t="inlineStr">
        <is>
          <t>Thép hộp 50x100x2.5x6m</t>
        </is>
      </c>
      <c r="J3314" s="17" t="inlineStr">
        <is>
          <t>kg</t>
        </is>
      </c>
      <c r="K3314" s="19" t="n">
        <v>16272.72</v>
      </c>
      <c r="L3314" s="20" t="n"/>
      <c r="M3314" s="20" t="n"/>
      <c r="N3314" s="43" t="n">
        <v>1084.48</v>
      </c>
      <c r="O3314" s="20" t="n">
        <v>17647439</v>
      </c>
      <c r="P3314" s="43" t="n">
        <v>1084.48</v>
      </c>
      <c r="Q3314" s="20" t="n">
        <v>17647439</v>
      </c>
      <c r="R3314" s="42">
        <f>+L3314+N3314-P3314</f>
        <v/>
      </c>
      <c r="S3314" s="42">
        <f>+M3314+O3314-Q3314</f>
        <v/>
      </c>
    </row>
    <row r="3315" ht="30" customHeight="1">
      <c r="A3315" s="16" t="n">
        <v>45932</v>
      </c>
      <c r="B3315" s="17" t="inlineStr">
        <is>
          <t>MH2510-09</t>
        </is>
      </c>
      <c r="C3315" s="16" t="n">
        <v>45932</v>
      </c>
      <c r="D3315" s="17" t="inlineStr">
        <is>
          <t>00002136</t>
        </is>
      </c>
      <c r="E3315" s="16" t="n">
        <v>45932</v>
      </c>
      <c r="F3315" s="16" t="inlineStr">
        <is>
          <t>XK2510-12</t>
        </is>
      </c>
      <c r="G3315" s="16" t="n">
        <v>45932</v>
      </c>
      <c r="H3315" s="17" t="inlineStr">
        <is>
          <t>CÔNG TY TNHH DỊCH VỤ - THƯƠNG MẠI THÉP THIÊN LONG</t>
        </is>
      </c>
      <c r="I3315" s="17" t="inlineStr">
        <is>
          <t>Thép hộp 100x100x2.5x6m</t>
        </is>
      </c>
      <c r="J3315" s="17" t="inlineStr">
        <is>
          <t>kg</t>
        </is>
      </c>
      <c r="K3315" s="19" t="n">
        <v>16272.72</v>
      </c>
      <c r="L3315" s="20" t="n"/>
      <c r="M3315" s="20" t="n"/>
      <c r="N3315" s="43" t="n">
        <v>1507.77</v>
      </c>
      <c r="O3315" s="20" t="n">
        <v>24535519</v>
      </c>
      <c r="P3315" s="43" t="n">
        <v>1507.77</v>
      </c>
      <c r="Q3315" s="20" t="n">
        <v>24535519</v>
      </c>
      <c r="R3315" s="42">
        <f>+L3315+N3315-P3315</f>
        <v/>
      </c>
      <c r="S3315" s="42">
        <f>+M3315+O3315-Q3315</f>
        <v/>
      </c>
    </row>
    <row r="3316" ht="30" customHeight="1">
      <c r="A3316" s="16" t="n">
        <v>45932</v>
      </c>
      <c r="B3316" s="17" t="inlineStr">
        <is>
          <t>MH2510-09</t>
        </is>
      </c>
      <c r="C3316" s="16" t="n">
        <v>45932</v>
      </c>
      <c r="D3316" s="17" t="inlineStr">
        <is>
          <t>00002136</t>
        </is>
      </c>
      <c r="E3316" s="16" t="n">
        <v>45932</v>
      </c>
      <c r="F3316" s="16" t="inlineStr">
        <is>
          <t>XK2510-12</t>
        </is>
      </c>
      <c r="G3316" s="16" t="n">
        <v>45932</v>
      </c>
      <c r="H3316" s="17" t="inlineStr">
        <is>
          <t>CÔNG TY TNHH DỊCH VỤ - THƯƠNG MẠI THÉP THIÊN LONG</t>
        </is>
      </c>
      <c r="I3316" s="17" t="inlineStr">
        <is>
          <t>Thép hộp 150x150x2.5x6m</t>
        </is>
      </c>
      <c r="J3316" s="17" t="inlineStr">
        <is>
          <t>kg</t>
        </is>
      </c>
      <c r="K3316" s="19" t="n">
        <v>16363.63</v>
      </c>
      <c r="L3316" s="20" t="n"/>
      <c r="M3316" s="20" t="n"/>
      <c r="N3316" s="43" t="n">
        <v>2909.34</v>
      </c>
      <c r="O3316" s="20" t="n">
        <v>47607363</v>
      </c>
      <c r="P3316" s="43" t="n">
        <v>2909.34</v>
      </c>
      <c r="Q3316" s="20" t="n">
        <v>47607363</v>
      </c>
      <c r="R3316" s="42">
        <f>+L3316+N3316-P3316</f>
        <v/>
      </c>
      <c r="S3316" s="42">
        <f>+M3316+O3316-Q3316</f>
        <v/>
      </c>
    </row>
    <row r="3317" ht="30" customHeight="1">
      <c r="A3317" s="16" t="n">
        <v>45932</v>
      </c>
      <c r="B3317" s="17" t="inlineStr">
        <is>
          <t>MH2510-09</t>
        </is>
      </c>
      <c r="C3317" s="16" t="n">
        <v>45932</v>
      </c>
      <c r="D3317" s="17" t="inlineStr">
        <is>
          <t>00002136</t>
        </is>
      </c>
      <c r="E3317" s="16" t="n">
        <v>45932</v>
      </c>
      <c r="F3317" s="16" t="inlineStr">
        <is>
          <t>XK2510-12</t>
        </is>
      </c>
      <c r="G3317" s="16" t="n">
        <v>45932</v>
      </c>
      <c r="H3317" s="17" t="inlineStr">
        <is>
          <t>CÔNG TY TNHH DỊCH VỤ - THƯƠNG MẠI THÉP THIÊN LONG</t>
        </is>
      </c>
      <c r="I3317" s="17" t="inlineStr">
        <is>
          <t>Thép hộp 150x150x3x6m</t>
        </is>
      </c>
      <c r="J3317" s="17" t="inlineStr">
        <is>
          <t>kg</t>
        </is>
      </c>
      <c r="K3317" s="19" t="n">
        <v>16272.72</v>
      </c>
      <c r="L3317" s="20" t="n"/>
      <c r="M3317" s="20" t="n"/>
      <c r="N3317" s="43" t="n">
        <v>82.75</v>
      </c>
      <c r="O3317" s="20" t="n">
        <v>1346568</v>
      </c>
      <c r="P3317" s="43" t="n">
        <v>82.75</v>
      </c>
      <c r="Q3317" s="20" t="n">
        <v>1346568</v>
      </c>
      <c r="R3317" s="42">
        <f>+L3317+N3317-P3317</f>
        <v/>
      </c>
      <c r="S3317" s="42">
        <f>+M3317+O3317-Q3317</f>
        <v/>
      </c>
    </row>
    <row r="3318" ht="30" customHeight="1">
      <c r="A3318" s="16" t="n">
        <v>45932</v>
      </c>
      <c r="B3318" s="17" t="inlineStr">
        <is>
          <t>MH2510-09</t>
        </is>
      </c>
      <c r="C3318" s="16" t="n">
        <v>45932</v>
      </c>
      <c r="D3318" s="17" t="inlineStr">
        <is>
          <t>00002136</t>
        </is>
      </c>
      <c r="E3318" s="16" t="n">
        <v>45932</v>
      </c>
      <c r="F3318" s="16" t="inlineStr">
        <is>
          <t>XK2510-12</t>
        </is>
      </c>
      <c r="G3318" s="16" t="n">
        <v>45932</v>
      </c>
      <c r="H3318" s="17" t="inlineStr">
        <is>
          <t>CÔNG TY TNHH DỊCH VỤ - THƯƠNG MẠI THÉP THIÊN LONG</t>
        </is>
      </c>
      <c r="I3318" s="17" t="inlineStr">
        <is>
          <t>Thép hộp 200x200x6x6m</t>
        </is>
      </c>
      <c r="J3318" s="17" t="inlineStr">
        <is>
          <t>kg</t>
        </is>
      </c>
      <c r="K3318" s="19" t="n">
        <v>16636.36</v>
      </c>
      <c r="L3318" s="20" t="n"/>
      <c r="M3318" s="20" t="n"/>
      <c r="N3318" s="43" t="n">
        <v>1096.5</v>
      </c>
      <c r="O3318" s="20" t="n">
        <v>18241769</v>
      </c>
      <c r="P3318" s="43" t="n">
        <v>1096.5</v>
      </c>
      <c r="Q3318" s="20" t="n">
        <v>18241769</v>
      </c>
      <c r="R3318" s="42">
        <f>+L3318+N3318-P3318</f>
        <v/>
      </c>
      <c r="S3318" s="42">
        <f>+M3318+O3318-Q3318</f>
        <v/>
      </c>
    </row>
    <row r="3319" ht="15" customHeight="1">
      <c r="A3319" s="16" t="n">
        <v>45933</v>
      </c>
      <c r="B3319" s="17" t="inlineStr">
        <is>
          <t>MH2510-11</t>
        </is>
      </c>
      <c r="C3319" s="16" t="n">
        <v>45933</v>
      </c>
      <c r="D3319" s="17" t="inlineStr">
        <is>
          <t>00009328</t>
        </is>
      </c>
      <c r="E3319" s="16" t="n">
        <v>45933</v>
      </c>
      <c r="F3319" s="16" t="inlineStr">
        <is>
          <t>XK2510-13</t>
        </is>
      </c>
      <c r="G3319" s="16" t="n">
        <v>45933</v>
      </c>
      <c r="H3319" s="17" t="inlineStr">
        <is>
          <t>CÔNG TY TNHH SƠN JOTUN VIỆT NAM</t>
        </is>
      </c>
      <c r="I3319" s="17" t="inlineStr">
        <is>
          <t>SƠN JOTAMASTIC 70 GREY 18L</t>
        </is>
      </c>
      <c r="J3319" s="17" t="inlineStr">
        <is>
          <t>Lít</t>
        </is>
      </c>
      <c r="K3319" s="19" t="n">
        <v>90000</v>
      </c>
      <c r="L3319" s="20" t="n"/>
      <c r="M3319" s="20" t="n"/>
      <c r="N3319" s="43" t="n">
        <v>486</v>
      </c>
      <c r="O3319" s="20" t="n">
        <v>43740000</v>
      </c>
      <c r="P3319" s="43" t="n">
        <v>486</v>
      </c>
      <c r="Q3319" s="20" t="n">
        <v>43740000</v>
      </c>
      <c r="R3319" s="42">
        <f>+L3319+N3319-P3319</f>
        <v/>
      </c>
      <c r="S3319" s="42">
        <f>+M3319+O3319-Q3319</f>
        <v/>
      </c>
    </row>
    <row r="3320" ht="15" customHeight="1">
      <c r="A3320" s="16" t="n">
        <v>45936</v>
      </c>
      <c r="B3320" s="17" t="inlineStr">
        <is>
          <t>MH2510-14</t>
        </is>
      </c>
      <c r="C3320" s="16" t="n">
        <v>45936</v>
      </c>
      <c r="D3320" s="17" t="inlineStr">
        <is>
          <t>00000279</t>
        </is>
      </c>
      <c r="E3320" s="16" t="n">
        <v>45936</v>
      </c>
      <c r="F3320" s="16" t="inlineStr">
        <is>
          <t>XK2510-15</t>
        </is>
      </c>
      <c r="G3320" s="16" t="n">
        <v>45936</v>
      </c>
      <c r="H3320" s="17" t="inlineStr">
        <is>
          <t>CÔNG TY TNHH CƠ KHÍ ĐỨC HIỆP</t>
        </is>
      </c>
      <c r="I3320" s="17" t="inlineStr">
        <is>
          <t>Bulong neo M24x530, MĐP, 8.8 (T+4E+P)</t>
        </is>
      </c>
      <c r="J3320" s="17" t="inlineStr">
        <is>
          <t>Cái</t>
        </is>
      </c>
      <c r="K3320" s="19" t="n">
        <v>79000</v>
      </c>
      <c r="L3320" s="20" t="n"/>
      <c r="M3320" s="20" t="n"/>
      <c r="N3320" s="43" t="n">
        <v>3000</v>
      </c>
      <c r="O3320" s="20" t="n">
        <v>237000000</v>
      </c>
      <c r="P3320" s="43" t="n">
        <v>3000</v>
      </c>
      <c r="Q3320" s="20" t="n">
        <v>237000000</v>
      </c>
      <c r="R3320" s="42">
        <f>+L3320+N3320-P3320</f>
        <v/>
      </c>
      <c r="S3320" s="42">
        <f>+M3320+O3320-Q3320</f>
        <v/>
      </c>
    </row>
    <row r="3321" ht="15" customHeight="1">
      <c r="A3321" s="16" t="n">
        <v>45936</v>
      </c>
      <c r="B3321" s="17" t="inlineStr">
        <is>
          <t>MH2510-14</t>
        </is>
      </c>
      <c r="C3321" s="16" t="n">
        <v>45936</v>
      </c>
      <c r="D3321" s="17" t="inlineStr">
        <is>
          <t>00000279</t>
        </is>
      </c>
      <c r="E3321" s="16" t="n">
        <v>45936</v>
      </c>
      <c r="F3321" s="16" t="inlineStr">
        <is>
          <t>XK2510-15</t>
        </is>
      </c>
      <c r="G3321" s="16" t="n">
        <v>45936</v>
      </c>
      <c r="H3321" s="17" t="inlineStr">
        <is>
          <t>CÔNG TY TNHH CƠ KHÍ ĐỨC HIỆP</t>
        </is>
      </c>
      <c r="I3321" s="17" t="inlineStr">
        <is>
          <t>Bulong neo M30x645, MĐP, 8.8 (T+4E+P)</t>
        </is>
      </c>
      <c r="J3321" s="17" t="inlineStr">
        <is>
          <t>Cái</t>
        </is>
      </c>
      <c r="K3321" s="19" t="n">
        <v>154780</v>
      </c>
      <c r="L3321" s="20" t="n"/>
      <c r="M3321" s="20" t="n"/>
      <c r="N3321" s="43" t="n">
        <v>3000</v>
      </c>
      <c r="O3321" s="20" t="n">
        <v>464340000</v>
      </c>
      <c r="P3321" s="43" t="n">
        <v>3000</v>
      </c>
      <c r="Q3321" s="20" t="n">
        <v>464340000</v>
      </c>
      <c r="R3321" s="42">
        <f>+L3321+N3321-P3321</f>
        <v/>
      </c>
      <c r="S3321" s="42">
        <f>+M3321+O3321-Q3321</f>
        <v/>
      </c>
    </row>
    <row r="3322" ht="45" customHeight="1">
      <c r="A3322" s="16" t="n">
        <v>45936</v>
      </c>
      <c r="B3322" s="17" t="inlineStr">
        <is>
          <t>MH2510-15</t>
        </is>
      </c>
      <c r="C3322" s="16" t="n">
        <v>45936</v>
      </c>
      <c r="D3322" s="17" t="inlineStr">
        <is>
          <t>0000006</t>
        </is>
      </c>
      <c r="E3322" s="16" t="n">
        <v>45936</v>
      </c>
      <c r="F3322" s="16" t="inlineStr">
        <is>
          <t>XK2510-63</t>
        </is>
      </c>
      <c r="G3322" s="16" t="n">
        <v>45936</v>
      </c>
      <c r="H3322" s="17" t="inlineStr">
        <is>
          <t>CÔNG TY TNHH LOTALUX</t>
        </is>
      </c>
      <c r="I3322" s="17" t="inlineStr">
        <is>
          <t>Giá trị đợt 1 theo hợp đồng số: 090925/HDKT/LTL-RMS giữa Công Ty TNHH Lotalux với Công Ty Cổ Phần Kết Cấu Thép STEELTECH ký ngày 09/09/2025</t>
        </is>
      </c>
      <c r="J3322" s="17" t="inlineStr">
        <is>
          <t>Bộ</t>
        </is>
      </c>
      <c r="K3322" s="19" t="n">
        <v>302190250</v>
      </c>
      <c r="L3322" s="20" t="n"/>
      <c r="M3322" s="20" t="n"/>
      <c r="N3322" s="43" t="n">
        <v>1</v>
      </c>
      <c r="O3322" s="20" t="n">
        <v>302190250</v>
      </c>
      <c r="P3322" s="43" t="n">
        <v>1</v>
      </c>
      <c r="Q3322" s="20" t="n">
        <v>302190250</v>
      </c>
      <c r="R3322" s="42">
        <f>+L3322+N3322-P3322</f>
        <v/>
      </c>
      <c r="S3322" s="42">
        <f>+M3322+O3322-Q3322</f>
        <v/>
      </c>
    </row>
    <row r="3323" ht="15" customHeight="1">
      <c r="A3323" s="16" t="n">
        <v>45938</v>
      </c>
      <c r="B3323" s="17" t="inlineStr">
        <is>
          <t>MH2510-17</t>
        </is>
      </c>
      <c r="C3323" s="16" t="n">
        <v>45938</v>
      </c>
      <c r="D3323" s="17" t="inlineStr">
        <is>
          <t>00009483</t>
        </is>
      </c>
      <c r="E3323" s="16" t="n">
        <v>45938</v>
      </c>
      <c r="F3323" s="16" t="inlineStr">
        <is>
          <t>XK2510-16</t>
        </is>
      </c>
      <c r="G3323" s="16" t="n">
        <v>45938</v>
      </c>
      <c r="H3323" s="17" t="inlineStr">
        <is>
          <t>CÔNG TY TNHH SƠN JOTUN VIỆT NAM</t>
        </is>
      </c>
      <c r="I3323" s="17" t="inlineStr">
        <is>
          <t>SƠN JOTAMASTIC 70 GREY 18L</t>
        </is>
      </c>
      <c r="J3323" s="17" t="inlineStr">
        <is>
          <t>Lít</t>
        </is>
      </c>
      <c r="K3323" s="19" t="n">
        <v>90000</v>
      </c>
      <c r="L3323" s="20" t="n"/>
      <c r="M3323" s="20" t="n"/>
      <c r="N3323" s="43" t="n">
        <v>846</v>
      </c>
      <c r="O3323" s="20" t="n">
        <v>76140000</v>
      </c>
      <c r="P3323" s="43" t="n">
        <v>846</v>
      </c>
      <c r="Q3323" s="20" t="n">
        <v>76140000</v>
      </c>
      <c r="R3323" s="42">
        <f>+L3323+N3323-P3323</f>
        <v/>
      </c>
      <c r="S3323" s="42">
        <f>+M3323+O3323-Q3323</f>
        <v/>
      </c>
    </row>
    <row r="3324" ht="15" customHeight="1">
      <c r="A3324" s="16" t="n">
        <v>45938</v>
      </c>
      <c r="B3324" s="17" t="inlineStr">
        <is>
          <t>MH2510-17</t>
        </is>
      </c>
      <c r="C3324" s="16" t="n">
        <v>45938</v>
      </c>
      <c r="D3324" s="17" t="inlineStr">
        <is>
          <t>00009483</t>
        </is>
      </c>
      <c r="E3324" s="16" t="n">
        <v>45938</v>
      </c>
      <c r="F3324" s="16" t="inlineStr">
        <is>
          <t>XK2510-16</t>
        </is>
      </c>
      <c r="G3324" s="16" t="n">
        <v>45938</v>
      </c>
      <c r="H3324" s="17" t="inlineStr">
        <is>
          <t>CÔNG TY TNHH SƠN JOTUN VIỆT NAM</t>
        </is>
      </c>
      <c r="I3324" s="17" t="inlineStr">
        <is>
          <t>DUNG MÔI JOTUN THINNER NO. 17 20L</t>
        </is>
      </c>
      <c r="J3324" s="17" t="inlineStr">
        <is>
          <t>Lít</t>
        </is>
      </c>
      <c r="K3324" s="19" t="n">
        <v>60000</v>
      </c>
      <c r="L3324" s="20" t="n"/>
      <c r="M3324" s="20" t="n"/>
      <c r="N3324" s="43" t="n">
        <v>100</v>
      </c>
      <c r="O3324" s="20" t="n">
        <v>6000000</v>
      </c>
      <c r="P3324" s="43" t="n">
        <v>100</v>
      </c>
      <c r="Q3324" s="20" t="n">
        <v>6000000</v>
      </c>
      <c r="R3324" s="42">
        <f>+L3324+N3324-P3324</f>
        <v/>
      </c>
      <c r="S3324" s="42">
        <f>+M3324+O3324-Q3324</f>
        <v/>
      </c>
    </row>
    <row r="3325" ht="15" customHeight="1">
      <c r="A3325" s="16" t="n">
        <v>45938</v>
      </c>
      <c r="B3325" s="17" t="inlineStr">
        <is>
          <t>MH2510-17</t>
        </is>
      </c>
      <c r="C3325" s="16" t="n">
        <v>45938</v>
      </c>
      <c r="D3325" s="17" t="inlineStr">
        <is>
          <t>00009483</t>
        </is>
      </c>
      <c r="E3325" s="16" t="n">
        <v>45938</v>
      </c>
      <c r="F3325" s="16" t="inlineStr">
        <is>
          <t>XK2510-16</t>
        </is>
      </c>
      <c r="G3325" s="16" t="n">
        <v>45938</v>
      </c>
      <c r="H3325" s="17" t="inlineStr">
        <is>
          <t>CÔNG TY TNHH SƠN JOTUN VIỆT NAM</t>
        </is>
      </c>
      <c r="I3325" s="17" t="inlineStr">
        <is>
          <t>DUNG MÔI JOTUN THINNER NO. 17 5L</t>
        </is>
      </c>
      <c r="J3325" s="17" t="inlineStr">
        <is>
          <t>Lít</t>
        </is>
      </c>
      <c r="K3325" s="19" t="n">
        <v>60000</v>
      </c>
      <c r="L3325" s="20" t="n"/>
      <c r="M3325" s="20" t="n"/>
      <c r="N3325" s="43" t="n">
        <v>25</v>
      </c>
      <c r="O3325" s="20" t="n">
        <v>1500000</v>
      </c>
      <c r="P3325" s="43" t="n">
        <v>25</v>
      </c>
      <c r="Q3325" s="20" t="n">
        <v>1500000</v>
      </c>
      <c r="R3325" s="42">
        <f>+L3325+N3325-P3325</f>
        <v/>
      </c>
      <c r="S3325" s="42">
        <f>+M3325+O3325-Q3325</f>
        <v/>
      </c>
    </row>
    <row r="3326" ht="15" customHeight="1">
      <c r="A3326" s="16" t="n">
        <v>45938</v>
      </c>
      <c r="B3326" s="17" t="inlineStr">
        <is>
          <t>MH2510-18</t>
        </is>
      </c>
      <c r="C3326" s="16" t="n">
        <v>45938</v>
      </c>
      <c r="D3326" s="17" t="inlineStr">
        <is>
          <t>00009482</t>
        </is>
      </c>
      <c r="E3326" s="16" t="n">
        <v>45938</v>
      </c>
      <c r="F3326" s="16" t="inlineStr">
        <is>
          <t>XK2510-17</t>
        </is>
      </c>
      <c r="G3326" s="16" t="n">
        <v>45938</v>
      </c>
      <c r="H3326" s="17" t="inlineStr">
        <is>
          <t>CÔNG TY TNHH SƠN JOTUN VIỆT NAM</t>
        </is>
      </c>
      <c r="I3326" s="17" t="inlineStr">
        <is>
          <t>SƠN FUTURA CLASSIC RAL 6018 19.97L</t>
        </is>
      </c>
      <c r="J3326" s="17" t="inlineStr">
        <is>
          <t>Lít</t>
        </is>
      </c>
      <c r="K3326" s="19" t="n">
        <v>185000</v>
      </c>
      <c r="L3326" s="20" t="n"/>
      <c r="M3326" s="20" t="n"/>
      <c r="N3326" s="43" t="n">
        <v>19.97</v>
      </c>
      <c r="O3326" s="20" t="n">
        <v>3694450</v>
      </c>
      <c r="P3326" s="43" t="n">
        <v>19.97</v>
      </c>
      <c r="Q3326" s="20" t="n">
        <v>3694450</v>
      </c>
      <c r="R3326" s="42">
        <f>+L3326+N3326-P3326</f>
        <v/>
      </c>
      <c r="S3326" s="42">
        <f>+M3326+O3326-Q3326</f>
        <v/>
      </c>
    </row>
    <row r="3327" ht="15" customHeight="1">
      <c r="A3327" s="16" t="n">
        <v>45938</v>
      </c>
      <c r="B3327" s="17" t="inlineStr">
        <is>
          <t>MH2510-18</t>
        </is>
      </c>
      <c r="C3327" s="16" t="n">
        <v>45938</v>
      </c>
      <c r="D3327" s="17" t="inlineStr">
        <is>
          <t>00009482</t>
        </is>
      </c>
      <c r="E3327" s="16" t="n">
        <v>45938</v>
      </c>
      <c r="F3327" s="16" t="inlineStr">
        <is>
          <t>XK2510-17</t>
        </is>
      </c>
      <c r="G3327" s="16" t="n">
        <v>45938</v>
      </c>
      <c r="H3327" s="17" t="inlineStr">
        <is>
          <t>CÔNG TY TNHH SƠN JOTUN VIỆT NAM</t>
        </is>
      </c>
      <c r="I3327" s="17" t="inlineStr">
        <is>
          <t>SƠN FUTURA CLASSIC RAL 9016 18.21L</t>
        </is>
      </c>
      <c r="J3327" s="17" t="inlineStr">
        <is>
          <t>Lít</t>
        </is>
      </c>
      <c r="K3327" s="19" t="n">
        <v>155000</v>
      </c>
      <c r="L3327" s="20" t="n"/>
      <c r="M3327" s="20" t="n"/>
      <c r="N3327" s="43" t="n">
        <v>36.42</v>
      </c>
      <c r="O3327" s="20" t="n">
        <v>5645100</v>
      </c>
      <c r="P3327" s="43" t="n">
        <v>36.42</v>
      </c>
      <c r="Q3327" s="20" t="n">
        <v>5645100</v>
      </c>
      <c r="R3327" s="42">
        <f>+L3327+N3327-P3327</f>
        <v/>
      </c>
      <c r="S3327" s="42">
        <f>+M3327+O3327-Q3327</f>
        <v/>
      </c>
    </row>
    <row r="3328" ht="30" customHeight="1">
      <c r="A3328" s="16" t="n">
        <v>45939</v>
      </c>
      <c r="B3328" s="17" t="inlineStr">
        <is>
          <t>MH2510-19</t>
        </is>
      </c>
      <c r="C3328" s="16" t="n">
        <v>45939</v>
      </c>
      <c r="D3328" s="17" t="inlineStr">
        <is>
          <t>00003977</t>
        </is>
      </c>
      <c r="E3328" s="16" t="n">
        <v>45939</v>
      </c>
      <c r="F3328" s="16" t="inlineStr">
        <is>
          <t>XK2510-18</t>
        </is>
      </c>
      <c r="G3328" s="16" t="n">
        <v>45939</v>
      </c>
      <c r="H3328" s="17" t="inlineStr">
        <is>
          <t>CÔNG TY CỔ PHẦN CÔNG NGHIỆP VÀ THƯƠNG MẠI CƯỜNG THỊNH</t>
        </is>
      </c>
      <c r="I3328" s="17" t="inlineStr">
        <is>
          <t>Ty giằng 2 đầu ren 4.6 ZP M20</t>
        </is>
      </c>
      <c r="J3328" s="17" t="inlineStr">
        <is>
          <t>Mét</t>
        </is>
      </c>
      <c r="K3328" s="19" t="n">
        <v>69000</v>
      </c>
      <c r="L3328" s="20" t="n"/>
      <c r="M3328" s="20" t="n"/>
      <c r="N3328" s="43" t="n">
        <v>830.54</v>
      </c>
      <c r="O3328" s="20" t="n">
        <v>57307260</v>
      </c>
      <c r="P3328" s="43" t="n">
        <v>830.54</v>
      </c>
      <c r="Q3328" s="20" t="n">
        <v>57307260</v>
      </c>
      <c r="R3328" s="42">
        <f>+L3328+N3328-P3328</f>
        <v/>
      </c>
      <c r="S3328" s="42">
        <f>+M3328+O3328-Q3328</f>
        <v/>
      </c>
    </row>
    <row r="3329" ht="30" customHeight="1">
      <c r="A3329" s="16" t="n">
        <v>45939</v>
      </c>
      <c r="B3329" s="17" t="inlineStr">
        <is>
          <t>MH2510-19</t>
        </is>
      </c>
      <c r="C3329" s="16" t="n">
        <v>45939</v>
      </c>
      <c r="D3329" s="17" t="inlineStr">
        <is>
          <t>00003977</t>
        </is>
      </c>
      <c r="E3329" s="16" t="n">
        <v>45939</v>
      </c>
      <c r="F3329" s="16" t="inlineStr">
        <is>
          <t>XK2510-18</t>
        </is>
      </c>
      <c r="G3329" s="16" t="n">
        <v>45939</v>
      </c>
      <c r="H3329" s="17" t="inlineStr">
        <is>
          <t>CÔNG TY CỔ PHẦN CÔNG NGHIỆP VÀ THƯƠNG MẠI CƯỜNG THỊNH</t>
        </is>
      </c>
      <c r="I3329" s="17" t="inlineStr">
        <is>
          <t>Đai ốc Din 934 5 ZP M20</t>
        </is>
      </c>
      <c r="J3329" s="17" t="inlineStr">
        <is>
          <t>Cái</t>
        </is>
      </c>
      <c r="K3329" s="19" t="n">
        <v>1850</v>
      </c>
      <c r="L3329" s="20" t="n"/>
      <c r="M3329" s="20" t="n"/>
      <c r="N3329" s="43" t="n">
        <v>184</v>
      </c>
      <c r="O3329" s="20" t="n">
        <v>340400</v>
      </c>
      <c r="P3329" s="43" t="n">
        <v>184</v>
      </c>
      <c r="Q3329" s="20" t="n">
        <v>340400</v>
      </c>
      <c r="R3329" s="42">
        <f>+L3329+N3329-P3329</f>
        <v/>
      </c>
      <c r="S3329" s="42">
        <f>+M3329+O3329-Q3329</f>
        <v/>
      </c>
    </row>
    <row r="3330" ht="30" customHeight="1">
      <c r="A3330" s="16" t="n">
        <v>45939</v>
      </c>
      <c r="B3330" s="17" t="inlineStr">
        <is>
          <t>MH2510-19</t>
        </is>
      </c>
      <c r="C3330" s="16" t="n">
        <v>45939</v>
      </c>
      <c r="D3330" s="17" t="inlineStr">
        <is>
          <t>00003977</t>
        </is>
      </c>
      <c r="E3330" s="16" t="n">
        <v>45939</v>
      </c>
      <c r="F3330" s="16" t="inlineStr">
        <is>
          <t>XK2510-18</t>
        </is>
      </c>
      <c r="G3330" s="16" t="n">
        <v>45939</v>
      </c>
      <c r="H3330" s="17" t="inlineStr">
        <is>
          <t>CÔNG TY CỔ PHẦN CÔNG NGHIỆP VÀ THƯƠNG MẠI CƯỜNG THỊNH</t>
        </is>
      </c>
      <c r="I3330" s="17" t="inlineStr">
        <is>
          <t>Long đền thường ZP M20B42D2</t>
        </is>
      </c>
      <c r="J3330" s="17" t="inlineStr">
        <is>
          <t>Cái</t>
        </is>
      </c>
      <c r="K3330" s="19" t="n">
        <v>700</v>
      </c>
      <c r="L3330" s="20" t="n"/>
      <c r="M3330" s="20" t="n"/>
      <c r="N3330" s="43" t="n">
        <v>184</v>
      </c>
      <c r="O3330" s="20" t="n">
        <v>128800</v>
      </c>
      <c r="P3330" s="43" t="n">
        <v>184</v>
      </c>
      <c r="Q3330" s="20" t="n">
        <v>128800</v>
      </c>
      <c r="R3330" s="42">
        <f>+L3330+N3330-P3330</f>
        <v/>
      </c>
      <c r="S3330" s="42">
        <f>+M3330+O3330-Q3330</f>
        <v/>
      </c>
    </row>
    <row r="3331" ht="30" customHeight="1">
      <c r="A3331" s="16" t="n">
        <v>45939</v>
      </c>
      <c r="B3331" s="17" t="inlineStr">
        <is>
          <t>MH2510-19</t>
        </is>
      </c>
      <c r="C3331" s="16" t="n">
        <v>45939</v>
      </c>
      <c r="D3331" s="17" t="inlineStr">
        <is>
          <t>00003977</t>
        </is>
      </c>
      <c r="E3331" s="16" t="n">
        <v>45939</v>
      </c>
      <c r="F3331" s="16" t="inlineStr">
        <is>
          <t>XK2510-18</t>
        </is>
      </c>
      <c r="G3331" s="16" t="n">
        <v>45939</v>
      </c>
      <c r="H3331" s="17" t="inlineStr">
        <is>
          <t>CÔNG TY CỔ PHẦN CÔNG NGHIỆP VÀ THƯƠNG MẠI CƯỜNG THỊNH</t>
        </is>
      </c>
      <c r="I3331" s="17" t="inlineStr">
        <is>
          <t>Long đền móng ngựa ZP M20</t>
        </is>
      </c>
      <c r="J3331" s="17" t="inlineStr">
        <is>
          <t>Cái</t>
        </is>
      </c>
      <c r="K3331" s="19" t="n">
        <v>15590</v>
      </c>
      <c r="L3331" s="20" t="n"/>
      <c r="M3331" s="20" t="n"/>
      <c r="N3331" s="43" t="n">
        <v>184</v>
      </c>
      <c r="O3331" s="20" t="n">
        <v>2868560</v>
      </c>
      <c r="P3331" s="43" t="n">
        <v>184</v>
      </c>
      <c r="Q3331" s="20" t="n">
        <v>2868560</v>
      </c>
      <c r="R3331" s="42">
        <f>+L3331+N3331-P3331</f>
        <v/>
      </c>
      <c r="S3331" s="42">
        <f>+M3331+O3331-Q3331</f>
        <v/>
      </c>
    </row>
    <row r="3332" ht="30" customHeight="1">
      <c r="A3332" s="16" t="n">
        <v>45939</v>
      </c>
      <c r="B3332" s="17" t="inlineStr">
        <is>
          <t>MH2510-19</t>
        </is>
      </c>
      <c r="C3332" s="16" t="n">
        <v>45939</v>
      </c>
      <c r="D3332" s="17" t="inlineStr">
        <is>
          <t>00003977</t>
        </is>
      </c>
      <c r="E3332" s="16" t="n">
        <v>45939</v>
      </c>
      <c r="F3332" s="16" t="inlineStr">
        <is>
          <t>XK2510-18</t>
        </is>
      </c>
      <c r="G3332" s="16" t="n">
        <v>45939</v>
      </c>
      <c r="H3332" s="17" t="inlineStr">
        <is>
          <t>CÔNG TY CỔ PHẦN CÔNG NGHIỆP VÀ THƯƠNG MẠI CƯỜNG THỊNH</t>
        </is>
      </c>
      <c r="I3332" s="17" t="inlineStr">
        <is>
          <t>Nối Ty ZP M20x100(28mm)</t>
        </is>
      </c>
      <c r="J3332" s="17" t="inlineStr">
        <is>
          <t>Cái</t>
        </is>
      </c>
      <c r="K3332" s="19" t="n">
        <v>24470</v>
      </c>
      <c r="L3332" s="20" t="n"/>
      <c r="M3332" s="20" t="n"/>
      <c r="N3332" s="43" t="n">
        <v>90</v>
      </c>
      <c r="O3332" s="20" t="n">
        <v>2202300</v>
      </c>
      <c r="P3332" s="43" t="n">
        <v>90</v>
      </c>
      <c r="Q3332" s="20" t="n">
        <v>2202300</v>
      </c>
      <c r="R3332" s="42">
        <f>+L3332+N3332-P3332</f>
        <v/>
      </c>
      <c r="S3332" s="42">
        <f>+M3332+O3332-Q3332</f>
        <v/>
      </c>
    </row>
    <row r="3333" ht="30" customHeight="1">
      <c r="A3333" s="16" t="n">
        <v>45939</v>
      </c>
      <c r="B3333" s="17" t="inlineStr">
        <is>
          <t>MH2510-19</t>
        </is>
      </c>
      <c r="C3333" s="16" t="n">
        <v>45939</v>
      </c>
      <c r="D3333" s="17" t="inlineStr">
        <is>
          <t>00003977</t>
        </is>
      </c>
      <c r="E3333" s="16" t="n">
        <v>45939</v>
      </c>
      <c r="F3333" s="16" t="inlineStr">
        <is>
          <t>XK2510-18</t>
        </is>
      </c>
      <c r="G3333" s="16" t="n">
        <v>45939</v>
      </c>
      <c r="H3333" s="17" t="inlineStr">
        <is>
          <t>CÔNG TY CỔ PHẦN CÔNG NGHIỆP VÀ THƯƠNG MẠI CƯỜNG THỊNH</t>
        </is>
      </c>
      <c r="I3333" s="17" t="inlineStr">
        <is>
          <t>Ty giằng 2 đầu ren 4.6 Ф11.3-11.5mm ZP M12</t>
        </is>
      </c>
      <c r="J3333" s="17" t="inlineStr">
        <is>
          <t>Mét</t>
        </is>
      </c>
      <c r="K3333" s="19" t="n">
        <v>20500</v>
      </c>
      <c r="L3333" s="20" t="n"/>
      <c r="M3333" s="20" t="n"/>
      <c r="N3333" s="43" t="n">
        <v>2709.05</v>
      </c>
      <c r="O3333" s="20" t="n">
        <v>55535525</v>
      </c>
      <c r="P3333" s="43" t="n">
        <v>2709.05</v>
      </c>
      <c r="Q3333" s="20" t="n">
        <v>55535525</v>
      </c>
      <c r="R3333" s="42">
        <f>+L3333+N3333-P3333</f>
        <v/>
      </c>
      <c r="S3333" s="42">
        <f>+M3333+O3333-Q3333</f>
        <v/>
      </c>
    </row>
    <row r="3334" ht="30" customHeight="1">
      <c r="A3334" s="16" t="n">
        <v>45939</v>
      </c>
      <c r="B3334" s="17" t="inlineStr">
        <is>
          <t>MH2510-19</t>
        </is>
      </c>
      <c r="C3334" s="16" t="n">
        <v>45939</v>
      </c>
      <c r="D3334" s="17" t="inlineStr">
        <is>
          <t>00003977</t>
        </is>
      </c>
      <c r="E3334" s="16" t="n">
        <v>45939</v>
      </c>
      <c r="F3334" s="16" t="inlineStr">
        <is>
          <t>XK2510-18</t>
        </is>
      </c>
      <c r="G3334" s="16" t="n">
        <v>45939</v>
      </c>
      <c r="H3334" s="17" t="inlineStr">
        <is>
          <t>CÔNG TY CỔ PHẦN CÔNG NGHIỆP VÀ THƯƠNG MẠI CƯỜNG THỊNH</t>
        </is>
      </c>
      <c r="I3334" s="17" t="inlineStr">
        <is>
          <t>Đai ốc thường 4 ZP M12 (9mm)</t>
        </is>
      </c>
      <c r="J3334" s="17" t="inlineStr">
        <is>
          <t>Cái</t>
        </is>
      </c>
      <c r="K3334" s="19" t="n">
        <v>350</v>
      </c>
      <c r="L3334" s="20" t="n"/>
      <c r="M3334" s="20" t="n"/>
      <c r="N3334" s="43" t="n">
        <v>11456</v>
      </c>
      <c r="O3334" s="20" t="n">
        <v>4009600</v>
      </c>
      <c r="P3334" s="43" t="n">
        <v>11456</v>
      </c>
      <c r="Q3334" s="20" t="n">
        <v>4009600</v>
      </c>
      <c r="R3334" s="42">
        <f>+L3334+N3334-P3334</f>
        <v/>
      </c>
      <c r="S3334" s="42">
        <f>+M3334+O3334-Q3334</f>
        <v/>
      </c>
    </row>
    <row r="3335" ht="30" customHeight="1">
      <c r="A3335" s="16" t="n">
        <v>45939</v>
      </c>
      <c r="B3335" s="17" t="inlineStr">
        <is>
          <t>MH2510-19</t>
        </is>
      </c>
      <c r="C3335" s="16" t="n">
        <v>45939</v>
      </c>
      <c r="D3335" s="17" t="inlineStr">
        <is>
          <t>00003977</t>
        </is>
      </c>
      <c r="E3335" s="16" t="n">
        <v>45939</v>
      </c>
      <c r="F3335" s="16" t="inlineStr">
        <is>
          <t>XK2510-18</t>
        </is>
      </c>
      <c r="G3335" s="16" t="n">
        <v>45939</v>
      </c>
      <c r="H3335" s="17" t="inlineStr">
        <is>
          <t>CÔNG TY CỔ PHẦN CÔNG NGHIỆP VÀ THƯƠNG MẠI CƯỜNG THỊNH</t>
        </is>
      </c>
      <c r="I3335" s="17" t="inlineStr">
        <is>
          <t>Long đền thường ZP M12B26D1.5</t>
        </is>
      </c>
      <c r="J3335" s="17" t="inlineStr">
        <is>
          <t>Cái</t>
        </is>
      </c>
      <c r="K3335" s="19" t="n">
        <v>170</v>
      </c>
      <c r="L3335" s="20" t="n"/>
      <c r="M3335" s="20" t="n"/>
      <c r="N3335" s="43" t="n">
        <v>11456</v>
      </c>
      <c r="O3335" s="20" t="n">
        <v>1947520</v>
      </c>
      <c r="P3335" s="43" t="n">
        <v>11456</v>
      </c>
      <c r="Q3335" s="20" t="n">
        <v>1947520</v>
      </c>
      <c r="R3335" s="42">
        <f>+L3335+N3335-P3335</f>
        <v/>
      </c>
      <c r="S3335" s="42">
        <f>+M3335+O3335-Q3335</f>
        <v/>
      </c>
    </row>
    <row r="3336" ht="30" customHeight="1">
      <c r="A3336" s="16" t="n">
        <v>45939</v>
      </c>
      <c r="B3336" s="17" t="inlineStr">
        <is>
          <t>MH2510-19</t>
        </is>
      </c>
      <c r="C3336" s="16" t="n">
        <v>45939</v>
      </c>
      <c r="D3336" s="17" t="inlineStr">
        <is>
          <t>00003977</t>
        </is>
      </c>
      <c r="E3336" s="16" t="n">
        <v>45939</v>
      </c>
      <c r="F3336" s="16" t="inlineStr">
        <is>
          <t>XK2510-18</t>
        </is>
      </c>
      <c r="G3336" s="16" t="n">
        <v>45939</v>
      </c>
      <c r="H3336" s="17" t="inlineStr">
        <is>
          <t>CÔNG TY CỔ PHẦN CÔNG NGHIỆP VÀ THƯƠNG MẠI CƯỜNG THỊNH</t>
        </is>
      </c>
      <c r="I3336" s="17" t="inlineStr">
        <is>
          <t>Ty giằng 2 đầu ren 4.6 Ф11.3-11.5mm ZP M12</t>
        </is>
      </c>
      <c r="J3336" s="17" t="inlineStr">
        <is>
          <t>Mét</t>
        </is>
      </c>
      <c r="K3336" s="19" t="n">
        <v>22500</v>
      </c>
      <c r="L3336" s="20" t="n"/>
      <c r="M3336" s="20" t="n"/>
      <c r="N3336" s="43" t="n">
        <v>490.58</v>
      </c>
      <c r="O3336" s="20" t="n">
        <v>11038050</v>
      </c>
      <c r="P3336" s="43" t="n">
        <v>490.58</v>
      </c>
      <c r="Q3336" s="20" t="n">
        <v>11038050</v>
      </c>
      <c r="R3336" s="42">
        <f>+L3336+N3336-P3336</f>
        <v/>
      </c>
      <c r="S3336" s="42">
        <f>+M3336+O3336-Q3336</f>
        <v/>
      </c>
    </row>
    <row r="3337" ht="30" customHeight="1">
      <c r="A3337" s="16" t="n">
        <v>45939</v>
      </c>
      <c r="B3337" s="17" t="inlineStr">
        <is>
          <t>MH2510-19</t>
        </is>
      </c>
      <c r="C3337" s="16" t="n">
        <v>45939</v>
      </c>
      <c r="D3337" s="17" t="inlineStr">
        <is>
          <t>00003977</t>
        </is>
      </c>
      <c r="E3337" s="16" t="n">
        <v>45939</v>
      </c>
      <c r="F3337" s="16" t="inlineStr">
        <is>
          <t>XK2510-18</t>
        </is>
      </c>
      <c r="G3337" s="16" t="n">
        <v>45939</v>
      </c>
      <c r="H3337" s="17" t="inlineStr">
        <is>
          <t>CÔNG TY CỔ PHẦN CÔNG NGHIỆP VÀ THƯƠNG MẠI CƯỜNG THỊNH</t>
        </is>
      </c>
      <c r="I3337" s="17" t="inlineStr">
        <is>
          <t>Ty giằng 2 đầu ren 5.6 ZP M24</t>
        </is>
      </c>
      <c r="J3337" s="17" t="inlineStr">
        <is>
          <t>Mét</t>
        </is>
      </c>
      <c r="K3337" s="19" t="n">
        <v>106000</v>
      </c>
      <c r="L3337" s="20" t="n"/>
      <c r="M3337" s="20" t="n"/>
      <c r="N3337" s="43" t="n">
        <v>257.9</v>
      </c>
      <c r="O3337" s="20" t="n">
        <v>27337400</v>
      </c>
      <c r="P3337" s="43" t="n">
        <v>257.9</v>
      </c>
      <c r="Q3337" s="20" t="n">
        <v>27337400</v>
      </c>
      <c r="R3337" s="42">
        <f>+L3337+N3337-P3337</f>
        <v/>
      </c>
      <c r="S3337" s="42">
        <f>+M3337+O3337-Q3337</f>
        <v/>
      </c>
    </row>
    <row r="3338" ht="30" customHeight="1">
      <c r="A3338" s="16" t="n">
        <v>45939</v>
      </c>
      <c r="B3338" s="17" t="inlineStr">
        <is>
          <t>MH2510-19</t>
        </is>
      </c>
      <c r="C3338" s="16" t="n">
        <v>45939</v>
      </c>
      <c r="D3338" s="17" t="inlineStr">
        <is>
          <t>00003977</t>
        </is>
      </c>
      <c r="E3338" s="16" t="n">
        <v>45939</v>
      </c>
      <c r="F3338" s="16" t="inlineStr">
        <is>
          <t>XK2510-18</t>
        </is>
      </c>
      <c r="G3338" s="16" t="n">
        <v>45939</v>
      </c>
      <c r="H3338" s="17" t="inlineStr">
        <is>
          <t>CÔNG TY CỔ PHẦN CÔNG NGHIỆP VÀ THƯƠNG MẠI CƯỜNG THỊNH</t>
        </is>
      </c>
      <c r="I3338" s="17" t="inlineStr">
        <is>
          <t>Đai ốc Din 934 5 ZP M24</t>
        </is>
      </c>
      <c r="J3338" s="17" t="inlineStr">
        <is>
          <t>Cái</t>
        </is>
      </c>
      <c r="K3338" s="19" t="n">
        <v>3110</v>
      </c>
      <c r="L3338" s="20" t="n"/>
      <c r="M3338" s="20" t="n"/>
      <c r="N3338" s="43" t="n">
        <v>56</v>
      </c>
      <c r="O3338" s="20" t="n">
        <v>174160</v>
      </c>
      <c r="P3338" s="43" t="n">
        <v>56</v>
      </c>
      <c r="Q3338" s="20" t="n">
        <v>174160</v>
      </c>
      <c r="R3338" s="42">
        <f>+L3338+N3338-P3338</f>
        <v/>
      </c>
      <c r="S3338" s="42">
        <f>+M3338+O3338-Q3338</f>
        <v/>
      </c>
    </row>
    <row r="3339" ht="30" customHeight="1">
      <c r="A3339" s="16" t="n">
        <v>45939</v>
      </c>
      <c r="B3339" s="17" t="inlineStr">
        <is>
          <t>MH2510-19</t>
        </is>
      </c>
      <c r="C3339" s="16" t="n">
        <v>45939</v>
      </c>
      <c r="D3339" s="17" t="inlineStr">
        <is>
          <t>00003977</t>
        </is>
      </c>
      <c r="E3339" s="16" t="n">
        <v>45939</v>
      </c>
      <c r="F3339" s="16" t="inlineStr">
        <is>
          <t>XK2510-18</t>
        </is>
      </c>
      <c r="G3339" s="16" t="n">
        <v>45939</v>
      </c>
      <c r="H3339" s="17" t="inlineStr">
        <is>
          <t>CÔNG TY CỔ PHẦN CÔNG NGHIỆP VÀ THƯƠNG MẠI CƯỜNG THỊNH</t>
        </is>
      </c>
      <c r="I3339" s="17" t="inlineStr">
        <is>
          <t>Long đền móng ngựa ZP M24</t>
        </is>
      </c>
      <c r="J3339" s="17" t="inlineStr">
        <is>
          <t>Cái</t>
        </is>
      </c>
      <c r="K3339" s="19" t="n">
        <v>21210</v>
      </c>
      <c r="L3339" s="20" t="n"/>
      <c r="M3339" s="20" t="n"/>
      <c r="N3339" s="43" t="n">
        <v>56</v>
      </c>
      <c r="O3339" s="20" t="n">
        <v>1187760</v>
      </c>
      <c r="P3339" s="43" t="n">
        <v>56</v>
      </c>
      <c r="Q3339" s="20" t="n">
        <v>1187760</v>
      </c>
      <c r="R3339" s="42">
        <f>+L3339+N3339-P3339</f>
        <v/>
      </c>
      <c r="S3339" s="42">
        <f>+M3339+O3339-Q3339</f>
        <v/>
      </c>
    </row>
    <row r="3340" ht="30" customHeight="1">
      <c r="A3340" s="16" t="n">
        <v>45939</v>
      </c>
      <c r="B3340" s="17" t="inlineStr">
        <is>
          <t>MH2510-19</t>
        </is>
      </c>
      <c r="C3340" s="16" t="n">
        <v>45939</v>
      </c>
      <c r="D3340" s="17" t="inlineStr">
        <is>
          <t>00003977</t>
        </is>
      </c>
      <c r="E3340" s="16" t="n">
        <v>45939</v>
      </c>
      <c r="F3340" s="16" t="inlineStr">
        <is>
          <t>XK2510-18</t>
        </is>
      </c>
      <c r="G3340" s="16" t="n">
        <v>45939</v>
      </c>
      <c r="H3340" s="17" t="inlineStr">
        <is>
          <t>CÔNG TY CỔ PHẦN CÔNG NGHIỆP VÀ THƯƠNG MẠI CƯỜNG THỊNH</t>
        </is>
      </c>
      <c r="I3340" s="17" t="inlineStr">
        <is>
          <t>Long đền thường ZP M24B45D2</t>
        </is>
      </c>
      <c r="J3340" s="17" t="inlineStr">
        <is>
          <t>Cái</t>
        </is>
      </c>
      <c r="K3340" s="19" t="n">
        <v>770</v>
      </c>
      <c r="L3340" s="20" t="n"/>
      <c r="M3340" s="20" t="n"/>
      <c r="N3340" s="43" t="n">
        <v>56</v>
      </c>
      <c r="O3340" s="20" t="n">
        <v>43120</v>
      </c>
      <c r="P3340" s="43" t="n">
        <v>56</v>
      </c>
      <c r="Q3340" s="20" t="n">
        <v>43120</v>
      </c>
      <c r="R3340" s="42">
        <f>+L3340+N3340-P3340</f>
        <v/>
      </c>
      <c r="S3340" s="42">
        <f>+M3340+O3340-Q3340</f>
        <v/>
      </c>
    </row>
    <row r="3341" ht="30" customHeight="1">
      <c r="A3341" s="16" t="n">
        <v>45939</v>
      </c>
      <c r="B3341" s="17" t="inlineStr">
        <is>
          <t>MH2510-19</t>
        </is>
      </c>
      <c r="C3341" s="16" t="n">
        <v>45939</v>
      </c>
      <c r="D3341" s="17" t="inlineStr">
        <is>
          <t>00003977</t>
        </is>
      </c>
      <c r="E3341" s="16" t="n">
        <v>45939</v>
      </c>
      <c r="F3341" s="16" t="inlineStr">
        <is>
          <t>XK2510-18</t>
        </is>
      </c>
      <c r="G3341" s="16" t="n">
        <v>45939</v>
      </c>
      <c r="H3341" s="17" t="inlineStr">
        <is>
          <t>CÔNG TY CỔ PHẦN CÔNG NGHIỆP VÀ THƯƠNG MẠI CƯỜNG THỊNH</t>
        </is>
      </c>
      <c r="I3341" s="17" t="inlineStr">
        <is>
          <t>Nối Ty ZP M24x100 (34mm)</t>
        </is>
      </c>
      <c r="J3341" s="17" t="inlineStr">
        <is>
          <t>Cái</t>
        </is>
      </c>
      <c r="K3341" s="19" t="n">
        <v>30860</v>
      </c>
      <c r="L3341" s="20" t="n"/>
      <c r="M3341" s="20" t="n"/>
      <c r="N3341" s="43" t="n">
        <v>28</v>
      </c>
      <c r="O3341" s="20" t="n">
        <v>864080</v>
      </c>
      <c r="P3341" s="43" t="n">
        <v>28</v>
      </c>
      <c r="Q3341" s="20" t="n">
        <v>864080</v>
      </c>
      <c r="R3341" s="42">
        <f>+L3341+N3341-P3341</f>
        <v/>
      </c>
      <c r="S3341" s="42">
        <f>+M3341+O3341-Q3341</f>
        <v/>
      </c>
    </row>
    <row r="3342" ht="30" customHeight="1">
      <c r="A3342" s="16" t="n">
        <v>45939</v>
      </c>
      <c r="B3342" s="17" t="inlineStr">
        <is>
          <t>MH2510-20</t>
        </is>
      </c>
      <c r="C3342" s="16" t="n">
        <v>45939</v>
      </c>
      <c r="D3342" s="17" t="inlineStr">
        <is>
          <t>00003976</t>
        </is>
      </c>
      <c r="E3342" s="16" t="n">
        <v>45939</v>
      </c>
      <c r="F3342" s="16" t="inlineStr">
        <is>
          <t>XK2510-19</t>
        </is>
      </c>
      <c r="G3342" s="16" t="n">
        <v>45939</v>
      </c>
      <c r="H3342" s="17" t="inlineStr">
        <is>
          <t>CÔNG TY CỔ PHẦN CÔNG NGHIỆP VÀ THƯƠNG MẠI CƯỜNG THỊNH</t>
        </is>
      </c>
      <c r="I3342" s="17" t="inlineStr">
        <is>
          <t>Bulong thường 4.6 ZP M12x30</t>
        </is>
      </c>
      <c r="J3342" s="17" t="inlineStr">
        <is>
          <t>Cái</t>
        </is>
      </c>
      <c r="K3342" s="19" t="n">
        <v>950</v>
      </c>
      <c r="L3342" s="20" t="n"/>
      <c r="M3342" s="20" t="n"/>
      <c r="N3342" s="43" t="n">
        <v>7869</v>
      </c>
      <c r="O3342" s="20" t="n">
        <v>7475550</v>
      </c>
      <c r="P3342" s="43" t="n">
        <v>7869</v>
      </c>
      <c r="Q3342" s="20" t="n">
        <v>7475550</v>
      </c>
      <c r="R3342" s="42">
        <f>+L3342+N3342-P3342</f>
        <v/>
      </c>
      <c r="S3342" s="42">
        <f>+M3342+O3342-Q3342</f>
        <v/>
      </c>
    </row>
    <row r="3343" ht="30" customHeight="1">
      <c r="A3343" s="16" t="n">
        <v>45939</v>
      </c>
      <c r="B3343" s="17" t="inlineStr">
        <is>
          <t>MH2510-20</t>
        </is>
      </c>
      <c r="C3343" s="16" t="n">
        <v>45939</v>
      </c>
      <c r="D3343" s="17" t="inlineStr">
        <is>
          <t>00003976</t>
        </is>
      </c>
      <c r="E3343" s="16" t="n">
        <v>45939</v>
      </c>
      <c r="F3343" s="16" t="inlineStr">
        <is>
          <t>XK2510-19</t>
        </is>
      </c>
      <c r="G3343" s="16" t="n">
        <v>45939</v>
      </c>
      <c r="H3343" s="17" t="inlineStr">
        <is>
          <t>CÔNG TY CỔ PHẦN CÔNG NGHIỆP VÀ THƯƠNG MẠI CƯỜNG THỊNH</t>
        </is>
      </c>
      <c r="I3343" s="17" t="inlineStr">
        <is>
          <t>Đai ốc thường 4 ZP M12 (8mm)</t>
        </is>
      </c>
      <c r="J3343" s="17" t="inlineStr">
        <is>
          <t>Cái</t>
        </is>
      </c>
      <c r="K3343" s="19" t="n">
        <v>360</v>
      </c>
      <c r="L3343" s="20" t="n"/>
      <c r="M3343" s="20" t="n"/>
      <c r="N3343" s="43" t="n">
        <v>7869</v>
      </c>
      <c r="O3343" s="20" t="n">
        <v>2832840</v>
      </c>
      <c r="P3343" s="43" t="n">
        <v>7869</v>
      </c>
      <c r="Q3343" s="20" t="n">
        <v>2832840</v>
      </c>
      <c r="R3343" s="42">
        <f>+L3343+N3343-P3343</f>
        <v/>
      </c>
      <c r="S3343" s="42">
        <f>+M3343+O3343-Q3343</f>
        <v/>
      </c>
    </row>
    <row r="3344" ht="30" customHeight="1">
      <c r="A3344" s="16" t="n">
        <v>45939</v>
      </c>
      <c r="B3344" s="17" t="inlineStr">
        <is>
          <t>MH2510-20</t>
        </is>
      </c>
      <c r="C3344" s="16" t="n">
        <v>45939</v>
      </c>
      <c r="D3344" s="17" t="inlineStr">
        <is>
          <t>00003976</t>
        </is>
      </c>
      <c r="E3344" s="16" t="n">
        <v>45939</v>
      </c>
      <c r="F3344" s="16" t="inlineStr">
        <is>
          <t>XK2510-19</t>
        </is>
      </c>
      <c r="G3344" s="16" t="n">
        <v>45939</v>
      </c>
      <c r="H3344" s="17" t="inlineStr">
        <is>
          <t>CÔNG TY CỔ PHẦN CÔNG NGHIỆP VÀ THƯƠNG MẠI CƯỜNG THỊNH</t>
        </is>
      </c>
      <c r="I3344" s="17" t="inlineStr">
        <is>
          <t>Long đền thường ZP M12B23D1</t>
        </is>
      </c>
      <c r="J3344" s="17" t="inlineStr">
        <is>
          <t>Cái</t>
        </is>
      </c>
      <c r="K3344" s="19" t="n">
        <v>100</v>
      </c>
      <c r="L3344" s="20" t="n"/>
      <c r="M3344" s="20" t="n"/>
      <c r="N3344" s="43" t="n">
        <v>15738</v>
      </c>
      <c r="O3344" s="20" t="n">
        <v>1573800</v>
      </c>
      <c r="P3344" s="43" t="n">
        <v>15738</v>
      </c>
      <c r="Q3344" s="20" t="n">
        <v>1573800</v>
      </c>
      <c r="R3344" s="42">
        <f>+L3344+N3344-P3344</f>
        <v/>
      </c>
      <c r="S3344" s="42">
        <f>+M3344+O3344-Q3344</f>
        <v/>
      </c>
    </row>
    <row r="3345" ht="30" customHeight="1">
      <c r="A3345" s="16" t="n">
        <v>45939</v>
      </c>
      <c r="B3345" s="17" t="inlineStr">
        <is>
          <t>MH2510-20</t>
        </is>
      </c>
      <c r="C3345" s="16" t="n">
        <v>45939</v>
      </c>
      <c r="D3345" s="17" t="inlineStr">
        <is>
          <t>00003976</t>
        </is>
      </c>
      <c r="E3345" s="16" t="n">
        <v>45939</v>
      </c>
      <c r="F3345" s="16" t="inlineStr">
        <is>
          <t>XK2510-19</t>
        </is>
      </c>
      <c r="G3345" s="16" t="n">
        <v>45939</v>
      </c>
      <c r="H3345" s="17" t="inlineStr">
        <is>
          <t>CÔNG TY CỔ PHẦN CÔNG NGHIỆP VÀ THƯƠNG MẠI CƯỜNG THỊNH</t>
        </is>
      </c>
      <c r="I3345" s="17" t="inlineStr">
        <is>
          <t>Bulong thường 4.6 ZP M12x50</t>
        </is>
      </c>
      <c r="J3345" s="17" t="inlineStr">
        <is>
          <t>Cái</t>
        </is>
      </c>
      <c r="K3345" s="19" t="n">
        <v>1300</v>
      </c>
      <c r="L3345" s="20" t="n"/>
      <c r="M3345" s="20" t="n"/>
      <c r="N3345" s="43" t="n">
        <v>1502</v>
      </c>
      <c r="O3345" s="20" t="n">
        <v>1952600</v>
      </c>
      <c r="P3345" s="43" t="n">
        <v>1502</v>
      </c>
      <c r="Q3345" s="20" t="n">
        <v>1952600</v>
      </c>
      <c r="R3345" s="42">
        <f>+L3345+N3345-P3345</f>
        <v/>
      </c>
      <c r="S3345" s="42">
        <f>+M3345+O3345-Q3345</f>
        <v/>
      </c>
    </row>
    <row r="3346" ht="30" customHeight="1">
      <c r="A3346" s="16" t="n">
        <v>45939</v>
      </c>
      <c r="B3346" s="17" t="inlineStr">
        <is>
          <t>MH2510-20</t>
        </is>
      </c>
      <c r="C3346" s="16" t="n">
        <v>45939</v>
      </c>
      <c r="D3346" s="17" t="inlineStr">
        <is>
          <t>00003976</t>
        </is>
      </c>
      <c r="E3346" s="16" t="n">
        <v>45939</v>
      </c>
      <c r="F3346" s="16" t="inlineStr">
        <is>
          <t>XK2510-19</t>
        </is>
      </c>
      <c r="G3346" s="16" t="n">
        <v>45939</v>
      </c>
      <c r="H3346" s="17" t="inlineStr">
        <is>
          <t>CÔNG TY CỔ PHẦN CÔNG NGHIỆP VÀ THƯƠNG MẠI CƯỜNG THỊNH</t>
        </is>
      </c>
      <c r="I3346" s="17" t="inlineStr">
        <is>
          <t>Đai ốc thường 4 ZP M12 (9mm)</t>
        </is>
      </c>
      <c r="J3346" s="17" t="inlineStr">
        <is>
          <t>Cái</t>
        </is>
      </c>
      <c r="K3346" s="19" t="n">
        <v>360</v>
      </c>
      <c r="L3346" s="20" t="n"/>
      <c r="M3346" s="20" t="n"/>
      <c r="N3346" s="43" t="n">
        <v>1502</v>
      </c>
      <c r="O3346" s="20" t="n">
        <v>540720</v>
      </c>
      <c r="P3346" s="43" t="n">
        <v>1502</v>
      </c>
      <c r="Q3346" s="20" t="n">
        <v>540720</v>
      </c>
      <c r="R3346" s="42">
        <f>+L3346+N3346-P3346</f>
        <v/>
      </c>
      <c r="S3346" s="42">
        <f>+M3346+O3346-Q3346</f>
        <v/>
      </c>
    </row>
    <row r="3347" ht="30" customHeight="1">
      <c r="A3347" s="16" t="n">
        <v>45939</v>
      </c>
      <c r="B3347" s="17" t="inlineStr">
        <is>
          <t>MH2510-20</t>
        </is>
      </c>
      <c r="C3347" s="16" t="n">
        <v>45939</v>
      </c>
      <c r="D3347" s="17" t="inlineStr">
        <is>
          <t>00003976</t>
        </is>
      </c>
      <c r="E3347" s="16" t="n">
        <v>45939</v>
      </c>
      <c r="F3347" s="16" t="inlineStr">
        <is>
          <t>XK2510-19</t>
        </is>
      </c>
      <c r="G3347" s="16" t="n">
        <v>45939</v>
      </c>
      <c r="H3347" s="17" t="inlineStr">
        <is>
          <t>CÔNG TY CỔ PHẦN CÔNG NGHIỆP VÀ THƯƠNG MẠI CƯỜNG THỊNH</t>
        </is>
      </c>
      <c r="I3347" s="17" t="inlineStr">
        <is>
          <t>Long đền thường ZP M12B23D1</t>
        </is>
      </c>
      <c r="J3347" s="17" t="inlineStr">
        <is>
          <t>Cái</t>
        </is>
      </c>
      <c r="K3347" s="19" t="n">
        <v>100</v>
      </c>
      <c r="L3347" s="20" t="n"/>
      <c r="M3347" s="20" t="n"/>
      <c r="N3347" s="43" t="n">
        <v>3004</v>
      </c>
      <c r="O3347" s="20" t="n">
        <v>300400</v>
      </c>
      <c r="P3347" s="43" t="n">
        <v>3004</v>
      </c>
      <c r="Q3347" s="20" t="n">
        <v>300400</v>
      </c>
      <c r="R3347" s="42">
        <f>+L3347+N3347-P3347</f>
        <v/>
      </c>
      <c r="S3347" s="42">
        <f>+M3347+O3347-Q3347</f>
        <v/>
      </c>
    </row>
    <row r="3348" ht="30" customHeight="1">
      <c r="A3348" s="16" t="n">
        <v>45939</v>
      </c>
      <c r="B3348" s="17" t="inlineStr">
        <is>
          <t>MH2510-20</t>
        </is>
      </c>
      <c r="C3348" s="16" t="n">
        <v>45939</v>
      </c>
      <c r="D3348" s="17" t="inlineStr">
        <is>
          <t>00003976</t>
        </is>
      </c>
      <c r="E3348" s="16" t="n">
        <v>45939</v>
      </c>
      <c r="F3348" s="16" t="inlineStr">
        <is>
          <t>XK2510-19</t>
        </is>
      </c>
      <c r="G3348" s="16" t="n">
        <v>45939</v>
      </c>
      <c r="H3348" s="17" t="inlineStr">
        <is>
          <t>CÔNG TY CỔ PHẦN CÔNG NGHIỆP VÀ THƯƠNG MẠI CƯỜNG THỊNH</t>
        </is>
      </c>
      <c r="I3348" s="17" t="inlineStr">
        <is>
          <t>Bulong Din 933 8.8 ZP M16x50</t>
        </is>
      </c>
      <c r="J3348" s="17" t="inlineStr">
        <is>
          <t>Cái</t>
        </is>
      </c>
      <c r="K3348" s="19" t="n">
        <v>3470</v>
      </c>
      <c r="L3348" s="20" t="n"/>
      <c r="M3348" s="20" t="n"/>
      <c r="N3348" s="43" t="n">
        <v>97</v>
      </c>
      <c r="O3348" s="20" t="n">
        <v>336590</v>
      </c>
      <c r="P3348" s="43" t="n">
        <v>97</v>
      </c>
      <c r="Q3348" s="20" t="n">
        <v>336590</v>
      </c>
      <c r="R3348" s="42">
        <f>+L3348+N3348-P3348</f>
        <v/>
      </c>
      <c r="S3348" s="42">
        <f>+M3348+O3348-Q3348</f>
        <v/>
      </c>
    </row>
    <row r="3349" ht="30" customHeight="1">
      <c r="A3349" s="16" t="n">
        <v>45939</v>
      </c>
      <c r="B3349" s="17" t="inlineStr">
        <is>
          <t>MH2510-20</t>
        </is>
      </c>
      <c r="C3349" s="16" t="n">
        <v>45939</v>
      </c>
      <c r="D3349" s="17" t="inlineStr">
        <is>
          <t>00003976</t>
        </is>
      </c>
      <c r="E3349" s="16" t="n">
        <v>45939</v>
      </c>
      <c r="F3349" s="16" t="inlineStr">
        <is>
          <t>XK2510-19</t>
        </is>
      </c>
      <c r="G3349" s="16" t="n">
        <v>45939</v>
      </c>
      <c r="H3349" s="17" t="inlineStr">
        <is>
          <t>CÔNG TY CỔ PHẦN CÔNG NGHIỆP VÀ THƯƠNG MẠI CƯỜNG THỊNH</t>
        </is>
      </c>
      <c r="I3349" s="17" t="inlineStr">
        <is>
          <t>Đai ốc Din 934 8 ZP M16</t>
        </is>
      </c>
      <c r="J3349" s="17" t="inlineStr">
        <is>
          <t>Cái</t>
        </is>
      </c>
      <c r="K3349" s="19" t="n">
        <v>1080</v>
      </c>
      <c r="L3349" s="20" t="n"/>
      <c r="M3349" s="20" t="n"/>
      <c r="N3349" s="43" t="n">
        <v>97</v>
      </c>
      <c r="O3349" s="20" t="n">
        <v>104760</v>
      </c>
      <c r="P3349" s="43" t="n">
        <v>97</v>
      </c>
      <c r="Q3349" s="20" t="n">
        <v>104760</v>
      </c>
      <c r="R3349" s="42">
        <f>+L3349+N3349-P3349</f>
        <v/>
      </c>
      <c r="S3349" s="42">
        <f>+M3349+O3349-Q3349</f>
        <v/>
      </c>
    </row>
    <row r="3350" ht="30" customHeight="1">
      <c r="A3350" s="16" t="n">
        <v>45939</v>
      </c>
      <c r="B3350" s="17" t="inlineStr">
        <is>
          <t>MH2510-20</t>
        </is>
      </c>
      <c r="C3350" s="16" t="n">
        <v>45939</v>
      </c>
      <c r="D3350" s="17" t="inlineStr">
        <is>
          <t>00003976</t>
        </is>
      </c>
      <c r="E3350" s="16" t="n">
        <v>45939</v>
      </c>
      <c r="F3350" s="16" t="inlineStr">
        <is>
          <t>XK2510-19</t>
        </is>
      </c>
      <c r="G3350" s="16" t="n">
        <v>45939</v>
      </c>
      <c r="H3350" s="17" t="inlineStr">
        <is>
          <t>CÔNG TY CỔ PHẦN CÔNG NGHIỆP VÀ THƯƠNG MẠI CƯỜNG THỊNH</t>
        </is>
      </c>
      <c r="I3350" s="17" t="inlineStr">
        <is>
          <t>Long đền thường ZP M16B30D2</t>
        </is>
      </c>
      <c r="J3350" s="17" t="inlineStr">
        <is>
          <t>Cái</t>
        </is>
      </c>
      <c r="K3350" s="19" t="n">
        <v>340</v>
      </c>
      <c r="L3350" s="20" t="n"/>
      <c r="M3350" s="20" t="n"/>
      <c r="N3350" s="43" t="n">
        <v>97</v>
      </c>
      <c r="O3350" s="20" t="n">
        <v>32980</v>
      </c>
      <c r="P3350" s="43" t="n">
        <v>97</v>
      </c>
      <c r="Q3350" s="20" t="n">
        <v>32980</v>
      </c>
      <c r="R3350" s="42">
        <f>+L3350+N3350-P3350</f>
        <v/>
      </c>
      <c r="S3350" s="42">
        <f>+M3350+O3350-Q3350</f>
        <v/>
      </c>
    </row>
    <row r="3351" ht="30" customHeight="1">
      <c r="A3351" s="16" t="n">
        <v>45939</v>
      </c>
      <c r="B3351" s="17" t="inlineStr">
        <is>
          <t>MH2510-20</t>
        </is>
      </c>
      <c r="C3351" s="16" t="n">
        <v>45939</v>
      </c>
      <c r="D3351" s="17" t="inlineStr">
        <is>
          <t>00003976</t>
        </is>
      </c>
      <c r="E3351" s="16" t="n">
        <v>45939</v>
      </c>
      <c r="F3351" s="16" t="inlineStr">
        <is>
          <t>XK2510-19</t>
        </is>
      </c>
      <c r="G3351" s="16" t="n">
        <v>45939</v>
      </c>
      <c r="H3351" s="17" t="inlineStr">
        <is>
          <t>CÔNG TY CỔ PHẦN CÔNG NGHIỆP VÀ THƯƠNG MẠI CƯỜNG THỊNH</t>
        </is>
      </c>
      <c r="I3351" s="17" t="inlineStr">
        <is>
          <t>Bulong Din 933 8.8 ZP M20x60</t>
        </is>
      </c>
      <c r="J3351" s="17" t="inlineStr">
        <is>
          <t>Cái</t>
        </is>
      </c>
      <c r="K3351" s="19" t="n">
        <v>6360</v>
      </c>
      <c r="L3351" s="20" t="n"/>
      <c r="M3351" s="20" t="n"/>
      <c r="N3351" s="43" t="n">
        <v>1091</v>
      </c>
      <c r="O3351" s="20" t="n">
        <v>6938760</v>
      </c>
      <c r="P3351" s="43" t="n">
        <v>1091</v>
      </c>
      <c r="Q3351" s="20" t="n">
        <v>6938760</v>
      </c>
      <c r="R3351" s="42">
        <f>+L3351+N3351-P3351</f>
        <v/>
      </c>
      <c r="S3351" s="42">
        <f>+M3351+O3351-Q3351</f>
        <v/>
      </c>
    </row>
    <row r="3352" ht="30" customHeight="1">
      <c r="A3352" s="16" t="n">
        <v>45939</v>
      </c>
      <c r="B3352" s="17" t="inlineStr">
        <is>
          <t>MH2510-20</t>
        </is>
      </c>
      <c r="C3352" s="16" t="n">
        <v>45939</v>
      </c>
      <c r="D3352" s="17" t="inlineStr">
        <is>
          <t>00003976</t>
        </is>
      </c>
      <c r="E3352" s="16" t="n">
        <v>45939</v>
      </c>
      <c r="F3352" s="16" t="inlineStr">
        <is>
          <t>XK2510-19</t>
        </is>
      </c>
      <c r="G3352" s="16" t="n">
        <v>45939</v>
      </c>
      <c r="H3352" s="17" t="inlineStr">
        <is>
          <t>CÔNG TY CỔ PHẦN CÔNG NGHIỆP VÀ THƯƠNG MẠI CƯỜNG THỊNH</t>
        </is>
      </c>
      <c r="I3352" s="17" t="inlineStr">
        <is>
          <t>Đai ốc Din 934 8 ZP M20</t>
        </is>
      </c>
      <c r="J3352" s="17" t="inlineStr">
        <is>
          <t>Cái</t>
        </is>
      </c>
      <c r="K3352" s="19" t="n">
        <v>2030</v>
      </c>
      <c r="L3352" s="20" t="n"/>
      <c r="M3352" s="20" t="n"/>
      <c r="N3352" s="43" t="n">
        <v>1091</v>
      </c>
      <c r="O3352" s="20" t="n">
        <v>2214730</v>
      </c>
      <c r="P3352" s="43" t="n">
        <v>1091</v>
      </c>
      <c r="Q3352" s="20" t="n">
        <v>2214730</v>
      </c>
      <c r="R3352" s="42">
        <f>+L3352+N3352-P3352</f>
        <v/>
      </c>
      <c r="S3352" s="42">
        <f>+M3352+O3352-Q3352</f>
        <v/>
      </c>
    </row>
    <row r="3353" ht="30" customHeight="1">
      <c r="A3353" s="16" t="n">
        <v>45939</v>
      </c>
      <c r="B3353" s="17" t="inlineStr">
        <is>
          <t>MH2510-20</t>
        </is>
      </c>
      <c r="C3353" s="16" t="n">
        <v>45939</v>
      </c>
      <c r="D3353" s="17" t="inlineStr">
        <is>
          <t>00003976</t>
        </is>
      </c>
      <c r="E3353" s="16" t="n">
        <v>45939</v>
      </c>
      <c r="F3353" s="16" t="inlineStr">
        <is>
          <t>XK2510-19</t>
        </is>
      </c>
      <c r="G3353" s="16" t="n">
        <v>45939</v>
      </c>
      <c r="H3353" s="17" t="inlineStr">
        <is>
          <t>CÔNG TY CỔ PHẦN CÔNG NGHIỆP VÀ THƯƠNG MẠI CƯỜNG THỊNH</t>
        </is>
      </c>
      <c r="I3353" s="17" t="inlineStr">
        <is>
          <t>Long đền thường ZP M20B35D2</t>
        </is>
      </c>
      <c r="J3353" s="17" t="inlineStr">
        <is>
          <t>Cái</t>
        </is>
      </c>
      <c r="K3353" s="19" t="n">
        <v>350</v>
      </c>
      <c r="L3353" s="20" t="n"/>
      <c r="M3353" s="20" t="n"/>
      <c r="N3353" s="43" t="n">
        <v>1091</v>
      </c>
      <c r="O3353" s="20" t="n">
        <v>381850</v>
      </c>
      <c r="P3353" s="43" t="n">
        <v>1091</v>
      </c>
      <c r="Q3353" s="20" t="n">
        <v>381850</v>
      </c>
      <c r="R3353" s="42">
        <f>+L3353+N3353-P3353</f>
        <v/>
      </c>
      <c r="S3353" s="42">
        <f>+M3353+O3353-Q3353</f>
        <v/>
      </c>
    </row>
    <row r="3354" ht="30" customHeight="1">
      <c r="A3354" s="16" t="n">
        <v>45939</v>
      </c>
      <c r="B3354" s="17" t="inlineStr">
        <is>
          <t>MH2510-20</t>
        </is>
      </c>
      <c r="C3354" s="16" t="n">
        <v>45939</v>
      </c>
      <c r="D3354" s="17" t="inlineStr">
        <is>
          <t>00003976</t>
        </is>
      </c>
      <c r="E3354" s="16" t="n">
        <v>45939</v>
      </c>
      <c r="F3354" s="16" t="inlineStr">
        <is>
          <t>XK2510-19</t>
        </is>
      </c>
      <c r="G3354" s="16" t="n">
        <v>45939</v>
      </c>
      <c r="H3354" s="17" t="inlineStr">
        <is>
          <t>CÔNG TY CỔ PHẦN CÔNG NGHIỆP VÀ THƯƠNG MẠI CƯỜNG THỊNH</t>
        </is>
      </c>
      <c r="I3354" s="17" t="inlineStr">
        <is>
          <t>Bulong Din 933 8.8 ZP M24x70</t>
        </is>
      </c>
      <c r="J3354" s="17" t="inlineStr">
        <is>
          <t>Cái</t>
        </is>
      </c>
      <c r="K3354" s="19" t="n">
        <v>11010</v>
      </c>
      <c r="L3354" s="20" t="n"/>
      <c r="M3354" s="20" t="n"/>
      <c r="N3354" s="43" t="n">
        <v>560</v>
      </c>
      <c r="O3354" s="20" t="n">
        <v>6165600</v>
      </c>
      <c r="P3354" s="43" t="n">
        <v>560</v>
      </c>
      <c r="Q3354" s="20" t="n">
        <v>6165600</v>
      </c>
      <c r="R3354" s="42">
        <f>+L3354+N3354-P3354</f>
        <v/>
      </c>
      <c r="S3354" s="42">
        <f>+M3354+O3354-Q3354</f>
        <v/>
      </c>
    </row>
    <row r="3355" ht="30" customHeight="1">
      <c r="A3355" s="16" t="n">
        <v>45939</v>
      </c>
      <c r="B3355" s="17" t="inlineStr">
        <is>
          <t>MH2510-20</t>
        </is>
      </c>
      <c r="C3355" s="16" t="n">
        <v>45939</v>
      </c>
      <c r="D3355" s="17" t="inlineStr">
        <is>
          <t>00003976</t>
        </is>
      </c>
      <c r="E3355" s="16" t="n">
        <v>45939</v>
      </c>
      <c r="F3355" s="16" t="inlineStr">
        <is>
          <t>XK2510-19</t>
        </is>
      </c>
      <c r="G3355" s="16" t="n">
        <v>45939</v>
      </c>
      <c r="H3355" s="17" t="inlineStr">
        <is>
          <t>CÔNG TY CỔ PHẦN CÔNG NGHIỆP VÀ THƯƠNG MẠI CƯỜNG THỊNH</t>
        </is>
      </c>
      <c r="I3355" s="17" t="inlineStr">
        <is>
          <t>Đai ốc Din 934 8 ZP M24</t>
        </is>
      </c>
      <c r="J3355" s="17" t="inlineStr">
        <is>
          <t>Cái</t>
        </is>
      </c>
      <c r="K3355" s="19" t="n">
        <v>3500</v>
      </c>
      <c r="L3355" s="20" t="n"/>
      <c r="M3355" s="20" t="n"/>
      <c r="N3355" s="43" t="n">
        <v>560</v>
      </c>
      <c r="O3355" s="20" t="n">
        <v>1960000</v>
      </c>
      <c r="P3355" s="43" t="n">
        <v>560</v>
      </c>
      <c r="Q3355" s="20" t="n">
        <v>1960000</v>
      </c>
      <c r="R3355" s="42">
        <f>+L3355+N3355-P3355</f>
        <v/>
      </c>
      <c r="S3355" s="42">
        <f>+M3355+O3355-Q3355</f>
        <v/>
      </c>
    </row>
    <row r="3356" ht="30" customHeight="1">
      <c r="A3356" s="16" t="n">
        <v>45939</v>
      </c>
      <c r="B3356" s="17" t="inlineStr">
        <is>
          <t>MH2510-20</t>
        </is>
      </c>
      <c r="C3356" s="16" t="n">
        <v>45939</v>
      </c>
      <c r="D3356" s="17" t="inlineStr">
        <is>
          <t>00003976</t>
        </is>
      </c>
      <c r="E3356" s="16" t="n">
        <v>45939</v>
      </c>
      <c r="F3356" s="16" t="inlineStr">
        <is>
          <t>XK2510-19</t>
        </is>
      </c>
      <c r="G3356" s="16" t="n">
        <v>45939</v>
      </c>
      <c r="H3356" s="17" t="inlineStr">
        <is>
          <t>CÔNG TY CỔ PHẦN CÔNG NGHIỆP VÀ THƯƠNG MẠI CƯỜNG THỊNH</t>
        </is>
      </c>
      <c r="I3356" s="17" t="inlineStr">
        <is>
          <t>Long đền thường ZP M24B40-42D2</t>
        </is>
      </c>
      <c r="J3356" s="17" t="inlineStr">
        <is>
          <t>Cái</t>
        </is>
      </c>
      <c r="K3356" s="19" t="n">
        <v>660</v>
      </c>
      <c r="L3356" s="20" t="n"/>
      <c r="M3356" s="20" t="n"/>
      <c r="N3356" s="43" t="n">
        <v>560</v>
      </c>
      <c r="O3356" s="20" t="n">
        <v>369600</v>
      </c>
      <c r="P3356" s="43" t="n">
        <v>560</v>
      </c>
      <c r="Q3356" s="20" t="n">
        <v>369600</v>
      </c>
      <c r="R3356" s="42">
        <f>+L3356+N3356-P3356</f>
        <v/>
      </c>
      <c r="S3356" s="42">
        <f>+M3356+O3356-Q3356</f>
        <v/>
      </c>
    </row>
    <row r="3357" ht="30" customHeight="1">
      <c r="A3357" s="16" t="n">
        <v>45939</v>
      </c>
      <c r="B3357" s="17" t="inlineStr">
        <is>
          <t>MH2510-20</t>
        </is>
      </c>
      <c r="C3357" s="16" t="n">
        <v>45939</v>
      </c>
      <c r="D3357" s="17" t="inlineStr">
        <is>
          <t>00003976</t>
        </is>
      </c>
      <c r="E3357" s="16" t="n">
        <v>45939</v>
      </c>
      <c r="F3357" s="16" t="inlineStr">
        <is>
          <t>XK2510-19</t>
        </is>
      </c>
      <c r="G3357" s="16" t="n">
        <v>45939</v>
      </c>
      <c r="H3357" s="17" t="inlineStr">
        <is>
          <t>CÔNG TY CỔ PHẦN CÔNG NGHIỆP VÀ THƯƠNG MẠI CƯỜNG THỊNH</t>
        </is>
      </c>
      <c r="I3357" s="17" t="inlineStr">
        <is>
          <t>Bulong Din 933 8.8 ZP M24x90</t>
        </is>
      </c>
      <c r="J3357" s="17" t="inlineStr">
        <is>
          <t>Cái</t>
        </is>
      </c>
      <c r="K3357" s="19" t="n">
        <v>12950</v>
      </c>
      <c r="L3357" s="20" t="n"/>
      <c r="M3357" s="20" t="n"/>
      <c r="N3357" s="43" t="n">
        <v>25</v>
      </c>
      <c r="O3357" s="20" t="n">
        <v>323750</v>
      </c>
      <c r="P3357" s="43" t="n">
        <v>25</v>
      </c>
      <c r="Q3357" s="20" t="n">
        <v>323750</v>
      </c>
      <c r="R3357" s="42">
        <f>+L3357+N3357-P3357</f>
        <v/>
      </c>
      <c r="S3357" s="42">
        <f>+M3357+O3357-Q3357</f>
        <v/>
      </c>
    </row>
    <row r="3358" ht="30" customHeight="1">
      <c r="A3358" s="16" t="n">
        <v>45939</v>
      </c>
      <c r="B3358" s="17" t="inlineStr">
        <is>
          <t>MH2510-20</t>
        </is>
      </c>
      <c r="C3358" s="16" t="n">
        <v>45939</v>
      </c>
      <c r="D3358" s="17" t="inlineStr">
        <is>
          <t>00003976</t>
        </is>
      </c>
      <c r="E3358" s="16" t="n">
        <v>45939</v>
      </c>
      <c r="F3358" s="16" t="inlineStr">
        <is>
          <t>XK2510-19</t>
        </is>
      </c>
      <c r="G3358" s="16" t="n">
        <v>45939</v>
      </c>
      <c r="H3358" s="17" t="inlineStr">
        <is>
          <t>CÔNG TY CỔ PHẦN CÔNG NGHIỆP VÀ THƯƠNG MẠI CƯỜNG THỊNH</t>
        </is>
      </c>
      <c r="I3358" s="17" t="inlineStr">
        <is>
          <t>Đai ốc Din 934 8 ZP M24</t>
        </is>
      </c>
      <c r="J3358" s="17" t="inlineStr">
        <is>
          <t>Cái</t>
        </is>
      </c>
      <c r="K3358" s="19" t="n">
        <v>3500</v>
      </c>
      <c r="L3358" s="20" t="n"/>
      <c r="M3358" s="20" t="n"/>
      <c r="N3358" s="43" t="n">
        <v>25</v>
      </c>
      <c r="O3358" s="20" t="n">
        <v>87500</v>
      </c>
      <c r="P3358" s="43" t="n">
        <v>25</v>
      </c>
      <c r="Q3358" s="20" t="n">
        <v>87500</v>
      </c>
      <c r="R3358" s="42">
        <f>+L3358+N3358-P3358</f>
        <v/>
      </c>
      <c r="S3358" s="42">
        <f>+M3358+O3358-Q3358</f>
        <v/>
      </c>
    </row>
    <row r="3359" ht="30" customHeight="1">
      <c r="A3359" s="16" t="n">
        <v>45939</v>
      </c>
      <c r="B3359" s="17" t="inlineStr">
        <is>
          <t>MH2510-20</t>
        </is>
      </c>
      <c r="C3359" s="16" t="n">
        <v>45939</v>
      </c>
      <c r="D3359" s="17" t="inlineStr">
        <is>
          <t>00003976</t>
        </is>
      </c>
      <c r="E3359" s="16" t="n">
        <v>45939</v>
      </c>
      <c r="F3359" s="16" t="inlineStr">
        <is>
          <t>XK2510-19</t>
        </is>
      </c>
      <c r="G3359" s="16" t="n">
        <v>45939</v>
      </c>
      <c r="H3359" s="17" t="inlineStr">
        <is>
          <t>CÔNG TY CỔ PHẦN CÔNG NGHIỆP VÀ THƯƠNG MẠI CƯỜNG THỊNH</t>
        </is>
      </c>
      <c r="I3359" s="17" t="inlineStr">
        <is>
          <t>Long đền thường ZP M24B40-42D2</t>
        </is>
      </c>
      <c r="J3359" s="17" t="inlineStr">
        <is>
          <t>Cái</t>
        </is>
      </c>
      <c r="K3359" s="19" t="n">
        <v>680</v>
      </c>
      <c r="L3359" s="20" t="n"/>
      <c r="M3359" s="20" t="n"/>
      <c r="N3359" s="43" t="n">
        <v>25</v>
      </c>
      <c r="O3359" s="20" t="n">
        <v>17000</v>
      </c>
      <c r="P3359" s="43" t="n">
        <v>25</v>
      </c>
      <c r="Q3359" s="20" t="n">
        <v>17000</v>
      </c>
      <c r="R3359" s="42">
        <f>+L3359+N3359-P3359</f>
        <v/>
      </c>
      <c r="S3359" s="42">
        <f>+M3359+O3359-Q3359</f>
        <v/>
      </c>
    </row>
    <row r="3360" ht="30" customHeight="1">
      <c r="A3360" s="16" t="n">
        <v>45939</v>
      </c>
      <c r="B3360" s="17" t="inlineStr">
        <is>
          <t>MH2510-20</t>
        </is>
      </c>
      <c r="C3360" s="16" t="n">
        <v>45939</v>
      </c>
      <c r="D3360" s="17" t="inlineStr">
        <is>
          <t>00003976</t>
        </is>
      </c>
      <c r="E3360" s="16" t="n">
        <v>45939</v>
      </c>
      <c r="F3360" s="16" t="inlineStr">
        <is>
          <t>XK2510-19</t>
        </is>
      </c>
      <c r="G3360" s="16" t="n">
        <v>45939</v>
      </c>
      <c r="H3360" s="17" t="inlineStr">
        <is>
          <t>CÔNG TY CỔ PHẦN CÔNG NGHIỆP VÀ THƯƠNG MẠI CƯỜNG THỊNH</t>
        </is>
      </c>
      <c r="I3360" s="17" t="inlineStr">
        <is>
          <t>Bulong Din 933 8.8 ZP M30x100</t>
        </is>
      </c>
      <c r="J3360" s="17" t="inlineStr">
        <is>
          <t>Cái</t>
        </is>
      </c>
      <c r="K3360" s="19" t="n">
        <v>25460</v>
      </c>
      <c r="L3360" s="20" t="n"/>
      <c r="M3360" s="20" t="n"/>
      <c r="N3360" s="43" t="n">
        <v>515</v>
      </c>
      <c r="O3360" s="20" t="n">
        <v>13111900</v>
      </c>
      <c r="P3360" s="43" t="n">
        <v>515</v>
      </c>
      <c r="Q3360" s="20" t="n">
        <v>13111900</v>
      </c>
      <c r="R3360" s="42">
        <f>+L3360+N3360-P3360</f>
        <v/>
      </c>
      <c r="S3360" s="42">
        <f>+M3360+O3360-Q3360</f>
        <v/>
      </c>
    </row>
    <row r="3361" ht="30" customHeight="1">
      <c r="A3361" s="16" t="n">
        <v>45939</v>
      </c>
      <c r="B3361" s="17" t="inlineStr">
        <is>
          <t>MH2510-20</t>
        </is>
      </c>
      <c r="C3361" s="16" t="n">
        <v>45939</v>
      </c>
      <c r="D3361" s="17" t="inlineStr">
        <is>
          <t>00003976</t>
        </is>
      </c>
      <c r="E3361" s="16" t="n">
        <v>45939</v>
      </c>
      <c r="F3361" s="16" t="inlineStr">
        <is>
          <t>XK2510-19</t>
        </is>
      </c>
      <c r="G3361" s="16" t="n">
        <v>45939</v>
      </c>
      <c r="H3361" s="17" t="inlineStr">
        <is>
          <t>CÔNG TY CỔ PHẦN CÔNG NGHIỆP VÀ THƯƠNG MẠI CƯỜNG THỊNH</t>
        </is>
      </c>
      <c r="I3361" s="17" t="inlineStr">
        <is>
          <t>Đai ốc Din 934 8 ZP M30</t>
        </is>
      </c>
      <c r="J3361" s="17" t="inlineStr">
        <is>
          <t>Cái</t>
        </is>
      </c>
      <c r="K3361" s="19" t="n">
        <v>7750</v>
      </c>
      <c r="L3361" s="20" t="n"/>
      <c r="M3361" s="20" t="n"/>
      <c r="N3361" s="43" t="n">
        <v>515</v>
      </c>
      <c r="O3361" s="20" t="n">
        <v>3991250</v>
      </c>
      <c r="P3361" s="43" t="n">
        <v>515</v>
      </c>
      <c r="Q3361" s="20" t="n">
        <v>3991250</v>
      </c>
      <c r="R3361" s="42">
        <f>+L3361+N3361-P3361</f>
        <v/>
      </c>
      <c r="S3361" s="42">
        <f>+M3361+O3361-Q3361</f>
        <v/>
      </c>
    </row>
    <row r="3362" ht="30" customHeight="1">
      <c r="A3362" s="16" t="n">
        <v>45939</v>
      </c>
      <c r="B3362" s="17" t="inlineStr">
        <is>
          <t>MH2510-20</t>
        </is>
      </c>
      <c r="C3362" s="16" t="n">
        <v>45939</v>
      </c>
      <c r="D3362" s="17" t="inlineStr">
        <is>
          <t>00003976</t>
        </is>
      </c>
      <c r="E3362" s="16" t="n">
        <v>45939</v>
      </c>
      <c r="F3362" s="16" t="inlineStr">
        <is>
          <t>XK2510-19</t>
        </is>
      </c>
      <c r="G3362" s="16" t="n">
        <v>45939</v>
      </c>
      <c r="H3362" s="17" t="inlineStr">
        <is>
          <t>CÔNG TY CỔ PHẦN CÔNG NGHIỆP VÀ THƯƠNG MẠI CƯỜNG THỊNH</t>
        </is>
      </c>
      <c r="I3362" s="17" t="inlineStr">
        <is>
          <t>Long đền thường ZP M30B50D2</t>
        </is>
      </c>
      <c r="J3362" s="17" t="inlineStr">
        <is>
          <t>Cái</t>
        </is>
      </c>
      <c r="K3362" s="19" t="n">
        <v>890</v>
      </c>
      <c r="L3362" s="20" t="n"/>
      <c r="M3362" s="20" t="n"/>
      <c r="N3362" s="43" t="n">
        <v>515</v>
      </c>
      <c r="O3362" s="20" t="n">
        <v>458350</v>
      </c>
      <c r="P3362" s="43" t="n">
        <v>515</v>
      </c>
      <c r="Q3362" s="20" t="n">
        <v>458350</v>
      </c>
      <c r="R3362" s="42">
        <f>+L3362+N3362-P3362</f>
        <v/>
      </c>
      <c r="S3362" s="42">
        <f>+M3362+O3362-Q3362</f>
        <v/>
      </c>
    </row>
    <row r="3363" ht="30" customHeight="1">
      <c r="A3363" s="16" t="n">
        <v>45939</v>
      </c>
      <c r="B3363" s="17" t="inlineStr">
        <is>
          <t>MH2510-20</t>
        </is>
      </c>
      <c r="C3363" s="16" t="n">
        <v>45939</v>
      </c>
      <c r="D3363" s="17" t="inlineStr">
        <is>
          <t>00003976</t>
        </is>
      </c>
      <c r="E3363" s="16" t="n">
        <v>45939</v>
      </c>
      <c r="F3363" s="16" t="inlineStr">
        <is>
          <t>XK2510-19</t>
        </is>
      </c>
      <c r="G3363" s="16" t="n">
        <v>45939</v>
      </c>
      <c r="H3363" s="17" t="inlineStr">
        <is>
          <t>CÔNG TY CỔ PHẦN CÔNG NGHIỆP VÀ THƯƠNG MẠI CƯỜNG THỊNH</t>
        </is>
      </c>
      <c r="I3363" s="17" t="inlineStr">
        <is>
          <t>Bulong nở 4.6 ZP M12x120</t>
        </is>
      </c>
      <c r="J3363" s="17" t="inlineStr">
        <is>
          <t>Bộ</t>
        </is>
      </c>
      <c r="K3363" s="19" t="n">
        <v>9900</v>
      </c>
      <c r="L3363" s="20" t="n"/>
      <c r="M3363" s="20" t="n"/>
      <c r="N3363" s="43" t="n">
        <v>25</v>
      </c>
      <c r="O3363" s="20" t="n">
        <v>247500</v>
      </c>
      <c r="P3363" s="43" t="n">
        <v>25</v>
      </c>
      <c r="Q3363" s="20" t="n">
        <v>247500</v>
      </c>
      <c r="R3363" s="42">
        <f>+L3363+N3363-P3363</f>
        <v/>
      </c>
      <c r="S3363" s="42">
        <f>+M3363+O3363-Q3363</f>
        <v/>
      </c>
    </row>
    <row r="3364" ht="30" customHeight="1">
      <c r="A3364" s="16" t="n">
        <v>45939</v>
      </c>
      <c r="B3364" s="17" t="inlineStr">
        <is>
          <t>MH2510-20</t>
        </is>
      </c>
      <c r="C3364" s="16" t="n">
        <v>45939</v>
      </c>
      <c r="D3364" s="17" t="inlineStr">
        <is>
          <t>00003976</t>
        </is>
      </c>
      <c r="E3364" s="16" t="n">
        <v>45939</v>
      </c>
      <c r="F3364" s="16" t="inlineStr">
        <is>
          <t>XK2510-19</t>
        </is>
      </c>
      <c r="G3364" s="16" t="n">
        <v>45939</v>
      </c>
      <c r="H3364" s="17" t="inlineStr">
        <is>
          <t>CÔNG TY CỔ PHẦN CÔNG NGHIỆP VÀ THƯƠNG MẠI CƯỜNG THỊNH</t>
        </is>
      </c>
      <c r="I3364" s="17" t="inlineStr">
        <is>
          <t>Vít B2 Dacromet 10-24x22 WAF (bake)</t>
        </is>
      </c>
      <c r="J3364" s="17" t="inlineStr">
        <is>
          <t>Cái</t>
        </is>
      </c>
      <c r="K3364" s="19" t="n">
        <v>380</v>
      </c>
      <c r="L3364" s="20" t="n"/>
      <c r="M3364" s="20" t="n"/>
      <c r="N3364" s="43" t="n">
        <v>3400</v>
      </c>
      <c r="O3364" s="20" t="n">
        <v>1292000</v>
      </c>
      <c r="P3364" s="43" t="n">
        <v>3400</v>
      </c>
      <c r="Q3364" s="20" t="n">
        <v>1292000</v>
      </c>
      <c r="R3364" s="42">
        <f>+L3364+N3364-P3364</f>
        <v/>
      </c>
      <c r="S3364" s="42">
        <f>+M3364+O3364-Q3364</f>
        <v/>
      </c>
    </row>
    <row r="3365" ht="15" customHeight="1">
      <c r="A3365" s="16" t="n">
        <v>45940</v>
      </c>
      <c r="B3365" s="17" t="inlineStr">
        <is>
          <t>MH2510-22</t>
        </is>
      </c>
      <c r="C3365" s="16" t="n">
        <v>45940</v>
      </c>
      <c r="D3365" s="17" t="inlineStr">
        <is>
          <t>00009556</t>
        </is>
      </c>
      <c r="E3365" s="16" t="n">
        <v>45940</v>
      </c>
      <c r="F3365" s="16" t="inlineStr">
        <is>
          <t>XK2510-20</t>
        </is>
      </c>
      <c r="G3365" s="16" t="n">
        <v>45940</v>
      </c>
      <c r="H3365" s="17" t="inlineStr">
        <is>
          <t>CÔNG TY TNHH SƠN JOTUN VIỆT NAM</t>
        </is>
      </c>
      <c r="I3365" s="17" t="inlineStr">
        <is>
          <t>SƠN JOTAMASTIC 70 GREY 18L</t>
        </is>
      </c>
      <c r="J3365" s="17" t="inlineStr">
        <is>
          <t>Lít</t>
        </is>
      </c>
      <c r="K3365" s="19" t="n">
        <v>90000</v>
      </c>
      <c r="L3365" s="20" t="n"/>
      <c r="M3365" s="20" t="n"/>
      <c r="N3365" s="43" t="n">
        <v>144</v>
      </c>
      <c r="O3365" s="20" t="n">
        <v>12960000</v>
      </c>
      <c r="P3365" s="43" t="n">
        <v>144</v>
      </c>
      <c r="Q3365" s="20" t="n">
        <v>12960000</v>
      </c>
      <c r="R3365" s="42">
        <f>+L3365+N3365-P3365</f>
        <v/>
      </c>
      <c r="S3365" s="42">
        <f>+M3365+O3365-Q3365</f>
        <v/>
      </c>
    </row>
    <row r="3366" ht="15" customHeight="1">
      <c r="A3366" s="16" t="n">
        <v>45940</v>
      </c>
      <c r="B3366" s="17" t="inlineStr">
        <is>
          <t>MH2510-22</t>
        </is>
      </c>
      <c r="C3366" s="16" t="n">
        <v>45940</v>
      </c>
      <c r="D3366" s="17" t="inlineStr">
        <is>
          <t>00009556</t>
        </is>
      </c>
      <c r="E3366" s="16" t="n">
        <v>45940</v>
      </c>
      <c r="F3366" s="16" t="inlineStr">
        <is>
          <t>XK2510-20</t>
        </is>
      </c>
      <c r="G3366" s="16" t="n">
        <v>45940</v>
      </c>
      <c r="H3366" s="17" t="inlineStr">
        <is>
          <t>CÔNG TY TNHH SƠN JOTUN VIỆT NAM</t>
        </is>
      </c>
      <c r="I3366" s="17" t="inlineStr">
        <is>
          <t>SƠN HARDTOP XPL RAL 9017 19.19L</t>
        </is>
      </c>
      <c r="J3366" s="17" t="inlineStr">
        <is>
          <t>Lít</t>
        </is>
      </c>
      <c r="K3366" s="19" t="n">
        <v>180000</v>
      </c>
      <c r="L3366" s="20" t="n"/>
      <c r="M3366" s="20" t="n"/>
      <c r="N3366" s="43" t="n">
        <v>211.09</v>
      </c>
      <c r="O3366" s="20" t="n">
        <v>37996200</v>
      </c>
      <c r="P3366" s="43" t="n">
        <v>211.09</v>
      </c>
      <c r="Q3366" s="20" t="n">
        <v>37996200</v>
      </c>
      <c r="R3366" s="42">
        <f>+L3366+N3366-P3366</f>
        <v/>
      </c>
      <c r="S3366" s="42">
        <f>+M3366+O3366-Q3366</f>
        <v/>
      </c>
    </row>
    <row r="3367" ht="15" customHeight="1">
      <c r="A3367" s="16" t="n">
        <v>45940</v>
      </c>
      <c r="B3367" s="17" t="inlineStr">
        <is>
          <t>MH2510-22</t>
        </is>
      </c>
      <c r="C3367" s="16" t="n">
        <v>45940</v>
      </c>
      <c r="D3367" s="17" t="inlineStr">
        <is>
          <t>00009556</t>
        </is>
      </c>
      <c r="E3367" s="16" t="n">
        <v>45940</v>
      </c>
      <c r="F3367" s="16" t="inlineStr">
        <is>
          <t>XK2510-20</t>
        </is>
      </c>
      <c r="G3367" s="16" t="n">
        <v>45940</v>
      </c>
      <c r="H3367" s="17" t="inlineStr">
        <is>
          <t>CÔNG TY TNHH SƠN JOTUN VIỆT NAM</t>
        </is>
      </c>
      <c r="I3367" s="17" t="inlineStr">
        <is>
          <t>DUNG MÔI JOTUN THINNER NO. 10 20L</t>
        </is>
      </c>
      <c r="J3367" s="17" t="inlineStr">
        <is>
          <t>Lít</t>
        </is>
      </c>
      <c r="K3367" s="19" t="n">
        <v>60000</v>
      </c>
      <c r="L3367" s="20" t="n"/>
      <c r="M3367" s="20" t="n"/>
      <c r="N3367" s="43" t="n">
        <v>20</v>
      </c>
      <c r="O3367" s="20" t="n">
        <v>1200000</v>
      </c>
      <c r="P3367" s="43" t="n">
        <v>20</v>
      </c>
      <c r="Q3367" s="20" t="n">
        <v>1200000</v>
      </c>
      <c r="R3367" s="42">
        <f>+L3367+N3367-P3367</f>
        <v/>
      </c>
      <c r="S3367" s="42">
        <f>+M3367+O3367-Q3367</f>
        <v/>
      </c>
    </row>
    <row r="3368" ht="15" customHeight="1">
      <c r="A3368" s="16" t="n">
        <v>45940</v>
      </c>
      <c r="B3368" s="17" t="inlineStr">
        <is>
          <t>MH2510-22</t>
        </is>
      </c>
      <c r="C3368" s="16" t="n">
        <v>45940</v>
      </c>
      <c r="D3368" s="17" t="inlineStr">
        <is>
          <t>00009556</t>
        </is>
      </c>
      <c r="E3368" s="16" t="n">
        <v>45940</v>
      </c>
      <c r="F3368" s="16" t="inlineStr">
        <is>
          <t>XK2510-20</t>
        </is>
      </c>
      <c r="G3368" s="16" t="n">
        <v>45940</v>
      </c>
      <c r="H3368" s="17" t="inlineStr">
        <is>
          <t>CÔNG TY TNHH SƠN JOTUN VIỆT NAM</t>
        </is>
      </c>
      <c r="I3368" s="17" t="inlineStr">
        <is>
          <t>DUNG MÔI JOTUN THINNER NO. 10 5L</t>
        </is>
      </c>
      <c r="J3368" s="17" t="inlineStr">
        <is>
          <t>Lít</t>
        </is>
      </c>
      <c r="K3368" s="19" t="n">
        <v>60000</v>
      </c>
      <c r="L3368" s="20" t="n"/>
      <c r="M3368" s="20" t="n"/>
      <c r="N3368" s="43" t="n">
        <v>15</v>
      </c>
      <c r="O3368" s="20" t="n">
        <v>900000</v>
      </c>
      <c r="P3368" s="43" t="n">
        <v>15</v>
      </c>
      <c r="Q3368" s="20" t="n">
        <v>900000</v>
      </c>
      <c r="R3368" s="42">
        <f>+L3368+N3368-P3368</f>
        <v/>
      </c>
      <c r="S3368" s="42">
        <f>+M3368+O3368-Q3368</f>
        <v/>
      </c>
    </row>
    <row r="3369" ht="15" customHeight="1">
      <c r="A3369" s="16" t="n">
        <v>45940</v>
      </c>
      <c r="B3369" s="17" t="inlineStr">
        <is>
          <t>MH2510-22</t>
        </is>
      </c>
      <c r="C3369" s="16" t="n">
        <v>45940</v>
      </c>
      <c r="D3369" s="17" t="inlineStr">
        <is>
          <t>00009556</t>
        </is>
      </c>
      <c r="E3369" s="16" t="n">
        <v>45940</v>
      </c>
      <c r="F3369" s="16" t="inlineStr">
        <is>
          <t>XK2510-20</t>
        </is>
      </c>
      <c r="G3369" s="16" t="n">
        <v>45940</v>
      </c>
      <c r="H3369" s="17" t="inlineStr">
        <is>
          <t>CÔNG TY TNHH SƠN JOTUN VIỆT NAM</t>
        </is>
      </c>
      <c r="I3369" s="17" t="inlineStr">
        <is>
          <t>DUNG MÔI JOTUN THINNER NO. 17 20L</t>
        </is>
      </c>
      <c r="J3369" s="17" t="inlineStr">
        <is>
          <t>Lít</t>
        </is>
      </c>
      <c r="K3369" s="19" t="n">
        <v>60000</v>
      </c>
      <c r="L3369" s="20" t="n"/>
      <c r="M3369" s="20" t="n"/>
      <c r="N3369" s="43" t="n">
        <v>20</v>
      </c>
      <c r="O3369" s="20" t="n">
        <v>1200000</v>
      </c>
      <c r="P3369" s="43" t="n">
        <v>20</v>
      </c>
      <c r="Q3369" s="20" t="n">
        <v>1200000</v>
      </c>
      <c r="R3369" s="42">
        <f>+L3369+N3369-P3369</f>
        <v/>
      </c>
      <c r="S3369" s="42">
        <f>+M3369+O3369-Q3369</f>
        <v/>
      </c>
    </row>
    <row r="3370" ht="15" customHeight="1">
      <c r="A3370" s="16" t="n">
        <v>45940</v>
      </c>
      <c r="B3370" s="17" t="inlineStr">
        <is>
          <t>MH2510-22</t>
        </is>
      </c>
      <c r="C3370" s="16" t="n">
        <v>45940</v>
      </c>
      <c r="D3370" s="17" t="inlineStr">
        <is>
          <t>00009556</t>
        </is>
      </c>
      <c r="E3370" s="16" t="n">
        <v>45940</v>
      </c>
      <c r="F3370" s="16" t="inlineStr">
        <is>
          <t>XK2510-20</t>
        </is>
      </c>
      <c r="G3370" s="16" t="n">
        <v>45940</v>
      </c>
      <c r="H3370" s="17" t="inlineStr">
        <is>
          <t>CÔNG TY TNHH SƠN JOTUN VIỆT NAM</t>
        </is>
      </c>
      <c r="I3370" s="17" t="inlineStr">
        <is>
          <t>DUNG MÔI JOTUN THINNER NO. 17 5L</t>
        </is>
      </c>
      <c r="J3370" s="17" t="inlineStr">
        <is>
          <t>Lít</t>
        </is>
      </c>
      <c r="K3370" s="19" t="n">
        <v>60000</v>
      </c>
      <c r="L3370" s="20" t="n"/>
      <c r="M3370" s="20" t="n"/>
      <c r="N3370" s="43" t="n">
        <v>5</v>
      </c>
      <c r="O3370" s="20" t="n">
        <v>300000</v>
      </c>
      <c r="P3370" s="43" t="n">
        <v>5</v>
      </c>
      <c r="Q3370" s="20" t="n">
        <v>300000</v>
      </c>
      <c r="R3370" s="42">
        <f>+L3370+N3370-P3370</f>
        <v/>
      </c>
      <c r="S3370" s="42">
        <f>+M3370+O3370-Q3370</f>
        <v/>
      </c>
    </row>
    <row r="3371" ht="30" customHeight="1">
      <c r="A3371" s="16" t="n">
        <v>45940</v>
      </c>
      <c r="B3371" s="17" t="inlineStr">
        <is>
          <t>MH2510-23</t>
        </is>
      </c>
      <c r="C3371" s="16" t="n">
        <v>45940</v>
      </c>
      <c r="D3371" s="17" t="inlineStr">
        <is>
          <t>222</t>
        </is>
      </c>
      <c r="E3371" s="16" t="n">
        <v>45940</v>
      </c>
      <c r="F3371" s="16" t="inlineStr">
        <is>
          <t>XK2510-21</t>
        </is>
      </c>
      <c r="G3371" s="16" t="n">
        <v>45940</v>
      </c>
      <c r="H3371" s="17" t="inlineStr">
        <is>
          <t>CÔNG TY TNHH ĐẦU TƯ VÀ XÂY DỰNG TÍN PHÁT</t>
        </is>
      </c>
      <c r="I3371" s="17" t="inlineStr">
        <is>
          <t>Thép tấm 12 x 2000 x 12000</t>
        </is>
      </c>
      <c r="J3371" s="17" t="inlineStr">
        <is>
          <t>kg</t>
        </is>
      </c>
      <c r="K3371" s="19" t="n">
        <v>20455</v>
      </c>
      <c r="L3371" s="20" t="n"/>
      <c r="M3371" s="20" t="n"/>
      <c r="N3371" s="43" t="n">
        <v>2260.8</v>
      </c>
      <c r="O3371" s="20" t="n">
        <v>46244664</v>
      </c>
      <c r="P3371" s="43" t="n">
        <v>2260.8</v>
      </c>
      <c r="Q3371" s="20" t="n">
        <v>46244664</v>
      </c>
      <c r="R3371" s="42">
        <f>+L3371+N3371-P3371</f>
        <v/>
      </c>
      <c r="S3371" s="42">
        <f>+M3371+O3371-Q3371</f>
        <v/>
      </c>
    </row>
    <row r="3372" ht="30" customHeight="1">
      <c r="A3372" s="16" t="n">
        <v>45943</v>
      </c>
      <c r="B3372" s="17" t="inlineStr">
        <is>
          <t>MH2510-24</t>
        </is>
      </c>
      <c r="C3372" s="16" t="n">
        <v>45943</v>
      </c>
      <c r="D3372" s="17" t="inlineStr">
        <is>
          <t>00002266</t>
        </is>
      </c>
      <c r="E3372" s="16" t="n">
        <v>45943</v>
      </c>
      <c r="F3372" s="16" t="inlineStr">
        <is>
          <t>XK2512-01</t>
        </is>
      </c>
      <c r="G3372" s="16" t="n">
        <v>45992</v>
      </c>
      <c r="H3372" s="17" t="inlineStr">
        <is>
          <t>CÔNG TY TNHH DỊCH VỤ - THƯƠNG MẠI THÉP THIÊN LONG</t>
        </is>
      </c>
      <c r="I3372" s="17" t="inlineStr">
        <is>
          <t>Thép tấm 20ly</t>
        </is>
      </c>
      <c r="J3372" s="17" t="inlineStr">
        <is>
          <t>kg</t>
        </is>
      </c>
      <c r="K3372" s="19" t="n">
        <v>14727.27</v>
      </c>
      <c r="L3372" s="20" t="n"/>
      <c r="M3372" s="20" t="n"/>
      <c r="N3372" s="43" t="n">
        <v>37680</v>
      </c>
      <c r="O3372" s="20" t="n">
        <v>554923534</v>
      </c>
      <c r="P3372" s="43" t="n">
        <v>37680</v>
      </c>
      <c r="Q3372" s="20" t="n">
        <v>554923534</v>
      </c>
      <c r="R3372" s="42">
        <f>+L3372+N3372-P3372</f>
        <v/>
      </c>
      <c r="S3372" s="42">
        <f>+M3372+O3372-Q3372</f>
        <v/>
      </c>
    </row>
    <row r="3373" ht="30" customHeight="1">
      <c r="A3373" s="16" t="n">
        <v>45943</v>
      </c>
      <c r="B3373" s="17" t="inlineStr">
        <is>
          <t>MH2510-24</t>
        </is>
      </c>
      <c r="C3373" s="16" t="n">
        <v>45943</v>
      </c>
      <c r="D3373" s="17" t="inlineStr">
        <is>
          <t>00002266</t>
        </is>
      </c>
      <c r="E3373" s="16" t="n">
        <v>45943</v>
      </c>
      <c r="F3373" s="16" t="inlineStr">
        <is>
          <t>XK2512-01</t>
        </is>
      </c>
      <c r="G3373" s="16" t="n">
        <v>45992</v>
      </c>
      <c r="H3373" s="17" t="inlineStr">
        <is>
          <t>CÔNG TY TNHH DỊCH VỤ - THƯƠNG MẠI THÉP THIÊN LONG</t>
        </is>
      </c>
      <c r="I3373" s="17" t="inlineStr">
        <is>
          <t>Thép tấm 10ly</t>
        </is>
      </c>
      <c r="J3373" s="17" t="inlineStr">
        <is>
          <t>kg</t>
        </is>
      </c>
      <c r="K3373" s="19" t="n">
        <v>14090.9</v>
      </c>
      <c r="L3373" s="20" t="n"/>
      <c r="M3373" s="20" t="n"/>
      <c r="N3373" s="43" t="n">
        <v>20724</v>
      </c>
      <c r="O3373" s="20" t="n">
        <v>292019812</v>
      </c>
      <c r="P3373" s="43" t="n">
        <v>20724</v>
      </c>
      <c r="Q3373" s="20" t="n">
        <v>292019812</v>
      </c>
      <c r="R3373" s="42">
        <f>+L3373+N3373-P3373</f>
        <v/>
      </c>
      <c r="S3373" s="42">
        <f>+M3373+O3373-Q3373</f>
        <v/>
      </c>
    </row>
    <row r="3374" ht="30" customHeight="1">
      <c r="A3374" s="16" t="n">
        <v>45943</v>
      </c>
      <c r="B3374" s="17" t="inlineStr">
        <is>
          <t>MH2510-24</t>
        </is>
      </c>
      <c r="C3374" s="16" t="n">
        <v>45943</v>
      </c>
      <c r="D3374" s="17" t="inlineStr">
        <is>
          <t>00002266</t>
        </is>
      </c>
      <c r="E3374" s="16" t="n">
        <v>45943</v>
      </c>
      <c r="F3374" s="16" t="inlineStr">
        <is>
          <t>XK2512-01</t>
        </is>
      </c>
      <c r="G3374" s="16" t="n">
        <v>45992</v>
      </c>
      <c r="H3374" s="17" t="inlineStr">
        <is>
          <t>CÔNG TY TNHH DỊCH VỤ - THƯƠNG MẠI THÉP THIÊN LONG</t>
        </is>
      </c>
      <c r="I3374" s="17" t="inlineStr">
        <is>
          <t>Thép phi 20 gân</t>
        </is>
      </c>
      <c r="J3374" s="17" t="inlineStr">
        <is>
          <t>kg</t>
        </is>
      </c>
      <c r="K3374" s="19" t="n">
        <v>17727.27</v>
      </c>
      <c r="L3374" s="20" t="n"/>
      <c r="M3374" s="20" t="n"/>
      <c r="N3374" s="43" t="n">
        <v>695</v>
      </c>
      <c r="O3374" s="20" t="n">
        <v>12320453</v>
      </c>
      <c r="P3374" s="43" t="n">
        <v>695</v>
      </c>
      <c r="Q3374" s="20" t="n">
        <v>12320453</v>
      </c>
      <c r="R3374" s="42">
        <f>+L3374+N3374-P3374</f>
        <v/>
      </c>
      <c r="S3374" s="42">
        <f>+M3374+O3374-Q3374</f>
        <v/>
      </c>
    </row>
    <row r="3375" ht="30" customHeight="1">
      <c r="A3375" s="16" t="n">
        <v>45943</v>
      </c>
      <c r="B3375" s="17" t="inlineStr">
        <is>
          <t>MH2510-24</t>
        </is>
      </c>
      <c r="C3375" s="16" t="n">
        <v>45943</v>
      </c>
      <c r="D3375" s="17" t="inlineStr">
        <is>
          <t>00002266</t>
        </is>
      </c>
      <c r="E3375" s="16" t="n">
        <v>45943</v>
      </c>
      <c r="F3375" s="16" t="inlineStr">
        <is>
          <t>XK2512-01</t>
        </is>
      </c>
      <c r="G3375" s="16" t="n">
        <v>45992</v>
      </c>
      <c r="H3375" s="17" t="inlineStr">
        <is>
          <t>CÔNG TY TNHH DỊCH VỤ - THƯƠNG MẠI THÉP THIÊN LONG</t>
        </is>
      </c>
      <c r="I3375" s="17" t="inlineStr">
        <is>
          <t>Thép tấm 25ly</t>
        </is>
      </c>
      <c r="J3375" s="17" t="inlineStr">
        <is>
          <t>kg</t>
        </is>
      </c>
      <c r="K3375" s="19" t="n">
        <v>14727.27</v>
      </c>
      <c r="L3375" s="20" t="n"/>
      <c r="M3375" s="20" t="n"/>
      <c r="N3375" s="43" t="n">
        <v>32970</v>
      </c>
      <c r="O3375" s="20" t="n">
        <v>485558092</v>
      </c>
      <c r="P3375" s="43" t="n">
        <v>32970</v>
      </c>
      <c r="Q3375" s="20" t="n">
        <v>485558092</v>
      </c>
      <c r="R3375" s="42">
        <f>+L3375+N3375-P3375</f>
        <v/>
      </c>
      <c r="S3375" s="42">
        <f>+M3375+O3375-Q3375</f>
        <v/>
      </c>
    </row>
    <row r="3376" ht="30" customHeight="1">
      <c r="A3376" s="16" t="n">
        <v>45943</v>
      </c>
      <c r="B3376" s="17" t="inlineStr">
        <is>
          <t>MH2510-25</t>
        </is>
      </c>
      <c r="C3376" s="16" t="n">
        <v>45943</v>
      </c>
      <c r="D3376" s="17" t="inlineStr">
        <is>
          <t>00002267</t>
        </is>
      </c>
      <c r="E3376" s="16" t="n">
        <v>45943</v>
      </c>
      <c r="F3376" s="16" t="inlineStr">
        <is>
          <t>XK2512-02</t>
        </is>
      </c>
      <c r="G3376" s="16" t="n">
        <v>45992</v>
      </c>
      <c r="H3376" s="17" t="inlineStr">
        <is>
          <t>CÔNG TY TNHH DỊCH VỤ - THƯƠNG MẠI THÉP THIÊN LONG</t>
        </is>
      </c>
      <c r="I3376" s="17" t="inlineStr">
        <is>
          <t>Thép tấm 16ly</t>
        </is>
      </c>
      <c r="J3376" s="17" t="inlineStr">
        <is>
          <t>kg</t>
        </is>
      </c>
      <c r="K3376" s="19" t="n">
        <v>14727.27</v>
      </c>
      <c r="L3376" s="20" t="n"/>
      <c r="M3376" s="20" t="n"/>
      <c r="N3376" s="43" t="n">
        <v>15072</v>
      </c>
      <c r="O3376" s="20" t="n">
        <v>221969413</v>
      </c>
      <c r="P3376" s="43" t="n">
        <v>15072</v>
      </c>
      <c r="Q3376" s="20" t="n">
        <v>221969413</v>
      </c>
      <c r="R3376" s="42">
        <f>+L3376+N3376-P3376</f>
        <v/>
      </c>
      <c r="S3376" s="42">
        <f>+M3376+O3376-Q3376</f>
        <v/>
      </c>
    </row>
    <row r="3377" ht="30" customHeight="1">
      <c r="A3377" s="16" t="n">
        <v>45943</v>
      </c>
      <c r="B3377" s="17" t="inlineStr">
        <is>
          <t>MH2510-25</t>
        </is>
      </c>
      <c r="C3377" s="16" t="n">
        <v>45943</v>
      </c>
      <c r="D3377" s="17" t="inlineStr">
        <is>
          <t>00002267</t>
        </is>
      </c>
      <c r="E3377" s="16" t="n">
        <v>45943</v>
      </c>
      <c r="F3377" s="16" t="inlineStr">
        <is>
          <t>XK2512-02</t>
        </is>
      </c>
      <c r="G3377" s="16" t="n">
        <v>45992</v>
      </c>
      <c r="H3377" s="17" t="inlineStr">
        <is>
          <t>CÔNG TY TNHH DỊCH VỤ - THƯƠNG MẠI THÉP THIÊN LONG</t>
        </is>
      </c>
      <c r="I3377" s="17" t="inlineStr">
        <is>
          <t>Thép tấm 25ly</t>
        </is>
      </c>
      <c r="J3377" s="17" t="inlineStr">
        <is>
          <t>kg</t>
        </is>
      </c>
      <c r="K3377" s="19" t="n">
        <v>14727.27</v>
      </c>
      <c r="L3377" s="20" t="n"/>
      <c r="M3377" s="20" t="n"/>
      <c r="N3377" s="43" t="n">
        <v>14130</v>
      </c>
      <c r="O3377" s="20" t="n">
        <v>208096325</v>
      </c>
      <c r="P3377" s="43" t="n">
        <v>14130</v>
      </c>
      <c r="Q3377" s="20" t="n">
        <v>208096325</v>
      </c>
      <c r="R3377" s="42">
        <f>+L3377+N3377-P3377</f>
        <v/>
      </c>
      <c r="S3377" s="42">
        <f>+M3377+O3377-Q3377</f>
        <v/>
      </c>
    </row>
    <row r="3378" ht="30" customHeight="1">
      <c r="A3378" s="16" t="n">
        <v>45943</v>
      </c>
      <c r="B3378" s="17" t="inlineStr">
        <is>
          <t>MH2510-25</t>
        </is>
      </c>
      <c r="C3378" s="16" t="n">
        <v>45943</v>
      </c>
      <c r="D3378" s="17" t="inlineStr">
        <is>
          <t>00002267</t>
        </is>
      </c>
      <c r="E3378" s="16" t="n">
        <v>45943</v>
      </c>
      <c r="F3378" s="16" t="inlineStr">
        <is>
          <t>XK2512-02</t>
        </is>
      </c>
      <c r="G3378" s="16" t="n">
        <v>45992</v>
      </c>
      <c r="H3378" s="17" t="inlineStr">
        <is>
          <t>CÔNG TY TNHH DỊCH VỤ - THƯƠNG MẠI THÉP THIÊN LONG</t>
        </is>
      </c>
      <c r="I3378" s="17" t="inlineStr">
        <is>
          <t>Thép tấm 8ly</t>
        </is>
      </c>
      <c r="J3378" s="17" t="inlineStr">
        <is>
          <t>kg</t>
        </is>
      </c>
      <c r="K3378" s="19" t="n">
        <v>14090.9</v>
      </c>
      <c r="L3378" s="20" t="n"/>
      <c r="M3378" s="20" t="n"/>
      <c r="N3378" s="43" t="n">
        <v>30144</v>
      </c>
      <c r="O3378" s="20" t="n">
        <v>424756090</v>
      </c>
      <c r="P3378" s="43" t="n">
        <v>30144</v>
      </c>
      <c r="Q3378" s="20" t="n">
        <v>424756090</v>
      </c>
      <c r="R3378" s="42">
        <f>+L3378+N3378-P3378</f>
        <v/>
      </c>
      <c r="S3378" s="42">
        <f>+M3378+O3378-Q3378</f>
        <v/>
      </c>
    </row>
    <row r="3379" ht="30" customHeight="1">
      <c r="A3379" s="16" t="n">
        <v>45943</v>
      </c>
      <c r="B3379" s="17" t="inlineStr">
        <is>
          <t>MH2510-25</t>
        </is>
      </c>
      <c r="C3379" s="16" t="n">
        <v>45943</v>
      </c>
      <c r="D3379" s="17" t="inlineStr">
        <is>
          <t>00002267</t>
        </is>
      </c>
      <c r="E3379" s="16" t="n">
        <v>45943</v>
      </c>
      <c r="F3379" s="16" t="inlineStr">
        <is>
          <t>XK2512-02</t>
        </is>
      </c>
      <c r="G3379" s="16" t="n">
        <v>45992</v>
      </c>
      <c r="H3379" s="17" t="inlineStr">
        <is>
          <t>CÔNG TY TNHH DỊCH VỤ - THƯƠNG MẠI THÉP THIÊN LONG</t>
        </is>
      </c>
      <c r="I3379" s="17" t="inlineStr">
        <is>
          <t>Thép tấm 5ly</t>
        </is>
      </c>
      <c r="J3379" s="17" t="inlineStr">
        <is>
          <t>kg</t>
        </is>
      </c>
      <c r="K3379" s="19" t="n">
        <v>14090.9</v>
      </c>
      <c r="L3379" s="20" t="n"/>
      <c r="M3379" s="20" t="n"/>
      <c r="N3379" s="43" t="n">
        <v>32970</v>
      </c>
      <c r="O3379" s="20" t="n">
        <v>464576973</v>
      </c>
      <c r="P3379" s="43" t="n">
        <v>32970</v>
      </c>
      <c r="Q3379" s="20" t="n">
        <v>464576973</v>
      </c>
      <c r="R3379" s="42">
        <f>+L3379+N3379-P3379</f>
        <v/>
      </c>
      <c r="S3379" s="42">
        <f>+M3379+O3379-Q3379</f>
        <v/>
      </c>
    </row>
    <row r="3380" ht="30" customHeight="1">
      <c r="A3380" s="16" t="n">
        <v>45943</v>
      </c>
      <c r="B3380" s="17" t="inlineStr">
        <is>
          <t>MH2510-26</t>
        </is>
      </c>
      <c r="C3380" s="16" t="n">
        <v>45943</v>
      </c>
      <c r="D3380" s="17" t="inlineStr">
        <is>
          <t>00002268</t>
        </is>
      </c>
      <c r="E3380" s="16" t="n">
        <v>45943</v>
      </c>
      <c r="F3380" s="16" t="inlineStr">
        <is>
          <t>XK2510-33</t>
        </is>
      </c>
      <c r="G3380" s="16" t="n">
        <v>45943</v>
      </c>
      <c r="H3380" s="17" t="inlineStr">
        <is>
          <t>CÔNG TY TNHH DỊCH VỤ - THƯƠNG MẠI THÉP THIÊN LONG</t>
        </is>
      </c>
      <c r="I3380" s="17" t="inlineStr">
        <is>
          <t>Thép tấm 8ly</t>
        </is>
      </c>
      <c r="J3380" s="17" t="inlineStr">
        <is>
          <t>kg</t>
        </is>
      </c>
      <c r="K3380" s="19" t="n">
        <v>14090.9</v>
      </c>
      <c r="L3380" s="20" t="n"/>
      <c r="M3380" s="20" t="n"/>
      <c r="N3380" s="43" t="n">
        <v>30144</v>
      </c>
      <c r="O3380" s="20" t="n">
        <v>424756090</v>
      </c>
      <c r="P3380" s="43" t="n">
        <v>30144</v>
      </c>
      <c r="Q3380" s="20" t="n">
        <v>424756090</v>
      </c>
      <c r="R3380" s="42">
        <f>+L3380+N3380-P3380</f>
        <v/>
      </c>
      <c r="S3380" s="42">
        <f>+M3380+O3380-Q3380</f>
        <v/>
      </c>
    </row>
    <row r="3381" ht="15" customHeight="1">
      <c r="A3381" s="16" t="n">
        <v>45944</v>
      </c>
      <c r="B3381" s="17" t="inlineStr">
        <is>
          <t>MH2510-27</t>
        </is>
      </c>
      <c r="C3381" s="16" t="n">
        <v>45944</v>
      </c>
      <c r="D3381" s="17" t="inlineStr">
        <is>
          <t>2658</t>
        </is>
      </c>
      <c r="E3381" s="16" t="n">
        <v>45944</v>
      </c>
      <c r="F3381" s="16" t="inlineStr">
        <is>
          <t>XK2510-23</t>
        </is>
      </c>
      <c r="G3381" s="16" t="n">
        <v>45944</v>
      </c>
      <c r="H3381" s="17" t="inlineStr">
        <is>
          <t>CÔNG TY TNHH THÉP IPC SÀI GÒN</t>
        </is>
      </c>
      <c r="I3381" s="17" t="inlineStr">
        <is>
          <t>Thép tấm 8x2000x12000</t>
        </is>
      </c>
      <c r="J3381" s="17" t="inlineStr">
        <is>
          <t>kg</t>
        </is>
      </c>
      <c r="K3381" s="19" t="n">
        <v>13727.27</v>
      </c>
      <c r="L3381" s="20" t="n"/>
      <c r="M3381" s="20" t="n"/>
      <c r="N3381" s="43" t="n">
        <v>27129.6</v>
      </c>
      <c r="O3381" s="20" t="n">
        <v>372415344</v>
      </c>
      <c r="P3381" s="43" t="n">
        <v>27129.6</v>
      </c>
      <c r="Q3381" s="20" t="n">
        <v>372415344</v>
      </c>
      <c r="R3381" s="42">
        <f>+L3381+N3381-P3381</f>
        <v/>
      </c>
      <c r="S3381" s="42">
        <f>+M3381+O3381-Q3381</f>
        <v/>
      </c>
    </row>
    <row r="3382" ht="15" customHeight="1">
      <c r="A3382" s="16" t="n">
        <v>45944</v>
      </c>
      <c r="B3382" s="17" t="inlineStr">
        <is>
          <t>MH2510-27</t>
        </is>
      </c>
      <c r="C3382" s="16" t="n">
        <v>45944</v>
      </c>
      <c r="D3382" s="17" t="inlineStr">
        <is>
          <t>2658</t>
        </is>
      </c>
      <c r="E3382" s="16" t="n">
        <v>45944</v>
      </c>
      <c r="F3382" s="16" t="inlineStr">
        <is>
          <t>XK2510-23</t>
        </is>
      </c>
      <c r="G3382" s="16" t="n">
        <v>45944</v>
      </c>
      <c r="H3382" s="17" t="inlineStr">
        <is>
          <t>CÔNG TY TNHH THÉP IPC SÀI GÒN</t>
        </is>
      </c>
      <c r="I3382" s="17" t="inlineStr">
        <is>
          <t>Thép tấm 12x2000x12000</t>
        </is>
      </c>
      <c r="J3382" s="17" t="inlineStr">
        <is>
          <t>kg</t>
        </is>
      </c>
      <c r="K3382" s="19" t="n">
        <v>13727.27</v>
      </c>
      <c r="L3382" s="20" t="n"/>
      <c r="M3382" s="20" t="n"/>
      <c r="N3382" s="43" t="n">
        <v>33912</v>
      </c>
      <c r="O3382" s="20" t="n">
        <v>465519180</v>
      </c>
      <c r="P3382" s="43" t="n">
        <v>33912</v>
      </c>
      <c r="Q3382" s="20" t="n">
        <v>465519180</v>
      </c>
      <c r="R3382" s="42">
        <f>+L3382+N3382-P3382</f>
        <v/>
      </c>
      <c r="S3382" s="42">
        <f>+M3382+O3382-Q3382</f>
        <v/>
      </c>
    </row>
    <row r="3383" ht="30" customHeight="1">
      <c r="A3383" s="16" t="n">
        <v>45944</v>
      </c>
      <c r="B3383" s="17" t="inlineStr">
        <is>
          <t>MH2510-28</t>
        </is>
      </c>
      <c r="C3383" s="16" t="n">
        <v>45944</v>
      </c>
      <c r="D3383" s="17" t="inlineStr">
        <is>
          <t>00002274</t>
        </is>
      </c>
      <c r="E3383" s="16" t="n">
        <v>45944</v>
      </c>
      <c r="F3383" s="16" t="inlineStr">
        <is>
          <t>XK2512-43</t>
        </is>
      </c>
      <c r="G3383" s="16" t="n">
        <v>46022</v>
      </c>
      <c r="H3383" s="17" t="inlineStr">
        <is>
          <t>CÔNG TY TNHH DỊCH VỤ - THƯƠNG MẠI THÉP THIÊN LONG</t>
        </is>
      </c>
      <c r="I3383" s="17" t="inlineStr">
        <is>
          <t>Thép tấm 16ly</t>
        </is>
      </c>
      <c r="J3383" s="17" t="inlineStr">
        <is>
          <t>kg</t>
        </is>
      </c>
      <c r="K3383" s="19" t="n">
        <v>14727.27</v>
      </c>
      <c r="L3383" s="20" t="n"/>
      <c r="M3383" s="20" t="n"/>
      <c r="N3383" s="43" t="n">
        <v>6028.8</v>
      </c>
      <c r="O3383" s="20" t="n">
        <v>88787765</v>
      </c>
      <c r="P3383" s="43" t="n">
        <v>6028.8</v>
      </c>
      <c r="Q3383" s="20" t="n">
        <v>88787765</v>
      </c>
      <c r="R3383" s="42">
        <f>+L3383+N3383-P3383</f>
        <v/>
      </c>
      <c r="S3383" s="42">
        <f>+M3383+O3383-Q3383</f>
        <v/>
      </c>
    </row>
    <row r="3384" ht="30" customHeight="1">
      <c r="A3384" s="16" t="n">
        <v>45944</v>
      </c>
      <c r="B3384" s="17" t="inlineStr">
        <is>
          <t>MH2510-28</t>
        </is>
      </c>
      <c r="C3384" s="16" t="n">
        <v>45944</v>
      </c>
      <c r="D3384" s="17" t="inlineStr">
        <is>
          <t>00002274</t>
        </is>
      </c>
      <c r="E3384" s="16" t="n">
        <v>45944</v>
      </c>
      <c r="F3384" s="16" t="inlineStr">
        <is>
          <t>XK2512-43</t>
        </is>
      </c>
      <c r="G3384" s="16" t="n">
        <v>46022</v>
      </c>
      <c r="H3384" s="17" t="inlineStr">
        <is>
          <t>CÔNG TY TNHH DỊCH VỤ - THƯƠNG MẠI THÉP THIÊN LONG</t>
        </is>
      </c>
      <c r="I3384" s="17" t="inlineStr">
        <is>
          <t>Thép tấm 30ly</t>
        </is>
      </c>
      <c r="J3384" s="17" t="inlineStr">
        <is>
          <t>kg</t>
        </is>
      </c>
      <c r="K3384" s="19" t="n">
        <v>14727.27</v>
      </c>
      <c r="L3384" s="20" t="n"/>
      <c r="M3384" s="20" t="n"/>
      <c r="N3384" s="43" t="n">
        <v>22608</v>
      </c>
      <c r="O3384" s="20" t="n">
        <v>332954120</v>
      </c>
      <c r="P3384" s="43" t="n">
        <v>22608</v>
      </c>
      <c r="Q3384" s="20" t="n">
        <v>332954120</v>
      </c>
      <c r="R3384" s="42">
        <f>+L3384+N3384-P3384</f>
        <v/>
      </c>
      <c r="S3384" s="42">
        <f>+M3384+O3384-Q3384</f>
        <v/>
      </c>
    </row>
    <row r="3385" ht="15" customHeight="1">
      <c r="A3385" s="16" t="n">
        <v>45944</v>
      </c>
      <c r="B3385" s="17" t="inlineStr">
        <is>
          <t>MH2510-30</t>
        </is>
      </c>
      <c r="C3385" s="16" t="n">
        <v>45944</v>
      </c>
      <c r="D3385" s="17" t="inlineStr">
        <is>
          <t>00009685</t>
        </is>
      </c>
      <c r="E3385" s="16" t="n">
        <v>45944</v>
      </c>
      <c r="F3385" s="16" t="inlineStr">
        <is>
          <t>XK2510-24</t>
        </is>
      </c>
      <c r="G3385" s="16" t="n">
        <v>45944</v>
      </c>
      <c r="H3385" s="17" t="inlineStr">
        <is>
          <t>CÔNG TY TNHH SƠN JOTUN VIỆT NAM</t>
        </is>
      </c>
      <c r="I3385" s="17" t="inlineStr">
        <is>
          <t>SƠN JOTAMASTIC 70 GREY 18L</t>
        </is>
      </c>
      <c r="J3385" s="17" t="inlineStr">
        <is>
          <t>Lít</t>
        </is>
      </c>
      <c r="K3385" s="19" t="n">
        <v>90000</v>
      </c>
      <c r="L3385" s="20" t="n"/>
      <c r="M3385" s="20" t="n"/>
      <c r="N3385" s="43" t="n">
        <v>738</v>
      </c>
      <c r="O3385" s="20" t="n">
        <v>66420000</v>
      </c>
      <c r="P3385" s="43" t="n">
        <v>738</v>
      </c>
      <c r="Q3385" s="20" t="n">
        <v>66420000</v>
      </c>
      <c r="R3385" s="42">
        <f>+L3385+N3385-P3385</f>
        <v/>
      </c>
      <c r="S3385" s="42">
        <f>+M3385+O3385-Q3385</f>
        <v/>
      </c>
    </row>
    <row r="3386" ht="15" customHeight="1">
      <c r="A3386" s="16" t="n">
        <v>45944</v>
      </c>
      <c r="B3386" s="17" t="inlineStr">
        <is>
          <t>MH2510-30</t>
        </is>
      </c>
      <c r="C3386" s="16" t="n">
        <v>45944</v>
      </c>
      <c r="D3386" s="17" t="inlineStr">
        <is>
          <t>00009685</t>
        </is>
      </c>
      <c r="E3386" s="16" t="n">
        <v>45944</v>
      </c>
      <c r="F3386" s="16" t="inlineStr">
        <is>
          <t>XK2510-24</t>
        </is>
      </c>
      <c r="G3386" s="16" t="n">
        <v>45944</v>
      </c>
      <c r="H3386" s="17" t="inlineStr">
        <is>
          <t>CÔNG TY TNHH SƠN JOTUN VIỆT NAM</t>
        </is>
      </c>
      <c r="I3386" s="17" t="inlineStr">
        <is>
          <t>DUNG MÔI JOTUN THINNER NO. 17 20L</t>
        </is>
      </c>
      <c r="J3386" s="17" t="inlineStr">
        <is>
          <t>Lít</t>
        </is>
      </c>
      <c r="K3386" s="19" t="n">
        <v>60000</v>
      </c>
      <c r="L3386" s="20" t="n"/>
      <c r="M3386" s="20" t="n"/>
      <c r="N3386" s="43" t="n">
        <v>100</v>
      </c>
      <c r="O3386" s="20" t="n">
        <v>6000000</v>
      </c>
      <c r="P3386" s="43" t="n">
        <v>100</v>
      </c>
      <c r="Q3386" s="20" t="n">
        <v>6000000</v>
      </c>
      <c r="R3386" s="42">
        <f>+L3386+N3386-P3386</f>
        <v/>
      </c>
      <c r="S3386" s="42">
        <f>+M3386+O3386-Q3386</f>
        <v/>
      </c>
    </row>
    <row r="3387" ht="15" customHeight="1">
      <c r="A3387" s="16" t="n">
        <v>45944</v>
      </c>
      <c r="B3387" s="17" t="inlineStr">
        <is>
          <t>MH2510-30</t>
        </is>
      </c>
      <c r="C3387" s="16" t="n">
        <v>45944</v>
      </c>
      <c r="D3387" s="17" t="inlineStr">
        <is>
          <t>00009685</t>
        </is>
      </c>
      <c r="E3387" s="16" t="n">
        <v>45944</v>
      </c>
      <c r="F3387" s="16" t="inlineStr">
        <is>
          <t>XK2510-24</t>
        </is>
      </c>
      <c r="G3387" s="16" t="n">
        <v>45944</v>
      </c>
      <c r="H3387" s="17" t="inlineStr">
        <is>
          <t>CÔNG TY TNHH SƠN JOTUN VIỆT NAM</t>
        </is>
      </c>
      <c r="I3387" s="17" t="inlineStr">
        <is>
          <t>DUNG MÔI JOTUN THINNER NO. 17 5L</t>
        </is>
      </c>
      <c r="J3387" s="17" t="inlineStr">
        <is>
          <t>Lít</t>
        </is>
      </c>
      <c r="K3387" s="19" t="n">
        <v>60000</v>
      </c>
      <c r="L3387" s="20" t="n"/>
      <c r="M3387" s="20" t="n"/>
      <c r="N3387" s="43" t="n">
        <v>5</v>
      </c>
      <c r="O3387" s="20" t="n">
        <v>300000</v>
      </c>
      <c r="P3387" s="43" t="n">
        <v>5</v>
      </c>
      <c r="Q3387" s="20" t="n">
        <v>300000</v>
      </c>
      <c r="R3387" s="42">
        <f>+L3387+N3387-P3387</f>
        <v/>
      </c>
      <c r="S3387" s="42">
        <f>+M3387+O3387-Q3387</f>
        <v/>
      </c>
    </row>
    <row r="3388" ht="30" customHeight="1">
      <c r="A3388" s="16" t="n">
        <v>45944</v>
      </c>
      <c r="B3388" s="17" t="inlineStr">
        <is>
          <t>MH2510-31</t>
        </is>
      </c>
      <c r="C3388" s="16" t="n">
        <v>45944</v>
      </c>
      <c r="D3388" s="17" t="inlineStr">
        <is>
          <t>00004043</t>
        </is>
      </c>
      <c r="E3388" s="16" t="n">
        <v>45944</v>
      </c>
      <c r="F3388" s="16" t="inlineStr">
        <is>
          <t>XK2510-25</t>
        </is>
      </c>
      <c r="G3388" s="16" t="n">
        <v>45944</v>
      </c>
      <c r="H3388" s="17" t="inlineStr">
        <is>
          <t>CÔNG TY CỔ PHẦN CÔNG NGHIỆP VÀ THƯƠNG MẠI CƯỜNG THỊNH</t>
        </is>
      </c>
      <c r="I3388" s="17" t="inlineStr">
        <is>
          <t>Bulong nở 5.6 ZP M12x120</t>
        </is>
      </c>
      <c r="J3388" s="17" t="inlineStr">
        <is>
          <t>Bộ</t>
        </is>
      </c>
      <c r="K3388" s="19" t="n">
        <v>15000</v>
      </c>
      <c r="L3388" s="20" t="n"/>
      <c r="M3388" s="20" t="n"/>
      <c r="N3388" s="43" t="n">
        <v>14</v>
      </c>
      <c r="O3388" s="20" t="n">
        <v>210000</v>
      </c>
      <c r="P3388" s="43" t="n">
        <v>14</v>
      </c>
      <c r="Q3388" s="20" t="n">
        <v>210000</v>
      </c>
      <c r="R3388" s="42">
        <f>+L3388+N3388-P3388</f>
        <v/>
      </c>
      <c r="S3388" s="42">
        <f>+M3388+O3388-Q3388</f>
        <v/>
      </c>
    </row>
    <row r="3389" ht="30" customHeight="1">
      <c r="A3389" s="16" t="n">
        <v>45944</v>
      </c>
      <c r="B3389" s="17" t="inlineStr">
        <is>
          <t>MH2510-31</t>
        </is>
      </c>
      <c r="C3389" s="16" t="n">
        <v>45944</v>
      </c>
      <c r="D3389" s="17" t="inlineStr">
        <is>
          <t>00004043</t>
        </is>
      </c>
      <c r="E3389" s="16" t="n">
        <v>45944</v>
      </c>
      <c r="F3389" s="16" t="inlineStr">
        <is>
          <t>XK2510-25</t>
        </is>
      </c>
      <c r="G3389" s="16" t="n">
        <v>45944</v>
      </c>
      <c r="H3389" s="17" t="inlineStr">
        <is>
          <t>CÔNG TY CỔ PHẦN CÔNG NGHIỆP VÀ THƯƠNG MẠI CƯỜNG THỊNH</t>
        </is>
      </c>
      <c r="I3389" s="17" t="inlineStr">
        <is>
          <t>Bulong khía 4.6 ZP M12x30</t>
        </is>
      </c>
      <c r="J3389" s="17" t="inlineStr">
        <is>
          <t>Cái</t>
        </is>
      </c>
      <c r="K3389" s="19" t="n">
        <v>5000</v>
      </c>
      <c r="L3389" s="20" t="n"/>
      <c r="M3389" s="20" t="n"/>
      <c r="N3389" s="43" t="n">
        <v>747</v>
      </c>
      <c r="O3389" s="20" t="n">
        <v>3735000</v>
      </c>
      <c r="P3389" s="43" t="n">
        <v>747</v>
      </c>
      <c r="Q3389" s="20" t="n">
        <v>3735000</v>
      </c>
      <c r="R3389" s="42">
        <f>+L3389+N3389-P3389</f>
        <v/>
      </c>
      <c r="S3389" s="42">
        <f>+M3389+O3389-Q3389</f>
        <v/>
      </c>
    </row>
    <row r="3390" ht="30" customHeight="1">
      <c r="A3390" s="16" t="n">
        <v>45944</v>
      </c>
      <c r="B3390" s="17" t="inlineStr">
        <is>
          <t>MH2510-31</t>
        </is>
      </c>
      <c r="C3390" s="16" t="n">
        <v>45944</v>
      </c>
      <c r="D3390" s="17" t="inlineStr">
        <is>
          <t>00004043</t>
        </is>
      </c>
      <c r="E3390" s="16" t="n">
        <v>45944</v>
      </c>
      <c r="F3390" s="16" t="inlineStr">
        <is>
          <t>XK2510-25</t>
        </is>
      </c>
      <c r="G3390" s="16" t="n">
        <v>45944</v>
      </c>
      <c r="H3390" s="17" t="inlineStr">
        <is>
          <t>CÔNG TY CỔ PHẦN CÔNG NGHIỆP VÀ THƯƠNG MẠI CƯỜNG THỊNH</t>
        </is>
      </c>
      <c r="I3390" s="17" t="inlineStr">
        <is>
          <t>Đai ốc thường 4 ZP M12 (9mm)</t>
        </is>
      </c>
      <c r="J3390" s="17" t="inlineStr">
        <is>
          <t>Cái</t>
        </is>
      </c>
      <c r="K3390" s="19" t="n">
        <v>350</v>
      </c>
      <c r="L3390" s="20" t="n"/>
      <c r="M3390" s="20" t="n"/>
      <c r="N3390" s="43" t="n">
        <v>747</v>
      </c>
      <c r="O3390" s="20" t="n">
        <v>261450</v>
      </c>
      <c r="P3390" s="43" t="n">
        <v>747</v>
      </c>
      <c r="Q3390" s="20" t="n">
        <v>261450</v>
      </c>
      <c r="R3390" s="42">
        <f>+L3390+N3390-P3390</f>
        <v/>
      </c>
      <c r="S3390" s="42">
        <f>+M3390+O3390-Q3390</f>
        <v/>
      </c>
    </row>
    <row r="3391" ht="30" customHeight="1">
      <c r="A3391" s="16" t="n">
        <v>45944</v>
      </c>
      <c r="B3391" s="17" t="inlineStr">
        <is>
          <t>MH2510-31</t>
        </is>
      </c>
      <c r="C3391" s="16" t="n">
        <v>45944</v>
      </c>
      <c r="D3391" s="17" t="inlineStr">
        <is>
          <t>00004043</t>
        </is>
      </c>
      <c r="E3391" s="16" t="n">
        <v>45944</v>
      </c>
      <c r="F3391" s="16" t="inlineStr">
        <is>
          <t>XK2510-25</t>
        </is>
      </c>
      <c r="G3391" s="16" t="n">
        <v>45944</v>
      </c>
      <c r="H3391" s="17" t="inlineStr">
        <is>
          <t>CÔNG TY CỔ PHẦN CÔNG NGHIỆP VÀ THƯƠNG MẠI CƯỜNG THỊNH</t>
        </is>
      </c>
      <c r="I3391" s="17" t="inlineStr">
        <is>
          <t>Long đền thường ZP M12B23D1</t>
        </is>
      </c>
      <c r="J3391" s="17" t="inlineStr">
        <is>
          <t>Cái</t>
        </is>
      </c>
      <c r="K3391" s="19" t="n">
        <v>100</v>
      </c>
      <c r="L3391" s="20" t="n"/>
      <c r="M3391" s="20" t="n"/>
      <c r="N3391" s="43" t="n">
        <v>1494</v>
      </c>
      <c r="O3391" s="20" t="n">
        <v>149400</v>
      </c>
      <c r="P3391" s="43" t="n">
        <v>1494</v>
      </c>
      <c r="Q3391" s="20" t="n">
        <v>149400</v>
      </c>
      <c r="R3391" s="42">
        <f>+L3391+N3391-P3391</f>
        <v/>
      </c>
      <c r="S3391" s="42">
        <f>+M3391+O3391-Q3391</f>
        <v/>
      </c>
    </row>
    <row r="3392" ht="30" customHeight="1">
      <c r="A3392" s="16" t="n">
        <v>45944</v>
      </c>
      <c r="B3392" s="17" t="inlineStr">
        <is>
          <t>MH2510-31</t>
        </is>
      </c>
      <c r="C3392" s="16" t="n">
        <v>45944</v>
      </c>
      <c r="D3392" s="17" t="inlineStr">
        <is>
          <t>00004043</t>
        </is>
      </c>
      <c r="E3392" s="16" t="n">
        <v>45944</v>
      </c>
      <c r="F3392" s="16" t="inlineStr">
        <is>
          <t>XK2510-25</t>
        </is>
      </c>
      <c r="G3392" s="16" t="n">
        <v>45944</v>
      </c>
      <c r="H3392" s="17" t="inlineStr">
        <is>
          <t>CÔNG TY CỔ PHẦN CÔNG NGHIỆP VÀ THƯƠNG MẠI CƯỜNG THỊNH</t>
        </is>
      </c>
      <c r="I3392" s="17" t="inlineStr">
        <is>
          <t>Bulong thường 4.6 ZP M12x50</t>
        </is>
      </c>
      <c r="J3392" s="17" t="inlineStr">
        <is>
          <t>Cái</t>
        </is>
      </c>
      <c r="K3392" s="19" t="n">
        <v>1300</v>
      </c>
      <c r="L3392" s="20" t="n"/>
      <c r="M3392" s="20" t="n"/>
      <c r="N3392" s="43" t="n">
        <v>52</v>
      </c>
      <c r="O3392" s="20" t="n">
        <v>67600</v>
      </c>
      <c r="P3392" s="43" t="n">
        <v>52</v>
      </c>
      <c r="Q3392" s="20" t="n">
        <v>67600</v>
      </c>
      <c r="R3392" s="42">
        <f>+L3392+N3392-P3392</f>
        <v/>
      </c>
      <c r="S3392" s="42">
        <f>+M3392+O3392-Q3392</f>
        <v/>
      </c>
    </row>
    <row r="3393" ht="30" customHeight="1">
      <c r="A3393" s="16" t="n">
        <v>45944</v>
      </c>
      <c r="B3393" s="17" t="inlineStr">
        <is>
          <t>MH2510-31</t>
        </is>
      </c>
      <c r="C3393" s="16" t="n">
        <v>45944</v>
      </c>
      <c r="D3393" s="17" t="inlineStr">
        <is>
          <t>00004043</t>
        </is>
      </c>
      <c r="E3393" s="16" t="n">
        <v>45944</v>
      </c>
      <c r="F3393" s="16" t="inlineStr">
        <is>
          <t>XK2510-25</t>
        </is>
      </c>
      <c r="G3393" s="16" t="n">
        <v>45944</v>
      </c>
      <c r="H3393" s="17" t="inlineStr">
        <is>
          <t>CÔNG TY CỔ PHẦN CÔNG NGHIỆP VÀ THƯƠNG MẠI CƯỜNG THỊNH</t>
        </is>
      </c>
      <c r="I3393" s="17" t="inlineStr">
        <is>
          <t>Đai ốc thường 4 ZP M12 (9mm)</t>
        </is>
      </c>
      <c r="J3393" s="17" t="inlineStr">
        <is>
          <t>Cái</t>
        </is>
      </c>
      <c r="K3393" s="19" t="n">
        <v>350</v>
      </c>
      <c r="L3393" s="20" t="n"/>
      <c r="M3393" s="20" t="n"/>
      <c r="N3393" s="43" t="n">
        <v>52</v>
      </c>
      <c r="O3393" s="20" t="n">
        <v>18200</v>
      </c>
      <c r="P3393" s="43" t="n">
        <v>52</v>
      </c>
      <c r="Q3393" s="20" t="n">
        <v>18200</v>
      </c>
      <c r="R3393" s="42">
        <f>+L3393+N3393-P3393</f>
        <v/>
      </c>
      <c r="S3393" s="42">
        <f>+M3393+O3393-Q3393</f>
        <v/>
      </c>
    </row>
    <row r="3394" ht="30" customHeight="1">
      <c r="A3394" s="16" t="n">
        <v>45944</v>
      </c>
      <c r="B3394" s="17" t="inlineStr">
        <is>
          <t>MH2510-31</t>
        </is>
      </c>
      <c r="C3394" s="16" t="n">
        <v>45944</v>
      </c>
      <c r="D3394" s="17" t="inlineStr">
        <is>
          <t>00004043</t>
        </is>
      </c>
      <c r="E3394" s="16" t="n">
        <v>45944</v>
      </c>
      <c r="F3394" s="16" t="inlineStr">
        <is>
          <t>XK2510-25</t>
        </is>
      </c>
      <c r="G3394" s="16" t="n">
        <v>45944</v>
      </c>
      <c r="H3394" s="17" t="inlineStr">
        <is>
          <t>CÔNG TY CỔ PHẦN CÔNG NGHIỆP VÀ THƯƠNG MẠI CƯỜNG THỊNH</t>
        </is>
      </c>
      <c r="I3394" s="17" t="inlineStr">
        <is>
          <t>Long đền thường ZP M12B23D1</t>
        </is>
      </c>
      <c r="J3394" s="17" t="inlineStr">
        <is>
          <t>Cái</t>
        </is>
      </c>
      <c r="K3394" s="19" t="n">
        <v>100</v>
      </c>
      <c r="L3394" s="20" t="n"/>
      <c r="M3394" s="20" t="n"/>
      <c r="N3394" s="43" t="n">
        <v>104</v>
      </c>
      <c r="O3394" s="20" t="n">
        <v>10400</v>
      </c>
      <c r="P3394" s="43" t="n">
        <v>104</v>
      </c>
      <c r="Q3394" s="20" t="n">
        <v>10400</v>
      </c>
      <c r="R3394" s="42">
        <f>+L3394+N3394-P3394</f>
        <v/>
      </c>
      <c r="S3394" s="42">
        <f>+M3394+O3394-Q3394</f>
        <v/>
      </c>
    </row>
    <row r="3395" ht="30" customHeight="1">
      <c r="A3395" s="16" t="n">
        <v>45944</v>
      </c>
      <c r="B3395" s="17" t="inlineStr">
        <is>
          <t>MH2510-31</t>
        </is>
      </c>
      <c r="C3395" s="16" t="n">
        <v>45944</v>
      </c>
      <c r="D3395" s="17" t="inlineStr">
        <is>
          <t>00004043</t>
        </is>
      </c>
      <c r="E3395" s="16" t="n">
        <v>45944</v>
      </c>
      <c r="F3395" s="16" t="inlineStr">
        <is>
          <t>XK2510-25</t>
        </is>
      </c>
      <c r="G3395" s="16" t="n">
        <v>45944</v>
      </c>
      <c r="H3395" s="17" t="inlineStr">
        <is>
          <t>CÔNG TY CỔ PHẦN CÔNG NGHIỆP VÀ THƯƠNG MẠI CƯỜNG THỊNH</t>
        </is>
      </c>
      <c r="I3395" s="17" t="inlineStr">
        <is>
          <t>Bulong nở 5.6 ZP M12x100</t>
        </is>
      </c>
      <c r="J3395" s="17" t="inlineStr">
        <is>
          <t>Bộ</t>
        </is>
      </c>
      <c r="K3395" s="19" t="n">
        <v>8380</v>
      </c>
      <c r="L3395" s="20" t="n"/>
      <c r="M3395" s="20" t="n"/>
      <c r="N3395" s="43" t="n">
        <v>10</v>
      </c>
      <c r="O3395" s="20" t="n">
        <v>83800</v>
      </c>
      <c r="P3395" s="43" t="n">
        <v>10</v>
      </c>
      <c r="Q3395" s="20" t="n">
        <v>83800</v>
      </c>
      <c r="R3395" s="42">
        <f>+L3395+N3395-P3395</f>
        <v/>
      </c>
      <c r="S3395" s="42">
        <f>+M3395+O3395-Q3395</f>
        <v/>
      </c>
    </row>
    <row r="3396" ht="30" customHeight="1">
      <c r="A3396" s="16" t="n">
        <v>45944</v>
      </c>
      <c r="B3396" s="17" t="inlineStr">
        <is>
          <t>MH2510-32</t>
        </is>
      </c>
      <c r="C3396" s="16" t="n">
        <v>45944</v>
      </c>
      <c r="D3396" s="17" t="inlineStr">
        <is>
          <t>00004042</t>
        </is>
      </c>
      <c r="E3396" s="16" t="n">
        <v>45944</v>
      </c>
      <c r="F3396" s="16" t="inlineStr">
        <is>
          <t>XK2510-26</t>
        </is>
      </c>
      <c r="G3396" s="16" t="n">
        <v>45944</v>
      </c>
      <c r="H3396" s="17" t="inlineStr">
        <is>
          <t>CÔNG TY CỔ PHẦN CÔNG NGHIỆP VÀ THƯƠNG MẠI CƯỜNG THỊNH</t>
        </is>
      </c>
      <c r="I3396" s="17" t="inlineStr">
        <is>
          <t>Ty giằng 2 đầu ren 4.6 ZP M20</t>
        </is>
      </c>
      <c r="J3396" s="17" t="inlineStr">
        <is>
          <t>Mét</t>
        </is>
      </c>
      <c r="K3396" s="19" t="n">
        <v>69000</v>
      </c>
      <c r="L3396" s="20" t="n"/>
      <c r="M3396" s="20" t="n"/>
      <c r="N3396" s="43" t="n">
        <v>478.3</v>
      </c>
      <c r="O3396" s="20" t="n">
        <v>33002700</v>
      </c>
      <c r="P3396" s="43" t="n">
        <v>478.3</v>
      </c>
      <c r="Q3396" s="20" t="n">
        <v>33002700</v>
      </c>
      <c r="R3396" s="42">
        <f>+L3396+N3396-P3396</f>
        <v/>
      </c>
      <c r="S3396" s="42">
        <f>+M3396+O3396-Q3396</f>
        <v/>
      </c>
    </row>
    <row r="3397" ht="30" customHeight="1">
      <c r="A3397" s="16" t="n">
        <v>45944</v>
      </c>
      <c r="B3397" s="17" t="inlineStr">
        <is>
          <t>MH2510-32</t>
        </is>
      </c>
      <c r="C3397" s="16" t="n">
        <v>45944</v>
      </c>
      <c r="D3397" s="17" t="inlineStr">
        <is>
          <t>00004042</t>
        </is>
      </c>
      <c r="E3397" s="16" t="n">
        <v>45944</v>
      </c>
      <c r="F3397" s="16" t="inlineStr">
        <is>
          <t>XK2510-26</t>
        </is>
      </c>
      <c r="G3397" s="16" t="n">
        <v>45944</v>
      </c>
      <c r="H3397" s="17" t="inlineStr">
        <is>
          <t>CÔNG TY CỔ PHẦN CÔNG NGHIỆP VÀ THƯƠNG MẠI CƯỜNG THỊNH</t>
        </is>
      </c>
      <c r="I3397" s="17" t="inlineStr">
        <is>
          <t>Đai ốc Din 934 5 ZP M20</t>
        </is>
      </c>
      <c r="J3397" s="17" t="inlineStr">
        <is>
          <t>Cái</t>
        </is>
      </c>
      <c r="K3397" s="19" t="n">
        <v>1850</v>
      </c>
      <c r="L3397" s="20" t="n"/>
      <c r="M3397" s="20" t="n"/>
      <c r="N3397" s="43" t="n">
        <v>80</v>
      </c>
      <c r="O3397" s="20" t="n">
        <v>148000</v>
      </c>
      <c r="P3397" s="43" t="n">
        <v>80</v>
      </c>
      <c r="Q3397" s="20" t="n">
        <v>148000</v>
      </c>
      <c r="R3397" s="42">
        <f>+L3397+N3397-P3397</f>
        <v/>
      </c>
      <c r="S3397" s="42">
        <f>+M3397+O3397-Q3397</f>
        <v/>
      </c>
    </row>
    <row r="3398" ht="30" customHeight="1">
      <c r="A3398" s="16" t="n">
        <v>45944</v>
      </c>
      <c r="B3398" s="17" t="inlineStr">
        <is>
          <t>MH2510-32</t>
        </is>
      </c>
      <c r="C3398" s="16" t="n">
        <v>45944</v>
      </c>
      <c r="D3398" s="17" t="inlineStr">
        <is>
          <t>00004042</t>
        </is>
      </c>
      <c r="E3398" s="16" t="n">
        <v>45944</v>
      </c>
      <c r="F3398" s="16" t="inlineStr">
        <is>
          <t>XK2510-26</t>
        </is>
      </c>
      <c r="G3398" s="16" t="n">
        <v>45944</v>
      </c>
      <c r="H3398" s="17" t="inlineStr">
        <is>
          <t>CÔNG TY CỔ PHẦN CÔNG NGHIỆP VÀ THƯƠNG MẠI CƯỜNG THỊNH</t>
        </is>
      </c>
      <c r="I3398" s="17" t="inlineStr">
        <is>
          <t>Long đền thường ZP M20B42D2</t>
        </is>
      </c>
      <c r="J3398" s="17" t="inlineStr">
        <is>
          <t>Cái</t>
        </is>
      </c>
      <c r="K3398" s="19" t="n">
        <v>700</v>
      </c>
      <c r="L3398" s="20" t="n"/>
      <c r="M3398" s="20" t="n"/>
      <c r="N3398" s="43" t="n">
        <v>80</v>
      </c>
      <c r="O3398" s="20" t="n">
        <v>56000</v>
      </c>
      <c r="P3398" s="43" t="n">
        <v>80</v>
      </c>
      <c r="Q3398" s="20" t="n">
        <v>56000</v>
      </c>
      <c r="R3398" s="42">
        <f>+L3398+N3398-P3398</f>
        <v/>
      </c>
      <c r="S3398" s="42">
        <f>+M3398+O3398-Q3398</f>
        <v/>
      </c>
    </row>
    <row r="3399" ht="30" customHeight="1">
      <c r="A3399" s="16" t="n">
        <v>45944</v>
      </c>
      <c r="B3399" s="17" t="inlineStr">
        <is>
          <t>MH2510-32</t>
        </is>
      </c>
      <c r="C3399" s="16" t="n">
        <v>45944</v>
      </c>
      <c r="D3399" s="17" t="inlineStr">
        <is>
          <t>00004042</t>
        </is>
      </c>
      <c r="E3399" s="16" t="n">
        <v>45944</v>
      </c>
      <c r="F3399" s="16" t="inlineStr">
        <is>
          <t>XK2510-26</t>
        </is>
      </c>
      <c r="G3399" s="16" t="n">
        <v>45944</v>
      </c>
      <c r="H3399" s="17" t="inlineStr">
        <is>
          <t>CÔNG TY CỔ PHẦN CÔNG NGHIỆP VÀ THƯƠNG MẠI CƯỜNG THỊNH</t>
        </is>
      </c>
      <c r="I3399" s="17" t="inlineStr">
        <is>
          <t>Long đền móng ngựa ZP M20</t>
        </is>
      </c>
      <c r="J3399" s="17" t="inlineStr">
        <is>
          <t>Cái</t>
        </is>
      </c>
      <c r="K3399" s="19" t="n">
        <v>15590</v>
      </c>
      <c r="L3399" s="20" t="n"/>
      <c r="M3399" s="20" t="n"/>
      <c r="N3399" s="43" t="n">
        <v>80</v>
      </c>
      <c r="O3399" s="20" t="n">
        <v>1247200</v>
      </c>
      <c r="P3399" s="43" t="n">
        <v>80</v>
      </c>
      <c r="Q3399" s="20" t="n">
        <v>1247200</v>
      </c>
      <c r="R3399" s="42">
        <f>+L3399+N3399-P3399</f>
        <v/>
      </c>
      <c r="S3399" s="42">
        <f>+M3399+O3399-Q3399</f>
        <v/>
      </c>
    </row>
    <row r="3400" ht="30" customHeight="1">
      <c r="A3400" s="16" t="n">
        <v>45944</v>
      </c>
      <c r="B3400" s="17" t="inlineStr">
        <is>
          <t>MH2510-32</t>
        </is>
      </c>
      <c r="C3400" s="16" t="n">
        <v>45944</v>
      </c>
      <c r="D3400" s="17" t="inlineStr">
        <is>
          <t>00004042</t>
        </is>
      </c>
      <c r="E3400" s="16" t="n">
        <v>45944</v>
      </c>
      <c r="F3400" s="16" t="inlineStr">
        <is>
          <t>XK2510-26</t>
        </is>
      </c>
      <c r="G3400" s="16" t="n">
        <v>45944</v>
      </c>
      <c r="H3400" s="17" t="inlineStr">
        <is>
          <t>CÔNG TY CỔ PHẦN CÔNG NGHIỆP VÀ THƯƠNG MẠI CƯỜNG THỊNH</t>
        </is>
      </c>
      <c r="I3400" s="17" t="inlineStr">
        <is>
          <t>Nối Ty ZP M20x100(28mm)</t>
        </is>
      </c>
      <c r="J3400" s="17" t="inlineStr">
        <is>
          <t>Cái</t>
        </is>
      </c>
      <c r="K3400" s="19" t="n">
        <v>24470</v>
      </c>
      <c r="L3400" s="20" t="n"/>
      <c r="M3400" s="20" t="n"/>
      <c r="N3400" s="43" t="n">
        <v>56</v>
      </c>
      <c r="O3400" s="20" t="n">
        <v>1370320</v>
      </c>
      <c r="P3400" s="43" t="n">
        <v>56</v>
      </c>
      <c r="Q3400" s="20" t="n">
        <v>1370320</v>
      </c>
      <c r="R3400" s="42">
        <f>+L3400+N3400-P3400</f>
        <v/>
      </c>
      <c r="S3400" s="42">
        <f>+M3400+O3400-Q3400</f>
        <v/>
      </c>
    </row>
    <row r="3401" ht="30" customHeight="1">
      <c r="A3401" s="16" t="n">
        <v>45944</v>
      </c>
      <c r="B3401" s="17" t="inlineStr">
        <is>
          <t>MH2510-32</t>
        </is>
      </c>
      <c r="C3401" s="16" t="n">
        <v>45944</v>
      </c>
      <c r="D3401" s="17" t="inlineStr">
        <is>
          <t>00004042</t>
        </is>
      </c>
      <c r="E3401" s="16" t="n">
        <v>45944</v>
      </c>
      <c r="F3401" s="16" t="inlineStr">
        <is>
          <t>XK2510-26</t>
        </is>
      </c>
      <c r="G3401" s="16" t="n">
        <v>45944</v>
      </c>
      <c r="H3401" s="17" t="inlineStr">
        <is>
          <t>CÔNG TY CỔ PHẦN CÔNG NGHIỆP VÀ THƯƠNG MẠI CƯỜNG THỊNH</t>
        </is>
      </c>
      <c r="I3401" s="17" t="inlineStr">
        <is>
          <t>Ty giằng 2 đầu ren 4.6 Ф11.3-11.5mm ZP M12</t>
        </is>
      </c>
      <c r="J3401" s="17" t="inlineStr">
        <is>
          <t>Mét</t>
        </is>
      </c>
      <c r="K3401" s="19" t="n">
        <v>20500</v>
      </c>
      <c r="L3401" s="20" t="n"/>
      <c r="M3401" s="20" t="n"/>
      <c r="N3401" s="43" t="n">
        <v>1327.5</v>
      </c>
      <c r="O3401" s="20" t="n">
        <v>27213750</v>
      </c>
      <c r="P3401" s="43" t="n">
        <v>1327.5</v>
      </c>
      <c r="Q3401" s="20" t="n">
        <v>27213750</v>
      </c>
      <c r="R3401" s="42">
        <f>+L3401+N3401-P3401</f>
        <v/>
      </c>
      <c r="S3401" s="42">
        <f>+M3401+O3401-Q3401</f>
        <v/>
      </c>
    </row>
    <row r="3402" ht="30" customHeight="1">
      <c r="A3402" s="16" t="n">
        <v>45944</v>
      </c>
      <c r="B3402" s="17" t="inlineStr">
        <is>
          <t>MH2510-32</t>
        </is>
      </c>
      <c r="C3402" s="16" t="n">
        <v>45944</v>
      </c>
      <c r="D3402" s="17" t="inlineStr">
        <is>
          <t>00004042</t>
        </is>
      </c>
      <c r="E3402" s="16" t="n">
        <v>45944</v>
      </c>
      <c r="F3402" s="16" t="inlineStr">
        <is>
          <t>XK2510-26</t>
        </is>
      </c>
      <c r="G3402" s="16" t="n">
        <v>45944</v>
      </c>
      <c r="H3402" s="17" t="inlineStr">
        <is>
          <t>CÔNG TY CỔ PHẦN CÔNG NGHIỆP VÀ THƯƠNG MẠI CƯỜNG THỊNH</t>
        </is>
      </c>
      <c r="I3402" s="17" t="inlineStr">
        <is>
          <t>Đai ốc thường 4 ZP M12 (9mm)</t>
        </is>
      </c>
      <c r="J3402" s="17" t="inlineStr">
        <is>
          <t>Cái</t>
        </is>
      </c>
      <c r="K3402" s="19" t="n">
        <v>350</v>
      </c>
      <c r="L3402" s="20" t="n"/>
      <c r="M3402" s="20" t="n"/>
      <c r="N3402" s="43" t="n">
        <v>5812</v>
      </c>
      <c r="O3402" s="20" t="n">
        <v>2034200</v>
      </c>
      <c r="P3402" s="43" t="n">
        <v>5812</v>
      </c>
      <c r="Q3402" s="20" t="n">
        <v>2034200</v>
      </c>
      <c r="R3402" s="42">
        <f>+L3402+N3402-P3402</f>
        <v/>
      </c>
      <c r="S3402" s="42">
        <f>+M3402+O3402-Q3402</f>
        <v/>
      </c>
    </row>
    <row r="3403" ht="30" customHeight="1">
      <c r="A3403" s="16" t="n">
        <v>45944</v>
      </c>
      <c r="B3403" s="17" t="inlineStr">
        <is>
          <t>MH2510-32</t>
        </is>
      </c>
      <c r="C3403" s="16" t="n">
        <v>45944</v>
      </c>
      <c r="D3403" s="17" t="inlineStr">
        <is>
          <t>00004042</t>
        </is>
      </c>
      <c r="E3403" s="16" t="n">
        <v>45944</v>
      </c>
      <c r="F3403" s="16" t="inlineStr">
        <is>
          <t>XK2510-26</t>
        </is>
      </c>
      <c r="G3403" s="16" t="n">
        <v>45944</v>
      </c>
      <c r="H3403" s="17" t="inlineStr">
        <is>
          <t>CÔNG TY CỔ PHẦN CÔNG NGHIỆP VÀ THƯƠNG MẠI CƯỜNG THỊNH</t>
        </is>
      </c>
      <c r="I3403" s="17" t="inlineStr">
        <is>
          <t>Long đền thường ZP M12B26D1.5</t>
        </is>
      </c>
      <c r="J3403" s="17" t="inlineStr">
        <is>
          <t>Cái</t>
        </is>
      </c>
      <c r="K3403" s="19" t="n">
        <v>170</v>
      </c>
      <c r="L3403" s="20" t="n"/>
      <c r="M3403" s="20" t="n"/>
      <c r="N3403" s="43" t="n">
        <v>5812</v>
      </c>
      <c r="O3403" s="20" t="n">
        <v>988040</v>
      </c>
      <c r="P3403" s="43" t="n">
        <v>5812</v>
      </c>
      <c r="Q3403" s="20" t="n">
        <v>988040</v>
      </c>
      <c r="R3403" s="42">
        <f>+L3403+N3403-P3403</f>
        <v/>
      </c>
      <c r="S3403" s="42">
        <f>+M3403+O3403-Q3403</f>
        <v/>
      </c>
    </row>
    <row r="3404" ht="30" customHeight="1">
      <c r="A3404" s="16" t="n">
        <v>45944</v>
      </c>
      <c r="B3404" s="17" t="inlineStr">
        <is>
          <t>MH2510-32</t>
        </is>
      </c>
      <c r="C3404" s="16" t="n">
        <v>45944</v>
      </c>
      <c r="D3404" s="17" t="inlineStr">
        <is>
          <t>00004042</t>
        </is>
      </c>
      <c r="E3404" s="16" t="n">
        <v>45944</v>
      </c>
      <c r="F3404" s="16" t="inlineStr">
        <is>
          <t>XK2510-26</t>
        </is>
      </c>
      <c r="G3404" s="16" t="n">
        <v>45944</v>
      </c>
      <c r="H3404" s="17" t="inlineStr">
        <is>
          <t>CÔNG TY CỔ PHẦN CÔNG NGHIỆP VÀ THƯƠNG MẠI CƯỜNG THỊNH</t>
        </is>
      </c>
      <c r="I3404" s="17" t="inlineStr">
        <is>
          <t>Ty giằng 2 đầu ren 4.6 Ф11.3-11.5mm ZP M12</t>
        </is>
      </c>
      <c r="J3404" s="17" t="inlineStr">
        <is>
          <t>Mét</t>
        </is>
      </c>
      <c r="K3404" s="19" t="n">
        <v>22500</v>
      </c>
      <c r="L3404" s="20" t="n"/>
      <c r="M3404" s="20" t="n"/>
      <c r="N3404" s="43" t="n">
        <v>282.4</v>
      </c>
      <c r="O3404" s="20" t="n">
        <v>6354000</v>
      </c>
      <c r="P3404" s="43" t="n">
        <v>282.4</v>
      </c>
      <c r="Q3404" s="20" t="n">
        <v>6354000</v>
      </c>
      <c r="R3404" s="42">
        <f>+L3404+N3404-P3404</f>
        <v/>
      </c>
      <c r="S3404" s="42">
        <f>+M3404+O3404-Q3404</f>
        <v/>
      </c>
    </row>
    <row r="3405" ht="30" customHeight="1">
      <c r="A3405" s="16" t="n">
        <v>45944</v>
      </c>
      <c r="B3405" s="17" t="inlineStr">
        <is>
          <t>MH2510-32</t>
        </is>
      </c>
      <c r="C3405" s="16" t="n">
        <v>45944</v>
      </c>
      <c r="D3405" s="17" t="inlineStr">
        <is>
          <t>00004042</t>
        </is>
      </c>
      <c r="E3405" s="16" t="n">
        <v>45944</v>
      </c>
      <c r="F3405" s="16" t="inlineStr">
        <is>
          <t>XK2510-26</t>
        </is>
      </c>
      <c r="G3405" s="16" t="n">
        <v>45944</v>
      </c>
      <c r="H3405" s="17" t="inlineStr">
        <is>
          <t>CÔNG TY CỔ PHẦN CÔNG NGHIỆP VÀ THƯƠNG MẠI CƯỜNG THỊNH</t>
        </is>
      </c>
      <c r="I3405" s="17" t="inlineStr">
        <is>
          <t>Ty giằng 2 đầu ren 4.6 ZP M16</t>
        </is>
      </c>
      <c r="J3405" s="17" t="inlineStr">
        <is>
          <t>Mét</t>
        </is>
      </c>
      <c r="K3405" s="19" t="n">
        <v>48000</v>
      </c>
      <c r="L3405" s="20" t="n"/>
      <c r="M3405" s="20" t="n"/>
      <c r="N3405" s="43" t="n">
        <v>124</v>
      </c>
      <c r="O3405" s="20" t="n">
        <v>5952000</v>
      </c>
      <c r="P3405" s="43" t="n">
        <v>124</v>
      </c>
      <c r="Q3405" s="20" t="n">
        <v>5952000</v>
      </c>
      <c r="R3405" s="42">
        <f>+L3405+N3405-P3405</f>
        <v/>
      </c>
      <c r="S3405" s="42">
        <f>+M3405+O3405-Q3405</f>
        <v/>
      </c>
    </row>
    <row r="3406" ht="30" customHeight="1">
      <c r="A3406" s="16" t="n">
        <v>45944</v>
      </c>
      <c r="B3406" s="17" t="inlineStr">
        <is>
          <t>MH2510-32</t>
        </is>
      </c>
      <c r="C3406" s="16" t="n">
        <v>45944</v>
      </c>
      <c r="D3406" s="17" t="inlineStr">
        <is>
          <t>00004042</t>
        </is>
      </c>
      <c r="E3406" s="16" t="n">
        <v>45944</v>
      </c>
      <c r="F3406" s="16" t="inlineStr">
        <is>
          <t>XK2510-26</t>
        </is>
      </c>
      <c r="G3406" s="16" t="n">
        <v>45944</v>
      </c>
      <c r="H3406" s="17" t="inlineStr">
        <is>
          <t>CÔNG TY CỔ PHẦN CÔNG NGHIỆP VÀ THƯƠNG MẠI CƯỜNG THỊNH</t>
        </is>
      </c>
      <c r="I3406" s="17" t="inlineStr">
        <is>
          <t>Đai ốc Din 934 5 ZP M16</t>
        </is>
      </c>
      <c r="J3406" s="17" t="inlineStr">
        <is>
          <t>Cái</t>
        </is>
      </c>
      <c r="K3406" s="19" t="n">
        <v>990</v>
      </c>
      <c r="L3406" s="20" t="n"/>
      <c r="M3406" s="20" t="n"/>
      <c r="N3406" s="43" t="n">
        <v>24</v>
      </c>
      <c r="O3406" s="20" t="n">
        <v>23760</v>
      </c>
      <c r="P3406" s="43" t="n">
        <v>24</v>
      </c>
      <c r="Q3406" s="20" t="n">
        <v>23760</v>
      </c>
      <c r="R3406" s="42">
        <f>+L3406+N3406-P3406</f>
        <v/>
      </c>
      <c r="S3406" s="42">
        <f>+M3406+O3406-Q3406</f>
        <v/>
      </c>
    </row>
    <row r="3407" ht="30" customHeight="1">
      <c r="A3407" s="16" t="n">
        <v>45944</v>
      </c>
      <c r="B3407" s="17" t="inlineStr">
        <is>
          <t>MH2510-32</t>
        </is>
      </c>
      <c r="C3407" s="16" t="n">
        <v>45944</v>
      </c>
      <c r="D3407" s="17" t="inlineStr">
        <is>
          <t>00004042</t>
        </is>
      </c>
      <c r="E3407" s="16" t="n">
        <v>45944</v>
      </c>
      <c r="F3407" s="16" t="inlineStr">
        <is>
          <t>XK2510-26</t>
        </is>
      </c>
      <c r="G3407" s="16" t="n">
        <v>45944</v>
      </c>
      <c r="H3407" s="17" t="inlineStr">
        <is>
          <t>CÔNG TY CỔ PHẦN CÔNG NGHIỆP VÀ THƯƠNG MẠI CƯỜNG THỊNH</t>
        </is>
      </c>
      <c r="I3407" s="17" t="inlineStr">
        <is>
          <t>Long đền móng ngựa ZP M16</t>
        </is>
      </c>
      <c r="J3407" s="17" t="inlineStr">
        <is>
          <t>Cái</t>
        </is>
      </c>
      <c r="K3407" s="19" t="n">
        <v>14830</v>
      </c>
      <c r="L3407" s="20" t="n"/>
      <c r="M3407" s="20" t="n"/>
      <c r="N3407" s="43" t="n">
        <v>24</v>
      </c>
      <c r="O3407" s="20" t="n">
        <v>355920</v>
      </c>
      <c r="P3407" s="43" t="n">
        <v>24</v>
      </c>
      <c r="Q3407" s="20" t="n">
        <v>355920</v>
      </c>
      <c r="R3407" s="42">
        <f>+L3407+N3407-P3407</f>
        <v/>
      </c>
      <c r="S3407" s="42">
        <f>+M3407+O3407-Q3407</f>
        <v/>
      </c>
    </row>
    <row r="3408" ht="30" customHeight="1">
      <c r="A3408" s="16" t="n">
        <v>45944</v>
      </c>
      <c r="B3408" s="17" t="inlineStr">
        <is>
          <t>MH2510-32</t>
        </is>
      </c>
      <c r="C3408" s="16" t="n">
        <v>45944</v>
      </c>
      <c r="D3408" s="17" t="inlineStr">
        <is>
          <t>00004042</t>
        </is>
      </c>
      <c r="E3408" s="16" t="n">
        <v>45944</v>
      </c>
      <c r="F3408" s="16" t="inlineStr">
        <is>
          <t>XK2510-26</t>
        </is>
      </c>
      <c r="G3408" s="16" t="n">
        <v>45944</v>
      </c>
      <c r="H3408" s="17" t="inlineStr">
        <is>
          <t>CÔNG TY CỔ PHẦN CÔNG NGHIỆP VÀ THƯƠNG MẠI CƯỜNG THỊNH</t>
        </is>
      </c>
      <c r="I3408" s="17" t="inlineStr">
        <is>
          <t>Long đền thường ZP M16B42D2</t>
        </is>
      </c>
      <c r="J3408" s="17" t="inlineStr">
        <is>
          <t>Cái</t>
        </is>
      </c>
      <c r="K3408" s="19" t="n">
        <v>700</v>
      </c>
      <c r="L3408" s="20" t="n"/>
      <c r="M3408" s="20" t="n"/>
      <c r="N3408" s="43" t="n">
        <v>24</v>
      </c>
      <c r="O3408" s="20" t="n">
        <v>16800</v>
      </c>
      <c r="P3408" s="43" t="n">
        <v>24</v>
      </c>
      <c r="Q3408" s="20" t="n">
        <v>16800</v>
      </c>
      <c r="R3408" s="42">
        <f>+L3408+N3408-P3408</f>
        <v/>
      </c>
      <c r="S3408" s="42">
        <f>+M3408+O3408-Q3408</f>
        <v/>
      </c>
    </row>
    <row r="3409" ht="30" customHeight="1">
      <c r="A3409" s="16" t="n">
        <v>45944</v>
      </c>
      <c r="B3409" s="17" t="inlineStr">
        <is>
          <t>MH2510-32</t>
        </is>
      </c>
      <c r="C3409" s="16" t="n">
        <v>45944</v>
      </c>
      <c r="D3409" s="17" t="inlineStr">
        <is>
          <t>00004042</t>
        </is>
      </c>
      <c r="E3409" s="16" t="n">
        <v>45944</v>
      </c>
      <c r="F3409" s="16" t="inlineStr">
        <is>
          <t>XK2510-26</t>
        </is>
      </c>
      <c r="G3409" s="16" t="n">
        <v>45944</v>
      </c>
      <c r="H3409" s="17" t="inlineStr">
        <is>
          <t>CÔNG TY CỔ PHẦN CÔNG NGHIỆP VÀ THƯƠNG MẠI CƯỜNG THỊNH</t>
        </is>
      </c>
      <c r="I3409" s="17" t="inlineStr">
        <is>
          <t>Nối Ty ZP M16x100 (23mm)</t>
        </is>
      </c>
      <c r="J3409" s="17" t="inlineStr">
        <is>
          <t>Cái</t>
        </is>
      </c>
      <c r="K3409" s="19" t="n">
        <v>19960</v>
      </c>
      <c r="L3409" s="20" t="n"/>
      <c r="M3409" s="20" t="n"/>
      <c r="N3409" s="43" t="n">
        <v>12</v>
      </c>
      <c r="O3409" s="20" t="n">
        <v>239520</v>
      </c>
      <c r="P3409" s="43" t="n">
        <v>12</v>
      </c>
      <c r="Q3409" s="20" t="n">
        <v>239520</v>
      </c>
      <c r="R3409" s="42">
        <f>+L3409+N3409-P3409</f>
        <v/>
      </c>
      <c r="S3409" s="42">
        <f>+M3409+O3409-Q3409</f>
        <v/>
      </c>
    </row>
    <row r="3410" ht="30" customHeight="1">
      <c r="A3410" s="16" t="n">
        <v>45944</v>
      </c>
      <c r="B3410" s="17" t="inlineStr">
        <is>
          <t>MH2510-33</t>
        </is>
      </c>
      <c r="C3410" s="16" t="n">
        <v>45944</v>
      </c>
      <c r="D3410" s="17" t="inlineStr">
        <is>
          <t>00004041</t>
        </is>
      </c>
      <c r="E3410" s="16" t="n">
        <v>45944</v>
      </c>
      <c r="F3410" s="16" t="inlineStr">
        <is>
          <t>XK2510-27</t>
        </is>
      </c>
      <c r="G3410" s="16" t="n">
        <v>45944</v>
      </c>
      <c r="H3410" s="17" t="inlineStr">
        <is>
          <t>CÔNG TY CỔ PHẦN CÔNG NGHIỆP VÀ THƯƠNG MẠI CƯỜNG THỊNH</t>
        </is>
      </c>
      <c r="I3410" s="17" t="inlineStr">
        <is>
          <t>Bulong Din 933 8.8 ZP M16x40</t>
        </is>
      </c>
      <c r="J3410" s="17" t="inlineStr">
        <is>
          <t>Cái</t>
        </is>
      </c>
      <c r="K3410" s="19" t="n">
        <v>3030</v>
      </c>
      <c r="L3410" s="20" t="n"/>
      <c r="M3410" s="20" t="n"/>
      <c r="N3410" s="43" t="n">
        <v>346</v>
      </c>
      <c r="O3410" s="20" t="n">
        <v>1048380</v>
      </c>
      <c r="P3410" s="43" t="n">
        <v>346</v>
      </c>
      <c r="Q3410" s="20" t="n">
        <v>1048380</v>
      </c>
      <c r="R3410" s="42">
        <f>+L3410+N3410-P3410</f>
        <v/>
      </c>
      <c r="S3410" s="42">
        <f>+M3410+O3410-Q3410</f>
        <v/>
      </c>
    </row>
    <row r="3411" ht="30" customHeight="1">
      <c r="A3411" s="16" t="n">
        <v>45944</v>
      </c>
      <c r="B3411" s="17" t="inlineStr">
        <is>
          <t>MH2510-33</t>
        </is>
      </c>
      <c r="C3411" s="16" t="n">
        <v>45944</v>
      </c>
      <c r="D3411" s="17" t="inlineStr">
        <is>
          <t>00004041</t>
        </is>
      </c>
      <c r="E3411" s="16" t="n">
        <v>45944</v>
      </c>
      <c r="F3411" s="16" t="inlineStr">
        <is>
          <t>XK2510-27</t>
        </is>
      </c>
      <c r="G3411" s="16" t="n">
        <v>45944</v>
      </c>
      <c r="H3411" s="17" t="inlineStr">
        <is>
          <t>CÔNG TY CỔ PHẦN CÔNG NGHIỆP VÀ THƯƠNG MẠI CƯỜNG THỊNH</t>
        </is>
      </c>
      <c r="I3411" s="17" t="inlineStr">
        <is>
          <t>Đai ốc Din 934 8 ZP M16</t>
        </is>
      </c>
      <c r="J3411" s="17" t="inlineStr">
        <is>
          <t>Cái</t>
        </is>
      </c>
      <c r="K3411" s="19" t="n">
        <v>1080</v>
      </c>
      <c r="L3411" s="20" t="n"/>
      <c r="M3411" s="20" t="n"/>
      <c r="N3411" s="43" t="n">
        <v>346</v>
      </c>
      <c r="O3411" s="20" t="n">
        <v>373680</v>
      </c>
      <c r="P3411" s="43" t="n">
        <v>346</v>
      </c>
      <c r="Q3411" s="20" t="n">
        <v>373680</v>
      </c>
      <c r="R3411" s="42">
        <f>+L3411+N3411-P3411</f>
        <v/>
      </c>
      <c r="S3411" s="42">
        <f>+M3411+O3411-Q3411</f>
        <v/>
      </c>
    </row>
    <row r="3412" ht="30" customHeight="1">
      <c r="A3412" s="16" t="n">
        <v>45944</v>
      </c>
      <c r="B3412" s="17" t="inlineStr">
        <is>
          <t>MH2510-33</t>
        </is>
      </c>
      <c r="C3412" s="16" t="n">
        <v>45944</v>
      </c>
      <c r="D3412" s="17" t="inlineStr">
        <is>
          <t>00004041</t>
        </is>
      </c>
      <c r="E3412" s="16" t="n">
        <v>45944</v>
      </c>
      <c r="F3412" s="16" t="inlineStr">
        <is>
          <t>XK2510-27</t>
        </is>
      </c>
      <c r="G3412" s="16" t="n">
        <v>45944</v>
      </c>
      <c r="H3412" s="17" t="inlineStr">
        <is>
          <t>CÔNG TY CỔ PHẦN CÔNG NGHIỆP VÀ THƯƠNG MẠI CƯỜNG THỊNH</t>
        </is>
      </c>
      <c r="I3412" s="17" t="inlineStr">
        <is>
          <t>Long đền thường ZP M16B30D2</t>
        </is>
      </c>
      <c r="J3412" s="17" t="inlineStr">
        <is>
          <t>Cái</t>
        </is>
      </c>
      <c r="K3412" s="19" t="n">
        <v>340</v>
      </c>
      <c r="L3412" s="20" t="n"/>
      <c r="M3412" s="20" t="n"/>
      <c r="N3412" s="43" t="n">
        <v>346</v>
      </c>
      <c r="O3412" s="20" t="n">
        <v>117640</v>
      </c>
      <c r="P3412" s="43" t="n">
        <v>346</v>
      </c>
      <c r="Q3412" s="20" t="n">
        <v>117640</v>
      </c>
      <c r="R3412" s="42">
        <f>+L3412+N3412-P3412</f>
        <v/>
      </c>
      <c r="S3412" s="42">
        <f>+M3412+O3412-Q3412</f>
        <v/>
      </c>
    </row>
    <row r="3413" ht="30" customHeight="1">
      <c r="A3413" s="16" t="n">
        <v>45944</v>
      </c>
      <c r="B3413" s="17" t="inlineStr">
        <is>
          <t>MH2510-33</t>
        </is>
      </c>
      <c r="C3413" s="16" t="n">
        <v>45944</v>
      </c>
      <c r="D3413" s="17" t="inlineStr">
        <is>
          <t>00004041</t>
        </is>
      </c>
      <c r="E3413" s="16" t="n">
        <v>45944</v>
      </c>
      <c r="F3413" s="16" t="inlineStr">
        <is>
          <t>XK2510-27</t>
        </is>
      </c>
      <c r="G3413" s="16" t="n">
        <v>45944</v>
      </c>
      <c r="H3413" s="17" t="inlineStr">
        <is>
          <t>CÔNG TY CỔ PHẦN CÔNG NGHIỆP VÀ THƯƠNG MẠI CƯỜNG THỊNH</t>
        </is>
      </c>
      <c r="I3413" s="17" t="inlineStr">
        <is>
          <t>Bulong Din 933 8.8 ZP M20x50</t>
        </is>
      </c>
      <c r="J3413" s="17" t="inlineStr">
        <is>
          <t>Cái</t>
        </is>
      </c>
      <c r="K3413" s="19" t="n">
        <v>5760</v>
      </c>
      <c r="L3413" s="20" t="n"/>
      <c r="M3413" s="20" t="n"/>
      <c r="N3413" s="43" t="n">
        <v>412</v>
      </c>
      <c r="O3413" s="20" t="n">
        <v>2373120</v>
      </c>
      <c r="P3413" s="43" t="n">
        <v>412</v>
      </c>
      <c r="Q3413" s="20" t="n">
        <v>2373120</v>
      </c>
      <c r="R3413" s="42">
        <f>+L3413+N3413-P3413</f>
        <v/>
      </c>
      <c r="S3413" s="42">
        <f>+M3413+O3413-Q3413</f>
        <v/>
      </c>
    </row>
    <row r="3414" ht="30" customHeight="1">
      <c r="A3414" s="16" t="n">
        <v>45944</v>
      </c>
      <c r="B3414" s="17" t="inlineStr">
        <is>
          <t>MH2510-33</t>
        </is>
      </c>
      <c r="C3414" s="16" t="n">
        <v>45944</v>
      </c>
      <c r="D3414" s="17" t="inlineStr">
        <is>
          <t>00004041</t>
        </is>
      </c>
      <c r="E3414" s="16" t="n">
        <v>45944</v>
      </c>
      <c r="F3414" s="16" t="inlineStr">
        <is>
          <t>XK2510-27</t>
        </is>
      </c>
      <c r="G3414" s="16" t="n">
        <v>45944</v>
      </c>
      <c r="H3414" s="17" t="inlineStr">
        <is>
          <t>CÔNG TY CỔ PHẦN CÔNG NGHIỆP VÀ THƯƠNG MẠI CƯỜNG THỊNH</t>
        </is>
      </c>
      <c r="I3414" s="17" t="inlineStr">
        <is>
          <t>Đai ốc Din 934 8 ZP M20</t>
        </is>
      </c>
      <c r="J3414" s="17" t="inlineStr">
        <is>
          <t>Cái</t>
        </is>
      </c>
      <c r="K3414" s="19" t="n">
        <v>2030</v>
      </c>
      <c r="L3414" s="20" t="n"/>
      <c r="M3414" s="20" t="n"/>
      <c r="N3414" s="43" t="n">
        <v>412</v>
      </c>
      <c r="O3414" s="20" t="n">
        <v>836360</v>
      </c>
      <c r="P3414" s="43" t="n">
        <v>412</v>
      </c>
      <c r="Q3414" s="20" t="n">
        <v>836360</v>
      </c>
      <c r="R3414" s="42">
        <f>+L3414+N3414-P3414</f>
        <v/>
      </c>
      <c r="S3414" s="42">
        <f>+M3414+O3414-Q3414</f>
        <v/>
      </c>
    </row>
    <row r="3415" ht="30" customHeight="1">
      <c r="A3415" s="16" t="n">
        <v>45944</v>
      </c>
      <c r="B3415" s="17" t="inlineStr">
        <is>
          <t>MH2510-33</t>
        </is>
      </c>
      <c r="C3415" s="16" t="n">
        <v>45944</v>
      </c>
      <c r="D3415" s="17" t="inlineStr">
        <is>
          <t>00004041</t>
        </is>
      </c>
      <c r="E3415" s="16" t="n">
        <v>45944</v>
      </c>
      <c r="F3415" s="16" t="inlineStr">
        <is>
          <t>XK2510-27</t>
        </is>
      </c>
      <c r="G3415" s="16" t="n">
        <v>45944</v>
      </c>
      <c r="H3415" s="17" t="inlineStr">
        <is>
          <t>CÔNG TY CỔ PHẦN CÔNG NGHIỆP VÀ THƯƠNG MẠI CƯỜNG THỊNH</t>
        </is>
      </c>
      <c r="I3415" s="17" t="inlineStr">
        <is>
          <t>Long đền thường ZP M20B35D2</t>
        </is>
      </c>
      <c r="J3415" s="17" t="inlineStr">
        <is>
          <t>Cái</t>
        </is>
      </c>
      <c r="K3415" s="19" t="n">
        <v>350</v>
      </c>
      <c r="L3415" s="20" t="n"/>
      <c r="M3415" s="20" t="n"/>
      <c r="N3415" s="43" t="n">
        <v>412</v>
      </c>
      <c r="O3415" s="20" t="n">
        <v>144200</v>
      </c>
      <c r="P3415" s="43" t="n">
        <v>412</v>
      </c>
      <c r="Q3415" s="20" t="n">
        <v>144200</v>
      </c>
      <c r="R3415" s="42">
        <f>+L3415+N3415-P3415</f>
        <v/>
      </c>
      <c r="S3415" s="42">
        <f>+M3415+O3415-Q3415</f>
        <v/>
      </c>
    </row>
    <row r="3416" ht="30" customHeight="1">
      <c r="A3416" s="16" t="n">
        <v>45944</v>
      </c>
      <c r="B3416" s="17" t="inlineStr">
        <is>
          <t>MH2510-33</t>
        </is>
      </c>
      <c r="C3416" s="16" t="n">
        <v>45944</v>
      </c>
      <c r="D3416" s="17" t="inlineStr">
        <is>
          <t>00004041</t>
        </is>
      </c>
      <c r="E3416" s="16" t="n">
        <v>45944</v>
      </c>
      <c r="F3416" s="16" t="inlineStr">
        <is>
          <t>XK2510-27</t>
        </is>
      </c>
      <c r="G3416" s="16" t="n">
        <v>45944</v>
      </c>
      <c r="H3416" s="17" t="inlineStr">
        <is>
          <t>CÔNG TY CỔ PHẦN CÔNG NGHIỆP VÀ THƯƠNG MẠI CƯỜNG THỊNH</t>
        </is>
      </c>
      <c r="I3416" s="17" t="inlineStr">
        <is>
          <t>Bulong Din 933 8.8 ZP M20x60</t>
        </is>
      </c>
      <c r="J3416" s="17" t="inlineStr">
        <is>
          <t>Cái</t>
        </is>
      </c>
      <c r="K3416" s="19" t="n">
        <v>6360</v>
      </c>
      <c r="L3416" s="20" t="n"/>
      <c r="M3416" s="20" t="n"/>
      <c r="N3416" s="43" t="n">
        <v>74</v>
      </c>
      <c r="O3416" s="20" t="n">
        <v>470640</v>
      </c>
      <c r="P3416" s="43" t="n">
        <v>74</v>
      </c>
      <c r="Q3416" s="20" t="n">
        <v>470640</v>
      </c>
      <c r="R3416" s="42">
        <f>+L3416+N3416-P3416</f>
        <v/>
      </c>
      <c r="S3416" s="42">
        <f>+M3416+O3416-Q3416</f>
        <v/>
      </c>
    </row>
    <row r="3417" ht="30" customHeight="1">
      <c r="A3417" s="16" t="n">
        <v>45944</v>
      </c>
      <c r="B3417" s="17" t="inlineStr">
        <is>
          <t>MH2510-33</t>
        </is>
      </c>
      <c r="C3417" s="16" t="n">
        <v>45944</v>
      </c>
      <c r="D3417" s="17" t="inlineStr">
        <is>
          <t>00004041</t>
        </is>
      </c>
      <c r="E3417" s="16" t="n">
        <v>45944</v>
      </c>
      <c r="F3417" s="16" t="inlineStr">
        <is>
          <t>XK2510-27</t>
        </is>
      </c>
      <c r="G3417" s="16" t="n">
        <v>45944</v>
      </c>
      <c r="H3417" s="17" t="inlineStr">
        <is>
          <t>CÔNG TY CỔ PHẦN CÔNG NGHIỆP VÀ THƯƠNG MẠI CƯỜNG THỊNH</t>
        </is>
      </c>
      <c r="I3417" s="17" t="inlineStr">
        <is>
          <t>Đai ốc Din 934 8 ZP M20</t>
        </is>
      </c>
      <c r="J3417" s="17" t="inlineStr">
        <is>
          <t>Cái</t>
        </is>
      </c>
      <c r="K3417" s="19" t="n">
        <v>2030</v>
      </c>
      <c r="L3417" s="20" t="n"/>
      <c r="M3417" s="20" t="n"/>
      <c r="N3417" s="43" t="n">
        <v>74</v>
      </c>
      <c r="O3417" s="20" t="n">
        <v>150220</v>
      </c>
      <c r="P3417" s="43" t="n">
        <v>74</v>
      </c>
      <c r="Q3417" s="20" t="n">
        <v>150220</v>
      </c>
      <c r="R3417" s="42">
        <f>+L3417+N3417-P3417</f>
        <v/>
      </c>
      <c r="S3417" s="42">
        <f>+M3417+O3417-Q3417</f>
        <v/>
      </c>
    </row>
    <row r="3418" ht="30" customHeight="1">
      <c r="A3418" s="16" t="n">
        <v>45944</v>
      </c>
      <c r="B3418" s="17" t="inlineStr">
        <is>
          <t>MH2510-33</t>
        </is>
      </c>
      <c r="C3418" s="16" t="n">
        <v>45944</v>
      </c>
      <c r="D3418" s="17" t="inlineStr">
        <is>
          <t>00004041</t>
        </is>
      </c>
      <c r="E3418" s="16" t="n">
        <v>45944</v>
      </c>
      <c r="F3418" s="16" t="inlineStr">
        <is>
          <t>XK2510-27</t>
        </is>
      </c>
      <c r="G3418" s="16" t="n">
        <v>45944</v>
      </c>
      <c r="H3418" s="17" t="inlineStr">
        <is>
          <t>CÔNG TY CỔ PHẦN CÔNG NGHIỆP VÀ THƯƠNG MẠI CƯỜNG THỊNH</t>
        </is>
      </c>
      <c r="I3418" s="17" t="inlineStr">
        <is>
          <t>Long đền thường ZP M20B35D2</t>
        </is>
      </c>
      <c r="J3418" s="17" t="inlineStr">
        <is>
          <t>Cái</t>
        </is>
      </c>
      <c r="K3418" s="19" t="n">
        <v>350</v>
      </c>
      <c r="L3418" s="20" t="n"/>
      <c r="M3418" s="20" t="n"/>
      <c r="N3418" s="43" t="n">
        <v>74</v>
      </c>
      <c r="O3418" s="20" t="n">
        <v>25900</v>
      </c>
      <c r="P3418" s="43" t="n">
        <v>74</v>
      </c>
      <c r="Q3418" s="20" t="n">
        <v>25900</v>
      </c>
      <c r="R3418" s="42">
        <f>+L3418+N3418-P3418</f>
        <v/>
      </c>
      <c r="S3418" s="42">
        <f>+M3418+O3418-Q3418</f>
        <v/>
      </c>
    </row>
    <row r="3419" ht="30" customHeight="1">
      <c r="A3419" s="16" t="n">
        <v>45944</v>
      </c>
      <c r="B3419" s="17" t="inlineStr">
        <is>
          <t>MH2510-33</t>
        </is>
      </c>
      <c r="C3419" s="16" t="n">
        <v>45944</v>
      </c>
      <c r="D3419" s="17" t="inlineStr">
        <is>
          <t>00004041</t>
        </is>
      </c>
      <c r="E3419" s="16" t="n">
        <v>45944</v>
      </c>
      <c r="F3419" s="16" t="inlineStr">
        <is>
          <t>XK2510-27</t>
        </is>
      </c>
      <c r="G3419" s="16" t="n">
        <v>45944</v>
      </c>
      <c r="H3419" s="17" t="inlineStr">
        <is>
          <t>CÔNG TY CỔ PHẦN CÔNG NGHIỆP VÀ THƯƠNG MẠI CƯỜNG THỊNH</t>
        </is>
      </c>
      <c r="I3419" s="17" t="inlineStr">
        <is>
          <t>Bulong nở 5.6 ZP M16x180</t>
        </is>
      </c>
      <c r="J3419" s="17" t="inlineStr">
        <is>
          <t>Bộ</t>
        </is>
      </c>
      <c r="K3419" s="19" t="n">
        <v>30000</v>
      </c>
      <c r="L3419" s="20" t="n"/>
      <c r="M3419" s="20" t="n"/>
      <c r="N3419" s="43" t="n">
        <v>143</v>
      </c>
      <c r="O3419" s="20" t="n">
        <v>4290000</v>
      </c>
      <c r="P3419" s="43" t="n">
        <v>143</v>
      </c>
      <c r="Q3419" s="20" t="n">
        <v>4290000</v>
      </c>
      <c r="R3419" s="42">
        <f>+L3419+N3419-P3419</f>
        <v/>
      </c>
      <c r="S3419" s="42">
        <f>+M3419+O3419-Q3419</f>
        <v/>
      </c>
    </row>
    <row r="3420" ht="30" customHeight="1">
      <c r="A3420" s="16" t="n">
        <v>45944</v>
      </c>
      <c r="B3420" s="17" t="inlineStr">
        <is>
          <t>MH2510-33</t>
        </is>
      </c>
      <c r="C3420" s="16" t="n">
        <v>45944</v>
      </c>
      <c r="D3420" s="17" t="inlineStr">
        <is>
          <t>00004041</t>
        </is>
      </c>
      <c r="E3420" s="16" t="n">
        <v>45944</v>
      </c>
      <c r="F3420" s="16" t="inlineStr">
        <is>
          <t>XK2510-27</t>
        </is>
      </c>
      <c r="G3420" s="16" t="n">
        <v>45944</v>
      </c>
      <c r="H3420" s="17" t="inlineStr">
        <is>
          <t>CÔNG TY CỔ PHẦN CÔNG NGHIỆP VÀ THƯƠNG MẠI CƯỜNG THỊNH</t>
        </is>
      </c>
      <c r="I3420" s="17" t="inlineStr">
        <is>
          <t>Bulong Din 933 8.8 ZP M16x50</t>
        </is>
      </c>
      <c r="J3420" s="17" t="inlineStr">
        <is>
          <t>Cái</t>
        </is>
      </c>
      <c r="K3420" s="19" t="n">
        <v>3470</v>
      </c>
      <c r="L3420" s="20" t="n"/>
      <c r="M3420" s="20" t="n"/>
      <c r="N3420" s="43" t="n">
        <v>110</v>
      </c>
      <c r="O3420" s="20" t="n">
        <v>381700</v>
      </c>
      <c r="P3420" s="43" t="n">
        <v>110</v>
      </c>
      <c r="Q3420" s="20" t="n">
        <v>381700</v>
      </c>
      <c r="R3420" s="42">
        <f>+L3420+N3420-P3420</f>
        <v/>
      </c>
      <c r="S3420" s="42">
        <f>+M3420+O3420-Q3420</f>
        <v/>
      </c>
    </row>
    <row r="3421" ht="30" customHeight="1">
      <c r="A3421" s="16" t="n">
        <v>45944</v>
      </c>
      <c r="B3421" s="17" t="inlineStr">
        <is>
          <t>MH2510-33</t>
        </is>
      </c>
      <c r="C3421" s="16" t="n">
        <v>45944</v>
      </c>
      <c r="D3421" s="17" t="inlineStr">
        <is>
          <t>00004041</t>
        </is>
      </c>
      <c r="E3421" s="16" t="n">
        <v>45944</v>
      </c>
      <c r="F3421" s="16" t="inlineStr">
        <is>
          <t>XK2510-27</t>
        </is>
      </c>
      <c r="G3421" s="16" t="n">
        <v>45944</v>
      </c>
      <c r="H3421" s="17" t="inlineStr">
        <is>
          <t>CÔNG TY CỔ PHẦN CÔNG NGHIỆP VÀ THƯƠNG MẠI CƯỜNG THỊNH</t>
        </is>
      </c>
      <c r="I3421" s="17" t="inlineStr">
        <is>
          <t>Đai ốc Din 934 8 ZP M16</t>
        </is>
      </c>
      <c r="J3421" s="17" t="inlineStr">
        <is>
          <t>Cái</t>
        </is>
      </c>
      <c r="K3421" s="19" t="n">
        <v>1080</v>
      </c>
      <c r="L3421" s="20" t="n"/>
      <c r="M3421" s="20" t="n"/>
      <c r="N3421" s="43" t="n">
        <v>110</v>
      </c>
      <c r="O3421" s="20" t="n">
        <v>118800</v>
      </c>
      <c r="P3421" s="43" t="n">
        <v>110</v>
      </c>
      <c r="Q3421" s="20" t="n">
        <v>118800</v>
      </c>
      <c r="R3421" s="42">
        <f>+L3421+N3421-P3421</f>
        <v/>
      </c>
      <c r="S3421" s="42">
        <f>+M3421+O3421-Q3421</f>
        <v/>
      </c>
    </row>
    <row r="3422" ht="30" customHeight="1">
      <c r="A3422" s="16" t="n">
        <v>45944</v>
      </c>
      <c r="B3422" s="17" t="inlineStr">
        <is>
          <t>MH2510-33</t>
        </is>
      </c>
      <c r="C3422" s="16" t="n">
        <v>45944</v>
      </c>
      <c r="D3422" s="17" t="inlineStr">
        <is>
          <t>00004041</t>
        </is>
      </c>
      <c r="E3422" s="16" t="n">
        <v>45944</v>
      </c>
      <c r="F3422" s="16" t="inlineStr">
        <is>
          <t>XK2510-27</t>
        </is>
      </c>
      <c r="G3422" s="16" t="n">
        <v>45944</v>
      </c>
      <c r="H3422" s="17" t="inlineStr">
        <is>
          <t>CÔNG TY CỔ PHẦN CÔNG NGHIỆP VÀ THƯƠNG MẠI CƯỜNG THỊNH</t>
        </is>
      </c>
      <c r="I3422" s="17" t="inlineStr">
        <is>
          <t>Long đền thường ZP M16B30D2</t>
        </is>
      </c>
      <c r="J3422" s="17" t="inlineStr">
        <is>
          <t>Cái</t>
        </is>
      </c>
      <c r="K3422" s="19" t="n">
        <v>340</v>
      </c>
      <c r="L3422" s="20" t="n"/>
      <c r="M3422" s="20" t="n"/>
      <c r="N3422" s="43" t="n">
        <v>110</v>
      </c>
      <c r="O3422" s="20" t="n">
        <v>37400</v>
      </c>
      <c r="P3422" s="43" t="n">
        <v>110</v>
      </c>
      <c r="Q3422" s="20" t="n">
        <v>37400</v>
      </c>
      <c r="R3422" s="42">
        <f>+L3422+N3422-P3422</f>
        <v/>
      </c>
      <c r="S3422" s="42">
        <f>+M3422+O3422-Q3422</f>
        <v/>
      </c>
    </row>
    <row r="3423" ht="30" customHeight="1">
      <c r="A3423" s="16" t="n">
        <v>45944</v>
      </c>
      <c r="B3423" s="17" t="inlineStr">
        <is>
          <t>MH2510-33</t>
        </is>
      </c>
      <c r="C3423" s="16" t="n">
        <v>45944</v>
      </c>
      <c r="D3423" s="17" t="inlineStr">
        <is>
          <t>00004041</t>
        </is>
      </c>
      <c r="E3423" s="16" t="n">
        <v>45944</v>
      </c>
      <c r="F3423" s="16" t="inlineStr">
        <is>
          <t>XK2510-27</t>
        </is>
      </c>
      <c r="G3423" s="16" t="n">
        <v>45944</v>
      </c>
      <c r="H3423" s="17" t="inlineStr">
        <is>
          <t>CÔNG TY CỔ PHẦN CÔNG NGHIỆP VÀ THƯƠNG MẠI CƯỜNG THỊNH</t>
        </is>
      </c>
      <c r="I3423" s="17" t="inlineStr">
        <is>
          <t>Bulong thường 4.6 ZP M12x40</t>
        </is>
      </c>
      <c r="J3423" s="17" t="inlineStr">
        <is>
          <t>Cái</t>
        </is>
      </c>
      <c r="K3423" s="19" t="n">
        <v>1100</v>
      </c>
      <c r="L3423" s="20" t="n"/>
      <c r="M3423" s="20" t="n"/>
      <c r="N3423" s="43" t="n">
        <v>606</v>
      </c>
      <c r="O3423" s="20" t="n">
        <v>666600</v>
      </c>
      <c r="P3423" s="43" t="n">
        <v>606</v>
      </c>
      <c r="Q3423" s="20" t="n">
        <v>666600</v>
      </c>
      <c r="R3423" s="42">
        <f>+L3423+N3423-P3423</f>
        <v/>
      </c>
      <c r="S3423" s="42">
        <f>+M3423+O3423-Q3423</f>
        <v/>
      </c>
    </row>
    <row r="3424" ht="30" customHeight="1">
      <c r="A3424" s="16" t="n">
        <v>45944</v>
      </c>
      <c r="B3424" s="17" t="inlineStr">
        <is>
          <t>MH2510-33</t>
        </is>
      </c>
      <c r="C3424" s="16" t="n">
        <v>45944</v>
      </c>
      <c r="D3424" s="17" t="inlineStr">
        <is>
          <t>00004041</t>
        </is>
      </c>
      <c r="E3424" s="16" t="n">
        <v>45944</v>
      </c>
      <c r="F3424" s="16" t="inlineStr">
        <is>
          <t>XK2510-27</t>
        </is>
      </c>
      <c r="G3424" s="16" t="n">
        <v>45944</v>
      </c>
      <c r="H3424" s="17" t="inlineStr">
        <is>
          <t>CÔNG TY CỔ PHẦN CÔNG NGHIỆP VÀ THƯƠNG MẠI CƯỜNG THỊNH</t>
        </is>
      </c>
      <c r="I3424" s="17" t="inlineStr">
        <is>
          <t>Đai ốc thường 4 ZP M12 (8mm)</t>
        </is>
      </c>
      <c r="J3424" s="17" t="inlineStr">
        <is>
          <t>Cái</t>
        </is>
      </c>
      <c r="K3424" s="19" t="n">
        <v>360</v>
      </c>
      <c r="L3424" s="20" t="n"/>
      <c r="M3424" s="20" t="n"/>
      <c r="N3424" s="43" t="n">
        <v>606</v>
      </c>
      <c r="O3424" s="20" t="n">
        <v>218160</v>
      </c>
      <c r="P3424" s="43" t="n">
        <v>606</v>
      </c>
      <c r="Q3424" s="20" t="n">
        <v>218160</v>
      </c>
      <c r="R3424" s="42">
        <f>+L3424+N3424-P3424</f>
        <v/>
      </c>
      <c r="S3424" s="42">
        <f>+M3424+O3424-Q3424</f>
        <v/>
      </c>
    </row>
    <row r="3425" ht="30" customHeight="1">
      <c r="A3425" s="16" t="n">
        <v>45944</v>
      </c>
      <c r="B3425" s="17" t="inlineStr">
        <is>
          <t>MH2510-33</t>
        </is>
      </c>
      <c r="C3425" s="16" t="n">
        <v>45944</v>
      </c>
      <c r="D3425" s="17" t="inlineStr">
        <is>
          <t>00004041</t>
        </is>
      </c>
      <c r="E3425" s="16" t="n">
        <v>45944</v>
      </c>
      <c r="F3425" s="16" t="inlineStr">
        <is>
          <t>XK2510-27</t>
        </is>
      </c>
      <c r="G3425" s="16" t="n">
        <v>45944</v>
      </c>
      <c r="H3425" s="17" t="inlineStr">
        <is>
          <t>CÔNG TY CỔ PHẦN CÔNG NGHIỆP VÀ THƯƠNG MẠI CƯỜNG THỊNH</t>
        </is>
      </c>
      <c r="I3425" s="17" t="inlineStr">
        <is>
          <t>Long đền thường ZP M12B23D1</t>
        </is>
      </c>
      <c r="J3425" s="17" t="inlineStr">
        <is>
          <t>Cái</t>
        </is>
      </c>
      <c r="K3425" s="19" t="n">
        <v>100</v>
      </c>
      <c r="L3425" s="20" t="n"/>
      <c r="M3425" s="20" t="n"/>
      <c r="N3425" s="43" t="n">
        <v>1212</v>
      </c>
      <c r="O3425" s="20" t="n">
        <v>121200</v>
      </c>
      <c r="P3425" s="43" t="n">
        <v>1212</v>
      </c>
      <c r="Q3425" s="20" t="n">
        <v>121200</v>
      </c>
      <c r="R3425" s="42">
        <f>+L3425+N3425-P3425</f>
        <v/>
      </c>
      <c r="S3425" s="42">
        <f>+M3425+O3425-Q3425</f>
        <v/>
      </c>
    </row>
    <row r="3426" ht="30" customHeight="1">
      <c r="A3426" s="16" t="n">
        <v>45944</v>
      </c>
      <c r="B3426" s="17" t="inlineStr">
        <is>
          <t>MH2510-34</t>
        </is>
      </c>
      <c r="C3426" s="16" t="n">
        <v>45944</v>
      </c>
      <c r="D3426" s="17" t="inlineStr">
        <is>
          <t>00004040</t>
        </is>
      </c>
      <c r="E3426" s="16" t="n">
        <v>45944</v>
      </c>
      <c r="F3426" s="16" t="inlineStr">
        <is>
          <t>XK2510-28</t>
        </is>
      </c>
      <c r="G3426" s="16" t="n">
        <v>45944</v>
      </c>
      <c r="H3426" s="17" t="inlineStr">
        <is>
          <t>CÔNG TY CỔ PHẦN CÔNG NGHIỆP VÀ THƯƠNG MẠI CƯỜNG THỊNH</t>
        </is>
      </c>
      <c r="I3426" s="17" t="inlineStr">
        <is>
          <t>Bulong thường 4.6 ZP M12x30</t>
        </is>
      </c>
      <c r="J3426" s="17" t="inlineStr">
        <is>
          <t>Cái</t>
        </is>
      </c>
      <c r="K3426" s="19" t="n">
        <v>950</v>
      </c>
      <c r="L3426" s="20" t="n"/>
      <c r="M3426" s="20" t="n"/>
      <c r="N3426" s="43" t="n">
        <v>4592</v>
      </c>
      <c r="O3426" s="20" t="n">
        <v>4362400</v>
      </c>
      <c r="P3426" s="43" t="n">
        <v>4592</v>
      </c>
      <c r="Q3426" s="20" t="n">
        <v>4362400</v>
      </c>
      <c r="R3426" s="42">
        <f>+L3426+N3426-P3426</f>
        <v/>
      </c>
      <c r="S3426" s="42">
        <f>+M3426+O3426-Q3426</f>
        <v/>
      </c>
    </row>
    <row r="3427" ht="30" customHeight="1">
      <c r="A3427" s="16" t="n">
        <v>45944</v>
      </c>
      <c r="B3427" s="17" t="inlineStr">
        <is>
          <t>MH2510-34</t>
        </is>
      </c>
      <c r="C3427" s="16" t="n">
        <v>45944</v>
      </c>
      <c r="D3427" s="17" t="inlineStr">
        <is>
          <t>00004040</t>
        </is>
      </c>
      <c r="E3427" s="16" t="n">
        <v>45944</v>
      </c>
      <c r="F3427" s="16" t="inlineStr">
        <is>
          <t>XK2510-28</t>
        </is>
      </c>
      <c r="G3427" s="16" t="n">
        <v>45944</v>
      </c>
      <c r="H3427" s="17" t="inlineStr">
        <is>
          <t>CÔNG TY CỔ PHẦN CÔNG NGHIỆP VÀ THƯƠNG MẠI CƯỜNG THỊNH</t>
        </is>
      </c>
      <c r="I3427" s="17" t="inlineStr">
        <is>
          <t>Đai ốc thường 4 ZP M12 (8mm)</t>
        </is>
      </c>
      <c r="J3427" s="17" t="inlineStr">
        <is>
          <t>Cái</t>
        </is>
      </c>
      <c r="K3427" s="19" t="n">
        <v>360</v>
      </c>
      <c r="L3427" s="20" t="n"/>
      <c r="M3427" s="20" t="n"/>
      <c r="N3427" s="43" t="n">
        <v>4592</v>
      </c>
      <c r="O3427" s="20" t="n">
        <v>1653120</v>
      </c>
      <c r="P3427" s="43" t="n">
        <v>4592</v>
      </c>
      <c r="Q3427" s="20" t="n">
        <v>1653120</v>
      </c>
      <c r="R3427" s="42">
        <f>+L3427+N3427-P3427</f>
        <v/>
      </c>
      <c r="S3427" s="42">
        <f>+M3427+O3427-Q3427</f>
        <v/>
      </c>
    </row>
    <row r="3428" ht="30" customHeight="1">
      <c r="A3428" s="16" t="n">
        <v>45944</v>
      </c>
      <c r="B3428" s="17" t="inlineStr">
        <is>
          <t>MH2510-34</t>
        </is>
      </c>
      <c r="C3428" s="16" t="n">
        <v>45944</v>
      </c>
      <c r="D3428" s="17" t="inlineStr">
        <is>
          <t>00004040</t>
        </is>
      </c>
      <c r="E3428" s="16" t="n">
        <v>45944</v>
      </c>
      <c r="F3428" s="16" t="inlineStr">
        <is>
          <t>XK2510-28</t>
        </is>
      </c>
      <c r="G3428" s="16" t="n">
        <v>45944</v>
      </c>
      <c r="H3428" s="17" t="inlineStr">
        <is>
          <t>CÔNG TY CỔ PHẦN CÔNG NGHIỆP VÀ THƯƠNG MẠI CƯỜNG THỊNH</t>
        </is>
      </c>
      <c r="I3428" s="17" t="inlineStr">
        <is>
          <t>Long đền thường ZP M12B23D1</t>
        </is>
      </c>
      <c r="J3428" s="17" t="inlineStr">
        <is>
          <t>Cái</t>
        </is>
      </c>
      <c r="K3428" s="19" t="n">
        <v>100</v>
      </c>
      <c r="L3428" s="20" t="n"/>
      <c r="M3428" s="20" t="n"/>
      <c r="N3428" s="43" t="n">
        <v>9184</v>
      </c>
      <c r="O3428" s="20" t="n">
        <v>918400</v>
      </c>
      <c r="P3428" s="43" t="n">
        <v>9184</v>
      </c>
      <c r="Q3428" s="20" t="n">
        <v>918400</v>
      </c>
      <c r="R3428" s="42">
        <f>+L3428+N3428-P3428</f>
        <v/>
      </c>
      <c r="S3428" s="42">
        <f>+M3428+O3428-Q3428</f>
        <v/>
      </c>
    </row>
    <row r="3429" ht="30" customHeight="1">
      <c r="A3429" s="16" t="n">
        <v>45944</v>
      </c>
      <c r="B3429" s="17" t="inlineStr">
        <is>
          <t>MH2510-34</t>
        </is>
      </c>
      <c r="C3429" s="16" t="n">
        <v>45944</v>
      </c>
      <c r="D3429" s="17" t="inlineStr">
        <is>
          <t>00004040</t>
        </is>
      </c>
      <c r="E3429" s="16" t="n">
        <v>45944</v>
      </c>
      <c r="F3429" s="16" t="inlineStr">
        <is>
          <t>XK2510-28</t>
        </is>
      </c>
      <c r="G3429" s="16" t="n">
        <v>45944</v>
      </c>
      <c r="H3429" s="17" t="inlineStr">
        <is>
          <t>CÔNG TY CỔ PHẦN CÔNG NGHIỆP VÀ THƯƠNG MẠI CƯỜNG THỊNH</t>
        </is>
      </c>
      <c r="I3429" s="17" t="inlineStr">
        <is>
          <t>Bulong thường 4.6 ZP M12x50</t>
        </is>
      </c>
      <c r="J3429" s="17" t="inlineStr">
        <is>
          <t>Cái</t>
        </is>
      </c>
      <c r="K3429" s="19" t="n">
        <v>1300</v>
      </c>
      <c r="L3429" s="20" t="n"/>
      <c r="M3429" s="20" t="n"/>
      <c r="N3429" s="43" t="n">
        <v>1201</v>
      </c>
      <c r="O3429" s="20" t="n">
        <v>1561300</v>
      </c>
      <c r="P3429" s="43" t="n">
        <v>1201</v>
      </c>
      <c r="Q3429" s="20" t="n">
        <v>1561300</v>
      </c>
      <c r="R3429" s="42">
        <f>+L3429+N3429-P3429</f>
        <v/>
      </c>
      <c r="S3429" s="42">
        <f>+M3429+O3429-Q3429</f>
        <v/>
      </c>
    </row>
    <row r="3430" ht="30" customHeight="1">
      <c r="A3430" s="16" t="n">
        <v>45944</v>
      </c>
      <c r="B3430" s="17" t="inlineStr">
        <is>
          <t>MH2510-34</t>
        </is>
      </c>
      <c r="C3430" s="16" t="n">
        <v>45944</v>
      </c>
      <c r="D3430" s="17" t="inlineStr">
        <is>
          <t>00004040</t>
        </is>
      </c>
      <c r="E3430" s="16" t="n">
        <v>45944</v>
      </c>
      <c r="F3430" s="16" t="inlineStr">
        <is>
          <t>XK2510-28</t>
        </is>
      </c>
      <c r="G3430" s="16" t="n">
        <v>45944</v>
      </c>
      <c r="H3430" s="17" t="inlineStr">
        <is>
          <t>CÔNG TY CỔ PHẦN CÔNG NGHIỆP VÀ THƯƠNG MẠI CƯỜNG THỊNH</t>
        </is>
      </c>
      <c r="I3430" s="17" t="inlineStr">
        <is>
          <t>Đai ốc thường 4 ZP M12 (9mm)</t>
        </is>
      </c>
      <c r="J3430" s="17" t="inlineStr">
        <is>
          <t>Cái</t>
        </is>
      </c>
      <c r="K3430" s="19" t="n">
        <v>360</v>
      </c>
      <c r="L3430" s="20" t="n"/>
      <c r="M3430" s="20" t="n"/>
      <c r="N3430" s="43" t="n">
        <v>1201</v>
      </c>
      <c r="O3430" s="20" t="n">
        <v>432360</v>
      </c>
      <c r="P3430" s="43" t="n">
        <v>1201</v>
      </c>
      <c r="Q3430" s="20" t="n">
        <v>432360</v>
      </c>
      <c r="R3430" s="42">
        <f>+L3430+N3430-P3430</f>
        <v/>
      </c>
      <c r="S3430" s="42">
        <f>+M3430+O3430-Q3430</f>
        <v/>
      </c>
    </row>
    <row r="3431" ht="30" customHeight="1">
      <c r="A3431" s="16" t="n">
        <v>45944</v>
      </c>
      <c r="B3431" s="17" t="inlineStr">
        <is>
          <t>MH2510-34</t>
        </is>
      </c>
      <c r="C3431" s="16" t="n">
        <v>45944</v>
      </c>
      <c r="D3431" s="17" t="inlineStr">
        <is>
          <t>00004040</t>
        </is>
      </c>
      <c r="E3431" s="16" t="n">
        <v>45944</v>
      </c>
      <c r="F3431" s="16" t="inlineStr">
        <is>
          <t>XK2510-28</t>
        </is>
      </c>
      <c r="G3431" s="16" t="n">
        <v>45944</v>
      </c>
      <c r="H3431" s="17" t="inlineStr">
        <is>
          <t>CÔNG TY CỔ PHẦN CÔNG NGHIỆP VÀ THƯƠNG MẠI CƯỜNG THỊNH</t>
        </is>
      </c>
      <c r="I3431" s="17" t="inlineStr">
        <is>
          <t>Long đền thường ZP M12B23D1</t>
        </is>
      </c>
      <c r="J3431" s="17" t="inlineStr">
        <is>
          <t>Cái</t>
        </is>
      </c>
      <c r="K3431" s="19" t="n">
        <v>100</v>
      </c>
      <c r="L3431" s="20" t="n"/>
      <c r="M3431" s="20" t="n"/>
      <c r="N3431" s="43" t="n">
        <v>2402</v>
      </c>
      <c r="O3431" s="20" t="n">
        <v>240200</v>
      </c>
      <c r="P3431" s="43" t="n">
        <v>2402</v>
      </c>
      <c r="Q3431" s="20" t="n">
        <v>240200</v>
      </c>
      <c r="R3431" s="42">
        <f>+L3431+N3431-P3431</f>
        <v/>
      </c>
      <c r="S3431" s="42">
        <f>+M3431+O3431-Q3431</f>
        <v/>
      </c>
    </row>
    <row r="3432" ht="30" customHeight="1">
      <c r="A3432" s="16" t="n">
        <v>45944</v>
      </c>
      <c r="B3432" s="17" t="inlineStr">
        <is>
          <t>MH2510-34</t>
        </is>
      </c>
      <c r="C3432" s="16" t="n">
        <v>45944</v>
      </c>
      <c r="D3432" s="17" t="inlineStr">
        <is>
          <t>00004040</t>
        </is>
      </c>
      <c r="E3432" s="16" t="n">
        <v>45944</v>
      </c>
      <c r="F3432" s="16" t="inlineStr">
        <is>
          <t>XK2510-28</t>
        </is>
      </c>
      <c r="G3432" s="16" t="n">
        <v>45944</v>
      </c>
      <c r="H3432" s="17" t="inlineStr">
        <is>
          <t>CÔNG TY CỔ PHẦN CÔNG NGHIỆP VÀ THƯƠNG MẠI CƯỜNG THỊNH</t>
        </is>
      </c>
      <c r="I3432" s="17" t="inlineStr">
        <is>
          <t>Bulong Din 933 8.8 ZP M16x50</t>
        </is>
      </c>
      <c r="J3432" s="17" t="inlineStr">
        <is>
          <t>Cái</t>
        </is>
      </c>
      <c r="K3432" s="19" t="n">
        <v>3470</v>
      </c>
      <c r="L3432" s="20" t="n"/>
      <c r="M3432" s="20" t="n"/>
      <c r="N3432" s="43" t="n">
        <v>113</v>
      </c>
      <c r="O3432" s="20" t="n">
        <v>392110</v>
      </c>
      <c r="P3432" s="43" t="n">
        <v>113</v>
      </c>
      <c r="Q3432" s="20" t="n">
        <v>392110</v>
      </c>
      <c r="R3432" s="42">
        <f>+L3432+N3432-P3432</f>
        <v/>
      </c>
      <c r="S3432" s="42">
        <f>+M3432+O3432-Q3432</f>
        <v/>
      </c>
    </row>
    <row r="3433" ht="30" customHeight="1">
      <c r="A3433" s="16" t="n">
        <v>45944</v>
      </c>
      <c r="B3433" s="17" t="inlineStr">
        <is>
          <t>MH2510-34</t>
        </is>
      </c>
      <c r="C3433" s="16" t="n">
        <v>45944</v>
      </c>
      <c r="D3433" s="17" t="inlineStr">
        <is>
          <t>00004040</t>
        </is>
      </c>
      <c r="E3433" s="16" t="n">
        <v>45944</v>
      </c>
      <c r="F3433" s="16" t="inlineStr">
        <is>
          <t>XK2510-28</t>
        </is>
      </c>
      <c r="G3433" s="16" t="n">
        <v>45944</v>
      </c>
      <c r="H3433" s="17" t="inlineStr">
        <is>
          <t>CÔNG TY CỔ PHẦN CÔNG NGHIỆP VÀ THƯƠNG MẠI CƯỜNG THỊNH</t>
        </is>
      </c>
      <c r="I3433" s="17" t="inlineStr">
        <is>
          <t>Đai ốc Din 934 8 ZP M16</t>
        </is>
      </c>
      <c r="J3433" s="17" t="inlineStr">
        <is>
          <t>Cái</t>
        </is>
      </c>
      <c r="K3433" s="19" t="n">
        <v>1080</v>
      </c>
      <c r="L3433" s="20" t="n"/>
      <c r="M3433" s="20" t="n"/>
      <c r="N3433" s="43" t="n">
        <v>113</v>
      </c>
      <c r="O3433" s="20" t="n">
        <v>122040</v>
      </c>
      <c r="P3433" s="43" t="n">
        <v>113</v>
      </c>
      <c r="Q3433" s="20" t="n">
        <v>122040</v>
      </c>
      <c r="R3433" s="42">
        <f>+L3433+N3433-P3433</f>
        <v/>
      </c>
      <c r="S3433" s="42">
        <f>+M3433+O3433-Q3433</f>
        <v/>
      </c>
    </row>
    <row r="3434" ht="30" customHeight="1">
      <c r="A3434" s="16" t="n">
        <v>45944</v>
      </c>
      <c r="B3434" s="17" t="inlineStr">
        <is>
          <t>MH2510-34</t>
        </is>
      </c>
      <c r="C3434" s="16" t="n">
        <v>45944</v>
      </c>
      <c r="D3434" s="17" t="inlineStr">
        <is>
          <t>00004040</t>
        </is>
      </c>
      <c r="E3434" s="16" t="n">
        <v>45944</v>
      </c>
      <c r="F3434" s="16" t="inlineStr">
        <is>
          <t>XK2510-28</t>
        </is>
      </c>
      <c r="G3434" s="16" t="n">
        <v>45944</v>
      </c>
      <c r="H3434" s="17" t="inlineStr">
        <is>
          <t>CÔNG TY CỔ PHẦN CÔNG NGHIỆP VÀ THƯƠNG MẠI CƯỜNG THỊNH</t>
        </is>
      </c>
      <c r="I3434" s="17" t="inlineStr">
        <is>
          <t>Long đền thường ZP M16B30D2</t>
        </is>
      </c>
      <c r="J3434" s="17" t="inlineStr">
        <is>
          <t>Cái</t>
        </is>
      </c>
      <c r="K3434" s="19" t="n">
        <v>340</v>
      </c>
      <c r="L3434" s="20" t="n"/>
      <c r="M3434" s="20" t="n"/>
      <c r="N3434" s="43" t="n">
        <v>113</v>
      </c>
      <c r="O3434" s="20" t="n">
        <v>38420</v>
      </c>
      <c r="P3434" s="43" t="n">
        <v>113</v>
      </c>
      <c r="Q3434" s="20" t="n">
        <v>38420</v>
      </c>
      <c r="R3434" s="42">
        <f>+L3434+N3434-P3434</f>
        <v/>
      </c>
      <c r="S3434" s="42">
        <f>+M3434+O3434-Q3434</f>
        <v/>
      </c>
    </row>
    <row r="3435" ht="30" customHeight="1">
      <c r="A3435" s="16" t="n">
        <v>45944</v>
      </c>
      <c r="B3435" s="17" t="inlineStr">
        <is>
          <t>MH2510-34</t>
        </is>
      </c>
      <c r="C3435" s="16" t="n">
        <v>45944</v>
      </c>
      <c r="D3435" s="17" t="inlineStr">
        <is>
          <t>00004040</t>
        </is>
      </c>
      <c r="E3435" s="16" t="n">
        <v>45944</v>
      </c>
      <c r="F3435" s="16" t="inlineStr">
        <is>
          <t>XK2510-28</t>
        </is>
      </c>
      <c r="G3435" s="16" t="n">
        <v>45944</v>
      </c>
      <c r="H3435" s="17" t="inlineStr">
        <is>
          <t>CÔNG TY CỔ PHẦN CÔNG NGHIỆP VÀ THƯƠNG MẠI CƯỜNG THỊNH</t>
        </is>
      </c>
      <c r="I3435" s="17" t="inlineStr">
        <is>
          <t>Bulong Din 933 8.8 ZP M20x60</t>
        </is>
      </c>
      <c r="J3435" s="17" t="inlineStr">
        <is>
          <t>Cái</t>
        </is>
      </c>
      <c r="K3435" s="19" t="n">
        <v>6360</v>
      </c>
      <c r="L3435" s="20" t="n"/>
      <c r="M3435" s="20" t="n"/>
      <c r="N3435" s="43" t="n">
        <v>904</v>
      </c>
      <c r="O3435" s="20" t="n">
        <v>5749440</v>
      </c>
      <c r="P3435" s="43" t="n">
        <v>904</v>
      </c>
      <c r="Q3435" s="20" t="n">
        <v>5749440</v>
      </c>
      <c r="R3435" s="42">
        <f>+L3435+N3435-P3435</f>
        <v/>
      </c>
      <c r="S3435" s="42">
        <f>+M3435+O3435-Q3435</f>
        <v/>
      </c>
    </row>
    <row r="3436" ht="30" customHeight="1">
      <c r="A3436" s="16" t="n">
        <v>45944</v>
      </c>
      <c r="B3436" s="17" t="inlineStr">
        <is>
          <t>MH2510-34</t>
        </is>
      </c>
      <c r="C3436" s="16" t="n">
        <v>45944</v>
      </c>
      <c r="D3436" s="17" t="inlineStr">
        <is>
          <t>00004040</t>
        </is>
      </c>
      <c r="E3436" s="16" t="n">
        <v>45944</v>
      </c>
      <c r="F3436" s="16" t="inlineStr">
        <is>
          <t>XK2510-28</t>
        </is>
      </c>
      <c r="G3436" s="16" t="n">
        <v>45944</v>
      </c>
      <c r="H3436" s="17" t="inlineStr">
        <is>
          <t>CÔNG TY CỔ PHẦN CÔNG NGHIỆP VÀ THƯƠNG MẠI CƯỜNG THỊNH</t>
        </is>
      </c>
      <c r="I3436" s="17" t="inlineStr">
        <is>
          <t>Đai ốc Din 934 8 ZP M20</t>
        </is>
      </c>
      <c r="J3436" s="17" t="inlineStr">
        <is>
          <t>Cái</t>
        </is>
      </c>
      <c r="K3436" s="19" t="n">
        <v>2030</v>
      </c>
      <c r="L3436" s="20" t="n"/>
      <c r="M3436" s="20" t="n"/>
      <c r="N3436" s="43" t="n">
        <v>904</v>
      </c>
      <c r="O3436" s="20" t="n">
        <v>1835120</v>
      </c>
      <c r="P3436" s="43" t="n">
        <v>904</v>
      </c>
      <c r="Q3436" s="20" t="n">
        <v>1835120</v>
      </c>
      <c r="R3436" s="42">
        <f>+L3436+N3436-P3436</f>
        <v/>
      </c>
      <c r="S3436" s="42">
        <f>+M3436+O3436-Q3436</f>
        <v/>
      </c>
    </row>
    <row r="3437" ht="30" customHeight="1">
      <c r="A3437" s="16" t="n">
        <v>45944</v>
      </c>
      <c r="B3437" s="17" t="inlineStr">
        <is>
          <t>MH2510-34</t>
        </is>
      </c>
      <c r="C3437" s="16" t="n">
        <v>45944</v>
      </c>
      <c r="D3437" s="17" t="inlineStr">
        <is>
          <t>00004040</t>
        </is>
      </c>
      <c r="E3437" s="16" t="n">
        <v>45944</v>
      </c>
      <c r="F3437" s="16" t="inlineStr">
        <is>
          <t>XK2510-28</t>
        </is>
      </c>
      <c r="G3437" s="16" t="n">
        <v>45944</v>
      </c>
      <c r="H3437" s="17" t="inlineStr">
        <is>
          <t>CÔNG TY CỔ PHẦN CÔNG NGHIỆP VÀ THƯƠNG MẠI CƯỜNG THỊNH</t>
        </is>
      </c>
      <c r="I3437" s="17" t="inlineStr">
        <is>
          <t>Long đền thường ZP M20B35D2</t>
        </is>
      </c>
      <c r="J3437" s="17" t="inlineStr">
        <is>
          <t>Cái</t>
        </is>
      </c>
      <c r="K3437" s="19" t="n">
        <v>350</v>
      </c>
      <c r="L3437" s="20" t="n"/>
      <c r="M3437" s="20" t="n"/>
      <c r="N3437" s="43" t="n">
        <v>904</v>
      </c>
      <c r="O3437" s="20" t="n">
        <v>316400</v>
      </c>
      <c r="P3437" s="43" t="n">
        <v>904</v>
      </c>
      <c r="Q3437" s="20" t="n">
        <v>316400</v>
      </c>
      <c r="R3437" s="42">
        <f>+L3437+N3437-P3437</f>
        <v/>
      </c>
      <c r="S3437" s="42">
        <f>+M3437+O3437-Q3437</f>
        <v/>
      </c>
    </row>
    <row r="3438" ht="30" customHeight="1">
      <c r="A3438" s="16" t="n">
        <v>45944</v>
      </c>
      <c r="B3438" s="17" t="inlineStr">
        <is>
          <t>MH2510-34</t>
        </is>
      </c>
      <c r="C3438" s="16" t="n">
        <v>45944</v>
      </c>
      <c r="D3438" s="17" t="inlineStr">
        <is>
          <t>00004040</t>
        </is>
      </c>
      <c r="E3438" s="16" t="n">
        <v>45944</v>
      </c>
      <c r="F3438" s="16" t="inlineStr">
        <is>
          <t>XK2510-28</t>
        </is>
      </c>
      <c r="G3438" s="16" t="n">
        <v>45944</v>
      </c>
      <c r="H3438" s="17" t="inlineStr">
        <is>
          <t>CÔNG TY CỔ PHẦN CÔNG NGHIỆP VÀ THƯƠNG MẠI CƯỜNG THỊNH</t>
        </is>
      </c>
      <c r="I3438" s="17" t="inlineStr">
        <is>
          <t>Bulong Din 933 8.8 ZP M20x80</t>
        </is>
      </c>
      <c r="J3438" s="17" t="inlineStr">
        <is>
          <t>Cái</t>
        </is>
      </c>
      <c r="K3438" s="19" t="n">
        <v>7630</v>
      </c>
      <c r="L3438" s="20" t="n"/>
      <c r="M3438" s="20" t="n"/>
      <c r="N3438" s="43" t="n">
        <v>87</v>
      </c>
      <c r="O3438" s="20" t="n">
        <v>663810</v>
      </c>
      <c r="P3438" s="43" t="n">
        <v>87</v>
      </c>
      <c r="Q3438" s="20" t="n">
        <v>663810</v>
      </c>
      <c r="R3438" s="42">
        <f>+L3438+N3438-P3438</f>
        <v/>
      </c>
      <c r="S3438" s="42">
        <f>+M3438+O3438-Q3438</f>
        <v/>
      </c>
    </row>
    <row r="3439" ht="30" customHeight="1">
      <c r="A3439" s="16" t="n">
        <v>45944</v>
      </c>
      <c r="B3439" s="17" t="inlineStr">
        <is>
          <t>MH2510-34</t>
        </is>
      </c>
      <c r="C3439" s="16" t="n">
        <v>45944</v>
      </c>
      <c r="D3439" s="17" t="inlineStr">
        <is>
          <t>00004040</t>
        </is>
      </c>
      <c r="E3439" s="16" t="n">
        <v>45944</v>
      </c>
      <c r="F3439" s="16" t="inlineStr">
        <is>
          <t>XK2510-28</t>
        </is>
      </c>
      <c r="G3439" s="16" t="n">
        <v>45944</v>
      </c>
      <c r="H3439" s="17" t="inlineStr">
        <is>
          <t>CÔNG TY CỔ PHẦN CÔNG NGHIỆP VÀ THƯƠNG MẠI CƯỜNG THỊNH</t>
        </is>
      </c>
      <c r="I3439" s="17" t="inlineStr">
        <is>
          <t>Đai ốc Din 934 8 ZP M20</t>
        </is>
      </c>
      <c r="J3439" s="17" t="inlineStr">
        <is>
          <t>Cái</t>
        </is>
      </c>
      <c r="K3439" s="19" t="n">
        <v>2030</v>
      </c>
      <c r="L3439" s="20" t="n"/>
      <c r="M3439" s="20" t="n"/>
      <c r="N3439" s="43" t="n">
        <v>87</v>
      </c>
      <c r="O3439" s="20" t="n">
        <v>176610</v>
      </c>
      <c r="P3439" s="43" t="n">
        <v>87</v>
      </c>
      <c r="Q3439" s="20" t="n">
        <v>176610</v>
      </c>
      <c r="R3439" s="42">
        <f>+L3439+N3439-P3439</f>
        <v/>
      </c>
      <c r="S3439" s="42">
        <f>+M3439+O3439-Q3439</f>
        <v/>
      </c>
    </row>
    <row r="3440" ht="30" customHeight="1">
      <c r="A3440" s="16" t="n">
        <v>45944</v>
      </c>
      <c r="B3440" s="17" t="inlineStr">
        <is>
          <t>MH2510-34</t>
        </is>
      </c>
      <c r="C3440" s="16" t="n">
        <v>45944</v>
      </c>
      <c r="D3440" s="17" t="inlineStr">
        <is>
          <t>00004040</t>
        </is>
      </c>
      <c r="E3440" s="16" t="n">
        <v>45944</v>
      </c>
      <c r="F3440" s="16" t="inlineStr">
        <is>
          <t>XK2510-28</t>
        </is>
      </c>
      <c r="G3440" s="16" t="n">
        <v>45944</v>
      </c>
      <c r="H3440" s="17" t="inlineStr">
        <is>
          <t>CÔNG TY CỔ PHẦN CÔNG NGHIỆP VÀ THƯƠNG MẠI CƯỜNG THỊNH</t>
        </is>
      </c>
      <c r="I3440" s="17" t="inlineStr">
        <is>
          <t>Long đền thường ZP M20B35D2</t>
        </is>
      </c>
      <c r="J3440" s="17" t="inlineStr">
        <is>
          <t>Cái</t>
        </is>
      </c>
      <c r="K3440" s="19" t="n">
        <v>350</v>
      </c>
      <c r="L3440" s="20" t="n"/>
      <c r="M3440" s="20" t="n"/>
      <c r="N3440" s="43" t="n">
        <v>87</v>
      </c>
      <c r="O3440" s="20" t="n">
        <v>30450</v>
      </c>
      <c r="P3440" s="43" t="n">
        <v>87</v>
      </c>
      <c r="Q3440" s="20" t="n">
        <v>30450</v>
      </c>
      <c r="R3440" s="42">
        <f>+L3440+N3440-P3440</f>
        <v/>
      </c>
      <c r="S3440" s="42">
        <f>+M3440+O3440-Q3440</f>
        <v/>
      </c>
    </row>
    <row r="3441" ht="30" customHeight="1">
      <c r="A3441" s="16" t="n">
        <v>45944</v>
      </c>
      <c r="B3441" s="17" t="inlineStr">
        <is>
          <t>MH2510-34</t>
        </is>
      </c>
      <c r="C3441" s="16" t="n">
        <v>45944</v>
      </c>
      <c r="D3441" s="17" t="inlineStr">
        <is>
          <t>00004040</t>
        </is>
      </c>
      <c r="E3441" s="16" t="n">
        <v>45944</v>
      </c>
      <c r="F3441" s="16" t="inlineStr">
        <is>
          <t>XK2510-28</t>
        </is>
      </c>
      <c r="G3441" s="16" t="n">
        <v>45944</v>
      </c>
      <c r="H3441" s="17" t="inlineStr">
        <is>
          <t>CÔNG TY CỔ PHẦN CÔNG NGHIỆP VÀ THƯƠNG MẠI CƯỜNG THỊNH</t>
        </is>
      </c>
      <c r="I3441" s="17" t="inlineStr">
        <is>
          <t>Bulong Din 933 8.8 ZP M24x90</t>
        </is>
      </c>
      <c r="J3441" s="17" t="inlineStr">
        <is>
          <t>Cái</t>
        </is>
      </c>
      <c r="K3441" s="19" t="n">
        <v>12950</v>
      </c>
      <c r="L3441" s="20" t="n"/>
      <c r="M3441" s="20" t="n"/>
      <c r="N3441" s="43" t="n">
        <v>187</v>
      </c>
      <c r="O3441" s="20" t="n">
        <v>2421650</v>
      </c>
      <c r="P3441" s="43" t="n">
        <v>187</v>
      </c>
      <c r="Q3441" s="20" t="n">
        <v>2421650</v>
      </c>
      <c r="R3441" s="42">
        <f>+L3441+N3441-P3441</f>
        <v/>
      </c>
      <c r="S3441" s="42">
        <f>+M3441+O3441-Q3441</f>
        <v/>
      </c>
    </row>
    <row r="3442" ht="30" customHeight="1">
      <c r="A3442" s="16" t="n">
        <v>45944</v>
      </c>
      <c r="B3442" s="17" t="inlineStr">
        <is>
          <t>MH2510-34</t>
        </is>
      </c>
      <c r="C3442" s="16" t="n">
        <v>45944</v>
      </c>
      <c r="D3442" s="17" t="inlineStr">
        <is>
          <t>00004040</t>
        </is>
      </c>
      <c r="E3442" s="16" t="n">
        <v>45944</v>
      </c>
      <c r="F3442" s="16" t="inlineStr">
        <is>
          <t>XK2510-28</t>
        </is>
      </c>
      <c r="G3442" s="16" t="n">
        <v>45944</v>
      </c>
      <c r="H3442" s="17" t="inlineStr">
        <is>
          <t>CÔNG TY CỔ PHẦN CÔNG NGHIỆP VÀ THƯƠNG MẠI CƯỜNG THỊNH</t>
        </is>
      </c>
      <c r="I3442" s="17" t="inlineStr">
        <is>
          <t>Đai ốc Din 934 8 ZP M24</t>
        </is>
      </c>
      <c r="J3442" s="17" t="inlineStr">
        <is>
          <t>Cái</t>
        </is>
      </c>
      <c r="K3442" s="19" t="n">
        <v>3500</v>
      </c>
      <c r="L3442" s="20" t="n"/>
      <c r="M3442" s="20" t="n"/>
      <c r="N3442" s="43" t="n">
        <v>187</v>
      </c>
      <c r="O3442" s="20" t="n">
        <v>654500</v>
      </c>
      <c r="P3442" s="43" t="n">
        <v>187</v>
      </c>
      <c r="Q3442" s="20" t="n">
        <v>654500</v>
      </c>
      <c r="R3442" s="42">
        <f>+L3442+N3442-P3442</f>
        <v/>
      </c>
      <c r="S3442" s="42">
        <f>+M3442+O3442-Q3442</f>
        <v/>
      </c>
    </row>
    <row r="3443" ht="30" customHeight="1">
      <c r="A3443" s="16" t="n">
        <v>45944</v>
      </c>
      <c r="B3443" s="17" t="inlineStr">
        <is>
          <t>MH2510-34</t>
        </is>
      </c>
      <c r="C3443" s="16" t="n">
        <v>45944</v>
      </c>
      <c r="D3443" s="17" t="inlineStr">
        <is>
          <t>00004040</t>
        </is>
      </c>
      <c r="E3443" s="16" t="n">
        <v>45944</v>
      </c>
      <c r="F3443" s="16" t="inlineStr">
        <is>
          <t>XK2510-28</t>
        </is>
      </c>
      <c r="G3443" s="16" t="n">
        <v>45944</v>
      </c>
      <c r="H3443" s="17" t="inlineStr">
        <is>
          <t>CÔNG TY CỔ PHẦN CÔNG NGHIỆP VÀ THƯƠNG MẠI CƯỜNG THỊNH</t>
        </is>
      </c>
      <c r="I3443" s="17" t="inlineStr">
        <is>
          <t>Long đền thường ZP M24B40-42D2</t>
        </is>
      </c>
      <c r="J3443" s="17" t="inlineStr">
        <is>
          <t>Cái</t>
        </is>
      </c>
      <c r="K3443" s="19" t="n">
        <v>680</v>
      </c>
      <c r="L3443" s="20" t="n"/>
      <c r="M3443" s="20" t="n"/>
      <c r="N3443" s="43" t="n">
        <v>187</v>
      </c>
      <c r="O3443" s="20" t="n">
        <v>127160</v>
      </c>
      <c r="P3443" s="43" t="n">
        <v>187</v>
      </c>
      <c r="Q3443" s="20" t="n">
        <v>127160</v>
      </c>
      <c r="R3443" s="42">
        <f>+L3443+N3443-P3443</f>
        <v/>
      </c>
      <c r="S3443" s="42">
        <f>+M3443+O3443-Q3443</f>
        <v/>
      </c>
    </row>
    <row r="3444" ht="30" customHeight="1">
      <c r="A3444" s="16" t="n">
        <v>45944</v>
      </c>
      <c r="B3444" s="17" t="inlineStr">
        <is>
          <t>MH2510-34</t>
        </is>
      </c>
      <c r="C3444" s="16" t="n">
        <v>45944</v>
      </c>
      <c r="D3444" s="17" t="inlineStr">
        <is>
          <t>00004040</t>
        </is>
      </c>
      <c r="E3444" s="16" t="n">
        <v>45944</v>
      </c>
      <c r="F3444" s="16" t="inlineStr">
        <is>
          <t>XK2510-28</t>
        </is>
      </c>
      <c r="G3444" s="16" t="n">
        <v>45944</v>
      </c>
      <c r="H3444" s="17" t="inlineStr">
        <is>
          <t>CÔNG TY CỔ PHẦN CÔNG NGHIỆP VÀ THƯƠNG MẠI CƯỜNG THỊNH</t>
        </is>
      </c>
      <c r="I3444" s="17" t="inlineStr">
        <is>
          <t>Bulong nở 5.6 ZP M12x120</t>
        </is>
      </c>
      <c r="J3444" s="17" t="inlineStr">
        <is>
          <t>Bộ</t>
        </is>
      </c>
      <c r="K3444" s="19" t="n">
        <v>15000</v>
      </c>
      <c r="L3444" s="20" t="n"/>
      <c r="M3444" s="20" t="n"/>
      <c r="N3444" s="43" t="n">
        <v>103</v>
      </c>
      <c r="O3444" s="20" t="n">
        <v>1545000</v>
      </c>
      <c r="P3444" s="43" t="n">
        <v>103</v>
      </c>
      <c r="Q3444" s="20" t="n">
        <v>1545000</v>
      </c>
      <c r="R3444" s="42">
        <f>+L3444+N3444-P3444</f>
        <v/>
      </c>
      <c r="S3444" s="42">
        <f>+M3444+O3444-Q3444</f>
        <v/>
      </c>
    </row>
    <row r="3445" ht="30" customHeight="1">
      <c r="A3445" s="16" t="n">
        <v>45944</v>
      </c>
      <c r="B3445" s="17" t="inlineStr">
        <is>
          <t>MH2510-34</t>
        </is>
      </c>
      <c r="C3445" s="16" t="n">
        <v>45944</v>
      </c>
      <c r="D3445" s="17" t="inlineStr">
        <is>
          <t>00004040</t>
        </is>
      </c>
      <c r="E3445" s="16" t="n">
        <v>45944</v>
      </c>
      <c r="F3445" s="16" t="inlineStr">
        <is>
          <t>XK2510-28</t>
        </is>
      </c>
      <c r="G3445" s="16" t="n">
        <v>45944</v>
      </c>
      <c r="H3445" s="17" t="inlineStr">
        <is>
          <t>CÔNG TY CỔ PHẦN CÔNG NGHIỆP VÀ THƯƠNG MẠI CƯỜNG THỊNH</t>
        </is>
      </c>
      <c r="I3445" s="17" t="inlineStr">
        <is>
          <t>Vít B2 Dacromet 10-24x22 WAF (bake)</t>
        </is>
      </c>
      <c r="J3445" s="17" t="inlineStr">
        <is>
          <t>Cái</t>
        </is>
      </c>
      <c r="K3445" s="19" t="n">
        <v>380</v>
      </c>
      <c r="L3445" s="20" t="n"/>
      <c r="M3445" s="20" t="n"/>
      <c r="N3445" s="43" t="n">
        <v>1600</v>
      </c>
      <c r="O3445" s="20" t="n">
        <v>608000</v>
      </c>
      <c r="P3445" s="43" t="n">
        <v>1600</v>
      </c>
      <c r="Q3445" s="20" t="n">
        <v>608000</v>
      </c>
      <c r="R3445" s="42">
        <f>+L3445+N3445-P3445</f>
        <v/>
      </c>
      <c r="S3445" s="42">
        <f>+M3445+O3445-Q3445</f>
        <v/>
      </c>
    </row>
    <row r="3446" ht="15" customHeight="1">
      <c r="A3446" s="16" t="n">
        <v>45945</v>
      </c>
      <c r="B3446" s="17" t="inlineStr">
        <is>
          <t>MH2510-35</t>
        </is>
      </c>
      <c r="C3446" s="16" t="n">
        <v>45945</v>
      </c>
      <c r="D3446" s="17" t="inlineStr">
        <is>
          <t>2677</t>
        </is>
      </c>
      <c r="E3446" s="16" t="n">
        <v>45945</v>
      </c>
      <c r="F3446" s="16" t="inlineStr">
        <is>
          <t>XK2510-29</t>
        </is>
      </c>
      <c r="G3446" s="16" t="n">
        <v>45945</v>
      </c>
      <c r="H3446" s="17" t="inlineStr">
        <is>
          <t>CÔNG TY TNHH THÉP IPC SÀI GÒN</t>
        </is>
      </c>
      <c r="I3446" s="17" t="inlineStr">
        <is>
          <t>Thép tấm 8x2000x12000</t>
        </is>
      </c>
      <c r="J3446" s="17" t="inlineStr">
        <is>
          <t>kg</t>
        </is>
      </c>
      <c r="K3446" s="19" t="n">
        <v>13727.27</v>
      </c>
      <c r="L3446" s="20" t="n"/>
      <c r="M3446" s="20" t="n"/>
      <c r="N3446" s="43" t="n">
        <v>3014.4</v>
      </c>
      <c r="O3446" s="20" t="n">
        <v>41379483</v>
      </c>
      <c r="P3446" s="43" t="n">
        <v>3014.4</v>
      </c>
      <c r="Q3446" s="20" t="n">
        <v>41379483</v>
      </c>
      <c r="R3446" s="42">
        <f>+L3446+N3446-P3446</f>
        <v/>
      </c>
      <c r="S3446" s="42">
        <f>+M3446+O3446-Q3446</f>
        <v/>
      </c>
    </row>
    <row r="3447" ht="15" customHeight="1">
      <c r="A3447" s="16" t="n">
        <v>45945</v>
      </c>
      <c r="B3447" s="17" t="inlineStr">
        <is>
          <t>MH2510-35</t>
        </is>
      </c>
      <c r="C3447" s="16" t="n">
        <v>45945</v>
      </c>
      <c r="D3447" s="17" t="inlineStr">
        <is>
          <t>2677</t>
        </is>
      </c>
      <c r="E3447" s="16" t="n">
        <v>45945</v>
      </c>
      <c r="F3447" s="16" t="inlineStr">
        <is>
          <t>XK2510-29</t>
        </is>
      </c>
      <c r="G3447" s="16" t="n">
        <v>45945</v>
      </c>
      <c r="H3447" s="17" t="inlineStr">
        <is>
          <t>CÔNG TY TNHH THÉP IPC SÀI GÒN</t>
        </is>
      </c>
      <c r="I3447" s="17" t="inlineStr">
        <is>
          <t>Thép tấm 10x2000x12000</t>
        </is>
      </c>
      <c r="J3447" s="17" t="inlineStr">
        <is>
          <t>kg</t>
        </is>
      </c>
      <c r="K3447" s="19" t="n">
        <v>13727.27</v>
      </c>
      <c r="L3447" s="20" t="n"/>
      <c r="M3447" s="20" t="n"/>
      <c r="N3447" s="43" t="n">
        <v>30144</v>
      </c>
      <c r="O3447" s="20" t="n">
        <v>413794827</v>
      </c>
      <c r="P3447" s="43" t="n">
        <v>30144</v>
      </c>
      <c r="Q3447" s="20" t="n">
        <v>413794827</v>
      </c>
      <c r="R3447" s="42">
        <f>+L3447+N3447-P3447</f>
        <v/>
      </c>
      <c r="S3447" s="42">
        <f>+M3447+O3447-Q3447</f>
        <v/>
      </c>
    </row>
    <row r="3448" ht="30" customHeight="1">
      <c r="A3448" s="16" t="n">
        <v>45945</v>
      </c>
      <c r="B3448" s="17" t="inlineStr">
        <is>
          <t>MH2510-37</t>
        </is>
      </c>
      <c r="C3448" s="16" t="n">
        <v>45945</v>
      </c>
      <c r="D3448" s="17" t="inlineStr">
        <is>
          <t>00002288</t>
        </is>
      </c>
      <c r="E3448" s="16" t="n">
        <v>45945</v>
      </c>
      <c r="F3448" s="16" t="inlineStr">
        <is>
          <t>XK2510-30</t>
        </is>
      </c>
      <c r="G3448" s="16" t="n">
        <v>45945</v>
      </c>
      <c r="H3448" s="17" t="inlineStr">
        <is>
          <t>CÔNG TY TNHH DỊCH VỤ - THƯƠNG MẠI THÉP THIÊN LONG</t>
        </is>
      </c>
      <c r="I3448" s="17" t="inlineStr">
        <is>
          <t>Thép hình H150</t>
        </is>
      </c>
      <c r="J3448" s="17" t="inlineStr">
        <is>
          <t>kg</t>
        </is>
      </c>
      <c r="K3448" s="19" t="n">
        <v>17272.72</v>
      </c>
      <c r="L3448" s="20" t="n"/>
      <c r="M3448" s="20" t="n"/>
      <c r="N3448" s="43" t="n">
        <v>6720</v>
      </c>
      <c r="O3448" s="20" t="n">
        <v>116072678</v>
      </c>
      <c r="P3448" s="43" t="n">
        <v>6720</v>
      </c>
      <c r="Q3448" s="20" t="n">
        <v>116072678</v>
      </c>
      <c r="R3448" s="42">
        <f>+L3448+N3448-P3448</f>
        <v/>
      </c>
      <c r="S3448" s="42">
        <f>+M3448+O3448-Q3448</f>
        <v/>
      </c>
    </row>
    <row r="3449" ht="30" customHeight="1">
      <c r="A3449" s="16" t="n">
        <v>45945</v>
      </c>
      <c r="B3449" s="17" t="inlineStr">
        <is>
          <t>MH2510-37</t>
        </is>
      </c>
      <c r="C3449" s="16" t="n">
        <v>45945</v>
      </c>
      <c r="D3449" s="17" t="inlineStr">
        <is>
          <t>00002288</t>
        </is>
      </c>
      <c r="E3449" s="16" t="n">
        <v>45945</v>
      </c>
      <c r="F3449" s="16" t="inlineStr">
        <is>
          <t>XK2510-30</t>
        </is>
      </c>
      <c r="G3449" s="16" t="n">
        <v>45945</v>
      </c>
      <c r="H3449" s="17" t="inlineStr">
        <is>
          <t>CÔNG TY TNHH DỊCH VỤ - THƯƠNG MẠI THÉP THIÊN LONG</t>
        </is>
      </c>
      <c r="I3449" s="17" t="inlineStr">
        <is>
          <t>Thép hình U200</t>
        </is>
      </c>
      <c r="J3449" s="17" t="inlineStr">
        <is>
          <t>kg</t>
        </is>
      </c>
      <c r="K3449" s="19" t="n">
        <v>14000</v>
      </c>
      <c r="L3449" s="20" t="n"/>
      <c r="M3449" s="20" t="n"/>
      <c r="N3449" s="43" t="n">
        <v>5100</v>
      </c>
      <c r="O3449" s="20" t="n">
        <v>71400000</v>
      </c>
      <c r="P3449" s="43" t="n">
        <v>5100</v>
      </c>
      <c r="Q3449" s="20" t="n">
        <v>71400000</v>
      </c>
      <c r="R3449" s="42">
        <f>+L3449+N3449-P3449</f>
        <v/>
      </c>
      <c r="S3449" s="42">
        <f>+M3449+O3449-Q3449</f>
        <v/>
      </c>
    </row>
    <row r="3450" ht="30" customHeight="1">
      <c r="A3450" s="16" t="n">
        <v>45945</v>
      </c>
      <c r="B3450" s="17" t="inlineStr">
        <is>
          <t>MH2510-37</t>
        </is>
      </c>
      <c r="C3450" s="16" t="n">
        <v>45945</v>
      </c>
      <c r="D3450" s="17" t="inlineStr">
        <is>
          <t>00002288</t>
        </is>
      </c>
      <c r="E3450" s="16" t="n">
        <v>45945</v>
      </c>
      <c r="F3450" s="16" t="inlineStr">
        <is>
          <t>XK2510-30</t>
        </is>
      </c>
      <c r="G3450" s="16" t="n">
        <v>45945</v>
      </c>
      <c r="H3450" s="17" t="inlineStr">
        <is>
          <t>CÔNG TY TNHH DỊCH VỤ - THƯƠNG MẠI THÉP THIÊN LONG</t>
        </is>
      </c>
      <c r="I3450" s="17" t="inlineStr">
        <is>
          <t>Thép góc V50</t>
        </is>
      </c>
      <c r="J3450" s="17" t="inlineStr">
        <is>
          <t>kg</t>
        </is>
      </c>
      <c r="K3450" s="19" t="n">
        <v>14454.54</v>
      </c>
      <c r="L3450" s="20" t="n"/>
      <c r="M3450" s="20" t="n"/>
      <c r="N3450" s="43" t="n">
        <v>660.96</v>
      </c>
      <c r="O3450" s="20" t="n">
        <v>9553873</v>
      </c>
      <c r="P3450" s="43" t="n">
        <v>660.96</v>
      </c>
      <c r="Q3450" s="20" t="n">
        <v>9553873</v>
      </c>
      <c r="R3450" s="42">
        <f>+L3450+N3450-P3450</f>
        <v/>
      </c>
      <c r="S3450" s="42">
        <f>+M3450+O3450-Q3450</f>
        <v/>
      </c>
    </row>
    <row r="3451" ht="30" customHeight="1">
      <c r="A3451" s="16" t="n">
        <v>45945</v>
      </c>
      <c r="B3451" s="17" t="inlineStr">
        <is>
          <t>MH2510-37</t>
        </is>
      </c>
      <c r="C3451" s="16" t="n">
        <v>45945</v>
      </c>
      <c r="D3451" s="17" t="inlineStr">
        <is>
          <t>00002288</t>
        </is>
      </c>
      <c r="E3451" s="16" t="n">
        <v>45945</v>
      </c>
      <c r="F3451" s="16" t="inlineStr">
        <is>
          <t>XK2510-30</t>
        </is>
      </c>
      <c r="G3451" s="16" t="n">
        <v>45945</v>
      </c>
      <c r="H3451" s="17" t="inlineStr">
        <is>
          <t>CÔNG TY TNHH DỊCH VỤ - THƯƠNG MẠI THÉP THIÊN LONG</t>
        </is>
      </c>
      <c r="I3451" s="17" t="inlineStr">
        <is>
          <t>Thép vuông 100</t>
        </is>
      </c>
      <c r="J3451" s="17" t="inlineStr">
        <is>
          <t>kg</t>
        </is>
      </c>
      <c r="K3451" s="19" t="n">
        <v>16272.72</v>
      </c>
      <c r="L3451" s="20" t="n"/>
      <c r="M3451" s="20" t="n"/>
      <c r="N3451" s="43" t="n">
        <v>1644.84</v>
      </c>
      <c r="O3451" s="20" t="n">
        <v>26766021</v>
      </c>
      <c r="P3451" s="43" t="n">
        <v>1644.84</v>
      </c>
      <c r="Q3451" s="20" t="n">
        <v>26766021</v>
      </c>
      <c r="R3451" s="42">
        <f>+L3451+N3451-P3451</f>
        <v/>
      </c>
      <c r="S3451" s="42">
        <f>+M3451+O3451-Q3451</f>
        <v/>
      </c>
    </row>
    <row r="3452" ht="30" customHeight="1">
      <c r="A3452" s="16" t="n">
        <v>45945</v>
      </c>
      <c r="B3452" s="17" t="inlineStr">
        <is>
          <t>MH2510-38</t>
        </is>
      </c>
      <c r="C3452" s="16" t="n">
        <v>45945</v>
      </c>
      <c r="D3452" s="17" t="inlineStr">
        <is>
          <t>00002289</t>
        </is>
      </c>
      <c r="E3452" s="16" t="n">
        <v>45945</v>
      </c>
      <c r="F3452" s="16" t="inlineStr">
        <is>
          <t>XK2510-31</t>
        </is>
      </c>
      <c r="G3452" s="16" t="n">
        <v>45945</v>
      </c>
      <c r="H3452" s="17" t="inlineStr">
        <is>
          <t>CÔNG TY TNHH DỊCH VỤ - THƯƠNG MẠI THÉP THIÊN LONG</t>
        </is>
      </c>
      <c r="I3452" s="17" t="inlineStr">
        <is>
          <t>Thép hình H200</t>
        </is>
      </c>
      <c r="J3452" s="17" t="inlineStr">
        <is>
          <t>kg</t>
        </is>
      </c>
      <c r="K3452" s="19" t="n">
        <v>17272.72</v>
      </c>
      <c r="L3452" s="20" t="n"/>
      <c r="M3452" s="20" t="n"/>
      <c r="N3452" s="43" t="n">
        <v>1533.6</v>
      </c>
      <c r="O3452" s="20" t="n">
        <v>26489443</v>
      </c>
      <c r="P3452" s="43" t="n">
        <v>1533.6</v>
      </c>
      <c r="Q3452" s="20" t="n">
        <v>26489443</v>
      </c>
      <c r="R3452" s="42">
        <f>+L3452+N3452-P3452</f>
        <v/>
      </c>
      <c r="S3452" s="42">
        <f>+M3452+O3452-Q3452</f>
        <v/>
      </c>
    </row>
    <row r="3453" ht="30" customHeight="1">
      <c r="A3453" s="16" t="n">
        <v>45945</v>
      </c>
      <c r="B3453" s="17" t="inlineStr">
        <is>
          <t>MH2510-38</t>
        </is>
      </c>
      <c r="C3453" s="16" t="n">
        <v>45945</v>
      </c>
      <c r="D3453" s="17" t="inlineStr">
        <is>
          <t>00002289</t>
        </is>
      </c>
      <c r="E3453" s="16" t="n">
        <v>45945</v>
      </c>
      <c r="F3453" s="16" t="inlineStr">
        <is>
          <t>XK2510-31</t>
        </is>
      </c>
      <c r="G3453" s="16" t="n">
        <v>45945</v>
      </c>
      <c r="H3453" s="17" t="inlineStr">
        <is>
          <t>CÔNG TY TNHH DỊCH VỤ - THƯƠNG MẠI THÉP THIÊN LONG</t>
        </is>
      </c>
      <c r="I3453" s="17" t="inlineStr">
        <is>
          <t>Thép hình H150</t>
        </is>
      </c>
      <c r="J3453" s="17" t="inlineStr">
        <is>
          <t>kg</t>
        </is>
      </c>
      <c r="K3453" s="19" t="n">
        <v>17272.72</v>
      </c>
      <c r="L3453" s="20" t="n"/>
      <c r="M3453" s="20" t="n"/>
      <c r="N3453" s="43" t="n">
        <v>6720</v>
      </c>
      <c r="O3453" s="20" t="n">
        <v>116072678</v>
      </c>
      <c r="P3453" s="43" t="n">
        <v>6720</v>
      </c>
      <c r="Q3453" s="20" t="n">
        <v>116072678</v>
      </c>
      <c r="R3453" s="42">
        <f>+L3453+N3453-P3453</f>
        <v/>
      </c>
      <c r="S3453" s="42">
        <f>+M3453+O3453-Q3453</f>
        <v/>
      </c>
    </row>
    <row r="3454" ht="30" customHeight="1">
      <c r="A3454" s="16" t="n">
        <v>45945</v>
      </c>
      <c r="B3454" s="17" t="inlineStr">
        <is>
          <t>MH2510-38</t>
        </is>
      </c>
      <c r="C3454" s="16" t="n">
        <v>45945</v>
      </c>
      <c r="D3454" s="17" t="inlineStr">
        <is>
          <t>00002289</t>
        </is>
      </c>
      <c r="E3454" s="16" t="n">
        <v>45945</v>
      </c>
      <c r="F3454" s="16" t="inlineStr">
        <is>
          <t>XK2510-31</t>
        </is>
      </c>
      <c r="G3454" s="16" t="n">
        <v>45945</v>
      </c>
      <c r="H3454" s="17" t="inlineStr">
        <is>
          <t>CÔNG TY TNHH DỊCH VỤ - THƯƠNG MẠI THÉP THIÊN LONG</t>
        </is>
      </c>
      <c r="I3454" s="17" t="inlineStr">
        <is>
          <t>Thép hình U200</t>
        </is>
      </c>
      <c r="J3454" s="17" t="inlineStr">
        <is>
          <t>kg</t>
        </is>
      </c>
      <c r="K3454" s="19" t="n">
        <v>14000</v>
      </c>
      <c r="L3454" s="20" t="n"/>
      <c r="M3454" s="20" t="n"/>
      <c r="N3454" s="43" t="n">
        <v>2652</v>
      </c>
      <c r="O3454" s="20" t="n">
        <v>37128000</v>
      </c>
      <c r="P3454" s="43" t="n">
        <v>2652</v>
      </c>
      <c r="Q3454" s="20" t="n">
        <v>37128000</v>
      </c>
      <c r="R3454" s="42">
        <f>+L3454+N3454-P3454</f>
        <v/>
      </c>
      <c r="S3454" s="42">
        <f>+M3454+O3454-Q3454</f>
        <v/>
      </c>
    </row>
    <row r="3455" ht="30" customHeight="1">
      <c r="A3455" s="16" t="n">
        <v>45945</v>
      </c>
      <c r="B3455" s="17" t="inlineStr">
        <is>
          <t>MH2510-38</t>
        </is>
      </c>
      <c r="C3455" s="16" t="n">
        <v>45945</v>
      </c>
      <c r="D3455" s="17" t="inlineStr">
        <is>
          <t>00002289</t>
        </is>
      </c>
      <c r="E3455" s="16" t="n">
        <v>45945</v>
      </c>
      <c r="F3455" s="16" t="inlineStr">
        <is>
          <t>XK2510-31</t>
        </is>
      </c>
      <c r="G3455" s="16" t="n">
        <v>45945</v>
      </c>
      <c r="H3455" s="17" t="inlineStr">
        <is>
          <t>CÔNG TY TNHH DỊCH VỤ - THƯƠNG MẠI THÉP THIÊN LONG</t>
        </is>
      </c>
      <c r="I3455" s="17" t="inlineStr">
        <is>
          <t>Thép góc V50</t>
        </is>
      </c>
      <c r="J3455" s="17" t="inlineStr">
        <is>
          <t>kg</t>
        </is>
      </c>
      <c r="K3455" s="19" t="n">
        <v>14454.54</v>
      </c>
      <c r="L3455" s="20" t="n"/>
      <c r="M3455" s="20" t="n"/>
      <c r="N3455" s="43" t="n">
        <v>1230.12</v>
      </c>
      <c r="O3455" s="20" t="n">
        <v>17780819</v>
      </c>
      <c r="P3455" s="43" t="n">
        <v>1230.12</v>
      </c>
      <c r="Q3455" s="20" t="n">
        <v>17780819</v>
      </c>
      <c r="R3455" s="42">
        <f>+L3455+N3455-P3455</f>
        <v/>
      </c>
      <c r="S3455" s="42">
        <f>+M3455+O3455-Q3455</f>
        <v/>
      </c>
    </row>
    <row r="3456" ht="30" customHeight="1">
      <c r="A3456" s="16" t="n">
        <v>45945</v>
      </c>
      <c r="B3456" s="17" t="inlineStr">
        <is>
          <t>MH2510-38</t>
        </is>
      </c>
      <c r="C3456" s="16" t="n">
        <v>45945</v>
      </c>
      <c r="D3456" s="17" t="inlineStr">
        <is>
          <t>00002289</t>
        </is>
      </c>
      <c r="E3456" s="16" t="n">
        <v>45945</v>
      </c>
      <c r="F3456" s="16" t="inlineStr">
        <is>
          <t>XK2510-31</t>
        </is>
      </c>
      <c r="G3456" s="16" t="n">
        <v>45945</v>
      </c>
      <c r="H3456" s="17" t="inlineStr">
        <is>
          <t>CÔNG TY TNHH DỊCH VỤ - THƯƠNG MẠI THÉP THIÊN LONG</t>
        </is>
      </c>
      <c r="I3456" s="17" t="inlineStr">
        <is>
          <t>Thép vuông 100</t>
        </is>
      </c>
      <c r="J3456" s="17" t="inlineStr">
        <is>
          <t>kg</t>
        </is>
      </c>
      <c r="K3456" s="19" t="n">
        <v>16272.72</v>
      </c>
      <c r="L3456" s="20" t="n"/>
      <c r="M3456" s="20" t="n"/>
      <c r="N3456" s="43" t="n">
        <v>2604.33</v>
      </c>
      <c r="O3456" s="20" t="n">
        <v>42379533</v>
      </c>
      <c r="P3456" s="43" t="n">
        <v>2604.33</v>
      </c>
      <c r="Q3456" s="20" t="n">
        <v>42379533</v>
      </c>
      <c r="R3456" s="42">
        <f>+L3456+N3456-P3456</f>
        <v/>
      </c>
      <c r="S3456" s="42">
        <f>+M3456+O3456-Q3456</f>
        <v/>
      </c>
    </row>
    <row r="3457" ht="15" customHeight="1">
      <c r="A3457" s="16" t="n">
        <v>45946</v>
      </c>
      <c r="B3457" s="17" t="inlineStr">
        <is>
          <t>MH2510-42A</t>
        </is>
      </c>
      <c r="C3457" s="16" t="n">
        <v>45946</v>
      </c>
      <c r="D3457" s="17" t="inlineStr">
        <is>
          <t>2692</t>
        </is>
      </c>
      <c r="E3457" s="16" t="n">
        <v>45946</v>
      </c>
      <c r="F3457" s="16" t="inlineStr">
        <is>
          <t>XK2510-50</t>
        </is>
      </c>
      <c r="G3457" s="16" t="n">
        <v>45946</v>
      </c>
      <c r="H3457" s="17" t="inlineStr">
        <is>
          <t>CÔNG TY TNHH THÉP IPC SÀI GÒN</t>
        </is>
      </c>
      <c r="I3457" s="17" t="inlineStr">
        <is>
          <t>Thép tấm 10x2000x12000</t>
        </is>
      </c>
      <c r="J3457" s="17" t="inlineStr">
        <is>
          <t>kg</t>
        </is>
      </c>
      <c r="K3457" s="19" t="n">
        <v>13727.27</v>
      </c>
      <c r="L3457" s="20" t="n"/>
      <c r="M3457" s="20" t="n"/>
      <c r="N3457" s="43" t="n">
        <v>58404</v>
      </c>
      <c r="O3457" s="20" t="n">
        <v>801727477</v>
      </c>
      <c r="P3457" s="43" t="n">
        <v>58404</v>
      </c>
      <c r="Q3457" s="20" t="n">
        <v>801727477</v>
      </c>
      <c r="R3457" s="42">
        <f>+L3457+N3457-P3457</f>
        <v/>
      </c>
      <c r="S3457" s="42">
        <f>+M3457+O3457-Q3457</f>
        <v/>
      </c>
    </row>
    <row r="3458" ht="15" customHeight="1">
      <c r="A3458" s="16" t="n">
        <v>45947</v>
      </c>
      <c r="B3458" s="17" t="inlineStr">
        <is>
          <t>MH2510-43</t>
        </is>
      </c>
      <c r="C3458" s="16" t="n">
        <v>45947</v>
      </c>
      <c r="D3458" s="17" t="inlineStr">
        <is>
          <t>2702</t>
        </is>
      </c>
      <c r="E3458" s="16" t="n">
        <v>45947</v>
      </c>
      <c r="F3458" s="16" t="inlineStr">
        <is>
          <t>XK2510-70</t>
        </is>
      </c>
      <c r="G3458" s="16" t="n">
        <v>45947</v>
      </c>
      <c r="H3458" s="17" t="inlineStr">
        <is>
          <t>CÔNG TY TNHH THÉP IPC SÀI GÒN</t>
        </is>
      </c>
      <c r="I3458" s="17" t="inlineStr">
        <is>
          <t>Thép tấm 10x2000x12000</t>
        </is>
      </c>
      <c r="J3458" s="17" t="inlineStr">
        <is>
          <t>kg</t>
        </is>
      </c>
      <c r="K3458" s="19" t="n">
        <v>13727.27</v>
      </c>
      <c r="L3458" s="20" t="n"/>
      <c r="M3458" s="20" t="n"/>
      <c r="N3458" s="43" t="n">
        <v>43332</v>
      </c>
      <c r="O3458" s="20" t="n">
        <v>594830064</v>
      </c>
      <c r="P3458" s="43" t="n">
        <v>43332</v>
      </c>
      <c r="Q3458" s="20" t="n">
        <v>594830064</v>
      </c>
      <c r="R3458" s="42">
        <f>+L3458+N3458-P3458</f>
        <v/>
      </c>
      <c r="S3458" s="42">
        <f>+M3458+O3458-Q3458</f>
        <v/>
      </c>
    </row>
    <row r="3459" ht="15" customHeight="1">
      <c r="A3459" s="16" t="n">
        <v>45947</v>
      </c>
      <c r="B3459" s="17" t="inlineStr">
        <is>
          <t>MH2510-43</t>
        </is>
      </c>
      <c r="C3459" s="16" t="n">
        <v>45947</v>
      </c>
      <c r="D3459" s="17" t="inlineStr">
        <is>
          <t>2702</t>
        </is>
      </c>
      <c r="E3459" s="16" t="n">
        <v>45947</v>
      </c>
      <c r="F3459" s="16" t="inlineStr">
        <is>
          <t>XK2510-70</t>
        </is>
      </c>
      <c r="G3459" s="16" t="n">
        <v>45947</v>
      </c>
      <c r="H3459" s="17" t="inlineStr">
        <is>
          <t>CÔNG TY TNHH THÉP IPC SÀI GÒN</t>
        </is>
      </c>
      <c r="I3459" s="17" t="inlineStr">
        <is>
          <t>Thép tấm 12x2000x12000</t>
        </is>
      </c>
      <c r="J3459" s="17" t="inlineStr">
        <is>
          <t>kg</t>
        </is>
      </c>
      <c r="K3459" s="19" t="n">
        <v>13727.27</v>
      </c>
      <c r="L3459" s="20" t="n"/>
      <c r="M3459" s="20" t="n"/>
      <c r="N3459" s="43" t="n">
        <v>15825.6</v>
      </c>
      <c r="O3459" s="20" t="n">
        <v>217242284</v>
      </c>
      <c r="P3459" s="43" t="n">
        <v>15825.6</v>
      </c>
      <c r="Q3459" s="20" t="n">
        <v>217242284</v>
      </c>
      <c r="R3459" s="42">
        <f>+L3459+N3459-P3459</f>
        <v/>
      </c>
      <c r="S3459" s="42">
        <f>+M3459+O3459-Q3459</f>
        <v/>
      </c>
    </row>
    <row r="3460" ht="15" customHeight="1">
      <c r="A3460" s="16" t="n">
        <v>45947</v>
      </c>
      <c r="B3460" s="17" t="inlineStr">
        <is>
          <t>MH2510-44</t>
        </is>
      </c>
      <c r="C3460" s="16" t="n">
        <v>45947</v>
      </c>
      <c r="D3460" s="17" t="inlineStr">
        <is>
          <t>00009856</t>
        </is>
      </c>
      <c r="E3460" s="16" t="n">
        <v>45947</v>
      </c>
      <c r="F3460" s="16" t="inlineStr">
        <is>
          <t>XK2510-34</t>
        </is>
      </c>
      <c r="G3460" s="16" t="n">
        <v>45947</v>
      </c>
      <c r="H3460" s="17" t="inlineStr">
        <is>
          <t>CÔNG TY TNHH SƠN JOTUN VIỆT NAM</t>
        </is>
      </c>
      <c r="I3460" s="17" t="inlineStr">
        <is>
          <t>SƠN FUTURA CLASSIC RAL 7031 18.99L</t>
        </is>
      </c>
      <c r="J3460" s="17" t="inlineStr">
        <is>
          <t>Lít</t>
        </is>
      </c>
      <c r="K3460" s="19" t="n">
        <v>155000</v>
      </c>
      <c r="L3460" s="21" t="n"/>
      <c r="M3460" s="22" t="n"/>
      <c r="N3460" s="22" t="n">
        <v>37.98</v>
      </c>
      <c r="O3460" s="22" t="n">
        <v>5886900</v>
      </c>
      <c r="P3460" s="22" t="n">
        <v>37.98</v>
      </c>
      <c r="Q3460" s="22" t="n">
        <v>5886900</v>
      </c>
      <c r="R3460" s="42">
        <f>+L3460+N3460-P3460</f>
        <v/>
      </c>
      <c r="S3460" s="42">
        <f>+M3460+O3460-Q3460</f>
        <v/>
      </c>
    </row>
    <row r="3461" ht="15" customHeight="1">
      <c r="A3461" s="16" t="n">
        <v>45947</v>
      </c>
      <c r="B3461" s="17" t="inlineStr">
        <is>
          <t>MH2510-44</t>
        </is>
      </c>
      <c r="C3461" s="16" t="n">
        <v>45947</v>
      </c>
      <c r="D3461" s="17" t="inlineStr">
        <is>
          <t>00009856</t>
        </is>
      </c>
      <c r="E3461" s="16" t="n">
        <v>45947</v>
      </c>
      <c r="F3461" s="16" t="inlineStr">
        <is>
          <t>XK2510-34</t>
        </is>
      </c>
      <c r="G3461" s="16" t="n">
        <v>45947</v>
      </c>
      <c r="H3461" s="17" t="inlineStr">
        <is>
          <t>CÔNG TY TNHH SƠN JOTUN VIỆT NAM</t>
        </is>
      </c>
      <c r="I3461" s="17" t="inlineStr">
        <is>
          <t>DUNG MÔI JOTUN THINNER NO. 10 5L</t>
        </is>
      </c>
      <c r="J3461" s="17" t="inlineStr">
        <is>
          <t>Lít</t>
        </is>
      </c>
      <c r="K3461" s="19" t="n">
        <v>60000</v>
      </c>
      <c r="L3461" s="21" t="n"/>
      <c r="M3461" s="22" t="n"/>
      <c r="N3461" s="22" t="n">
        <v>5</v>
      </c>
      <c r="O3461" s="22" t="n">
        <v>300000</v>
      </c>
      <c r="P3461" s="22" t="n">
        <v>5</v>
      </c>
      <c r="Q3461" s="22" t="n">
        <v>300000</v>
      </c>
      <c r="R3461" s="42">
        <f>+L3461+N3461-P3461</f>
        <v/>
      </c>
      <c r="S3461" s="42">
        <f>+M3461+O3461-Q3461</f>
        <v/>
      </c>
    </row>
    <row r="3462" ht="30" customHeight="1">
      <c r="A3462" s="16" t="n">
        <v>45947</v>
      </c>
      <c r="B3462" s="17" t="inlineStr">
        <is>
          <t>MH2510-45</t>
        </is>
      </c>
      <c r="C3462" s="16" t="n">
        <v>45947</v>
      </c>
      <c r="D3462" s="17" t="inlineStr">
        <is>
          <t>00002321</t>
        </is>
      </c>
      <c r="E3462" s="16" t="n">
        <v>45947</v>
      </c>
      <c r="F3462" s="16" t="inlineStr">
        <is>
          <t>XK2512-44</t>
        </is>
      </c>
      <c r="G3462" s="16" t="n">
        <v>46022</v>
      </c>
      <c r="H3462" s="17" t="inlineStr">
        <is>
          <t>CÔNG TY TNHH DỊCH VỤ - THƯƠNG MẠI THÉP THIÊN LONG</t>
        </is>
      </c>
      <c r="I3462" s="17" t="inlineStr">
        <is>
          <t>Thép tấm 6ly</t>
        </is>
      </c>
      <c r="J3462" s="17" t="inlineStr">
        <is>
          <t>kg</t>
        </is>
      </c>
      <c r="K3462" s="19" t="n">
        <v>14090.9</v>
      </c>
      <c r="L3462" s="21" t="n"/>
      <c r="M3462" s="22" t="n"/>
      <c r="N3462" s="22" t="n">
        <v>31086</v>
      </c>
      <c r="O3462" s="22" t="n">
        <v>438029717</v>
      </c>
      <c r="P3462" s="22" t="n">
        <v>31086</v>
      </c>
      <c r="Q3462" s="22" t="n">
        <v>438029717</v>
      </c>
      <c r="R3462" s="42">
        <f>+L3462+N3462-P3462</f>
        <v/>
      </c>
      <c r="S3462" s="42">
        <f>+M3462+O3462-Q3462</f>
        <v/>
      </c>
    </row>
    <row r="3463" ht="30" customHeight="1">
      <c r="A3463" s="16" t="n">
        <v>45947</v>
      </c>
      <c r="B3463" s="17" t="inlineStr">
        <is>
          <t>MH2510-45</t>
        </is>
      </c>
      <c r="C3463" s="16" t="n">
        <v>45947</v>
      </c>
      <c r="D3463" s="17" t="inlineStr">
        <is>
          <t>00002321</t>
        </is>
      </c>
      <c r="E3463" s="16" t="n">
        <v>45947</v>
      </c>
      <c r="F3463" s="16" t="inlineStr">
        <is>
          <t>XK2512-44</t>
        </is>
      </c>
      <c r="G3463" s="16" t="n">
        <v>46022</v>
      </c>
      <c r="H3463" s="17" t="inlineStr">
        <is>
          <t>CÔNG TY TNHH DỊCH VỤ - THƯƠNG MẠI THÉP THIÊN LONG</t>
        </is>
      </c>
      <c r="I3463" s="17" t="inlineStr">
        <is>
          <t>Thép tấm 10ly</t>
        </is>
      </c>
      <c r="J3463" s="17" t="inlineStr">
        <is>
          <t>kg</t>
        </is>
      </c>
      <c r="K3463" s="19" t="n">
        <v>14090.9</v>
      </c>
      <c r="L3463" s="21" t="n"/>
      <c r="M3463" s="22" t="n"/>
      <c r="N3463" s="22" t="n">
        <v>30144</v>
      </c>
      <c r="O3463" s="22" t="n">
        <v>424756090</v>
      </c>
      <c r="P3463" s="22" t="n">
        <v>30144</v>
      </c>
      <c r="Q3463" s="22" t="n">
        <v>424756090</v>
      </c>
      <c r="R3463" s="42">
        <f>+L3463+N3463-P3463</f>
        <v/>
      </c>
      <c r="S3463" s="42">
        <f>+M3463+O3463-Q3463</f>
        <v/>
      </c>
    </row>
    <row r="3464" ht="30" customHeight="1">
      <c r="A3464" s="16" t="n">
        <v>45947</v>
      </c>
      <c r="B3464" s="17" t="inlineStr">
        <is>
          <t>MH2510-46</t>
        </is>
      </c>
      <c r="C3464" s="16" t="n">
        <v>45947</v>
      </c>
      <c r="D3464" s="17" t="inlineStr">
        <is>
          <t>00002320</t>
        </is>
      </c>
      <c r="E3464" s="16" t="n">
        <v>45947</v>
      </c>
      <c r="F3464" s="16" t="inlineStr">
        <is>
          <t>XK2510-60</t>
        </is>
      </c>
      <c r="G3464" s="16" t="n">
        <v>45957</v>
      </c>
      <c r="H3464" s="17" t="inlineStr">
        <is>
          <t>CÔNG TY TNHH DỊCH VỤ - THƯƠNG MẠI THÉP THIÊN LONG</t>
        </is>
      </c>
      <c r="I3464" s="17" t="inlineStr">
        <is>
          <t>Thép tấm 18ly</t>
        </is>
      </c>
      <c r="J3464" s="17" t="inlineStr">
        <is>
          <t>kg</t>
        </is>
      </c>
      <c r="K3464" s="19" t="n">
        <v>14818.18</v>
      </c>
      <c r="L3464" s="21" t="n"/>
      <c r="M3464" s="22" t="n"/>
      <c r="N3464" s="22" t="n">
        <v>57650.4</v>
      </c>
      <c r="O3464" s="22" t="n">
        <v>854274004</v>
      </c>
      <c r="P3464" s="22" t="n">
        <v>57650.4</v>
      </c>
      <c r="Q3464" s="22" t="n">
        <v>854274004</v>
      </c>
      <c r="R3464" s="42">
        <f>+L3464+N3464-P3464</f>
        <v/>
      </c>
      <c r="S3464" s="42">
        <f>+M3464+O3464-Q3464</f>
        <v/>
      </c>
    </row>
    <row r="3465" ht="15" customHeight="1">
      <c r="A3465" s="16" t="n">
        <v>45947</v>
      </c>
      <c r="B3465" s="17" t="inlineStr">
        <is>
          <t>MH2510-47</t>
        </is>
      </c>
      <c r="C3465" s="16" t="n">
        <v>45947</v>
      </c>
      <c r="D3465" s="17" t="inlineStr">
        <is>
          <t>00000076</t>
        </is>
      </c>
      <c r="E3465" s="16" t="n">
        <v>45947</v>
      </c>
      <c r="F3465" s="16" t="inlineStr">
        <is>
          <t>XK2510-73</t>
        </is>
      </c>
      <c r="G3465" s="16" t="n">
        <v>45959</v>
      </c>
      <c r="H3465" s="17" t="inlineStr">
        <is>
          <t>CÔNG TY TNHH XNK THÉP KIM NAM</t>
        </is>
      </c>
      <c r="I3465" s="17" t="inlineStr">
        <is>
          <t>Thép tấm Q355/A572 35lyx2000x12000</t>
        </is>
      </c>
      <c r="J3465" s="17" t="inlineStr">
        <is>
          <t>kg</t>
        </is>
      </c>
      <c r="K3465" s="19" t="n">
        <v>14727.27</v>
      </c>
      <c r="L3465" s="21" t="n"/>
      <c r="M3465" s="22" t="n"/>
      <c r="N3465" s="22" t="n">
        <v>6594</v>
      </c>
      <c r="O3465" s="22" t="n">
        <v>97111636</v>
      </c>
      <c r="P3465" s="22" t="n">
        <v>6594</v>
      </c>
      <c r="Q3465" s="22" t="n">
        <v>97111636</v>
      </c>
      <c r="R3465" s="42">
        <f>+L3465+N3465-P3465</f>
        <v/>
      </c>
      <c r="S3465" s="42">
        <f>+M3465+O3465-Q3465</f>
        <v/>
      </c>
    </row>
    <row r="3466" ht="15" customHeight="1">
      <c r="A3466" s="16" t="n">
        <v>45947</v>
      </c>
      <c r="B3466" s="17" t="inlineStr">
        <is>
          <t>MH2510-47</t>
        </is>
      </c>
      <c r="C3466" s="16" t="n">
        <v>45947</v>
      </c>
      <c r="D3466" s="17" t="inlineStr">
        <is>
          <t>00000076</t>
        </is>
      </c>
      <c r="E3466" s="16" t="n">
        <v>45947</v>
      </c>
      <c r="F3466" s="16" t="inlineStr">
        <is>
          <t>XK2510-73</t>
        </is>
      </c>
      <c r="G3466" s="16" t="n">
        <v>45959</v>
      </c>
      <c r="H3466" s="17" t="inlineStr">
        <is>
          <t>CÔNG TY TNHH XNK THÉP KIM NAM</t>
        </is>
      </c>
      <c r="I3466" s="17" t="inlineStr">
        <is>
          <t>Thép tấm Q355/A572 18lyx2000x12000</t>
        </is>
      </c>
      <c r="J3466" s="17" t="inlineStr">
        <is>
          <t>kg</t>
        </is>
      </c>
      <c r="K3466" s="19" t="n">
        <v>14727.27</v>
      </c>
      <c r="L3466" s="21" t="n"/>
      <c r="M3466" s="22" t="n"/>
      <c r="N3466" s="22" t="n">
        <v>23738.4</v>
      </c>
      <c r="O3466" s="22" t="n">
        <v>349601891</v>
      </c>
      <c r="P3466" s="22" t="n">
        <v>23738.4</v>
      </c>
      <c r="Q3466" s="22" t="n">
        <v>349601891</v>
      </c>
      <c r="R3466" s="42">
        <f>+L3466+N3466-P3466</f>
        <v/>
      </c>
      <c r="S3466" s="42">
        <f>+M3466+O3466-Q3466</f>
        <v/>
      </c>
    </row>
    <row r="3467" ht="30" customHeight="1">
      <c r="A3467" s="16" t="n">
        <v>45947</v>
      </c>
      <c r="B3467" s="17" t="inlineStr">
        <is>
          <t>MH2510-48</t>
        </is>
      </c>
      <c r="C3467" s="16" t="n">
        <v>45947</v>
      </c>
      <c r="D3467" s="17" t="inlineStr">
        <is>
          <t>00002334</t>
        </is>
      </c>
      <c r="E3467" s="16" t="n">
        <v>45947</v>
      </c>
      <c r="F3467" s="16" t="inlineStr">
        <is>
          <t>XK2510-90</t>
        </is>
      </c>
      <c r="G3467" s="16" t="n">
        <v>45961</v>
      </c>
      <c r="H3467" s="17" t="inlineStr">
        <is>
          <t>CÔNG TY TNHH DỊCH VỤ - THƯƠNG MẠI THÉP THIÊN LONG</t>
        </is>
      </c>
      <c r="I3467" s="17" t="inlineStr">
        <is>
          <t>Thép tấm 12ly</t>
        </is>
      </c>
      <c r="J3467" s="17" t="inlineStr">
        <is>
          <t>kg</t>
        </is>
      </c>
      <c r="K3467" s="19" t="n">
        <v>12122</v>
      </c>
      <c r="L3467" s="21" t="n"/>
      <c r="M3467" s="22" t="n"/>
      <c r="N3467" s="22" t="n">
        <v>4326.18</v>
      </c>
      <c r="O3467" s="22" t="n">
        <v>52441954</v>
      </c>
      <c r="P3467" s="22" t="n">
        <v>4326.18</v>
      </c>
      <c r="Q3467" s="22" t="n">
        <v>52441954</v>
      </c>
      <c r="R3467" s="42">
        <f>+L3467+N3467-P3467</f>
        <v/>
      </c>
      <c r="S3467" s="42">
        <f>+M3467+O3467-Q3467</f>
        <v/>
      </c>
    </row>
    <row r="3468" ht="30" customHeight="1">
      <c r="A3468" s="16" t="n">
        <v>45947</v>
      </c>
      <c r="B3468" s="17" t="inlineStr">
        <is>
          <t>MH2510-48</t>
        </is>
      </c>
      <c r="C3468" s="16" t="n">
        <v>45947</v>
      </c>
      <c r="D3468" s="17" t="inlineStr">
        <is>
          <t>00002334</t>
        </is>
      </c>
      <c r="E3468" s="16" t="n">
        <v>45947</v>
      </c>
      <c r="F3468" s="16" t="inlineStr">
        <is>
          <t>XK2510-90</t>
        </is>
      </c>
      <c r="G3468" s="16" t="n">
        <v>45961</v>
      </c>
      <c r="H3468" s="17" t="inlineStr">
        <is>
          <t>CÔNG TY TNHH DỊCH VỤ - THƯƠNG MẠI THÉP THIÊN LONG</t>
        </is>
      </c>
      <c r="I3468" s="17" t="inlineStr">
        <is>
          <t>Thép tấm 14ly</t>
        </is>
      </c>
      <c r="J3468" s="17" t="inlineStr">
        <is>
          <t>kg</t>
        </is>
      </c>
      <c r="K3468" s="19" t="n">
        <v>13812</v>
      </c>
      <c r="L3468" s="21" t="n"/>
      <c r="M3468" s="22" t="n"/>
      <c r="N3468" s="22" t="n">
        <v>1038.26</v>
      </c>
      <c r="O3468" s="22" t="n">
        <v>14340447</v>
      </c>
      <c r="P3468" s="22" t="n">
        <v>1038.26</v>
      </c>
      <c r="Q3468" s="22" t="n">
        <v>14340447</v>
      </c>
      <c r="R3468" s="42">
        <f>+L3468+N3468-P3468</f>
        <v/>
      </c>
      <c r="S3468" s="42">
        <f>+M3468+O3468-Q3468</f>
        <v/>
      </c>
    </row>
    <row r="3469" ht="30" customHeight="1">
      <c r="A3469" s="16" t="n">
        <v>45947</v>
      </c>
      <c r="B3469" s="17" t="inlineStr">
        <is>
          <t>MH2510-48</t>
        </is>
      </c>
      <c r="C3469" s="16" t="n">
        <v>45947</v>
      </c>
      <c r="D3469" s="17" t="inlineStr">
        <is>
          <t>00002334</t>
        </is>
      </c>
      <c r="E3469" s="16" t="n">
        <v>45947</v>
      </c>
      <c r="F3469" s="16" t="inlineStr">
        <is>
          <t>XK2510-90</t>
        </is>
      </c>
      <c r="G3469" s="16" t="n">
        <v>45961</v>
      </c>
      <c r="H3469" s="17" t="inlineStr">
        <is>
          <t>CÔNG TY TNHH DỊCH VỤ - THƯƠNG MẠI THÉP THIÊN LONG</t>
        </is>
      </c>
      <c r="I3469" s="17" t="inlineStr">
        <is>
          <t>Thép tấm 16ly</t>
        </is>
      </c>
      <c r="J3469" s="17" t="inlineStr">
        <is>
          <t>kg</t>
        </is>
      </c>
      <c r="K3469" s="19" t="n">
        <v>13868</v>
      </c>
      <c r="L3469" s="21" t="n"/>
      <c r="M3469" s="22" t="n"/>
      <c r="N3469" s="22" t="n">
        <v>30144</v>
      </c>
      <c r="O3469" s="22" t="n">
        <v>418036992</v>
      </c>
      <c r="P3469" s="22" t="n">
        <v>30144</v>
      </c>
      <c r="Q3469" s="22" t="n">
        <v>418036992</v>
      </c>
      <c r="R3469" s="42">
        <f>+L3469+N3469-P3469</f>
        <v/>
      </c>
      <c r="S3469" s="42">
        <f>+M3469+O3469-Q3469</f>
        <v/>
      </c>
    </row>
    <row r="3470" ht="30" customHeight="1">
      <c r="A3470" s="16" t="n">
        <v>45948</v>
      </c>
      <c r="B3470" s="17" t="inlineStr">
        <is>
          <t>MH2510-49</t>
        </is>
      </c>
      <c r="C3470" s="16" t="n">
        <v>45948</v>
      </c>
      <c r="D3470" s="17" t="inlineStr">
        <is>
          <t>3008</t>
        </is>
      </c>
      <c r="E3470" s="16" t="n">
        <v>45948</v>
      </c>
      <c r="F3470" s="16" t="inlineStr">
        <is>
          <t>XK2510-82</t>
        </is>
      </c>
      <c r="G3470" s="16" t="n">
        <v>45960</v>
      </c>
      <c r="H3470" s="17" t="inlineStr">
        <is>
          <t>CÔNG TY TNHH THƯƠNG MẠI DỊCH VỤ THÉP KHÔNG GỈ VẠN LỢI</t>
        </is>
      </c>
      <c r="I3470" s="17" t="inlineStr">
        <is>
          <t>Thép không gỉ dạng cuộn 304</t>
        </is>
      </c>
      <c r="J3470" s="17" t="inlineStr">
        <is>
          <t>kg</t>
        </is>
      </c>
      <c r="K3470" s="19" t="n">
        <v>62727.28</v>
      </c>
      <c r="L3470" s="21" t="n"/>
      <c r="M3470" s="22" t="n"/>
      <c r="N3470" s="22" t="n">
        <v>301</v>
      </c>
      <c r="O3470" s="22" t="n">
        <v>18880910</v>
      </c>
      <c r="P3470" s="22" t="n">
        <v>301</v>
      </c>
      <c r="Q3470" s="22" t="n">
        <v>18880910</v>
      </c>
      <c r="R3470" s="42">
        <f>+L3470+N3470-P3470</f>
        <v/>
      </c>
      <c r="S3470" s="42">
        <f>+M3470+O3470-Q3470</f>
        <v/>
      </c>
    </row>
    <row r="3471" ht="30" customHeight="1">
      <c r="A3471" s="16" t="n">
        <v>45948</v>
      </c>
      <c r="B3471" s="17" t="inlineStr">
        <is>
          <t>MH2510-49</t>
        </is>
      </c>
      <c r="C3471" s="16" t="n">
        <v>45948</v>
      </c>
      <c r="D3471" s="17" t="inlineStr">
        <is>
          <t>3008</t>
        </is>
      </c>
      <c r="E3471" s="16" t="n">
        <v>45948</v>
      </c>
      <c r="F3471" s="16" t="inlineStr">
        <is>
          <t>XK2510-82</t>
        </is>
      </c>
      <c r="G3471" s="16" t="n">
        <v>45960</v>
      </c>
      <c r="H3471" s="17" t="inlineStr">
        <is>
          <t>CÔNG TY TNHH THƯƠNG MẠI DỊCH VỤ THÉP KHÔNG GỈ VẠN LỢI</t>
        </is>
      </c>
      <c r="I3471" s="17" t="inlineStr">
        <is>
          <t>Thép không gỉ dạng cuộn 304</t>
        </is>
      </c>
      <c r="J3471" s="17" t="inlineStr">
        <is>
          <t>kg</t>
        </is>
      </c>
      <c r="K3471" s="19" t="n">
        <v>50909.09</v>
      </c>
      <c r="L3471" s="21" t="n"/>
      <c r="M3471" s="22" t="n"/>
      <c r="N3471" s="22" t="n">
        <v>304</v>
      </c>
      <c r="O3471" s="22" t="n">
        <v>15476363</v>
      </c>
      <c r="P3471" s="22" t="n">
        <v>304</v>
      </c>
      <c r="Q3471" s="22" t="n">
        <v>15476363</v>
      </c>
      <c r="R3471" s="42">
        <f>+L3471+N3471-P3471</f>
        <v/>
      </c>
      <c r="S3471" s="42">
        <f>+M3471+O3471-Q3471</f>
        <v/>
      </c>
    </row>
    <row r="3472" ht="30" customHeight="1">
      <c r="A3472" s="16" t="n">
        <v>45950</v>
      </c>
      <c r="B3472" s="17" t="inlineStr">
        <is>
          <t>MH2510-50</t>
        </is>
      </c>
      <c r="C3472" s="16" t="n">
        <v>45950</v>
      </c>
      <c r="D3472" s="17" t="inlineStr">
        <is>
          <t>00004107</t>
        </is>
      </c>
      <c r="E3472" s="16" t="n">
        <v>45950</v>
      </c>
      <c r="F3472" s="16" t="inlineStr">
        <is>
          <t>XK2510-84</t>
        </is>
      </c>
      <c r="G3472" s="16" t="n">
        <v>45960</v>
      </c>
      <c r="H3472" s="17" t="inlineStr">
        <is>
          <t>CÔNG TY CỔ PHẦN CÔNG NGHIỆP VÀ THƯƠNG MẠI CƯỜNG THỊNH</t>
        </is>
      </c>
      <c r="I3472" s="17" t="inlineStr">
        <is>
          <t>Bulong Din 933 8.8 ZP M16x50</t>
        </is>
      </c>
      <c r="J3472" s="17" t="inlineStr">
        <is>
          <t>Cái</t>
        </is>
      </c>
      <c r="K3472" s="19" t="n">
        <v>3470</v>
      </c>
      <c r="L3472" s="21" t="n"/>
      <c r="M3472" s="22" t="n"/>
      <c r="N3472" s="22" t="n">
        <v>1650</v>
      </c>
      <c r="O3472" s="22" t="n">
        <v>5725500</v>
      </c>
      <c r="P3472" s="22" t="n">
        <v>1650</v>
      </c>
      <c r="Q3472" s="22" t="n">
        <v>5725500</v>
      </c>
      <c r="R3472" s="42">
        <f>+L3472+N3472-P3472</f>
        <v/>
      </c>
      <c r="S3472" s="42">
        <f>+M3472+O3472-Q3472</f>
        <v/>
      </c>
    </row>
    <row r="3473" ht="30" customHeight="1">
      <c r="A3473" s="16" t="n">
        <v>45950</v>
      </c>
      <c r="B3473" s="17" t="inlineStr">
        <is>
          <t>MH2510-50</t>
        </is>
      </c>
      <c r="C3473" s="16" t="n">
        <v>45950</v>
      </c>
      <c r="D3473" s="17" t="inlineStr">
        <is>
          <t>00004107</t>
        </is>
      </c>
      <c r="E3473" s="16" t="n">
        <v>45950</v>
      </c>
      <c r="F3473" s="16" t="inlineStr">
        <is>
          <t>XK2510-84</t>
        </is>
      </c>
      <c r="G3473" s="16" t="n">
        <v>45960</v>
      </c>
      <c r="H3473" s="17" t="inlineStr">
        <is>
          <t>CÔNG TY CỔ PHẦN CÔNG NGHIỆP VÀ THƯƠNG MẠI CƯỜNG THỊNH</t>
        </is>
      </c>
      <c r="I3473" s="17" t="inlineStr">
        <is>
          <t>Đai ốc Din 934 8 ZP M16</t>
        </is>
      </c>
      <c r="J3473" s="17" t="inlineStr">
        <is>
          <t>Cái</t>
        </is>
      </c>
      <c r="K3473" s="19" t="n">
        <v>1080</v>
      </c>
      <c r="L3473" s="21" t="n"/>
      <c r="M3473" s="22" t="n"/>
      <c r="N3473" s="22" t="n">
        <v>1650</v>
      </c>
      <c r="O3473" s="22" t="n">
        <v>1782000</v>
      </c>
      <c r="P3473" s="22" t="n">
        <v>1650</v>
      </c>
      <c r="Q3473" s="22" t="n">
        <v>1782000</v>
      </c>
      <c r="R3473" s="42">
        <f>+L3473+N3473-P3473</f>
        <v/>
      </c>
      <c r="S3473" s="42">
        <f>+M3473+O3473-Q3473</f>
        <v/>
      </c>
    </row>
    <row r="3474" ht="30" customHeight="1">
      <c r="A3474" s="16" t="n">
        <v>45950</v>
      </c>
      <c r="B3474" s="17" t="inlineStr">
        <is>
          <t>MH2510-50</t>
        </is>
      </c>
      <c r="C3474" s="16" t="n">
        <v>45950</v>
      </c>
      <c r="D3474" s="17" t="inlineStr">
        <is>
          <t>00004107</t>
        </is>
      </c>
      <c r="E3474" s="16" t="n">
        <v>45950</v>
      </c>
      <c r="F3474" s="16" t="inlineStr">
        <is>
          <t>XK2510-84</t>
        </is>
      </c>
      <c r="G3474" s="16" t="n">
        <v>45960</v>
      </c>
      <c r="H3474" s="17" t="inlineStr">
        <is>
          <t>CÔNG TY CỔ PHẦN CÔNG NGHIỆP VÀ THƯƠNG MẠI CƯỜNG THỊNH</t>
        </is>
      </c>
      <c r="I3474" s="17" t="inlineStr">
        <is>
          <t>Long đền thường ZP M16B30D2</t>
        </is>
      </c>
      <c r="J3474" s="17" t="inlineStr">
        <is>
          <t>Cái</t>
        </is>
      </c>
      <c r="K3474" s="19" t="n">
        <v>340</v>
      </c>
      <c r="L3474" s="21" t="n"/>
      <c r="M3474" s="22" t="n"/>
      <c r="N3474" s="22" t="n">
        <v>1650</v>
      </c>
      <c r="O3474" s="22" t="n">
        <v>561000</v>
      </c>
      <c r="P3474" s="22" t="n">
        <v>1650</v>
      </c>
      <c r="Q3474" s="22" t="n">
        <v>561000</v>
      </c>
      <c r="R3474" s="42">
        <f>+L3474+N3474-P3474</f>
        <v/>
      </c>
      <c r="S3474" s="42">
        <f>+M3474+O3474-Q3474</f>
        <v/>
      </c>
    </row>
    <row r="3475" ht="30" customHeight="1">
      <c r="A3475" s="16" t="n">
        <v>45950</v>
      </c>
      <c r="B3475" s="17" t="inlineStr">
        <is>
          <t>MH2510-50</t>
        </is>
      </c>
      <c r="C3475" s="16" t="n">
        <v>45950</v>
      </c>
      <c r="D3475" s="17" t="inlineStr">
        <is>
          <t>00004107</t>
        </is>
      </c>
      <c r="E3475" s="16" t="n">
        <v>45950</v>
      </c>
      <c r="F3475" s="16" t="inlineStr">
        <is>
          <t>XK2510-84</t>
        </is>
      </c>
      <c r="G3475" s="16" t="n">
        <v>45960</v>
      </c>
      <c r="H3475" s="17" t="inlineStr">
        <is>
          <t>CÔNG TY CỔ PHẦN CÔNG NGHIỆP VÀ THƯƠNG MẠI CƯỜNG THỊNH</t>
        </is>
      </c>
      <c r="I3475" s="17" t="inlineStr">
        <is>
          <t>Đai ốc Din 934 8 ZP M16</t>
        </is>
      </c>
      <c r="J3475" s="17" t="inlineStr">
        <is>
          <t>Cái</t>
        </is>
      </c>
      <c r="K3475" s="19" t="n">
        <v>1080</v>
      </c>
      <c r="L3475" s="21" t="n"/>
      <c r="M3475" s="22" t="n"/>
      <c r="N3475" s="22" t="n">
        <v>630</v>
      </c>
      <c r="O3475" s="22" t="n">
        <v>680400</v>
      </c>
      <c r="P3475" s="22" t="n">
        <v>630</v>
      </c>
      <c r="Q3475" s="22" t="n">
        <v>680400</v>
      </c>
      <c r="R3475" s="42">
        <f>+L3475+N3475-P3475</f>
        <v/>
      </c>
      <c r="S3475" s="42">
        <f>+M3475+O3475-Q3475</f>
        <v/>
      </c>
    </row>
    <row r="3476" ht="30" customHeight="1">
      <c r="A3476" s="16" t="n">
        <v>45950</v>
      </c>
      <c r="B3476" s="17" t="inlineStr">
        <is>
          <t>MH2510-50</t>
        </is>
      </c>
      <c r="C3476" s="16" t="n">
        <v>45950</v>
      </c>
      <c r="D3476" s="17" t="inlineStr">
        <is>
          <t>00004107</t>
        </is>
      </c>
      <c r="E3476" s="16" t="n">
        <v>45950</v>
      </c>
      <c r="F3476" s="16" t="inlineStr">
        <is>
          <t>XK2510-84</t>
        </is>
      </c>
      <c r="G3476" s="16" t="n">
        <v>45960</v>
      </c>
      <c r="H3476" s="17" t="inlineStr">
        <is>
          <t>CÔNG TY CỔ PHẦN CÔNG NGHIỆP VÀ THƯƠNG MẠI CƯỜNG THỊNH</t>
        </is>
      </c>
      <c r="I3476" s="17" t="inlineStr">
        <is>
          <t>Đai ốc Din 934 8 ZP M30</t>
        </is>
      </c>
      <c r="J3476" s="17" t="inlineStr">
        <is>
          <t>Cái</t>
        </is>
      </c>
      <c r="K3476" s="19" t="n">
        <v>7750</v>
      </c>
      <c r="L3476" s="21" t="n"/>
      <c r="M3476" s="22" t="n"/>
      <c r="N3476" s="22" t="n">
        <v>4370</v>
      </c>
      <c r="O3476" s="22" t="n">
        <v>33867500</v>
      </c>
      <c r="P3476" s="22" t="n">
        <v>4370</v>
      </c>
      <c r="Q3476" s="22" t="n">
        <v>33867500</v>
      </c>
      <c r="R3476" s="42">
        <f>+L3476+N3476-P3476</f>
        <v/>
      </c>
      <c r="S3476" s="42">
        <f>+M3476+O3476-Q3476</f>
        <v/>
      </c>
    </row>
    <row r="3477" ht="15" customHeight="1">
      <c r="A3477" s="16" t="n">
        <v>45950</v>
      </c>
      <c r="B3477" s="17" t="inlineStr">
        <is>
          <t>MH2510-51</t>
        </is>
      </c>
      <c r="C3477" s="16" t="n">
        <v>45950</v>
      </c>
      <c r="D3477" s="17" t="inlineStr">
        <is>
          <t>2718</t>
        </is>
      </c>
      <c r="E3477" s="16" t="n">
        <v>45950</v>
      </c>
      <c r="F3477" s="16" t="inlineStr">
        <is>
          <t>XK2510-40</t>
        </is>
      </c>
      <c r="G3477" s="16" t="n">
        <v>45950</v>
      </c>
      <c r="H3477" s="17" t="inlineStr">
        <is>
          <t>CÔNG TY TNHH THÉP IPC SÀI GÒN</t>
        </is>
      </c>
      <c r="I3477" s="17" t="inlineStr">
        <is>
          <t>Thép tấm 10x2000x12000</t>
        </is>
      </c>
      <c r="J3477" s="17" t="inlineStr">
        <is>
          <t>kg</t>
        </is>
      </c>
      <c r="K3477" s="19" t="n">
        <v>13727.27</v>
      </c>
      <c r="L3477" s="21" t="n"/>
      <c r="M3477" s="22" t="n"/>
      <c r="N3477" s="22" t="n">
        <v>56520</v>
      </c>
      <c r="O3477" s="22" t="n">
        <v>775865300</v>
      </c>
      <c r="P3477" s="22" t="n">
        <v>56520</v>
      </c>
      <c r="Q3477" s="22" t="n">
        <v>775865300</v>
      </c>
      <c r="R3477" s="42">
        <f>+L3477+N3477-P3477</f>
        <v/>
      </c>
      <c r="S3477" s="42">
        <f>+M3477+O3477-Q3477</f>
        <v/>
      </c>
    </row>
    <row r="3478" ht="15" customHeight="1">
      <c r="A3478" s="16" t="n">
        <v>45951</v>
      </c>
      <c r="B3478" s="17" t="inlineStr">
        <is>
          <t>MH2510-52</t>
        </is>
      </c>
      <c r="C3478" s="16" t="n">
        <v>45951</v>
      </c>
      <c r="D3478" s="17" t="inlineStr">
        <is>
          <t>00001480</t>
        </is>
      </c>
      <c r="E3478" s="16" t="n">
        <v>45951</v>
      </c>
      <c r="F3478" s="16" t="inlineStr">
        <is>
          <t>XK2510-41</t>
        </is>
      </c>
      <c r="G3478" s="16" t="n">
        <v>45951</v>
      </c>
      <c r="H3478" s="17" t="inlineStr">
        <is>
          <t>CÔNG TY TNHH TÂN MỸ HẠNH</t>
        </is>
      </c>
      <c r="I3478" s="17" t="inlineStr">
        <is>
          <t>Thép dày mạ kẽm</t>
        </is>
      </c>
      <c r="J3478" s="17" t="inlineStr">
        <is>
          <t>kg</t>
        </is>
      </c>
      <c r="K3478" s="19" t="n">
        <v>22801.82</v>
      </c>
      <c r="L3478" s="21" t="n"/>
      <c r="M3478" s="22" t="n"/>
      <c r="N3478" s="22" t="n">
        <v>1285</v>
      </c>
      <c r="O3478" s="22" t="n">
        <v>29300339</v>
      </c>
      <c r="P3478" s="22" t="n">
        <v>1285</v>
      </c>
      <c r="Q3478" s="22" t="n">
        <v>29300339</v>
      </c>
      <c r="R3478" s="42">
        <f>+L3478+N3478-P3478</f>
        <v/>
      </c>
      <c r="S3478" s="42">
        <f>+M3478+O3478-Q3478</f>
        <v/>
      </c>
    </row>
    <row r="3479" ht="15" customHeight="1">
      <c r="A3479" s="16" t="n">
        <v>45951</v>
      </c>
      <c r="B3479" s="17" t="inlineStr">
        <is>
          <t>MH2510-52</t>
        </is>
      </c>
      <c r="C3479" s="16" t="n">
        <v>45951</v>
      </c>
      <c r="D3479" s="17" t="inlineStr">
        <is>
          <t>00001480</t>
        </is>
      </c>
      <c r="E3479" s="16" t="n">
        <v>45951</v>
      </c>
      <c r="F3479" s="16" t="inlineStr">
        <is>
          <t>XK2510-41</t>
        </is>
      </c>
      <c r="G3479" s="16" t="n">
        <v>45951</v>
      </c>
      <c r="H3479" s="17" t="inlineStr">
        <is>
          <t>CÔNG TY TNHH TÂN MỸ HẠNH</t>
        </is>
      </c>
      <c r="I3479" s="17" t="inlineStr">
        <is>
          <t>Xà gồ kẽm C</t>
        </is>
      </c>
      <c r="J3479" s="17" t="inlineStr">
        <is>
          <t>kg</t>
        </is>
      </c>
      <c r="K3479" s="19" t="n">
        <v>18361.65</v>
      </c>
      <c r="L3479" s="21" t="n"/>
      <c r="M3479" s="22" t="n"/>
      <c r="N3479" s="22" t="n">
        <v>820</v>
      </c>
      <c r="O3479" s="22" t="n">
        <v>15056556</v>
      </c>
      <c r="P3479" s="22" t="n">
        <v>820</v>
      </c>
      <c r="Q3479" s="22" t="n">
        <v>15056556</v>
      </c>
      <c r="R3479" s="42">
        <f>+L3479+N3479-P3479</f>
        <v/>
      </c>
      <c r="S3479" s="42">
        <f>+M3479+O3479-Q3479</f>
        <v/>
      </c>
    </row>
    <row r="3480" ht="15" customHeight="1">
      <c r="A3480" s="16" t="n">
        <v>45951</v>
      </c>
      <c r="B3480" s="17" t="inlineStr">
        <is>
          <t>MH2510-52</t>
        </is>
      </c>
      <c r="C3480" s="16" t="n">
        <v>45951</v>
      </c>
      <c r="D3480" s="17" t="inlineStr">
        <is>
          <t>00001480</t>
        </is>
      </c>
      <c r="E3480" s="16" t="n">
        <v>45951</v>
      </c>
      <c r="F3480" s="16" t="inlineStr">
        <is>
          <t>XK2510-41</t>
        </is>
      </c>
      <c r="G3480" s="16" t="n">
        <v>45951</v>
      </c>
      <c r="H3480" s="17" t="inlineStr">
        <is>
          <t>CÔNG TY TNHH TÂN MỸ HẠNH</t>
        </is>
      </c>
      <c r="I3480" s="17" t="inlineStr">
        <is>
          <t>Xà gồ kẽm Z</t>
        </is>
      </c>
      <c r="J3480" s="17" t="inlineStr">
        <is>
          <t>kg</t>
        </is>
      </c>
      <c r="K3480" s="19" t="n">
        <v>18339.97</v>
      </c>
      <c r="L3480" s="21" t="n"/>
      <c r="M3480" s="22" t="n"/>
      <c r="N3480" s="22" t="n">
        <v>27400</v>
      </c>
      <c r="O3480" s="22" t="n">
        <v>502515137</v>
      </c>
      <c r="P3480" s="22" t="n">
        <v>27400</v>
      </c>
      <c r="Q3480" s="22" t="n">
        <v>502515137</v>
      </c>
      <c r="R3480" s="42">
        <f>+L3480+N3480-P3480</f>
        <v/>
      </c>
      <c r="S3480" s="42">
        <f>+M3480+O3480-Q3480</f>
        <v/>
      </c>
    </row>
    <row r="3481" ht="30" customHeight="1">
      <c r="A3481" s="16" t="n">
        <v>45951</v>
      </c>
      <c r="B3481" s="17" t="inlineStr">
        <is>
          <t>MH2510-53</t>
        </is>
      </c>
      <c r="C3481" s="16" t="n">
        <v>45951</v>
      </c>
      <c r="D3481" s="17" t="inlineStr">
        <is>
          <t>00006223</t>
        </is>
      </c>
      <c r="E3481" s="16" t="n">
        <v>45951</v>
      </c>
      <c r="F3481" s="16" t="inlineStr">
        <is>
          <t>XK2510-42</t>
        </is>
      </c>
      <c r="G3481" s="16" t="n">
        <v>45951</v>
      </c>
      <c r="H3481" s="17" t="inlineStr">
        <is>
          <t>CÔNG TY TNHH MTV SẢN XUẤT THƯƠNG MẠI DỊCH VỤ THANH HUYỀN</t>
        </is>
      </c>
      <c r="I3481" s="17" t="inlineStr">
        <is>
          <t>Thép mạ kẽm chấn</t>
        </is>
      </c>
      <c r="J3481" s="17" t="inlineStr">
        <is>
          <t>kg</t>
        </is>
      </c>
      <c r="K3481" s="19" t="n">
        <v>21707.61</v>
      </c>
      <c r="L3481" s="21" t="n"/>
      <c r="M3481" s="22" t="n"/>
      <c r="N3481" s="22" t="n">
        <v>2796</v>
      </c>
      <c r="O3481" s="22" t="n">
        <v>60694472</v>
      </c>
      <c r="P3481" s="22" t="n">
        <v>2796</v>
      </c>
      <c r="Q3481" s="22" t="n">
        <v>60694472</v>
      </c>
      <c r="R3481" s="42">
        <f>+L3481+N3481-P3481</f>
        <v/>
      </c>
      <c r="S3481" s="42">
        <f>+M3481+O3481-Q3481</f>
        <v/>
      </c>
    </row>
    <row r="3482" ht="30" customHeight="1">
      <c r="A3482" s="16" t="n">
        <v>45951</v>
      </c>
      <c r="B3482" s="17" t="inlineStr">
        <is>
          <t>MH2510-53</t>
        </is>
      </c>
      <c r="C3482" s="16" t="n">
        <v>45951</v>
      </c>
      <c r="D3482" s="17" t="inlineStr">
        <is>
          <t>00006223</t>
        </is>
      </c>
      <c r="E3482" s="16" t="n">
        <v>45951</v>
      </c>
      <c r="F3482" s="16" t="inlineStr">
        <is>
          <t>XK2510-42</t>
        </is>
      </c>
      <c r="G3482" s="16" t="n">
        <v>45951</v>
      </c>
      <c r="H3482" s="17" t="inlineStr">
        <is>
          <t>CÔNG TY TNHH MTV SẢN XUẤT THƯƠNG MẠI DỊCH VỤ THANH HUYỀN</t>
        </is>
      </c>
      <c r="I3482" s="17" t="inlineStr">
        <is>
          <t>Xà gồ mạ kẽm</t>
        </is>
      </c>
      <c r="J3482" s="17" t="inlineStr">
        <is>
          <t>kg</t>
        </is>
      </c>
      <c r="K3482" s="19" t="n">
        <v>17710.65</v>
      </c>
      <c r="L3482" s="21" t="n"/>
      <c r="M3482" s="22" t="n"/>
      <c r="N3482" s="22" t="n">
        <v>35752</v>
      </c>
      <c r="O3482" s="22" t="n">
        <v>633191123</v>
      </c>
      <c r="P3482" s="22" t="n">
        <v>35752</v>
      </c>
      <c r="Q3482" s="22" t="n">
        <v>633191123</v>
      </c>
      <c r="R3482" s="42">
        <f>+L3482+N3482-P3482</f>
        <v/>
      </c>
      <c r="S3482" s="42">
        <f>+M3482+O3482-Q3482</f>
        <v/>
      </c>
    </row>
    <row r="3483" ht="30" customHeight="1">
      <c r="A3483" s="16" t="n">
        <v>45951</v>
      </c>
      <c r="B3483" s="17" t="inlineStr">
        <is>
          <t>MH2510-54</t>
        </is>
      </c>
      <c r="C3483" s="16" t="n">
        <v>45951</v>
      </c>
      <c r="D3483" s="17" t="inlineStr">
        <is>
          <t>00002369</t>
        </is>
      </c>
      <c r="E3483" s="16" t="n">
        <v>45951</v>
      </c>
      <c r="F3483" s="16" t="inlineStr">
        <is>
          <t>XK2512-45</t>
        </is>
      </c>
      <c r="G3483" s="16" t="n">
        <v>46022</v>
      </c>
      <c r="H3483" s="17" t="inlineStr">
        <is>
          <t>CÔNG TY TNHH DỊCH VỤ - THƯƠNG MẠI THÉP THIÊN LONG</t>
        </is>
      </c>
      <c r="I3483" s="17" t="inlineStr">
        <is>
          <t>Thép tấm 6ly</t>
        </is>
      </c>
      <c r="J3483" s="17" t="inlineStr">
        <is>
          <t>kg</t>
        </is>
      </c>
      <c r="K3483" s="19" t="n">
        <v>14090.9</v>
      </c>
      <c r="L3483" s="21" t="n"/>
      <c r="M3483" s="22" t="n"/>
      <c r="N3483" s="22" t="n">
        <v>31086</v>
      </c>
      <c r="O3483" s="22" t="n">
        <v>438029717</v>
      </c>
      <c r="P3483" s="22" t="n">
        <v>31086</v>
      </c>
      <c r="Q3483" s="22" t="n">
        <v>438029717</v>
      </c>
      <c r="R3483" s="42">
        <f>+L3483+N3483-P3483</f>
        <v/>
      </c>
      <c r="S3483" s="42">
        <f>+M3483+O3483-Q3483</f>
        <v/>
      </c>
    </row>
    <row r="3484" ht="30" customHeight="1">
      <c r="A3484" s="16" t="n">
        <v>45951</v>
      </c>
      <c r="B3484" s="17" t="inlineStr">
        <is>
          <t>MH2510-54</t>
        </is>
      </c>
      <c r="C3484" s="16" t="n">
        <v>45951</v>
      </c>
      <c r="D3484" s="17" t="inlineStr">
        <is>
          <t>00002369</t>
        </is>
      </c>
      <c r="E3484" s="16" t="n">
        <v>45951</v>
      </c>
      <c r="F3484" s="16" t="inlineStr">
        <is>
          <t>XK2512-45</t>
        </is>
      </c>
      <c r="G3484" s="16" t="n">
        <v>46022</v>
      </c>
      <c r="H3484" s="17" t="inlineStr">
        <is>
          <t>CÔNG TY TNHH DỊCH VỤ - THƯƠNG MẠI THÉP THIÊN LONG</t>
        </is>
      </c>
      <c r="I3484" s="17" t="inlineStr">
        <is>
          <t>Thép tấm 10ly</t>
        </is>
      </c>
      <c r="J3484" s="17" t="inlineStr">
        <is>
          <t>kg</t>
        </is>
      </c>
      <c r="K3484" s="19" t="n">
        <v>14090.9</v>
      </c>
      <c r="L3484" s="21" t="n"/>
      <c r="M3484" s="22" t="n"/>
      <c r="N3484" s="22" t="n">
        <v>30144</v>
      </c>
      <c r="O3484" s="22" t="n">
        <v>424756090</v>
      </c>
      <c r="P3484" s="22" t="n">
        <v>30144</v>
      </c>
      <c r="Q3484" s="22" t="n">
        <v>424756090</v>
      </c>
      <c r="R3484" s="42">
        <f>+L3484+N3484-P3484</f>
        <v/>
      </c>
      <c r="S3484" s="42">
        <f>+M3484+O3484-Q3484</f>
        <v/>
      </c>
    </row>
    <row r="3485" ht="15" customHeight="1">
      <c r="A3485" s="16" t="n">
        <v>45953</v>
      </c>
      <c r="B3485" s="17" t="inlineStr">
        <is>
          <t>MH2510-57</t>
        </is>
      </c>
      <c r="C3485" s="16" t="n">
        <v>45953</v>
      </c>
      <c r="D3485" s="17" t="inlineStr">
        <is>
          <t>1348</t>
        </is>
      </c>
      <c r="E3485" s="16" t="n">
        <v>45953</v>
      </c>
      <c r="F3485" s="16" t="inlineStr">
        <is>
          <t>XK2510-44</t>
        </is>
      </c>
      <c r="G3485" s="16" t="n">
        <v>45953</v>
      </c>
      <c r="H3485" s="17" t="inlineStr">
        <is>
          <t>CÔNG TY TNHH THƯƠNG MẠI DỊCH VỤ PG</t>
        </is>
      </c>
      <c r="I3485" s="17" t="inlineStr">
        <is>
          <t>Dung Môi Toluene (Dung Môi Toluene 860Kg tương ứng 860 Lít)</t>
        </is>
      </c>
      <c r="J3485" s="17" t="inlineStr">
        <is>
          <t>Thùng</t>
        </is>
      </c>
      <c r="K3485" s="19" t="n">
        <v>26200</v>
      </c>
      <c r="L3485" s="21" t="n"/>
      <c r="M3485" s="22" t="n"/>
      <c r="N3485" s="22" t="n">
        <v>860</v>
      </c>
      <c r="O3485" s="22" t="n">
        <v>22532000</v>
      </c>
      <c r="P3485" s="22" t="n">
        <v>860</v>
      </c>
      <c r="Q3485" s="22" t="n">
        <v>22532000</v>
      </c>
      <c r="R3485" s="42">
        <f>+L3485+N3485-P3485</f>
        <v/>
      </c>
      <c r="S3485" s="42">
        <f>+M3485+O3485-Q3485</f>
        <v/>
      </c>
    </row>
    <row r="3486" ht="30" customHeight="1">
      <c r="A3486" s="16" t="n">
        <v>45953</v>
      </c>
      <c r="B3486" s="17" t="inlineStr">
        <is>
          <t>MH2510-58</t>
        </is>
      </c>
      <c r="C3486" s="16" t="n">
        <v>45953</v>
      </c>
      <c r="D3486" s="17" t="inlineStr">
        <is>
          <t>00002405</t>
        </is>
      </c>
      <c r="E3486" s="16" t="n">
        <v>45953</v>
      </c>
      <c r="F3486" s="16" t="inlineStr">
        <is>
          <t>XK2510-45</t>
        </is>
      </c>
      <c r="G3486" s="16" t="n">
        <v>45953</v>
      </c>
      <c r="H3486" s="17" t="inlineStr">
        <is>
          <t>CÔNG TY TNHH DỊCH VỤ - THƯƠNG MẠI THÉP THIÊN LONG</t>
        </is>
      </c>
      <c r="I3486" s="17" t="inlineStr">
        <is>
          <t>Thép hình H150</t>
        </is>
      </c>
      <c r="J3486" s="17" t="inlineStr">
        <is>
          <t>kg</t>
        </is>
      </c>
      <c r="K3486" s="19" t="n">
        <v>17272.72</v>
      </c>
      <c r="L3486" s="21" t="n"/>
      <c r="M3486" s="22" t="n"/>
      <c r="N3486" s="22" t="n">
        <v>9072</v>
      </c>
      <c r="O3486" s="22" t="n">
        <v>156698116</v>
      </c>
      <c r="P3486" s="22" t="n">
        <v>9072</v>
      </c>
      <c r="Q3486" s="22" t="n">
        <v>156698116</v>
      </c>
      <c r="R3486" s="42">
        <f>+L3486+N3486-P3486</f>
        <v/>
      </c>
      <c r="S3486" s="42">
        <f>+M3486+O3486-Q3486</f>
        <v/>
      </c>
    </row>
    <row r="3487" ht="30" customHeight="1">
      <c r="A3487" s="16" t="n">
        <v>45953</v>
      </c>
      <c r="B3487" s="17" t="inlineStr">
        <is>
          <t>MH2510-58</t>
        </is>
      </c>
      <c r="C3487" s="16" t="n">
        <v>45953</v>
      </c>
      <c r="D3487" s="17" t="inlineStr">
        <is>
          <t>00002405</t>
        </is>
      </c>
      <c r="E3487" s="16" t="n">
        <v>45953</v>
      </c>
      <c r="F3487" s="16" t="inlineStr">
        <is>
          <t>XK2510-45</t>
        </is>
      </c>
      <c r="G3487" s="16" t="n">
        <v>45953</v>
      </c>
      <c r="H3487" s="17" t="inlineStr">
        <is>
          <t>CÔNG TY TNHH DỊCH VỤ - THƯƠNG MẠI THÉP THIÊN LONG</t>
        </is>
      </c>
      <c r="I3487" s="17" t="inlineStr">
        <is>
          <t>Thép hình H200</t>
        </is>
      </c>
      <c r="J3487" s="17" t="inlineStr">
        <is>
          <t>kg</t>
        </is>
      </c>
      <c r="K3487" s="19" t="n">
        <v>17272.72</v>
      </c>
      <c r="L3487" s="21" t="n"/>
      <c r="M3487" s="22" t="n"/>
      <c r="N3487" s="22" t="n">
        <v>4856.4</v>
      </c>
      <c r="O3487" s="22" t="n">
        <v>83883237</v>
      </c>
      <c r="P3487" s="22" t="n">
        <v>4856.4</v>
      </c>
      <c r="Q3487" s="22" t="n">
        <v>83883237</v>
      </c>
      <c r="R3487" s="42">
        <f>+L3487+N3487-P3487</f>
        <v/>
      </c>
      <c r="S3487" s="42">
        <f>+M3487+O3487-Q3487</f>
        <v/>
      </c>
    </row>
    <row r="3488" ht="30" customHeight="1">
      <c r="A3488" s="16" t="n">
        <v>45953</v>
      </c>
      <c r="B3488" s="17" t="inlineStr">
        <is>
          <t>MH2510-58</t>
        </is>
      </c>
      <c r="C3488" s="16" t="n">
        <v>45953</v>
      </c>
      <c r="D3488" s="17" t="inlineStr">
        <is>
          <t>00002405</t>
        </is>
      </c>
      <c r="E3488" s="16" t="n">
        <v>45953</v>
      </c>
      <c r="F3488" s="16" t="inlineStr">
        <is>
          <t>XK2510-45</t>
        </is>
      </c>
      <c r="G3488" s="16" t="n">
        <v>45953</v>
      </c>
      <c r="H3488" s="17" t="inlineStr">
        <is>
          <t>CÔNG TY TNHH DỊCH VỤ - THƯƠNG MẠI THÉP THIÊN LONG</t>
        </is>
      </c>
      <c r="I3488" s="17" t="inlineStr">
        <is>
          <t>Thép hộ 100x100</t>
        </is>
      </c>
      <c r="J3488" s="17" t="inlineStr">
        <is>
          <t>kg</t>
        </is>
      </c>
      <c r="K3488" s="19" t="n">
        <v>16272.72</v>
      </c>
      <c r="L3488" s="21" t="n"/>
      <c r="M3488" s="22" t="n"/>
      <c r="N3488" s="22" t="n">
        <v>3673.6</v>
      </c>
      <c r="O3488" s="22" t="n">
        <v>59779464</v>
      </c>
      <c r="P3488" s="22" t="n">
        <v>3673.6</v>
      </c>
      <c r="Q3488" s="22" t="n">
        <v>59779464</v>
      </c>
      <c r="R3488" s="42">
        <f>+L3488+N3488-P3488</f>
        <v/>
      </c>
      <c r="S3488" s="42">
        <f>+M3488+O3488-Q3488</f>
        <v/>
      </c>
    </row>
    <row r="3489" ht="30" customHeight="1">
      <c r="A3489" s="16" t="n">
        <v>45953</v>
      </c>
      <c r="B3489" s="17" t="inlineStr">
        <is>
          <t>MH2510-58</t>
        </is>
      </c>
      <c r="C3489" s="16" t="n">
        <v>45953</v>
      </c>
      <c r="D3489" s="17" t="inlineStr">
        <is>
          <t>00002405</t>
        </is>
      </c>
      <c r="E3489" s="16" t="n">
        <v>45953</v>
      </c>
      <c r="F3489" s="16" t="inlineStr">
        <is>
          <t>XK2510-45</t>
        </is>
      </c>
      <c r="G3489" s="16" t="n">
        <v>45953</v>
      </c>
      <c r="H3489" s="17" t="inlineStr">
        <is>
          <t>CÔNG TY TNHH DỊCH VỤ - THƯƠNG MẠI THÉP THIÊN LONG</t>
        </is>
      </c>
      <c r="I3489" s="17" t="inlineStr">
        <is>
          <t>Thép phi 16</t>
        </is>
      </c>
      <c r="J3489" s="17" t="inlineStr">
        <is>
          <t>kg</t>
        </is>
      </c>
      <c r="K3489" s="19" t="n">
        <v>17727.2</v>
      </c>
      <c r="L3489" s="21" t="n"/>
      <c r="M3489" s="22" t="n"/>
      <c r="N3489" s="22" t="n">
        <v>9.390000000000001</v>
      </c>
      <c r="O3489" s="22" t="n">
        <v>166458</v>
      </c>
      <c r="P3489" s="22" t="n">
        <v>9.390000000000001</v>
      </c>
      <c r="Q3489" s="22" t="n">
        <v>166458</v>
      </c>
      <c r="R3489" s="42">
        <f>+L3489+N3489-P3489</f>
        <v/>
      </c>
      <c r="S3489" s="42">
        <f>+M3489+O3489-Q3489</f>
        <v/>
      </c>
    </row>
    <row r="3490" ht="30" customHeight="1">
      <c r="A3490" s="16" t="n">
        <v>45953</v>
      </c>
      <c r="B3490" s="17" t="inlineStr">
        <is>
          <t>MH2510-59</t>
        </is>
      </c>
      <c r="C3490" s="16" t="n">
        <v>45953</v>
      </c>
      <c r="D3490" s="17" t="inlineStr">
        <is>
          <t>00002406</t>
        </is>
      </c>
      <c r="E3490" s="16" t="n">
        <v>45953</v>
      </c>
      <c r="F3490" s="16" t="inlineStr">
        <is>
          <t>XK2510-46</t>
        </is>
      </c>
      <c r="G3490" s="16" t="n">
        <v>45953</v>
      </c>
      <c r="H3490" s="17" t="inlineStr">
        <is>
          <t>CÔNG TY TNHH DỊCH VỤ - THƯƠNG MẠI THÉP THIÊN LONG</t>
        </is>
      </c>
      <c r="I3490" s="17" t="inlineStr">
        <is>
          <t>Thép tấm 6ly</t>
        </is>
      </c>
      <c r="J3490" s="17" t="inlineStr">
        <is>
          <t>kg</t>
        </is>
      </c>
      <c r="K3490" s="19" t="n">
        <v>14090.9</v>
      </c>
      <c r="L3490" s="21" t="n"/>
      <c r="M3490" s="22" t="n"/>
      <c r="N3490" s="22" t="n">
        <v>22608</v>
      </c>
      <c r="O3490" s="22" t="n">
        <v>318567067</v>
      </c>
      <c r="P3490" s="22" t="n">
        <v>22608</v>
      </c>
      <c r="Q3490" s="22" t="n">
        <v>318567067</v>
      </c>
      <c r="R3490" s="42">
        <f>+L3490+N3490-P3490</f>
        <v/>
      </c>
      <c r="S3490" s="42">
        <f>+M3490+O3490-Q3490</f>
        <v/>
      </c>
    </row>
    <row r="3491" ht="30" customHeight="1">
      <c r="A3491" s="16" t="n">
        <v>45953</v>
      </c>
      <c r="B3491" s="17" t="inlineStr">
        <is>
          <t>MH2510-59</t>
        </is>
      </c>
      <c r="C3491" s="16" t="n">
        <v>45953</v>
      </c>
      <c r="D3491" s="17" t="inlineStr">
        <is>
          <t>00002406</t>
        </is>
      </c>
      <c r="E3491" s="16" t="n">
        <v>45953</v>
      </c>
      <c r="F3491" s="16" t="inlineStr">
        <is>
          <t>XK2510-46</t>
        </is>
      </c>
      <c r="G3491" s="16" t="n">
        <v>45953</v>
      </c>
      <c r="H3491" s="17" t="inlineStr">
        <is>
          <t>CÔNG TY TNHH DỊCH VỤ - THƯƠNG MẠI THÉP THIÊN LONG</t>
        </is>
      </c>
      <c r="I3491" s="17" t="inlineStr">
        <is>
          <t>Thép tấm 8ly</t>
        </is>
      </c>
      <c r="J3491" s="17" t="inlineStr">
        <is>
          <t>kg</t>
        </is>
      </c>
      <c r="K3491" s="19" t="n">
        <v>14090.9</v>
      </c>
      <c r="L3491" s="21" t="n"/>
      <c r="M3491" s="22" t="n"/>
      <c r="N3491" s="22" t="n">
        <v>15072</v>
      </c>
      <c r="O3491" s="22" t="n">
        <v>212378045</v>
      </c>
      <c r="P3491" s="22" t="n">
        <v>15072</v>
      </c>
      <c r="Q3491" s="22" t="n">
        <v>212378045</v>
      </c>
      <c r="R3491" s="42">
        <f>+L3491+N3491-P3491</f>
        <v/>
      </c>
      <c r="S3491" s="42">
        <f>+M3491+O3491-Q3491</f>
        <v/>
      </c>
    </row>
    <row r="3492" ht="30" customHeight="1">
      <c r="A3492" s="16" t="n">
        <v>45953</v>
      </c>
      <c r="B3492" s="17" t="inlineStr">
        <is>
          <t>MH2510-60</t>
        </is>
      </c>
      <c r="C3492" s="16" t="n">
        <v>45953</v>
      </c>
      <c r="D3492" s="17" t="inlineStr">
        <is>
          <t>86</t>
        </is>
      </c>
      <c r="E3492" s="16" t="n">
        <v>45953</v>
      </c>
      <c r="F3492" s="16" t="inlineStr">
        <is>
          <t>XK2510-47</t>
        </is>
      </c>
      <c r="G3492" s="16" t="n">
        <v>45953</v>
      </c>
      <c r="H3492" s="17" t="inlineStr">
        <is>
          <t>CÔNG TY TNHH CƠ KHÍ XÂY DỰNG VÀ TMDV THÀNH NAM</t>
        </is>
      </c>
      <c r="I3492" s="17" t="inlineStr">
        <is>
          <t>Cóc kẹp tôn seam</t>
        </is>
      </c>
      <c r="J3492" s="17" t="inlineStr">
        <is>
          <t>kg</t>
        </is>
      </c>
      <c r="K3492" s="19" t="n">
        <v>5500</v>
      </c>
      <c r="L3492" s="21" t="n"/>
      <c r="M3492" s="22" t="n"/>
      <c r="N3492" s="22" t="n">
        <v>300</v>
      </c>
      <c r="O3492" s="22" t="n">
        <v>1650000</v>
      </c>
      <c r="P3492" s="22" t="n">
        <v>300</v>
      </c>
      <c r="Q3492" s="22" t="n">
        <v>1650000</v>
      </c>
      <c r="R3492" s="42">
        <f>+L3492+N3492-P3492</f>
        <v/>
      </c>
      <c r="S3492" s="42">
        <f>+M3492+O3492-Q3492</f>
        <v/>
      </c>
    </row>
    <row r="3493" ht="30" customHeight="1">
      <c r="A3493" s="16" t="n">
        <v>45954</v>
      </c>
      <c r="B3493" s="17" t="inlineStr">
        <is>
          <t>MH2510-61</t>
        </is>
      </c>
      <c r="C3493" s="16" t="n">
        <v>45954</v>
      </c>
      <c r="D3493" s="17" t="inlineStr">
        <is>
          <t>00002412</t>
        </is>
      </c>
      <c r="E3493" s="16" t="n">
        <v>45954</v>
      </c>
      <c r="F3493" s="16" t="inlineStr">
        <is>
          <t>XK2512-46</t>
        </is>
      </c>
      <c r="G3493" s="16" t="n">
        <v>46022</v>
      </c>
      <c r="H3493" s="17" t="inlineStr">
        <is>
          <t>CÔNG TY TNHH DỊCH VỤ - THƯƠNG MẠI THÉP THIÊN LONG</t>
        </is>
      </c>
      <c r="I3493" s="17" t="inlineStr">
        <is>
          <t>Thép tấm 6ly</t>
        </is>
      </c>
      <c r="J3493" s="17" t="inlineStr">
        <is>
          <t>kg</t>
        </is>
      </c>
      <c r="K3493" s="19" t="n">
        <v>14090.9</v>
      </c>
      <c r="L3493" s="21" t="n"/>
      <c r="M3493" s="22" t="n"/>
      <c r="N3493" s="22" t="n">
        <v>39564</v>
      </c>
      <c r="O3493" s="22" t="n">
        <v>557492368</v>
      </c>
      <c r="P3493" s="22" t="n">
        <v>39564</v>
      </c>
      <c r="Q3493" s="22" t="n">
        <v>557492368</v>
      </c>
      <c r="R3493" s="42">
        <f>+L3493+N3493-P3493</f>
        <v/>
      </c>
      <c r="S3493" s="42">
        <f>+M3493+O3493-Q3493</f>
        <v/>
      </c>
    </row>
    <row r="3494" ht="30" customHeight="1">
      <c r="A3494" s="16" t="n">
        <v>45954</v>
      </c>
      <c r="B3494" s="17" t="inlineStr">
        <is>
          <t>MH2510-62</t>
        </is>
      </c>
      <c r="C3494" s="16" t="n">
        <v>45954</v>
      </c>
      <c r="D3494" s="17" t="inlineStr">
        <is>
          <t>00002413</t>
        </is>
      </c>
      <c r="E3494" s="16" t="n">
        <v>45954</v>
      </c>
      <c r="F3494" s="16" t="inlineStr">
        <is>
          <t>XK2510-85</t>
        </is>
      </c>
      <c r="G3494" s="16" t="n">
        <v>45961</v>
      </c>
      <c r="H3494" s="17" t="inlineStr">
        <is>
          <t>CÔNG TY TNHH DỊCH VỤ - THƯƠNG MẠI THÉP THIÊN LONG</t>
        </is>
      </c>
      <c r="I3494" s="17" t="inlineStr">
        <is>
          <t>Thép hình I150</t>
        </is>
      </c>
      <c r="J3494" s="17" t="inlineStr">
        <is>
          <t>kg</t>
        </is>
      </c>
      <c r="K3494" s="19" t="n">
        <v>17272.72</v>
      </c>
      <c r="L3494" s="21" t="n"/>
      <c r="M3494" s="22" t="n"/>
      <c r="N3494" s="22" t="n">
        <v>1512</v>
      </c>
      <c r="O3494" s="22" t="n">
        <v>26116353</v>
      </c>
      <c r="P3494" s="22" t="n">
        <v>1512</v>
      </c>
      <c r="Q3494" s="22" t="n">
        <v>26116353</v>
      </c>
      <c r="R3494" s="42">
        <f>+L3494+N3494-P3494</f>
        <v/>
      </c>
      <c r="S3494" s="42">
        <f>+M3494+O3494-Q3494</f>
        <v/>
      </c>
    </row>
    <row r="3495" ht="30" customHeight="1">
      <c r="A3495" s="16" t="n">
        <v>45954</v>
      </c>
      <c r="B3495" s="17" t="inlineStr">
        <is>
          <t>MH2510-62</t>
        </is>
      </c>
      <c r="C3495" s="16" t="n">
        <v>45954</v>
      </c>
      <c r="D3495" s="17" t="inlineStr">
        <is>
          <t>00002413</t>
        </is>
      </c>
      <c r="E3495" s="16" t="n">
        <v>45954</v>
      </c>
      <c r="F3495" s="16" t="inlineStr">
        <is>
          <t>XK2510-85</t>
        </is>
      </c>
      <c r="G3495" s="16" t="n">
        <v>45961</v>
      </c>
      <c r="H3495" s="17" t="inlineStr">
        <is>
          <t>CÔNG TY TNHH DỊCH VỤ - THƯƠNG MẠI THÉP THIÊN LONG</t>
        </is>
      </c>
      <c r="I3495" s="17" t="inlineStr">
        <is>
          <t>Thép hộp 50x50</t>
        </is>
      </c>
      <c r="J3495" s="17" t="inlineStr">
        <is>
          <t>kg</t>
        </is>
      </c>
      <c r="K3495" s="19" t="n">
        <v>16272.72</v>
      </c>
      <c r="L3495" s="21" t="n"/>
      <c r="M3495" s="22" t="n"/>
      <c r="N3495" s="22" t="n">
        <v>1578.72</v>
      </c>
      <c r="O3495" s="22" t="n">
        <v>25690069</v>
      </c>
      <c r="P3495" s="22" t="n">
        <v>1578.72</v>
      </c>
      <c r="Q3495" s="22" t="n">
        <v>25690069</v>
      </c>
      <c r="R3495" s="42">
        <f>+L3495+N3495-P3495</f>
        <v/>
      </c>
      <c r="S3495" s="42">
        <f>+M3495+O3495-Q3495</f>
        <v/>
      </c>
    </row>
    <row r="3496" ht="30" customHeight="1">
      <c r="A3496" s="16" t="n">
        <v>45954</v>
      </c>
      <c r="B3496" s="17" t="inlineStr">
        <is>
          <t>MH2510-62</t>
        </is>
      </c>
      <c r="C3496" s="16" t="n">
        <v>45954</v>
      </c>
      <c r="D3496" s="17" t="inlineStr">
        <is>
          <t>00002413</t>
        </is>
      </c>
      <c r="E3496" s="16" t="n">
        <v>45954</v>
      </c>
      <c r="F3496" s="16" t="inlineStr">
        <is>
          <t>XK2510-85</t>
        </is>
      </c>
      <c r="G3496" s="16" t="n">
        <v>45961</v>
      </c>
      <c r="H3496" s="17" t="inlineStr">
        <is>
          <t>CÔNG TY TNHH DỊCH VỤ - THƯƠNG MẠI THÉP THIÊN LONG</t>
        </is>
      </c>
      <c r="I3496" s="17" t="inlineStr">
        <is>
          <t>Thép hộp 60x60</t>
        </is>
      </c>
      <c r="J3496" s="17" t="inlineStr">
        <is>
          <t>kg</t>
        </is>
      </c>
      <c r="K3496" s="19" t="n">
        <v>16272.72</v>
      </c>
      <c r="L3496" s="21" t="n"/>
      <c r="M3496" s="22" t="n"/>
      <c r="N3496" s="22" t="n">
        <v>173.6</v>
      </c>
      <c r="O3496" s="22" t="n">
        <v>2824944</v>
      </c>
      <c r="P3496" s="22" t="n">
        <v>173.6</v>
      </c>
      <c r="Q3496" s="22" t="n">
        <v>2824944</v>
      </c>
      <c r="R3496" s="42">
        <f>+L3496+N3496-P3496</f>
        <v/>
      </c>
      <c r="S3496" s="42">
        <f>+M3496+O3496-Q3496</f>
        <v/>
      </c>
    </row>
    <row r="3497" ht="15" customHeight="1">
      <c r="A3497" s="16" t="n">
        <v>45954</v>
      </c>
      <c r="B3497" s="17" t="inlineStr">
        <is>
          <t>MH2510-63</t>
        </is>
      </c>
      <c r="C3497" s="16" t="n">
        <v>45954</v>
      </c>
      <c r="D3497" s="17" t="inlineStr">
        <is>
          <t>741</t>
        </is>
      </c>
      <c r="E3497" s="16" t="n">
        <v>45954</v>
      </c>
      <c r="F3497" s="16" t="inlineStr">
        <is>
          <t>XK2510-71</t>
        </is>
      </c>
      <c r="G3497" s="16" t="n">
        <v>45954</v>
      </c>
      <c r="H3497" s="17" t="inlineStr">
        <is>
          <t>CÔNG TY CỔ PHẦN THÉP TOÀN THẮNG - LA</t>
        </is>
      </c>
      <c r="I3497" s="17" t="inlineStr">
        <is>
          <t>Thép tấm 12x2000x12000mm A572</t>
        </is>
      </c>
      <c r="J3497" s="17" t="inlineStr">
        <is>
          <t>kg</t>
        </is>
      </c>
      <c r="K3497" s="19" t="n">
        <v>14000</v>
      </c>
      <c r="L3497" s="21" t="n"/>
      <c r="M3497" s="22" t="n"/>
      <c r="N3497" s="22" t="n">
        <v>63302.4</v>
      </c>
      <c r="O3497" s="22" t="n">
        <v>886233600</v>
      </c>
      <c r="P3497" s="22" t="n">
        <v>63302.4</v>
      </c>
      <c r="Q3497" s="22" t="n">
        <v>886233600</v>
      </c>
      <c r="R3497" s="42">
        <f>+L3497+N3497-P3497</f>
        <v/>
      </c>
      <c r="S3497" s="42">
        <f>+M3497+O3497-Q3497</f>
        <v/>
      </c>
    </row>
    <row r="3498" ht="30" customHeight="1">
      <c r="A3498" s="16" t="n">
        <v>45955</v>
      </c>
      <c r="B3498" s="17" t="inlineStr">
        <is>
          <t>MH2510-65</t>
        </is>
      </c>
      <c r="C3498" s="16" t="n">
        <v>45955</v>
      </c>
      <c r="D3498" s="17" t="inlineStr">
        <is>
          <t>00004201</t>
        </is>
      </c>
      <c r="E3498" s="16" t="n">
        <v>45955</v>
      </c>
      <c r="F3498" s="16" t="inlineStr">
        <is>
          <t>XK2510-51</t>
        </is>
      </c>
      <c r="G3498" s="16" t="n">
        <v>45955</v>
      </c>
      <c r="H3498" s="17" t="inlineStr">
        <is>
          <t>CÔNG TY CỔ PHẦN CÔNG NGHIỆP VÀ THƯƠNG MẠI CƯỜNG THỊNH</t>
        </is>
      </c>
      <c r="I3498" s="17" t="inlineStr">
        <is>
          <t>Bulong thường 4.6 ZP M12x30</t>
        </is>
      </c>
      <c r="J3498" s="17" t="inlineStr">
        <is>
          <t>Cái</t>
        </is>
      </c>
      <c r="K3498" s="19" t="n">
        <v>950</v>
      </c>
      <c r="L3498" s="21" t="n"/>
      <c r="M3498" s="22" t="n"/>
      <c r="N3498" s="22" t="n">
        <v>426</v>
      </c>
      <c r="O3498" s="22" t="n">
        <v>404700</v>
      </c>
      <c r="P3498" s="22" t="n">
        <v>426</v>
      </c>
      <c r="Q3498" s="22" t="n">
        <v>404700</v>
      </c>
      <c r="R3498" s="42">
        <f>+L3498+N3498-P3498</f>
        <v/>
      </c>
      <c r="S3498" s="42">
        <f>+M3498+O3498-Q3498</f>
        <v/>
      </c>
    </row>
    <row r="3499" ht="30" customHeight="1">
      <c r="A3499" s="16" t="n">
        <v>45955</v>
      </c>
      <c r="B3499" s="17" t="inlineStr">
        <is>
          <t>MH2510-65</t>
        </is>
      </c>
      <c r="C3499" s="16" t="n">
        <v>45955</v>
      </c>
      <c r="D3499" s="17" t="inlineStr">
        <is>
          <t>00004201</t>
        </is>
      </c>
      <c r="E3499" s="16" t="n">
        <v>45955</v>
      </c>
      <c r="F3499" s="16" t="inlineStr">
        <is>
          <t>XK2510-51</t>
        </is>
      </c>
      <c r="G3499" s="16" t="n">
        <v>45955</v>
      </c>
      <c r="H3499" s="17" t="inlineStr">
        <is>
          <t>CÔNG TY CỔ PHẦN CÔNG NGHIỆP VÀ THƯƠNG MẠI CƯỜNG THỊNH</t>
        </is>
      </c>
      <c r="I3499" s="17" t="inlineStr">
        <is>
          <t>Đai ốc thường 4 ZP M12 (8mm)</t>
        </is>
      </c>
      <c r="J3499" s="17" t="inlineStr">
        <is>
          <t>Cái</t>
        </is>
      </c>
      <c r="K3499" s="19" t="n">
        <v>360</v>
      </c>
      <c r="L3499" s="21" t="n"/>
      <c r="M3499" s="22" t="n"/>
      <c r="N3499" s="22" t="n">
        <v>426</v>
      </c>
      <c r="O3499" s="22" t="n">
        <v>153360</v>
      </c>
      <c r="P3499" s="22" t="n">
        <v>426</v>
      </c>
      <c r="Q3499" s="22" t="n">
        <v>153360</v>
      </c>
      <c r="R3499" s="42">
        <f>+L3499+N3499-P3499</f>
        <v/>
      </c>
      <c r="S3499" s="42">
        <f>+M3499+O3499-Q3499</f>
        <v/>
      </c>
    </row>
    <row r="3500" ht="30" customHeight="1">
      <c r="A3500" s="16" t="n">
        <v>45955</v>
      </c>
      <c r="B3500" s="17" t="inlineStr">
        <is>
          <t>MH2510-65</t>
        </is>
      </c>
      <c r="C3500" s="16" t="n">
        <v>45955</v>
      </c>
      <c r="D3500" s="17" t="inlineStr">
        <is>
          <t>00004201</t>
        </is>
      </c>
      <c r="E3500" s="16" t="n">
        <v>45955</v>
      </c>
      <c r="F3500" s="16" t="inlineStr">
        <is>
          <t>XK2510-51</t>
        </is>
      </c>
      <c r="G3500" s="16" t="n">
        <v>45955</v>
      </c>
      <c r="H3500" s="17" t="inlineStr">
        <is>
          <t>CÔNG TY CỔ PHẦN CÔNG NGHIỆP VÀ THƯƠNG MẠI CƯỜNG THỊNH</t>
        </is>
      </c>
      <c r="I3500" s="17" t="inlineStr">
        <is>
          <t>Long đền thường ZP M12B23D1</t>
        </is>
      </c>
      <c r="J3500" s="17" t="inlineStr">
        <is>
          <t>Cái</t>
        </is>
      </c>
      <c r="K3500" s="19" t="n">
        <v>100</v>
      </c>
      <c r="L3500" s="21" t="n"/>
      <c r="M3500" s="22" t="n"/>
      <c r="N3500" s="22" t="n">
        <v>852</v>
      </c>
      <c r="O3500" s="22" t="n">
        <v>85200</v>
      </c>
      <c r="P3500" s="22" t="n">
        <v>852</v>
      </c>
      <c r="Q3500" s="22" t="n">
        <v>85200</v>
      </c>
      <c r="R3500" s="42">
        <f>+L3500+N3500-P3500</f>
        <v/>
      </c>
      <c r="S3500" s="42">
        <f>+M3500+O3500-Q3500</f>
        <v/>
      </c>
    </row>
    <row r="3501" ht="30" customHeight="1">
      <c r="A3501" s="16" t="n">
        <v>45955</v>
      </c>
      <c r="B3501" s="17" t="inlineStr">
        <is>
          <t>MH2510-65</t>
        </is>
      </c>
      <c r="C3501" s="16" t="n">
        <v>45955</v>
      </c>
      <c r="D3501" s="17" t="inlineStr">
        <is>
          <t>00004201</t>
        </is>
      </c>
      <c r="E3501" s="16" t="n">
        <v>45955</v>
      </c>
      <c r="F3501" s="16" t="inlineStr">
        <is>
          <t>XK2510-51</t>
        </is>
      </c>
      <c r="G3501" s="16" t="n">
        <v>45955</v>
      </c>
      <c r="H3501" s="17" t="inlineStr">
        <is>
          <t>CÔNG TY CỔ PHẦN CÔNG NGHIỆP VÀ THƯƠNG MẠI CƯỜNG THỊNH</t>
        </is>
      </c>
      <c r="I3501" s="17" t="inlineStr">
        <is>
          <t>Bulong Din 933 8.8 ZP M16x40</t>
        </is>
      </c>
      <c r="J3501" s="17" t="inlineStr">
        <is>
          <t>Cái</t>
        </is>
      </c>
      <c r="K3501" s="19" t="n">
        <v>3030</v>
      </c>
      <c r="L3501" s="21" t="n"/>
      <c r="M3501" s="22" t="n"/>
      <c r="N3501" s="22" t="n">
        <v>278</v>
      </c>
      <c r="O3501" s="22" t="n">
        <v>842340</v>
      </c>
      <c r="P3501" s="22" t="n">
        <v>278</v>
      </c>
      <c r="Q3501" s="22" t="n">
        <v>842340</v>
      </c>
      <c r="R3501" s="42">
        <f>+L3501+N3501-P3501</f>
        <v/>
      </c>
      <c r="S3501" s="42">
        <f>+M3501+O3501-Q3501</f>
        <v/>
      </c>
    </row>
    <row r="3502" ht="30" customHeight="1">
      <c r="A3502" s="16" t="n">
        <v>45955</v>
      </c>
      <c r="B3502" s="17" t="inlineStr">
        <is>
          <t>MH2510-65</t>
        </is>
      </c>
      <c r="C3502" s="16" t="n">
        <v>45955</v>
      </c>
      <c r="D3502" s="17" t="inlineStr">
        <is>
          <t>00004201</t>
        </is>
      </c>
      <c r="E3502" s="16" t="n">
        <v>45955</v>
      </c>
      <c r="F3502" s="16" t="inlineStr">
        <is>
          <t>XK2510-51</t>
        </is>
      </c>
      <c r="G3502" s="16" t="n">
        <v>45955</v>
      </c>
      <c r="H3502" s="17" t="inlineStr">
        <is>
          <t>CÔNG TY CỔ PHẦN CÔNG NGHIỆP VÀ THƯƠNG MẠI CƯỜNG THỊNH</t>
        </is>
      </c>
      <c r="I3502" s="17" t="inlineStr">
        <is>
          <t>Đai ốc Din 934 8 ZP M16</t>
        </is>
      </c>
      <c r="J3502" s="17" t="inlineStr">
        <is>
          <t>Cái</t>
        </is>
      </c>
      <c r="K3502" s="19" t="n">
        <v>1080</v>
      </c>
      <c r="L3502" s="21" t="n"/>
      <c r="M3502" s="22" t="n"/>
      <c r="N3502" s="22" t="n">
        <v>278</v>
      </c>
      <c r="O3502" s="22" t="n">
        <v>300240</v>
      </c>
      <c r="P3502" s="22" t="n">
        <v>278</v>
      </c>
      <c r="Q3502" s="22" t="n">
        <v>300240</v>
      </c>
      <c r="R3502" s="42">
        <f>+L3502+N3502-P3502</f>
        <v/>
      </c>
      <c r="S3502" s="42">
        <f>+M3502+O3502-Q3502</f>
        <v/>
      </c>
    </row>
    <row r="3503" ht="30" customHeight="1">
      <c r="A3503" s="16" t="n">
        <v>45955</v>
      </c>
      <c r="B3503" s="17" t="inlineStr">
        <is>
          <t>MH2510-65</t>
        </is>
      </c>
      <c r="C3503" s="16" t="n">
        <v>45955</v>
      </c>
      <c r="D3503" s="17" t="inlineStr">
        <is>
          <t>00004201</t>
        </is>
      </c>
      <c r="E3503" s="16" t="n">
        <v>45955</v>
      </c>
      <c r="F3503" s="16" t="inlineStr">
        <is>
          <t>XK2510-51</t>
        </is>
      </c>
      <c r="G3503" s="16" t="n">
        <v>45955</v>
      </c>
      <c r="H3503" s="17" t="inlineStr">
        <is>
          <t>CÔNG TY CỔ PHẦN CÔNG NGHIỆP VÀ THƯƠNG MẠI CƯỜNG THỊNH</t>
        </is>
      </c>
      <c r="I3503" s="17" t="inlineStr">
        <is>
          <t>Long đền thường ZP M16B30D2</t>
        </is>
      </c>
      <c r="J3503" s="17" t="inlineStr">
        <is>
          <t>Cái</t>
        </is>
      </c>
      <c r="K3503" s="19" t="n">
        <v>340</v>
      </c>
      <c r="L3503" s="21" t="n"/>
      <c r="M3503" s="22" t="n"/>
      <c r="N3503" s="22" t="n">
        <v>278</v>
      </c>
      <c r="O3503" s="22" t="n">
        <v>94520</v>
      </c>
      <c r="P3503" s="22" t="n">
        <v>278</v>
      </c>
      <c r="Q3503" s="22" t="n">
        <v>94520</v>
      </c>
      <c r="R3503" s="42">
        <f>+L3503+N3503-P3503</f>
        <v/>
      </c>
      <c r="S3503" s="42">
        <f>+M3503+O3503-Q3503</f>
        <v/>
      </c>
    </row>
    <row r="3504" ht="30" customHeight="1">
      <c r="A3504" s="16" t="n">
        <v>45955</v>
      </c>
      <c r="B3504" s="17" t="inlineStr">
        <is>
          <t>MH2510-65</t>
        </is>
      </c>
      <c r="C3504" s="16" t="n">
        <v>45955</v>
      </c>
      <c r="D3504" s="17" t="inlineStr">
        <is>
          <t>00004201</t>
        </is>
      </c>
      <c r="E3504" s="16" t="n">
        <v>45955</v>
      </c>
      <c r="F3504" s="16" t="inlineStr">
        <is>
          <t>XK2510-51</t>
        </is>
      </c>
      <c r="G3504" s="16" t="n">
        <v>45955</v>
      </c>
      <c r="H3504" s="17" t="inlineStr">
        <is>
          <t>CÔNG TY CỔ PHẦN CÔNG NGHIỆP VÀ THƯƠNG MẠI CƯỜNG THỊNH</t>
        </is>
      </c>
      <c r="I3504" s="17" t="inlineStr">
        <is>
          <t>Bulong Din 933 8.8 ZP M20x50</t>
        </is>
      </c>
      <c r="J3504" s="17" t="inlineStr">
        <is>
          <t>Cái</t>
        </is>
      </c>
      <c r="K3504" s="19" t="n">
        <v>5760</v>
      </c>
      <c r="L3504" s="21" t="n"/>
      <c r="M3504" s="22" t="n"/>
      <c r="N3504" s="22" t="n">
        <v>260</v>
      </c>
      <c r="O3504" s="22" t="n">
        <v>1497600</v>
      </c>
      <c r="P3504" s="22" t="n">
        <v>260</v>
      </c>
      <c r="Q3504" s="22" t="n">
        <v>1497600</v>
      </c>
      <c r="R3504" s="42">
        <f>+L3504+N3504-P3504</f>
        <v/>
      </c>
      <c r="S3504" s="42">
        <f>+M3504+O3504-Q3504</f>
        <v/>
      </c>
    </row>
    <row r="3505" ht="30" customHeight="1">
      <c r="A3505" s="16" t="n">
        <v>45955</v>
      </c>
      <c r="B3505" s="17" t="inlineStr">
        <is>
          <t>MH2510-65</t>
        </is>
      </c>
      <c r="C3505" s="16" t="n">
        <v>45955</v>
      </c>
      <c r="D3505" s="17" t="inlineStr">
        <is>
          <t>00004201</t>
        </is>
      </c>
      <c r="E3505" s="16" t="n">
        <v>45955</v>
      </c>
      <c r="F3505" s="16" t="inlineStr">
        <is>
          <t>XK2510-51</t>
        </is>
      </c>
      <c r="G3505" s="16" t="n">
        <v>45955</v>
      </c>
      <c r="H3505" s="17" t="inlineStr">
        <is>
          <t>CÔNG TY CỔ PHẦN CÔNG NGHIỆP VÀ THƯƠNG MẠI CƯỜNG THỊNH</t>
        </is>
      </c>
      <c r="I3505" s="17" t="inlineStr">
        <is>
          <t>Đai ốc Din 934 8 ZP M20</t>
        </is>
      </c>
      <c r="J3505" s="17" t="inlineStr">
        <is>
          <t>Cái</t>
        </is>
      </c>
      <c r="K3505" s="19" t="n">
        <v>2030</v>
      </c>
      <c r="L3505" s="21" t="n"/>
      <c r="M3505" s="22" t="n"/>
      <c r="N3505" s="22" t="n">
        <v>260</v>
      </c>
      <c r="O3505" s="22" t="n">
        <v>527800</v>
      </c>
      <c r="P3505" s="22" t="n">
        <v>260</v>
      </c>
      <c r="Q3505" s="22" t="n">
        <v>527800</v>
      </c>
      <c r="R3505" s="42">
        <f>+L3505+N3505-P3505</f>
        <v/>
      </c>
      <c r="S3505" s="42">
        <f>+M3505+O3505-Q3505</f>
        <v/>
      </c>
    </row>
    <row r="3506" ht="30" customHeight="1">
      <c r="A3506" s="16" t="n">
        <v>45955</v>
      </c>
      <c r="B3506" s="17" t="inlineStr">
        <is>
          <t>MH2510-65</t>
        </is>
      </c>
      <c r="C3506" s="16" t="n">
        <v>45955</v>
      </c>
      <c r="D3506" s="17" t="inlineStr">
        <is>
          <t>00004201</t>
        </is>
      </c>
      <c r="E3506" s="16" t="n">
        <v>45955</v>
      </c>
      <c r="F3506" s="16" t="inlineStr">
        <is>
          <t>XK2510-51</t>
        </is>
      </c>
      <c r="G3506" s="16" t="n">
        <v>45955</v>
      </c>
      <c r="H3506" s="17" t="inlineStr">
        <is>
          <t>CÔNG TY CỔ PHẦN CÔNG NGHIỆP VÀ THƯƠNG MẠI CƯỜNG THỊNH</t>
        </is>
      </c>
      <c r="I3506" s="17" t="inlineStr">
        <is>
          <t>Long đền thường ZP M20B35D2</t>
        </is>
      </c>
      <c r="J3506" s="17" t="inlineStr">
        <is>
          <t>Cái</t>
        </is>
      </c>
      <c r="K3506" s="19" t="n">
        <v>350</v>
      </c>
      <c r="L3506" s="21" t="n"/>
      <c r="M3506" s="22" t="n"/>
      <c r="N3506" s="22" t="n">
        <v>260</v>
      </c>
      <c r="O3506" s="22" t="n">
        <v>91000</v>
      </c>
      <c r="P3506" s="22" t="n">
        <v>260</v>
      </c>
      <c r="Q3506" s="22" t="n">
        <v>91000</v>
      </c>
      <c r="R3506" s="42">
        <f>+L3506+N3506-P3506</f>
        <v/>
      </c>
      <c r="S3506" s="42">
        <f>+M3506+O3506-Q3506</f>
        <v/>
      </c>
    </row>
    <row r="3507" ht="30" customHeight="1">
      <c r="A3507" s="16" t="n">
        <v>45955</v>
      </c>
      <c r="B3507" s="17" t="inlineStr">
        <is>
          <t>MH2510-65</t>
        </is>
      </c>
      <c r="C3507" s="16" t="n">
        <v>45955</v>
      </c>
      <c r="D3507" s="17" t="inlineStr">
        <is>
          <t>00004201</t>
        </is>
      </c>
      <c r="E3507" s="16" t="n">
        <v>45955</v>
      </c>
      <c r="F3507" s="16" t="inlineStr">
        <is>
          <t>XK2510-51</t>
        </is>
      </c>
      <c r="G3507" s="16" t="n">
        <v>45955</v>
      </c>
      <c r="H3507" s="17" t="inlineStr">
        <is>
          <t>CÔNG TY CỔ PHẦN CÔNG NGHIỆP VÀ THƯƠNG MẠI CƯỜNG THỊNH</t>
        </is>
      </c>
      <c r="I3507" s="17" t="inlineStr">
        <is>
          <t>Bulong Din 933 8.8 ZP M20x60</t>
        </is>
      </c>
      <c r="J3507" s="17" t="inlineStr">
        <is>
          <t>Cái</t>
        </is>
      </c>
      <c r="K3507" s="19" t="n">
        <v>6360</v>
      </c>
      <c r="L3507" s="21" t="n"/>
      <c r="M3507" s="22" t="n"/>
      <c r="N3507" s="22" t="n">
        <v>2262</v>
      </c>
      <c r="O3507" s="22" t="n">
        <v>14386320</v>
      </c>
      <c r="P3507" s="22" t="n">
        <v>2262</v>
      </c>
      <c r="Q3507" s="22" t="n">
        <v>14386320</v>
      </c>
      <c r="R3507" s="42">
        <f>+L3507+N3507-P3507</f>
        <v/>
      </c>
      <c r="S3507" s="42">
        <f>+M3507+O3507-Q3507</f>
        <v/>
      </c>
    </row>
    <row r="3508" ht="30" customHeight="1">
      <c r="A3508" s="16" t="n">
        <v>45955</v>
      </c>
      <c r="B3508" s="17" t="inlineStr">
        <is>
          <t>MH2510-65</t>
        </is>
      </c>
      <c r="C3508" s="16" t="n">
        <v>45955</v>
      </c>
      <c r="D3508" s="17" t="inlineStr">
        <is>
          <t>00004201</t>
        </is>
      </c>
      <c r="E3508" s="16" t="n">
        <v>45955</v>
      </c>
      <c r="F3508" s="16" t="inlineStr">
        <is>
          <t>XK2510-51</t>
        </is>
      </c>
      <c r="G3508" s="16" t="n">
        <v>45955</v>
      </c>
      <c r="H3508" s="17" t="inlineStr">
        <is>
          <t>CÔNG TY CỔ PHẦN CÔNG NGHIỆP VÀ THƯƠNG MẠI CƯỜNG THỊNH</t>
        </is>
      </c>
      <c r="I3508" s="17" t="inlineStr">
        <is>
          <t>Đai ốc Din 934 8 ZP M20</t>
        </is>
      </c>
      <c r="J3508" s="17" t="inlineStr">
        <is>
          <t>Cái</t>
        </is>
      </c>
      <c r="K3508" s="19" t="n">
        <v>2030</v>
      </c>
      <c r="L3508" s="21" t="n"/>
      <c r="M3508" s="22" t="n"/>
      <c r="N3508" s="22" t="n">
        <v>2262</v>
      </c>
      <c r="O3508" s="22" t="n">
        <v>4591860</v>
      </c>
      <c r="P3508" s="22" t="n">
        <v>2262</v>
      </c>
      <c r="Q3508" s="22" t="n">
        <v>4591860</v>
      </c>
      <c r="R3508" s="42">
        <f>+L3508+N3508-P3508</f>
        <v/>
      </c>
      <c r="S3508" s="42">
        <f>+M3508+O3508-Q3508</f>
        <v/>
      </c>
    </row>
    <row r="3509" ht="30" customHeight="1">
      <c r="A3509" s="16" t="n">
        <v>45955</v>
      </c>
      <c r="B3509" s="17" t="inlineStr">
        <is>
          <t>MH2510-65</t>
        </is>
      </c>
      <c r="C3509" s="16" t="n">
        <v>45955</v>
      </c>
      <c r="D3509" s="17" t="inlineStr">
        <is>
          <t>00004201</t>
        </is>
      </c>
      <c r="E3509" s="16" t="n">
        <v>45955</v>
      </c>
      <c r="F3509" s="16" t="inlineStr">
        <is>
          <t>XK2510-51</t>
        </is>
      </c>
      <c r="G3509" s="16" t="n">
        <v>45955</v>
      </c>
      <c r="H3509" s="17" t="inlineStr">
        <is>
          <t>CÔNG TY CỔ PHẦN CÔNG NGHIỆP VÀ THƯƠNG MẠI CƯỜNG THỊNH</t>
        </is>
      </c>
      <c r="I3509" s="17" t="inlineStr">
        <is>
          <t>Long đền thường ZP M20B35D2</t>
        </is>
      </c>
      <c r="J3509" s="17" t="inlineStr">
        <is>
          <t>Cái</t>
        </is>
      </c>
      <c r="K3509" s="19" t="n">
        <v>350</v>
      </c>
      <c r="L3509" s="21" t="n"/>
      <c r="M3509" s="22" t="n"/>
      <c r="N3509" s="22" t="n">
        <v>2262</v>
      </c>
      <c r="O3509" s="22" t="n">
        <v>791700</v>
      </c>
      <c r="P3509" s="22" t="n">
        <v>2262</v>
      </c>
      <c r="Q3509" s="22" t="n">
        <v>791700</v>
      </c>
      <c r="R3509" s="42">
        <f>+L3509+N3509-P3509</f>
        <v/>
      </c>
      <c r="S3509" s="42">
        <f>+M3509+O3509-Q3509</f>
        <v/>
      </c>
    </row>
    <row r="3510" ht="30" customHeight="1">
      <c r="A3510" s="16" t="n">
        <v>45955</v>
      </c>
      <c r="B3510" s="17" t="inlineStr">
        <is>
          <t>MH2510-65</t>
        </is>
      </c>
      <c r="C3510" s="16" t="n">
        <v>45955</v>
      </c>
      <c r="D3510" s="17" t="inlineStr">
        <is>
          <t>00004201</t>
        </is>
      </c>
      <c r="E3510" s="16" t="n">
        <v>45955</v>
      </c>
      <c r="F3510" s="16" t="inlineStr">
        <is>
          <t>XK2510-51</t>
        </is>
      </c>
      <c r="G3510" s="16" t="n">
        <v>45955</v>
      </c>
      <c r="H3510" s="17" t="inlineStr">
        <is>
          <t>CÔNG TY CỔ PHẦN CÔNG NGHIỆP VÀ THƯƠNG MẠI CƯỜNG THỊNH</t>
        </is>
      </c>
      <c r="I3510" s="17" t="inlineStr">
        <is>
          <t>Vít B2 Dacromet 12-14x20</t>
        </is>
      </c>
      <c r="J3510" s="17" t="inlineStr">
        <is>
          <t>Cái</t>
        </is>
      </c>
      <c r="K3510" s="19" t="n">
        <v>600</v>
      </c>
      <c r="L3510" s="21" t="n"/>
      <c r="M3510" s="22" t="n"/>
      <c r="N3510" s="22" t="n">
        <v>1000</v>
      </c>
      <c r="O3510" s="22" t="n">
        <v>600000</v>
      </c>
      <c r="P3510" s="22" t="n">
        <v>1000</v>
      </c>
      <c r="Q3510" s="22" t="n">
        <v>600000</v>
      </c>
      <c r="R3510" s="42">
        <f>+L3510+N3510-P3510</f>
        <v/>
      </c>
      <c r="S3510" s="42">
        <f>+M3510+O3510-Q3510</f>
        <v/>
      </c>
    </row>
    <row r="3511" ht="30" customHeight="1">
      <c r="A3511" s="16" t="n">
        <v>45955</v>
      </c>
      <c r="B3511" s="17" t="inlineStr">
        <is>
          <t>MH2510-66</t>
        </is>
      </c>
      <c r="C3511" s="16" t="n">
        <v>45955</v>
      </c>
      <c r="D3511" s="17" t="inlineStr">
        <is>
          <t>00004202</t>
        </is>
      </c>
      <c r="E3511" s="16" t="n">
        <v>45955</v>
      </c>
      <c r="F3511" s="16" t="inlineStr">
        <is>
          <t>XK2510-52</t>
        </is>
      </c>
      <c r="G3511" s="16" t="n">
        <v>45955</v>
      </c>
      <c r="H3511" s="17" t="inlineStr">
        <is>
          <t>CÔNG TY CỔ PHẦN CÔNG NGHIỆP VÀ THƯƠNG MẠI CƯỜNG THỊNH</t>
        </is>
      </c>
      <c r="I3511" s="17" t="inlineStr">
        <is>
          <t>Ty giằng 2 đầu ren 4.6 ZP M16</t>
        </is>
      </c>
      <c r="J3511" s="17" t="inlineStr">
        <is>
          <t>Mét</t>
        </is>
      </c>
      <c r="K3511" s="19" t="n">
        <v>48000</v>
      </c>
      <c r="L3511" s="21" t="n"/>
      <c r="M3511" s="22" t="n"/>
      <c r="N3511" s="22" t="n">
        <v>228.7</v>
      </c>
      <c r="O3511" s="22" t="n">
        <v>10977600</v>
      </c>
      <c r="P3511" s="22" t="n">
        <v>228.7</v>
      </c>
      <c r="Q3511" s="22" t="n">
        <v>10977600</v>
      </c>
      <c r="R3511" s="42">
        <f>+L3511+N3511-P3511</f>
        <v/>
      </c>
      <c r="S3511" s="42">
        <f>+M3511+O3511-Q3511</f>
        <v/>
      </c>
    </row>
    <row r="3512" ht="30" customHeight="1">
      <c r="A3512" s="16" t="n">
        <v>45955</v>
      </c>
      <c r="B3512" s="17" t="inlineStr">
        <is>
          <t>MH2510-66</t>
        </is>
      </c>
      <c r="C3512" s="16" t="n">
        <v>45955</v>
      </c>
      <c r="D3512" s="17" t="inlineStr">
        <is>
          <t>00004202</t>
        </is>
      </c>
      <c r="E3512" s="16" t="n">
        <v>45955</v>
      </c>
      <c r="F3512" s="16" t="inlineStr">
        <is>
          <t>XK2510-52</t>
        </is>
      </c>
      <c r="G3512" s="16" t="n">
        <v>45955</v>
      </c>
      <c r="H3512" s="17" t="inlineStr">
        <is>
          <t>CÔNG TY CỔ PHẦN CÔNG NGHIỆP VÀ THƯƠNG MẠI CƯỜNG THỊNH</t>
        </is>
      </c>
      <c r="I3512" s="17" t="inlineStr">
        <is>
          <t>Đai ốc Din 934 5 ZP M16</t>
        </is>
      </c>
      <c r="J3512" s="17" t="inlineStr">
        <is>
          <t>Cái</t>
        </is>
      </c>
      <c r="K3512" s="19" t="n">
        <v>990</v>
      </c>
      <c r="L3512" s="21" t="n"/>
      <c r="M3512" s="22" t="n"/>
      <c r="N3512" s="22" t="n">
        <v>36</v>
      </c>
      <c r="O3512" s="22" t="n">
        <v>35640</v>
      </c>
      <c r="P3512" s="22" t="n">
        <v>36</v>
      </c>
      <c r="Q3512" s="22" t="n">
        <v>35640</v>
      </c>
      <c r="R3512" s="42">
        <f>+L3512+N3512-P3512</f>
        <v/>
      </c>
      <c r="S3512" s="42">
        <f>+M3512+O3512-Q3512</f>
        <v/>
      </c>
    </row>
    <row r="3513" ht="30" customHeight="1">
      <c r="A3513" s="16" t="n">
        <v>45955</v>
      </c>
      <c r="B3513" s="17" t="inlineStr">
        <is>
          <t>MH2510-66</t>
        </is>
      </c>
      <c r="C3513" s="16" t="n">
        <v>45955</v>
      </c>
      <c r="D3513" s="17" t="inlineStr">
        <is>
          <t>00004202</t>
        </is>
      </c>
      <c r="E3513" s="16" t="n">
        <v>45955</v>
      </c>
      <c r="F3513" s="16" t="inlineStr">
        <is>
          <t>XK2510-52</t>
        </is>
      </c>
      <c r="G3513" s="16" t="n">
        <v>45955</v>
      </c>
      <c r="H3513" s="17" t="inlineStr">
        <is>
          <t>CÔNG TY CỔ PHẦN CÔNG NGHIỆP VÀ THƯƠNG MẠI CƯỜNG THỊNH</t>
        </is>
      </c>
      <c r="I3513" s="17" t="inlineStr">
        <is>
          <t>Long đền thường ZP M16B42D2</t>
        </is>
      </c>
      <c r="J3513" s="17" t="inlineStr">
        <is>
          <t>Cái</t>
        </is>
      </c>
      <c r="K3513" s="19" t="n">
        <v>700</v>
      </c>
      <c r="L3513" s="21" t="n"/>
      <c r="M3513" s="22" t="n"/>
      <c r="N3513" s="22" t="n">
        <v>36</v>
      </c>
      <c r="O3513" s="22" t="n">
        <v>25200</v>
      </c>
      <c r="P3513" s="22" t="n">
        <v>36</v>
      </c>
      <c r="Q3513" s="22" t="n">
        <v>25200</v>
      </c>
      <c r="R3513" s="42">
        <f>+L3513+N3513-P3513</f>
        <v/>
      </c>
      <c r="S3513" s="42">
        <f>+M3513+O3513-Q3513</f>
        <v/>
      </c>
    </row>
    <row r="3514" ht="30" customHeight="1">
      <c r="A3514" s="16" t="n">
        <v>45955</v>
      </c>
      <c r="B3514" s="17" t="inlineStr">
        <is>
          <t>MH2510-66</t>
        </is>
      </c>
      <c r="C3514" s="16" t="n">
        <v>45955</v>
      </c>
      <c r="D3514" s="17" t="inlineStr">
        <is>
          <t>00004202</t>
        </is>
      </c>
      <c r="E3514" s="16" t="n">
        <v>45955</v>
      </c>
      <c r="F3514" s="16" t="inlineStr">
        <is>
          <t>XK2510-52</t>
        </is>
      </c>
      <c r="G3514" s="16" t="n">
        <v>45955</v>
      </c>
      <c r="H3514" s="17" t="inlineStr">
        <is>
          <t>CÔNG TY CỔ PHẦN CÔNG NGHIỆP VÀ THƯƠNG MẠI CƯỜNG THỊNH</t>
        </is>
      </c>
      <c r="I3514" s="17" t="inlineStr">
        <is>
          <t>Long đền móng ngựa ZP M16</t>
        </is>
      </c>
      <c r="J3514" s="17" t="inlineStr">
        <is>
          <t>Cái</t>
        </is>
      </c>
      <c r="K3514" s="19" t="n">
        <v>14830</v>
      </c>
      <c r="L3514" s="21" t="n"/>
      <c r="M3514" s="22" t="n"/>
      <c r="N3514" s="22" t="n">
        <v>36</v>
      </c>
      <c r="O3514" s="22" t="n">
        <v>533880</v>
      </c>
      <c r="P3514" s="22" t="n">
        <v>36</v>
      </c>
      <c r="Q3514" s="22" t="n">
        <v>533880</v>
      </c>
      <c r="R3514" s="42">
        <f>+L3514+N3514-P3514</f>
        <v/>
      </c>
      <c r="S3514" s="42">
        <f>+M3514+O3514-Q3514</f>
        <v/>
      </c>
    </row>
    <row r="3515" ht="30" customHeight="1">
      <c r="A3515" s="16" t="n">
        <v>45955</v>
      </c>
      <c r="B3515" s="17" t="inlineStr">
        <is>
          <t>MH2510-66</t>
        </is>
      </c>
      <c r="C3515" s="16" t="n">
        <v>45955</v>
      </c>
      <c r="D3515" s="17" t="inlineStr">
        <is>
          <t>00004202</t>
        </is>
      </c>
      <c r="E3515" s="16" t="n">
        <v>45955</v>
      </c>
      <c r="F3515" s="16" t="inlineStr">
        <is>
          <t>XK2510-52</t>
        </is>
      </c>
      <c r="G3515" s="16" t="n">
        <v>45955</v>
      </c>
      <c r="H3515" s="17" t="inlineStr">
        <is>
          <t>CÔNG TY CỔ PHẦN CÔNG NGHIỆP VÀ THƯƠNG MẠI CƯỜNG THỊNH</t>
        </is>
      </c>
      <c r="I3515" s="17" t="inlineStr">
        <is>
          <t>Nối Ty ZP M16x100 (23mm)</t>
        </is>
      </c>
      <c r="J3515" s="17" t="inlineStr">
        <is>
          <t>Cái</t>
        </is>
      </c>
      <c r="K3515" s="19" t="n">
        <v>19960</v>
      </c>
      <c r="L3515" s="21" t="n"/>
      <c r="M3515" s="22" t="n"/>
      <c r="N3515" s="22" t="n">
        <v>18</v>
      </c>
      <c r="O3515" s="22" t="n">
        <v>359280</v>
      </c>
      <c r="P3515" s="22" t="n">
        <v>18</v>
      </c>
      <c r="Q3515" s="22" t="n">
        <v>359280</v>
      </c>
      <c r="R3515" s="42">
        <f>+L3515+N3515-P3515</f>
        <v/>
      </c>
      <c r="S3515" s="42">
        <f>+M3515+O3515-Q3515</f>
        <v/>
      </c>
    </row>
    <row r="3516" ht="30" customHeight="1">
      <c r="A3516" s="16" t="n">
        <v>45955</v>
      </c>
      <c r="B3516" s="17" t="inlineStr">
        <is>
          <t>MH2510-67</t>
        </is>
      </c>
      <c r="C3516" s="16" t="n">
        <v>45955</v>
      </c>
      <c r="D3516" s="17" t="inlineStr">
        <is>
          <t>00004199</t>
        </is>
      </c>
      <c r="E3516" s="16" t="n">
        <v>45955</v>
      </c>
      <c r="F3516" s="16" t="inlineStr">
        <is>
          <t>XK2510-53</t>
        </is>
      </c>
      <c r="G3516" s="16" t="n">
        <v>45955</v>
      </c>
      <c r="H3516" s="17" t="inlineStr">
        <is>
          <t>CÔNG TY CỔ PHẦN CÔNG NGHIỆP VÀ THƯƠNG MẠI CƯỜNG THỊNH</t>
        </is>
      </c>
      <c r="I3516" s="17" t="inlineStr">
        <is>
          <t>Bulong thường 4.6 ZP M12x30</t>
        </is>
      </c>
      <c r="J3516" s="17" t="inlineStr">
        <is>
          <t>Cái</t>
        </is>
      </c>
      <c r="K3516" s="19" t="n">
        <v>950</v>
      </c>
      <c r="L3516" s="21" t="n"/>
      <c r="M3516" s="22" t="n"/>
      <c r="N3516" s="22" t="n">
        <v>47</v>
      </c>
      <c r="O3516" s="22" t="n">
        <v>44650</v>
      </c>
      <c r="P3516" s="22" t="n">
        <v>47</v>
      </c>
      <c r="Q3516" s="22" t="n">
        <v>44650</v>
      </c>
      <c r="R3516" s="42">
        <f>+L3516+N3516-P3516</f>
        <v/>
      </c>
      <c r="S3516" s="42">
        <f>+M3516+O3516-Q3516</f>
        <v/>
      </c>
    </row>
    <row r="3517" ht="30" customHeight="1">
      <c r="A3517" s="16" t="n">
        <v>45955</v>
      </c>
      <c r="B3517" s="17" t="inlineStr">
        <is>
          <t>MH2510-67</t>
        </is>
      </c>
      <c r="C3517" s="16" t="n">
        <v>45955</v>
      </c>
      <c r="D3517" s="17" t="inlineStr">
        <is>
          <t>00004199</t>
        </is>
      </c>
      <c r="E3517" s="16" t="n">
        <v>45955</v>
      </c>
      <c r="F3517" s="16" t="inlineStr">
        <is>
          <t>XK2510-53</t>
        </is>
      </c>
      <c r="G3517" s="16" t="n">
        <v>45955</v>
      </c>
      <c r="H3517" s="17" t="inlineStr">
        <is>
          <t>CÔNG TY CỔ PHẦN CÔNG NGHIỆP VÀ THƯƠNG MẠI CƯỜNG THỊNH</t>
        </is>
      </c>
      <c r="I3517" s="17" t="inlineStr">
        <is>
          <t>Đai ốc thường 4 ZP M12 (8mm)</t>
        </is>
      </c>
      <c r="J3517" s="17" t="inlineStr">
        <is>
          <t>Cái</t>
        </is>
      </c>
      <c r="K3517" s="19" t="n">
        <v>360</v>
      </c>
      <c r="L3517" s="21" t="n"/>
      <c r="M3517" s="22" t="n"/>
      <c r="N3517" s="22" t="n">
        <v>47</v>
      </c>
      <c r="O3517" s="22" t="n">
        <v>16920</v>
      </c>
      <c r="P3517" s="22" t="n">
        <v>47</v>
      </c>
      <c r="Q3517" s="22" t="n">
        <v>16920</v>
      </c>
      <c r="R3517" s="42">
        <f>+L3517+N3517-P3517</f>
        <v/>
      </c>
      <c r="S3517" s="42">
        <f>+M3517+O3517-Q3517</f>
        <v/>
      </c>
    </row>
    <row r="3518" ht="30" customHeight="1">
      <c r="A3518" s="16" t="n">
        <v>45955</v>
      </c>
      <c r="B3518" s="17" t="inlineStr">
        <is>
          <t>MH2510-67</t>
        </is>
      </c>
      <c r="C3518" s="16" t="n">
        <v>45955</v>
      </c>
      <c r="D3518" s="17" t="inlineStr">
        <is>
          <t>00004199</t>
        </is>
      </c>
      <c r="E3518" s="16" t="n">
        <v>45955</v>
      </c>
      <c r="F3518" s="16" t="inlineStr">
        <is>
          <t>XK2510-53</t>
        </is>
      </c>
      <c r="G3518" s="16" t="n">
        <v>45955</v>
      </c>
      <c r="H3518" s="17" t="inlineStr">
        <is>
          <t>CÔNG TY CỔ PHẦN CÔNG NGHIỆP VÀ THƯƠNG MẠI CƯỜNG THỊNH</t>
        </is>
      </c>
      <c r="I3518" s="17" t="inlineStr">
        <is>
          <t>Long đền thường ZP M12B23D1</t>
        </is>
      </c>
      <c r="J3518" s="17" t="inlineStr">
        <is>
          <t>Cái</t>
        </is>
      </c>
      <c r="K3518" s="19" t="n">
        <v>100</v>
      </c>
      <c r="L3518" s="21" t="n"/>
      <c r="M3518" s="22" t="n"/>
      <c r="N3518" s="22" t="n">
        <v>94</v>
      </c>
      <c r="O3518" s="22" t="n">
        <v>9400</v>
      </c>
      <c r="P3518" s="22" t="n">
        <v>94</v>
      </c>
      <c r="Q3518" s="22" t="n">
        <v>9400</v>
      </c>
      <c r="R3518" s="42">
        <f>+L3518+N3518-P3518</f>
        <v/>
      </c>
      <c r="S3518" s="42">
        <f>+M3518+O3518-Q3518</f>
        <v/>
      </c>
    </row>
    <row r="3519" ht="30" customHeight="1">
      <c r="A3519" s="16" t="n">
        <v>45955</v>
      </c>
      <c r="B3519" s="17" t="inlineStr">
        <is>
          <t>MH2510-67</t>
        </is>
      </c>
      <c r="C3519" s="16" t="n">
        <v>45955</v>
      </c>
      <c r="D3519" s="17" t="inlineStr">
        <is>
          <t>00004199</t>
        </is>
      </c>
      <c r="E3519" s="16" t="n">
        <v>45955</v>
      </c>
      <c r="F3519" s="16" t="inlineStr">
        <is>
          <t>XK2510-53</t>
        </is>
      </c>
      <c r="G3519" s="16" t="n">
        <v>45955</v>
      </c>
      <c r="H3519" s="17" t="inlineStr">
        <is>
          <t>CÔNG TY CỔ PHẦN CÔNG NGHIỆP VÀ THƯƠNG MẠI CƯỜNG THỊNH</t>
        </is>
      </c>
      <c r="I3519" s="17" t="inlineStr">
        <is>
          <t>Bulong Din 933 8.8 ZP M16x40</t>
        </is>
      </c>
      <c r="J3519" s="17" t="inlineStr">
        <is>
          <t>Cái</t>
        </is>
      </c>
      <c r="K3519" s="19" t="n">
        <v>3030</v>
      </c>
      <c r="L3519" s="21" t="n"/>
      <c r="M3519" s="22" t="n"/>
      <c r="N3519" s="22" t="n">
        <v>31</v>
      </c>
      <c r="O3519" s="22" t="n">
        <v>93930</v>
      </c>
      <c r="P3519" s="22" t="n">
        <v>31</v>
      </c>
      <c r="Q3519" s="22" t="n">
        <v>93930</v>
      </c>
      <c r="R3519" s="42">
        <f>+L3519+N3519-P3519</f>
        <v/>
      </c>
      <c r="S3519" s="42">
        <f>+M3519+O3519-Q3519</f>
        <v/>
      </c>
    </row>
    <row r="3520" ht="30" customHeight="1">
      <c r="A3520" s="16" t="n">
        <v>45955</v>
      </c>
      <c r="B3520" s="17" t="inlineStr">
        <is>
          <t>MH2510-67</t>
        </is>
      </c>
      <c r="C3520" s="16" t="n">
        <v>45955</v>
      </c>
      <c r="D3520" s="17" t="inlineStr">
        <is>
          <t>00004199</t>
        </is>
      </c>
      <c r="E3520" s="16" t="n">
        <v>45955</v>
      </c>
      <c r="F3520" s="16" t="inlineStr">
        <is>
          <t>XK2510-53</t>
        </is>
      </c>
      <c r="G3520" s="16" t="n">
        <v>45955</v>
      </c>
      <c r="H3520" s="17" t="inlineStr">
        <is>
          <t>CÔNG TY CỔ PHẦN CÔNG NGHIỆP VÀ THƯƠNG MẠI CƯỜNG THỊNH</t>
        </is>
      </c>
      <c r="I3520" s="17" t="inlineStr">
        <is>
          <t>Đai ốc Din 934 8 ZP M16</t>
        </is>
      </c>
      <c r="J3520" s="17" t="inlineStr">
        <is>
          <t>Cái</t>
        </is>
      </c>
      <c r="K3520" s="19" t="n">
        <v>1080</v>
      </c>
      <c r="L3520" s="21" t="n"/>
      <c r="M3520" s="22" t="n"/>
      <c r="N3520" s="22" t="n">
        <v>31</v>
      </c>
      <c r="O3520" s="22" t="n">
        <v>33480</v>
      </c>
      <c r="P3520" s="22" t="n">
        <v>31</v>
      </c>
      <c r="Q3520" s="22" t="n">
        <v>33480</v>
      </c>
      <c r="R3520" s="42">
        <f>+L3520+N3520-P3520</f>
        <v/>
      </c>
      <c r="S3520" s="42">
        <f>+M3520+O3520-Q3520</f>
        <v/>
      </c>
    </row>
    <row r="3521" ht="30" customHeight="1">
      <c r="A3521" s="16" t="n">
        <v>45955</v>
      </c>
      <c r="B3521" s="17" t="inlineStr">
        <is>
          <t>MH2510-67</t>
        </is>
      </c>
      <c r="C3521" s="16" t="n">
        <v>45955</v>
      </c>
      <c r="D3521" s="17" t="inlineStr">
        <is>
          <t>00004199</t>
        </is>
      </c>
      <c r="E3521" s="16" t="n">
        <v>45955</v>
      </c>
      <c r="F3521" s="16" t="inlineStr">
        <is>
          <t>XK2510-53</t>
        </is>
      </c>
      <c r="G3521" s="16" t="n">
        <v>45955</v>
      </c>
      <c r="H3521" s="17" t="inlineStr">
        <is>
          <t>CÔNG TY CỔ PHẦN CÔNG NGHIỆP VÀ THƯƠNG MẠI CƯỜNG THỊNH</t>
        </is>
      </c>
      <c r="I3521" s="17" t="inlineStr">
        <is>
          <t>Long đền thường ZP M16B30D2</t>
        </is>
      </c>
      <c r="J3521" s="17" t="inlineStr">
        <is>
          <t>Cái</t>
        </is>
      </c>
      <c r="K3521" s="19" t="n">
        <v>340</v>
      </c>
      <c r="L3521" s="21" t="n"/>
      <c r="M3521" s="22" t="n"/>
      <c r="N3521" s="22" t="n">
        <v>31</v>
      </c>
      <c r="O3521" s="22" t="n">
        <v>10540</v>
      </c>
      <c r="P3521" s="22" t="n">
        <v>31</v>
      </c>
      <c r="Q3521" s="22" t="n">
        <v>10540</v>
      </c>
      <c r="R3521" s="42">
        <f>+L3521+N3521-P3521</f>
        <v/>
      </c>
      <c r="S3521" s="42">
        <f>+M3521+O3521-Q3521</f>
        <v/>
      </c>
    </row>
    <row r="3522" ht="30" customHeight="1">
      <c r="A3522" s="16" t="n">
        <v>45955</v>
      </c>
      <c r="B3522" s="17" t="inlineStr">
        <is>
          <t>MH2510-67</t>
        </is>
      </c>
      <c r="C3522" s="16" t="n">
        <v>45955</v>
      </c>
      <c r="D3522" s="17" t="inlineStr">
        <is>
          <t>00004199</t>
        </is>
      </c>
      <c r="E3522" s="16" t="n">
        <v>45955</v>
      </c>
      <c r="F3522" s="16" t="inlineStr">
        <is>
          <t>XK2510-53</t>
        </is>
      </c>
      <c r="G3522" s="16" t="n">
        <v>45955</v>
      </c>
      <c r="H3522" s="17" t="inlineStr">
        <is>
          <t>CÔNG TY CỔ PHẦN CÔNG NGHIỆP VÀ THƯƠNG MẠI CƯỜNG THỊNH</t>
        </is>
      </c>
      <c r="I3522" s="17" t="inlineStr">
        <is>
          <t>Bulong Din 933 8.8 ZP M20x50</t>
        </is>
      </c>
      <c r="J3522" s="17" t="inlineStr">
        <is>
          <t>Cái</t>
        </is>
      </c>
      <c r="K3522" s="19" t="n">
        <v>5760</v>
      </c>
      <c r="L3522" s="21" t="n"/>
      <c r="M3522" s="22" t="n"/>
      <c r="N3522" s="22" t="n">
        <v>29</v>
      </c>
      <c r="O3522" s="22" t="n">
        <v>167040</v>
      </c>
      <c r="P3522" s="22" t="n">
        <v>29</v>
      </c>
      <c r="Q3522" s="22" t="n">
        <v>167040</v>
      </c>
      <c r="R3522" s="42">
        <f>+L3522+N3522-P3522</f>
        <v/>
      </c>
      <c r="S3522" s="42">
        <f>+M3522+O3522-Q3522</f>
        <v/>
      </c>
    </row>
    <row r="3523" ht="30" customHeight="1">
      <c r="A3523" s="16" t="n">
        <v>45955</v>
      </c>
      <c r="B3523" s="17" t="inlineStr">
        <is>
          <t>MH2510-67</t>
        </is>
      </c>
      <c r="C3523" s="16" t="n">
        <v>45955</v>
      </c>
      <c r="D3523" s="17" t="inlineStr">
        <is>
          <t>00004199</t>
        </is>
      </c>
      <c r="E3523" s="16" t="n">
        <v>45955</v>
      </c>
      <c r="F3523" s="16" t="inlineStr">
        <is>
          <t>XK2510-53</t>
        </is>
      </c>
      <c r="G3523" s="16" t="n">
        <v>45955</v>
      </c>
      <c r="H3523" s="17" t="inlineStr">
        <is>
          <t>CÔNG TY CỔ PHẦN CÔNG NGHIỆP VÀ THƯƠNG MẠI CƯỜNG THỊNH</t>
        </is>
      </c>
      <c r="I3523" s="17" t="inlineStr">
        <is>
          <t>Đai ốc Din 934 8 ZP M20</t>
        </is>
      </c>
      <c r="J3523" s="17" t="inlineStr">
        <is>
          <t>Cái</t>
        </is>
      </c>
      <c r="K3523" s="19" t="n">
        <v>2030</v>
      </c>
      <c r="L3523" s="21" t="n"/>
      <c r="M3523" s="22" t="n"/>
      <c r="N3523" s="22" t="n">
        <v>29</v>
      </c>
      <c r="O3523" s="22" t="n">
        <v>58870</v>
      </c>
      <c r="P3523" s="22" t="n">
        <v>29</v>
      </c>
      <c r="Q3523" s="22" t="n">
        <v>58870</v>
      </c>
      <c r="R3523" s="42">
        <f>+L3523+N3523-P3523</f>
        <v/>
      </c>
      <c r="S3523" s="42">
        <f>+M3523+O3523-Q3523</f>
        <v/>
      </c>
    </row>
    <row r="3524" ht="30" customHeight="1">
      <c r="A3524" s="16" t="n">
        <v>45955</v>
      </c>
      <c r="B3524" s="17" t="inlineStr">
        <is>
          <t>MH2510-67</t>
        </is>
      </c>
      <c r="C3524" s="16" t="n">
        <v>45955</v>
      </c>
      <c r="D3524" s="17" t="inlineStr">
        <is>
          <t>00004199</t>
        </is>
      </c>
      <c r="E3524" s="16" t="n">
        <v>45955</v>
      </c>
      <c r="F3524" s="16" t="inlineStr">
        <is>
          <t>XK2510-53</t>
        </is>
      </c>
      <c r="G3524" s="16" t="n">
        <v>45955</v>
      </c>
      <c r="H3524" s="17" t="inlineStr">
        <is>
          <t>CÔNG TY CỔ PHẦN CÔNG NGHIỆP VÀ THƯƠNG MẠI CƯỜNG THỊNH</t>
        </is>
      </c>
      <c r="I3524" s="17" t="inlineStr">
        <is>
          <t>Long đền thường ZP M20B35D2</t>
        </is>
      </c>
      <c r="J3524" s="17" t="inlineStr">
        <is>
          <t>Cái</t>
        </is>
      </c>
      <c r="K3524" s="19" t="n">
        <v>350</v>
      </c>
      <c r="L3524" s="21" t="n"/>
      <c r="M3524" s="22" t="n"/>
      <c r="N3524" s="22" t="n">
        <v>29</v>
      </c>
      <c r="O3524" s="22" t="n">
        <v>10150</v>
      </c>
      <c r="P3524" s="22" t="n">
        <v>29</v>
      </c>
      <c r="Q3524" s="22" t="n">
        <v>10150</v>
      </c>
      <c r="R3524" s="42">
        <f>+L3524+N3524-P3524</f>
        <v/>
      </c>
      <c r="S3524" s="42">
        <f>+M3524+O3524-Q3524</f>
        <v/>
      </c>
    </row>
    <row r="3525" ht="30" customHeight="1">
      <c r="A3525" s="16" t="n">
        <v>45955</v>
      </c>
      <c r="B3525" s="17" t="inlineStr">
        <is>
          <t>MH2510-67</t>
        </is>
      </c>
      <c r="C3525" s="16" t="n">
        <v>45955</v>
      </c>
      <c r="D3525" s="17" t="inlineStr">
        <is>
          <t>00004199</t>
        </is>
      </c>
      <c r="E3525" s="16" t="n">
        <v>45955</v>
      </c>
      <c r="F3525" s="16" t="inlineStr">
        <is>
          <t>XK2510-53</t>
        </is>
      </c>
      <c r="G3525" s="16" t="n">
        <v>45955</v>
      </c>
      <c r="H3525" s="17" t="inlineStr">
        <is>
          <t>CÔNG TY CỔ PHẦN CÔNG NGHIỆP VÀ THƯƠNG MẠI CƯỜNG THỊNH</t>
        </is>
      </c>
      <c r="I3525" s="17" t="inlineStr">
        <is>
          <t>Bulong Din 933 8.8 ZP M20x60</t>
        </is>
      </c>
      <c r="J3525" s="17" t="inlineStr">
        <is>
          <t>Cái</t>
        </is>
      </c>
      <c r="K3525" s="19" t="n">
        <v>6360</v>
      </c>
      <c r="L3525" s="21" t="n"/>
      <c r="M3525" s="22" t="n"/>
      <c r="N3525" s="22" t="n">
        <v>251</v>
      </c>
      <c r="O3525" s="22" t="n">
        <v>1596360</v>
      </c>
      <c r="P3525" s="22" t="n">
        <v>251</v>
      </c>
      <c r="Q3525" s="22" t="n">
        <v>1596360</v>
      </c>
      <c r="R3525" s="42">
        <f>+L3525+N3525-P3525</f>
        <v/>
      </c>
      <c r="S3525" s="42">
        <f>+M3525+O3525-Q3525</f>
        <v/>
      </c>
    </row>
    <row r="3526" ht="30" customHeight="1">
      <c r="A3526" s="16" t="n">
        <v>45955</v>
      </c>
      <c r="B3526" s="17" t="inlineStr">
        <is>
          <t>MH2510-67</t>
        </is>
      </c>
      <c r="C3526" s="16" t="n">
        <v>45955</v>
      </c>
      <c r="D3526" s="17" t="inlineStr">
        <is>
          <t>00004199</t>
        </is>
      </c>
      <c r="E3526" s="16" t="n">
        <v>45955</v>
      </c>
      <c r="F3526" s="16" t="inlineStr">
        <is>
          <t>XK2510-53</t>
        </is>
      </c>
      <c r="G3526" s="16" t="n">
        <v>45955</v>
      </c>
      <c r="H3526" s="17" t="inlineStr">
        <is>
          <t>CÔNG TY CỔ PHẦN CÔNG NGHIỆP VÀ THƯƠNG MẠI CƯỜNG THỊNH</t>
        </is>
      </c>
      <c r="I3526" s="17" t="inlineStr">
        <is>
          <t>Đai ốc Din 934 8 ZP M20</t>
        </is>
      </c>
      <c r="J3526" s="17" t="inlineStr">
        <is>
          <t>Cái</t>
        </is>
      </c>
      <c r="K3526" s="19" t="n">
        <v>2030</v>
      </c>
      <c r="L3526" s="21" t="n"/>
      <c r="M3526" s="22" t="n"/>
      <c r="N3526" s="22" t="n">
        <v>251</v>
      </c>
      <c r="O3526" s="22" t="n">
        <v>509530</v>
      </c>
      <c r="P3526" s="22" t="n">
        <v>251</v>
      </c>
      <c r="Q3526" s="22" t="n">
        <v>509530</v>
      </c>
      <c r="R3526" s="42">
        <f>+L3526+N3526-P3526</f>
        <v/>
      </c>
      <c r="S3526" s="42">
        <f>+M3526+O3526-Q3526</f>
        <v/>
      </c>
    </row>
    <row r="3527" ht="30" customHeight="1">
      <c r="A3527" s="16" t="n">
        <v>45955</v>
      </c>
      <c r="B3527" s="17" t="inlineStr">
        <is>
          <t>MH2510-67</t>
        </is>
      </c>
      <c r="C3527" s="16" t="n">
        <v>45955</v>
      </c>
      <c r="D3527" s="17" t="inlineStr">
        <is>
          <t>00004199</t>
        </is>
      </c>
      <c r="E3527" s="16" t="n">
        <v>45955</v>
      </c>
      <c r="F3527" s="16" t="inlineStr">
        <is>
          <t>XK2510-53</t>
        </is>
      </c>
      <c r="G3527" s="16" t="n">
        <v>45955</v>
      </c>
      <c r="H3527" s="17" t="inlineStr">
        <is>
          <t>CÔNG TY CỔ PHẦN CÔNG NGHIỆP VÀ THƯƠNG MẠI CƯỜNG THỊNH</t>
        </is>
      </c>
      <c r="I3527" s="17" t="inlineStr">
        <is>
          <t>Long đền thường ZP M20B35D2</t>
        </is>
      </c>
      <c r="J3527" s="17" t="inlineStr">
        <is>
          <t>Cái</t>
        </is>
      </c>
      <c r="K3527" s="19" t="n">
        <v>350</v>
      </c>
      <c r="L3527" s="21" t="n"/>
      <c r="M3527" s="22" t="n"/>
      <c r="N3527" s="22" t="n">
        <v>251</v>
      </c>
      <c r="O3527" s="22" t="n">
        <v>87850</v>
      </c>
      <c r="P3527" s="22" t="n">
        <v>251</v>
      </c>
      <c r="Q3527" s="22" t="n">
        <v>87850</v>
      </c>
      <c r="R3527" s="42">
        <f>+L3527+N3527-P3527</f>
        <v/>
      </c>
      <c r="S3527" s="42">
        <f>+M3527+O3527-Q3527</f>
        <v/>
      </c>
    </row>
    <row r="3528" ht="30" customHeight="1">
      <c r="A3528" s="16" t="n">
        <v>45955</v>
      </c>
      <c r="B3528" s="17" t="inlineStr">
        <is>
          <t>MH2510-67</t>
        </is>
      </c>
      <c r="C3528" s="16" t="n">
        <v>45955</v>
      </c>
      <c r="D3528" s="17" t="inlineStr">
        <is>
          <t>00004199</t>
        </is>
      </c>
      <c r="E3528" s="16" t="n">
        <v>45955</v>
      </c>
      <c r="F3528" s="16" t="inlineStr">
        <is>
          <t>XK2510-53</t>
        </is>
      </c>
      <c r="G3528" s="16" t="n">
        <v>45955</v>
      </c>
      <c r="H3528" s="17" t="inlineStr">
        <is>
          <t>CÔNG TY CỔ PHẦN CÔNG NGHIỆP VÀ THƯƠNG MẠI CƯỜNG THỊNH</t>
        </is>
      </c>
      <c r="I3528" s="17" t="inlineStr">
        <is>
          <t>Vít B2 Dacromet 12-14x20</t>
        </is>
      </c>
      <c r="J3528" s="17" t="inlineStr">
        <is>
          <t>Cái</t>
        </is>
      </c>
      <c r="K3528" s="19" t="n">
        <v>600</v>
      </c>
      <c r="L3528" s="21" t="n"/>
      <c r="M3528" s="22" t="n"/>
      <c r="N3528" s="22" t="n">
        <v>200</v>
      </c>
      <c r="O3528" s="22" t="n">
        <v>120000</v>
      </c>
      <c r="P3528" s="22" t="n">
        <v>200</v>
      </c>
      <c r="Q3528" s="22" t="n">
        <v>120000</v>
      </c>
      <c r="R3528" s="42">
        <f>+L3528+N3528-P3528</f>
        <v/>
      </c>
      <c r="S3528" s="42">
        <f>+M3528+O3528-Q3528</f>
        <v/>
      </c>
    </row>
    <row r="3529" ht="30" customHeight="1">
      <c r="A3529" s="16" t="n">
        <v>45955</v>
      </c>
      <c r="B3529" s="17" t="inlineStr">
        <is>
          <t>MH2510-68</t>
        </is>
      </c>
      <c r="C3529" s="16" t="n">
        <v>45955</v>
      </c>
      <c r="D3529" s="17" t="inlineStr">
        <is>
          <t>00004200</t>
        </is>
      </c>
      <c r="E3529" s="16" t="n">
        <v>45955</v>
      </c>
      <c r="F3529" s="16" t="inlineStr">
        <is>
          <t>XK2510-54</t>
        </is>
      </c>
      <c r="G3529" s="16" t="n">
        <v>45955</v>
      </c>
      <c r="H3529" s="17" t="inlineStr">
        <is>
          <t>CÔNG TY CỔ PHẦN CÔNG NGHIỆP VÀ THƯƠNG MẠI CƯỜNG THỊNH</t>
        </is>
      </c>
      <c r="I3529" s="17" t="inlineStr">
        <is>
          <t>Ty giằng 2 đầu ren 4.6 ZP M16</t>
        </is>
      </c>
      <c r="J3529" s="17" t="inlineStr">
        <is>
          <t>Mét</t>
        </is>
      </c>
      <c r="K3529" s="19" t="n">
        <v>48000</v>
      </c>
      <c r="L3529" s="21" t="n"/>
      <c r="M3529" s="22" t="n"/>
      <c r="N3529" s="22" t="n">
        <v>25.41</v>
      </c>
      <c r="O3529" s="22" t="n">
        <v>1219680</v>
      </c>
      <c r="P3529" s="22" t="n">
        <v>25.41</v>
      </c>
      <c r="Q3529" s="22" t="n">
        <v>1219680</v>
      </c>
      <c r="R3529" s="42">
        <f>+L3529+N3529-P3529</f>
        <v/>
      </c>
      <c r="S3529" s="42">
        <f>+M3529+O3529-Q3529</f>
        <v/>
      </c>
    </row>
    <row r="3530" ht="30" customHeight="1">
      <c r="A3530" s="16" t="n">
        <v>45955</v>
      </c>
      <c r="B3530" s="17" t="inlineStr">
        <is>
          <t>MH2510-68</t>
        </is>
      </c>
      <c r="C3530" s="16" t="n">
        <v>45955</v>
      </c>
      <c r="D3530" s="17" t="inlineStr">
        <is>
          <t>00004200</t>
        </is>
      </c>
      <c r="E3530" s="16" t="n">
        <v>45955</v>
      </c>
      <c r="F3530" s="16" t="inlineStr">
        <is>
          <t>XK2510-54</t>
        </is>
      </c>
      <c r="G3530" s="16" t="n">
        <v>45955</v>
      </c>
      <c r="H3530" s="17" t="inlineStr">
        <is>
          <t>CÔNG TY CỔ PHẦN CÔNG NGHIỆP VÀ THƯƠNG MẠI CƯỜNG THỊNH</t>
        </is>
      </c>
      <c r="I3530" s="17" t="inlineStr">
        <is>
          <t>Đai ốc Din 934 5 ZP M16</t>
        </is>
      </c>
      <c r="J3530" s="17" t="inlineStr">
        <is>
          <t>Cái</t>
        </is>
      </c>
      <c r="K3530" s="19" t="n">
        <v>990</v>
      </c>
      <c r="L3530" s="21" t="n"/>
      <c r="M3530" s="22" t="n"/>
      <c r="N3530" s="22" t="n">
        <v>8</v>
      </c>
      <c r="O3530" s="22" t="n">
        <v>7920</v>
      </c>
      <c r="P3530" s="22" t="n">
        <v>8</v>
      </c>
      <c r="Q3530" s="22" t="n">
        <v>7920</v>
      </c>
      <c r="R3530" s="42">
        <f>+L3530+N3530-P3530</f>
        <v/>
      </c>
      <c r="S3530" s="42">
        <f>+M3530+O3530-Q3530</f>
        <v/>
      </c>
    </row>
    <row r="3531" ht="30" customHeight="1">
      <c r="A3531" s="16" t="n">
        <v>45955</v>
      </c>
      <c r="B3531" s="17" t="inlineStr">
        <is>
          <t>MH2510-68</t>
        </is>
      </c>
      <c r="C3531" s="16" t="n">
        <v>45955</v>
      </c>
      <c r="D3531" s="17" t="inlineStr">
        <is>
          <t>00004200</t>
        </is>
      </c>
      <c r="E3531" s="16" t="n">
        <v>45955</v>
      </c>
      <c r="F3531" s="16" t="inlineStr">
        <is>
          <t>XK2510-54</t>
        </is>
      </c>
      <c r="G3531" s="16" t="n">
        <v>45955</v>
      </c>
      <c r="H3531" s="17" t="inlineStr">
        <is>
          <t>CÔNG TY CỔ PHẦN CÔNG NGHIỆP VÀ THƯƠNG MẠI CƯỜNG THỊNH</t>
        </is>
      </c>
      <c r="I3531" s="17" t="inlineStr">
        <is>
          <t>Long đền thường ZP M16B42D2</t>
        </is>
      </c>
      <c r="J3531" s="17" t="inlineStr">
        <is>
          <t>Cái</t>
        </is>
      </c>
      <c r="K3531" s="19" t="n">
        <v>700</v>
      </c>
      <c r="L3531" s="21" t="n"/>
      <c r="M3531" s="22" t="n"/>
      <c r="N3531" s="22" t="n">
        <v>8</v>
      </c>
      <c r="O3531" s="22" t="n">
        <v>5600</v>
      </c>
      <c r="P3531" s="22" t="n">
        <v>8</v>
      </c>
      <c r="Q3531" s="22" t="n">
        <v>5600</v>
      </c>
      <c r="R3531" s="42">
        <f>+L3531+N3531-P3531</f>
        <v/>
      </c>
      <c r="S3531" s="42">
        <f>+M3531+O3531-Q3531</f>
        <v/>
      </c>
    </row>
    <row r="3532" ht="30" customHeight="1">
      <c r="A3532" s="16" t="n">
        <v>45955</v>
      </c>
      <c r="B3532" s="17" t="inlineStr">
        <is>
          <t>MH2510-68</t>
        </is>
      </c>
      <c r="C3532" s="16" t="n">
        <v>45955</v>
      </c>
      <c r="D3532" s="17" t="inlineStr">
        <is>
          <t>00004200</t>
        </is>
      </c>
      <c r="E3532" s="16" t="n">
        <v>45955</v>
      </c>
      <c r="F3532" s="16" t="inlineStr">
        <is>
          <t>XK2510-54</t>
        </is>
      </c>
      <c r="G3532" s="16" t="n">
        <v>45955</v>
      </c>
      <c r="H3532" s="17" t="inlineStr">
        <is>
          <t>CÔNG TY CỔ PHẦN CÔNG NGHIỆP VÀ THƯƠNG MẠI CƯỜNG THỊNH</t>
        </is>
      </c>
      <c r="I3532" s="17" t="inlineStr">
        <is>
          <t>Long đền móng ngựa ZP M16</t>
        </is>
      </c>
      <c r="J3532" s="17" t="inlineStr">
        <is>
          <t>Cái</t>
        </is>
      </c>
      <c r="K3532" s="19" t="n">
        <v>14830</v>
      </c>
      <c r="L3532" s="21" t="n"/>
      <c r="M3532" s="22" t="n"/>
      <c r="N3532" s="22" t="n">
        <v>8</v>
      </c>
      <c r="O3532" s="22" t="n">
        <v>118640</v>
      </c>
      <c r="P3532" s="22" t="n">
        <v>8</v>
      </c>
      <c r="Q3532" s="22" t="n">
        <v>118640</v>
      </c>
      <c r="R3532" s="42">
        <f>+L3532+N3532-P3532</f>
        <v/>
      </c>
      <c r="S3532" s="42">
        <f>+M3532+O3532-Q3532</f>
        <v/>
      </c>
    </row>
    <row r="3533" ht="30" customHeight="1">
      <c r="A3533" s="16" t="n">
        <v>45955</v>
      </c>
      <c r="B3533" s="17" t="inlineStr">
        <is>
          <t>MH2510-68</t>
        </is>
      </c>
      <c r="C3533" s="16" t="n">
        <v>45955</v>
      </c>
      <c r="D3533" s="17" t="inlineStr">
        <is>
          <t>00004200</t>
        </is>
      </c>
      <c r="E3533" s="16" t="n">
        <v>45955</v>
      </c>
      <c r="F3533" s="16" t="inlineStr">
        <is>
          <t>XK2510-54</t>
        </is>
      </c>
      <c r="G3533" s="16" t="n">
        <v>45955</v>
      </c>
      <c r="H3533" s="17" t="inlineStr">
        <is>
          <t>CÔNG TY CỔ PHẦN CÔNG NGHIỆP VÀ THƯƠNG MẠI CƯỜNG THỊNH</t>
        </is>
      </c>
      <c r="I3533" s="17" t="inlineStr">
        <is>
          <t>Nối Ty ZP M16x100 (23mm)</t>
        </is>
      </c>
      <c r="J3533" s="17" t="inlineStr">
        <is>
          <t>Cái</t>
        </is>
      </c>
      <c r="K3533" s="19" t="n">
        <v>19960</v>
      </c>
      <c r="L3533" s="21" t="n"/>
      <c r="M3533" s="22" t="n"/>
      <c r="N3533" s="22" t="n">
        <v>2</v>
      </c>
      <c r="O3533" s="22" t="n">
        <v>39920</v>
      </c>
      <c r="P3533" s="22" t="n">
        <v>2</v>
      </c>
      <c r="Q3533" s="22" t="n">
        <v>39920</v>
      </c>
      <c r="R3533" s="42">
        <f>+L3533+N3533-P3533</f>
        <v/>
      </c>
      <c r="S3533" s="42">
        <f>+M3533+O3533-Q3533</f>
        <v/>
      </c>
    </row>
    <row r="3534" ht="30" customHeight="1">
      <c r="A3534" s="16" t="n">
        <v>45955</v>
      </c>
      <c r="B3534" s="17" t="inlineStr">
        <is>
          <t>MH2510-69</t>
        </is>
      </c>
      <c r="C3534" s="16" t="n">
        <v>45955</v>
      </c>
      <c r="D3534" s="17" t="inlineStr">
        <is>
          <t>00004205</t>
        </is>
      </c>
      <c r="E3534" s="16" t="n">
        <v>45955</v>
      </c>
      <c r="F3534" s="16" t="inlineStr">
        <is>
          <t>XK2510-55</t>
        </is>
      </c>
      <c r="G3534" s="16" t="n">
        <v>45955</v>
      </c>
      <c r="H3534" s="17" t="inlineStr">
        <is>
          <t>CÔNG TY CỔ PHẦN CÔNG NGHIỆP VÀ THƯƠNG MẠI CƯỜNG THỊNH</t>
        </is>
      </c>
      <c r="I3534" s="17" t="inlineStr">
        <is>
          <t>Bulong thường 4.6 ZP M12x30</t>
        </is>
      </c>
      <c r="J3534" s="17" t="inlineStr">
        <is>
          <t>Cái</t>
        </is>
      </c>
      <c r="K3534" s="19" t="n">
        <v>950</v>
      </c>
      <c r="L3534" s="21" t="n"/>
      <c r="M3534" s="22" t="n"/>
      <c r="N3534" s="22" t="n">
        <v>472</v>
      </c>
      <c r="O3534" s="22" t="n">
        <v>448400</v>
      </c>
      <c r="P3534" s="22" t="n">
        <v>472</v>
      </c>
      <c r="Q3534" s="22" t="n">
        <v>448400</v>
      </c>
      <c r="R3534" s="42">
        <f>+L3534+N3534-P3534</f>
        <v/>
      </c>
      <c r="S3534" s="42">
        <f>+M3534+O3534-Q3534</f>
        <v/>
      </c>
    </row>
    <row r="3535" ht="30" customHeight="1">
      <c r="A3535" s="16" t="n">
        <v>45955</v>
      </c>
      <c r="B3535" s="17" t="inlineStr">
        <is>
          <t>MH2510-69</t>
        </is>
      </c>
      <c r="C3535" s="16" t="n">
        <v>45955</v>
      </c>
      <c r="D3535" s="17" t="inlineStr">
        <is>
          <t>00004205</t>
        </is>
      </c>
      <c r="E3535" s="16" t="n">
        <v>45955</v>
      </c>
      <c r="F3535" s="16" t="inlineStr">
        <is>
          <t>XK2510-55</t>
        </is>
      </c>
      <c r="G3535" s="16" t="n">
        <v>45955</v>
      </c>
      <c r="H3535" s="17" t="inlineStr">
        <is>
          <t>CÔNG TY CỔ PHẦN CÔNG NGHIỆP VÀ THƯƠNG MẠI CƯỜNG THỊNH</t>
        </is>
      </c>
      <c r="I3535" s="17" t="inlineStr">
        <is>
          <t>Đai ốc thường 4 ZP M12 (8mm)</t>
        </is>
      </c>
      <c r="J3535" s="17" t="inlineStr">
        <is>
          <t>Cái</t>
        </is>
      </c>
      <c r="K3535" s="19" t="n">
        <v>360</v>
      </c>
      <c r="L3535" s="21" t="n"/>
      <c r="M3535" s="22" t="n"/>
      <c r="N3535" s="22" t="n">
        <v>472</v>
      </c>
      <c r="O3535" s="22" t="n">
        <v>169920</v>
      </c>
      <c r="P3535" s="22" t="n">
        <v>472</v>
      </c>
      <c r="Q3535" s="22" t="n">
        <v>169920</v>
      </c>
      <c r="R3535" s="42">
        <f>+L3535+N3535-P3535</f>
        <v/>
      </c>
      <c r="S3535" s="42">
        <f>+M3535+O3535-Q3535</f>
        <v/>
      </c>
    </row>
    <row r="3536" ht="30" customHeight="1">
      <c r="A3536" s="16" t="n">
        <v>45955</v>
      </c>
      <c r="B3536" s="17" t="inlineStr">
        <is>
          <t>MH2510-69</t>
        </is>
      </c>
      <c r="C3536" s="16" t="n">
        <v>45955</v>
      </c>
      <c r="D3536" s="17" t="inlineStr">
        <is>
          <t>00004205</t>
        </is>
      </c>
      <c r="E3536" s="16" t="n">
        <v>45955</v>
      </c>
      <c r="F3536" s="16" t="inlineStr">
        <is>
          <t>XK2510-55</t>
        </is>
      </c>
      <c r="G3536" s="16" t="n">
        <v>45955</v>
      </c>
      <c r="H3536" s="17" t="inlineStr">
        <is>
          <t>CÔNG TY CỔ PHẦN CÔNG NGHIỆP VÀ THƯƠNG MẠI CƯỜNG THỊNH</t>
        </is>
      </c>
      <c r="I3536" s="17" t="inlineStr">
        <is>
          <t>Long đền thường ZP M12B23D1</t>
        </is>
      </c>
      <c r="J3536" s="17" t="inlineStr">
        <is>
          <t>Cái</t>
        </is>
      </c>
      <c r="K3536" s="19" t="n">
        <v>100</v>
      </c>
      <c r="L3536" s="21" t="n"/>
      <c r="M3536" s="22" t="n"/>
      <c r="N3536" s="22" t="n">
        <v>944</v>
      </c>
      <c r="O3536" s="22" t="n">
        <v>94400</v>
      </c>
      <c r="P3536" s="22" t="n">
        <v>944</v>
      </c>
      <c r="Q3536" s="22" t="n">
        <v>94400</v>
      </c>
      <c r="R3536" s="42">
        <f>+L3536+N3536-P3536</f>
        <v/>
      </c>
      <c r="S3536" s="42">
        <f>+M3536+O3536-Q3536</f>
        <v/>
      </c>
    </row>
    <row r="3537" ht="30" customHeight="1">
      <c r="A3537" s="16" t="n">
        <v>45955</v>
      </c>
      <c r="B3537" s="17" t="inlineStr">
        <is>
          <t>MH2510-69</t>
        </is>
      </c>
      <c r="C3537" s="16" t="n">
        <v>45955</v>
      </c>
      <c r="D3537" s="17" t="inlineStr">
        <is>
          <t>00004205</t>
        </is>
      </c>
      <c r="E3537" s="16" t="n">
        <v>45955</v>
      </c>
      <c r="F3537" s="16" t="inlineStr">
        <is>
          <t>XK2510-55</t>
        </is>
      </c>
      <c r="G3537" s="16" t="n">
        <v>45955</v>
      </c>
      <c r="H3537" s="17" t="inlineStr">
        <is>
          <t>CÔNG TY CỔ PHẦN CÔNG NGHIỆP VÀ THƯƠNG MẠI CƯỜNG THỊNH</t>
        </is>
      </c>
      <c r="I3537" s="17" t="inlineStr">
        <is>
          <t>Bulong Din 933 8.8 ZP M16x40</t>
        </is>
      </c>
      <c r="J3537" s="17" t="inlineStr">
        <is>
          <t>Cái</t>
        </is>
      </c>
      <c r="K3537" s="19" t="n">
        <v>3030</v>
      </c>
      <c r="L3537" s="21" t="n"/>
      <c r="M3537" s="22" t="n"/>
      <c r="N3537" s="22" t="n">
        <v>305</v>
      </c>
      <c r="O3537" s="22" t="n">
        <v>924150</v>
      </c>
      <c r="P3537" s="22" t="n">
        <v>305</v>
      </c>
      <c r="Q3537" s="22" t="n">
        <v>924150</v>
      </c>
      <c r="R3537" s="42">
        <f>+L3537+N3537-P3537</f>
        <v/>
      </c>
      <c r="S3537" s="42">
        <f>+M3537+O3537-Q3537</f>
        <v/>
      </c>
    </row>
    <row r="3538" ht="30" customHeight="1">
      <c r="A3538" s="16" t="n">
        <v>45955</v>
      </c>
      <c r="B3538" s="17" t="inlineStr">
        <is>
          <t>MH2510-69</t>
        </is>
      </c>
      <c r="C3538" s="16" t="n">
        <v>45955</v>
      </c>
      <c r="D3538" s="17" t="inlineStr">
        <is>
          <t>00004205</t>
        </is>
      </c>
      <c r="E3538" s="16" t="n">
        <v>45955</v>
      </c>
      <c r="F3538" s="16" t="inlineStr">
        <is>
          <t>XK2510-55</t>
        </is>
      </c>
      <c r="G3538" s="16" t="n">
        <v>45955</v>
      </c>
      <c r="H3538" s="17" t="inlineStr">
        <is>
          <t>CÔNG TY CỔ PHẦN CÔNG NGHIỆP VÀ THƯƠNG MẠI CƯỜNG THỊNH</t>
        </is>
      </c>
      <c r="I3538" s="17" t="inlineStr">
        <is>
          <t>Đai ốc Din 934 8 ZP M16</t>
        </is>
      </c>
      <c r="J3538" s="17" t="inlineStr">
        <is>
          <t>Cái</t>
        </is>
      </c>
      <c r="K3538" s="19" t="n">
        <v>1080</v>
      </c>
      <c r="L3538" s="21" t="n"/>
      <c r="M3538" s="22" t="n"/>
      <c r="N3538" s="22" t="n">
        <v>305</v>
      </c>
      <c r="O3538" s="22" t="n">
        <v>329400</v>
      </c>
      <c r="P3538" s="22" t="n">
        <v>305</v>
      </c>
      <c r="Q3538" s="22" t="n">
        <v>329400</v>
      </c>
      <c r="R3538" s="42">
        <f>+L3538+N3538-P3538</f>
        <v/>
      </c>
      <c r="S3538" s="42">
        <f>+M3538+O3538-Q3538</f>
        <v/>
      </c>
    </row>
    <row r="3539" ht="30" customHeight="1">
      <c r="A3539" s="16" t="n">
        <v>45955</v>
      </c>
      <c r="B3539" s="17" t="inlineStr">
        <is>
          <t>MH2510-69</t>
        </is>
      </c>
      <c r="C3539" s="16" t="n">
        <v>45955</v>
      </c>
      <c r="D3539" s="17" t="inlineStr">
        <is>
          <t>00004205</t>
        </is>
      </c>
      <c r="E3539" s="16" t="n">
        <v>45955</v>
      </c>
      <c r="F3539" s="16" t="inlineStr">
        <is>
          <t>XK2510-55</t>
        </is>
      </c>
      <c r="G3539" s="16" t="n">
        <v>45955</v>
      </c>
      <c r="H3539" s="17" t="inlineStr">
        <is>
          <t>CÔNG TY CỔ PHẦN CÔNG NGHIỆP VÀ THƯƠNG MẠI CƯỜNG THỊNH</t>
        </is>
      </c>
      <c r="I3539" s="17" t="inlineStr">
        <is>
          <t>Long đền thường ZP M16B30D2</t>
        </is>
      </c>
      <c r="J3539" s="17" t="inlineStr">
        <is>
          <t>Cái</t>
        </is>
      </c>
      <c r="K3539" s="19" t="n">
        <v>340</v>
      </c>
      <c r="L3539" s="21" t="n"/>
      <c r="M3539" s="22" t="n"/>
      <c r="N3539" s="22" t="n">
        <v>305</v>
      </c>
      <c r="O3539" s="22" t="n">
        <v>103700</v>
      </c>
      <c r="P3539" s="22" t="n">
        <v>305</v>
      </c>
      <c r="Q3539" s="22" t="n">
        <v>103700</v>
      </c>
      <c r="R3539" s="42">
        <f>+L3539+N3539-P3539</f>
        <v/>
      </c>
      <c r="S3539" s="42">
        <f>+M3539+O3539-Q3539</f>
        <v/>
      </c>
    </row>
    <row r="3540" ht="30" customHeight="1">
      <c r="A3540" s="16" t="n">
        <v>45955</v>
      </c>
      <c r="B3540" s="17" t="inlineStr">
        <is>
          <t>MH2510-69</t>
        </is>
      </c>
      <c r="C3540" s="16" t="n">
        <v>45955</v>
      </c>
      <c r="D3540" s="17" t="inlineStr">
        <is>
          <t>00004205</t>
        </is>
      </c>
      <c r="E3540" s="16" t="n">
        <v>45955</v>
      </c>
      <c r="F3540" s="16" t="inlineStr">
        <is>
          <t>XK2510-55</t>
        </is>
      </c>
      <c r="G3540" s="16" t="n">
        <v>45955</v>
      </c>
      <c r="H3540" s="17" t="inlineStr">
        <is>
          <t>CÔNG TY CỔ PHẦN CÔNG NGHIỆP VÀ THƯƠNG MẠI CƯỜNG THỊNH</t>
        </is>
      </c>
      <c r="I3540" s="17" t="inlineStr">
        <is>
          <t>Bulong Din 933 8.8 ZP M16x50</t>
        </is>
      </c>
      <c r="J3540" s="17" t="inlineStr">
        <is>
          <t>Cái</t>
        </is>
      </c>
      <c r="K3540" s="19" t="n">
        <v>3470</v>
      </c>
      <c r="L3540" s="21" t="n"/>
      <c r="M3540" s="22" t="n"/>
      <c r="N3540" s="22" t="n">
        <v>78</v>
      </c>
      <c r="O3540" s="22" t="n">
        <v>270660</v>
      </c>
      <c r="P3540" s="22" t="n">
        <v>78</v>
      </c>
      <c r="Q3540" s="22" t="n">
        <v>270660</v>
      </c>
      <c r="R3540" s="42">
        <f>+L3540+N3540-P3540</f>
        <v/>
      </c>
      <c r="S3540" s="42">
        <f>+M3540+O3540-Q3540</f>
        <v/>
      </c>
    </row>
    <row r="3541" ht="30" customHeight="1">
      <c r="A3541" s="16" t="n">
        <v>45955</v>
      </c>
      <c r="B3541" s="17" t="inlineStr">
        <is>
          <t>MH2510-69</t>
        </is>
      </c>
      <c r="C3541" s="16" t="n">
        <v>45955</v>
      </c>
      <c r="D3541" s="17" t="inlineStr">
        <is>
          <t>00004205</t>
        </is>
      </c>
      <c r="E3541" s="16" t="n">
        <v>45955</v>
      </c>
      <c r="F3541" s="16" t="inlineStr">
        <is>
          <t>XK2510-55</t>
        </is>
      </c>
      <c r="G3541" s="16" t="n">
        <v>45955</v>
      </c>
      <c r="H3541" s="17" t="inlineStr">
        <is>
          <t>CÔNG TY CỔ PHẦN CÔNG NGHIỆP VÀ THƯƠNG MẠI CƯỜNG THỊNH</t>
        </is>
      </c>
      <c r="I3541" s="17" t="inlineStr">
        <is>
          <t>Đai ốc Din 934 8 ZP M16</t>
        </is>
      </c>
      <c r="J3541" s="17" t="inlineStr">
        <is>
          <t>Cái</t>
        </is>
      </c>
      <c r="K3541" s="19" t="n">
        <v>1080</v>
      </c>
      <c r="L3541" s="21" t="n"/>
      <c r="M3541" s="22" t="n"/>
      <c r="N3541" s="22" t="n">
        <v>78</v>
      </c>
      <c r="O3541" s="22" t="n">
        <v>84240</v>
      </c>
      <c r="P3541" s="22" t="n">
        <v>78</v>
      </c>
      <c r="Q3541" s="22" t="n">
        <v>84240</v>
      </c>
      <c r="R3541" s="42">
        <f>+L3541+N3541-P3541</f>
        <v/>
      </c>
      <c r="S3541" s="42">
        <f>+M3541+O3541-Q3541</f>
        <v/>
      </c>
    </row>
    <row r="3542" ht="30" customHeight="1">
      <c r="A3542" s="16" t="n">
        <v>45955</v>
      </c>
      <c r="B3542" s="17" t="inlineStr">
        <is>
          <t>MH2510-69</t>
        </is>
      </c>
      <c r="C3542" s="16" t="n">
        <v>45955</v>
      </c>
      <c r="D3542" s="17" t="inlineStr">
        <is>
          <t>00004205</t>
        </is>
      </c>
      <c r="E3542" s="16" t="n">
        <v>45955</v>
      </c>
      <c r="F3542" s="16" t="inlineStr">
        <is>
          <t>XK2510-55</t>
        </is>
      </c>
      <c r="G3542" s="16" t="n">
        <v>45955</v>
      </c>
      <c r="H3542" s="17" t="inlineStr">
        <is>
          <t>CÔNG TY CỔ PHẦN CÔNG NGHIỆP VÀ THƯƠNG MẠI CƯỜNG THỊNH</t>
        </is>
      </c>
      <c r="I3542" s="17" t="inlineStr">
        <is>
          <t>Long đền thường ZP M16B30D2</t>
        </is>
      </c>
      <c r="J3542" s="17" t="inlineStr">
        <is>
          <t>Cái</t>
        </is>
      </c>
      <c r="K3542" s="19" t="n">
        <v>340</v>
      </c>
      <c r="L3542" s="21" t="n"/>
      <c r="M3542" s="22" t="n"/>
      <c r="N3542" s="22" t="n">
        <v>78</v>
      </c>
      <c r="O3542" s="22" t="n">
        <v>26520</v>
      </c>
      <c r="P3542" s="22" t="n">
        <v>78</v>
      </c>
      <c r="Q3542" s="22" t="n">
        <v>26520</v>
      </c>
      <c r="R3542" s="42">
        <f>+L3542+N3542-P3542</f>
        <v/>
      </c>
      <c r="S3542" s="42">
        <f>+M3542+O3542-Q3542</f>
        <v/>
      </c>
    </row>
    <row r="3543" ht="30" customHeight="1">
      <c r="A3543" s="16" t="n">
        <v>45955</v>
      </c>
      <c r="B3543" s="17" t="inlineStr">
        <is>
          <t>MH2510-69</t>
        </is>
      </c>
      <c r="C3543" s="16" t="n">
        <v>45955</v>
      </c>
      <c r="D3543" s="17" t="inlineStr">
        <is>
          <t>00004205</t>
        </is>
      </c>
      <c r="E3543" s="16" t="n">
        <v>45955</v>
      </c>
      <c r="F3543" s="16" t="inlineStr">
        <is>
          <t>XK2510-55</t>
        </is>
      </c>
      <c r="G3543" s="16" t="n">
        <v>45955</v>
      </c>
      <c r="H3543" s="17" t="inlineStr">
        <is>
          <t>CÔNG TY CỔ PHẦN CÔNG NGHIỆP VÀ THƯƠNG MẠI CƯỜNG THỊNH</t>
        </is>
      </c>
      <c r="I3543" s="17" t="inlineStr">
        <is>
          <t>Bulong Din 933 8.8 ZP M20x60</t>
        </is>
      </c>
      <c r="J3543" s="17" t="inlineStr">
        <is>
          <t>Cái</t>
        </is>
      </c>
      <c r="K3543" s="19" t="n">
        <v>6360</v>
      </c>
      <c r="L3543" s="21" t="n"/>
      <c r="M3543" s="22" t="n"/>
      <c r="N3543" s="22" t="n">
        <v>939</v>
      </c>
      <c r="O3543" s="22" t="n">
        <v>5972040</v>
      </c>
      <c r="P3543" s="22" t="n">
        <v>939</v>
      </c>
      <c r="Q3543" s="22" t="n">
        <v>5972040</v>
      </c>
      <c r="R3543" s="42">
        <f>+L3543+N3543-P3543</f>
        <v/>
      </c>
      <c r="S3543" s="42">
        <f>+M3543+O3543-Q3543</f>
        <v/>
      </c>
    </row>
    <row r="3544" ht="30" customHeight="1">
      <c r="A3544" s="16" t="n">
        <v>45955</v>
      </c>
      <c r="B3544" s="17" t="inlineStr">
        <is>
          <t>MH2510-69</t>
        </is>
      </c>
      <c r="C3544" s="16" t="n">
        <v>45955</v>
      </c>
      <c r="D3544" s="17" t="inlineStr">
        <is>
          <t>00004205</t>
        </is>
      </c>
      <c r="E3544" s="16" t="n">
        <v>45955</v>
      </c>
      <c r="F3544" s="16" t="inlineStr">
        <is>
          <t>XK2510-55</t>
        </is>
      </c>
      <c r="G3544" s="16" t="n">
        <v>45955</v>
      </c>
      <c r="H3544" s="17" t="inlineStr">
        <is>
          <t>CÔNG TY CỔ PHẦN CÔNG NGHIỆP VÀ THƯƠNG MẠI CƯỜNG THỊNH</t>
        </is>
      </c>
      <c r="I3544" s="17" t="inlineStr">
        <is>
          <t>Đai ốc Din 934 8 ZP M20</t>
        </is>
      </c>
      <c r="J3544" s="17" t="inlineStr">
        <is>
          <t>Cái</t>
        </is>
      </c>
      <c r="K3544" s="19" t="n">
        <v>2030</v>
      </c>
      <c r="L3544" s="21" t="n"/>
      <c r="M3544" s="22" t="n"/>
      <c r="N3544" s="22" t="n">
        <v>939</v>
      </c>
      <c r="O3544" s="22" t="n">
        <v>1906170</v>
      </c>
      <c r="P3544" s="22" t="n">
        <v>939</v>
      </c>
      <c r="Q3544" s="22" t="n">
        <v>1906170</v>
      </c>
      <c r="R3544" s="42">
        <f>+L3544+N3544-P3544</f>
        <v/>
      </c>
      <c r="S3544" s="42">
        <f>+M3544+O3544-Q3544</f>
        <v/>
      </c>
    </row>
    <row r="3545" ht="30" customHeight="1">
      <c r="A3545" s="16" t="n">
        <v>45955</v>
      </c>
      <c r="B3545" s="17" t="inlineStr">
        <is>
          <t>MH2510-69</t>
        </is>
      </c>
      <c r="C3545" s="16" t="n">
        <v>45955</v>
      </c>
      <c r="D3545" s="17" t="inlineStr">
        <is>
          <t>00004205</t>
        </is>
      </c>
      <c r="E3545" s="16" t="n">
        <v>45955</v>
      </c>
      <c r="F3545" s="16" t="inlineStr">
        <is>
          <t>XK2510-55</t>
        </is>
      </c>
      <c r="G3545" s="16" t="n">
        <v>45955</v>
      </c>
      <c r="H3545" s="17" t="inlineStr">
        <is>
          <t>CÔNG TY CỔ PHẦN CÔNG NGHIỆP VÀ THƯƠNG MẠI CƯỜNG THỊNH</t>
        </is>
      </c>
      <c r="I3545" s="17" t="inlineStr">
        <is>
          <t>Long đền thường ZP M20B35D2</t>
        </is>
      </c>
      <c r="J3545" s="17" t="inlineStr">
        <is>
          <t>Cái</t>
        </is>
      </c>
      <c r="K3545" s="19" t="n">
        <v>350</v>
      </c>
      <c r="L3545" s="21" t="n"/>
      <c r="M3545" s="22" t="n"/>
      <c r="N3545" s="22" t="n">
        <v>939</v>
      </c>
      <c r="O3545" s="22" t="n">
        <v>328650</v>
      </c>
      <c r="P3545" s="22" t="n">
        <v>939</v>
      </c>
      <c r="Q3545" s="22" t="n">
        <v>328650</v>
      </c>
      <c r="R3545" s="42">
        <f>+L3545+N3545-P3545</f>
        <v/>
      </c>
      <c r="S3545" s="42">
        <f>+M3545+O3545-Q3545</f>
        <v/>
      </c>
    </row>
    <row r="3546" ht="30" customHeight="1">
      <c r="A3546" s="16" t="n">
        <v>45955</v>
      </c>
      <c r="B3546" s="17" t="inlineStr">
        <is>
          <t>MH2510-69</t>
        </is>
      </c>
      <c r="C3546" s="16" t="n">
        <v>45955</v>
      </c>
      <c r="D3546" s="17" t="inlineStr">
        <is>
          <t>00004205</t>
        </is>
      </c>
      <c r="E3546" s="16" t="n">
        <v>45955</v>
      </c>
      <c r="F3546" s="16" t="inlineStr">
        <is>
          <t>XK2510-55</t>
        </is>
      </c>
      <c r="G3546" s="16" t="n">
        <v>45955</v>
      </c>
      <c r="H3546" s="17" t="inlineStr">
        <is>
          <t>CÔNG TY CỔ PHẦN CÔNG NGHIỆP VÀ THƯƠNG MẠI CƯỜNG THỊNH</t>
        </is>
      </c>
      <c r="I3546" s="17" t="inlineStr">
        <is>
          <t>Bulong Din 933 8.8 ZP M20x50</t>
        </is>
      </c>
      <c r="J3546" s="17" t="inlineStr">
        <is>
          <t>Cái</t>
        </is>
      </c>
      <c r="K3546" s="19" t="n">
        <v>5760</v>
      </c>
      <c r="L3546" s="21" t="n"/>
      <c r="M3546" s="22" t="n"/>
      <c r="N3546" s="22" t="n">
        <v>124</v>
      </c>
      <c r="O3546" s="22" t="n">
        <v>714240</v>
      </c>
      <c r="P3546" s="22" t="n">
        <v>124</v>
      </c>
      <c r="Q3546" s="22" t="n">
        <v>714240</v>
      </c>
      <c r="R3546" s="42">
        <f>+L3546+N3546-P3546</f>
        <v/>
      </c>
      <c r="S3546" s="42">
        <f>+M3546+O3546-Q3546</f>
        <v/>
      </c>
    </row>
    <row r="3547" ht="30" customHeight="1">
      <c r="A3547" s="16" t="n">
        <v>45955</v>
      </c>
      <c r="B3547" s="17" t="inlineStr">
        <is>
          <t>MH2510-69</t>
        </is>
      </c>
      <c r="C3547" s="16" t="n">
        <v>45955</v>
      </c>
      <c r="D3547" s="17" t="inlineStr">
        <is>
          <t>00004205</t>
        </is>
      </c>
      <c r="E3547" s="16" t="n">
        <v>45955</v>
      </c>
      <c r="F3547" s="16" t="inlineStr">
        <is>
          <t>XK2510-55</t>
        </is>
      </c>
      <c r="G3547" s="16" t="n">
        <v>45955</v>
      </c>
      <c r="H3547" s="17" t="inlineStr">
        <is>
          <t>CÔNG TY CỔ PHẦN CÔNG NGHIỆP VÀ THƯƠNG MẠI CƯỜNG THỊNH</t>
        </is>
      </c>
      <c r="I3547" s="17" t="inlineStr">
        <is>
          <t>Đai ốc Din 934 8 ZP M20</t>
        </is>
      </c>
      <c r="J3547" s="17" t="inlineStr">
        <is>
          <t>Cái</t>
        </is>
      </c>
      <c r="K3547" s="19" t="n">
        <v>2030</v>
      </c>
      <c r="L3547" s="21" t="n"/>
      <c r="M3547" s="22" t="n"/>
      <c r="N3547" s="22" t="n">
        <v>124</v>
      </c>
      <c r="O3547" s="22" t="n">
        <v>251720</v>
      </c>
      <c r="P3547" s="22" t="n">
        <v>124</v>
      </c>
      <c r="Q3547" s="22" t="n">
        <v>251720</v>
      </c>
      <c r="R3547" s="42">
        <f>+L3547+N3547-P3547</f>
        <v/>
      </c>
      <c r="S3547" s="42">
        <f>+M3547+O3547-Q3547</f>
        <v/>
      </c>
    </row>
    <row r="3548" ht="30" customHeight="1">
      <c r="A3548" s="16" t="n">
        <v>45955</v>
      </c>
      <c r="B3548" s="17" t="inlineStr">
        <is>
          <t>MH2510-69</t>
        </is>
      </c>
      <c r="C3548" s="16" t="n">
        <v>45955</v>
      </c>
      <c r="D3548" s="17" t="inlineStr">
        <is>
          <t>00004205</t>
        </is>
      </c>
      <c r="E3548" s="16" t="n">
        <v>45955</v>
      </c>
      <c r="F3548" s="16" t="inlineStr">
        <is>
          <t>XK2510-55</t>
        </is>
      </c>
      <c r="G3548" s="16" t="n">
        <v>45955</v>
      </c>
      <c r="H3548" s="17" t="inlineStr">
        <is>
          <t>CÔNG TY CỔ PHẦN CÔNG NGHIỆP VÀ THƯƠNG MẠI CƯỜNG THỊNH</t>
        </is>
      </c>
      <c r="I3548" s="17" t="inlineStr">
        <is>
          <t>Long đền thường ZP M20B35D2</t>
        </is>
      </c>
      <c r="J3548" s="17" t="inlineStr">
        <is>
          <t>Cái</t>
        </is>
      </c>
      <c r="K3548" s="19" t="n">
        <v>350</v>
      </c>
      <c r="L3548" s="21" t="n"/>
      <c r="M3548" s="22" t="n"/>
      <c r="N3548" s="22" t="n">
        <v>124</v>
      </c>
      <c r="O3548" s="22" t="n">
        <v>43400</v>
      </c>
      <c r="P3548" s="22" t="n">
        <v>124</v>
      </c>
      <c r="Q3548" s="22" t="n">
        <v>43400</v>
      </c>
      <c r="R3548" s="42">
        <f>+L3548+N3548-P3548</f>
        <v/>
      </c>
      <c r="S3548" s="42">
        <f>+M3548+O3548-Q3548</f>
        <v/>
      </c>
    </row>
    <row r="3549" ht="30" customHeight="1">
      <c r="A3549" s="16" t="n">
        <v>45955</v>
      </c>
      <c r="B3549" s="17" t="inlineStr">
        <is>
          <t>MH2510-69</t>
        </is>
      </c>
      <c r="C3549" s="16" t="n">
        <v>45955</v>
      </c>
      <c r="D3549" s="17" t="inlineStr">
        <is>
          <t>00004205</t>
        </is>
      </c>
      <c r="E3549" s="16" t="n">
        <v>45955</v>
      </c>
      <c r="F3549" s="16" t="inlineStr">
        <is>
          <t>XK2510-55</t>
        </is>
      </c>
      <c r="G3549" s="16" t="n">
        <v>45955</v>
      </c>
      <c r="H3549" s="17" t="inlineStr">
        <is>
          <t>CÔNG TY CỔ PHẦN CÔNG NGHIỆP VÀ THƯƠNG MẠI CƯỜNG THỊNH</t>
        </is>
      </c>
      <c r="I3549" s="17" t="inlineStr">
        <is>
          <t>Vít B2 Dacromet 12-14x20</t>
        </is>
      </c>
      <c r="J3549" s="17" t="inlineStr">
        <is>
          <t>Cái</t>
        </is>
      </c>
      <c r="K3549" s="19" t="n">
        <v>600</v>
      </c>
      <c r="L3549" s="21" t="n"/>
      <c r="M3549" s="22" t="n"/>
      <c r="N3549" s="22" t="n">
        <v>400</v>
      </c>
      <c r="O3549" s="22" t="n">
        <v>240000</v>
      </c>
      <c r="P3549" s="22" t="n">
        <v>400</v>
      </c>
      <c r="Q3549" s="22" t="n">
        <v>240000</v>
      </c>
      <c r="R3549" s="42">
        <f>+L3549+N3549-P3549</f>
        <v/>
      </c>
      <c r="S3549" s="42">
        <f>+M3549+O3549-Q3549</f>
        <v/>
      </c>
    </row>
    <row r="3550" ht="30" customHeight="1">
      <c r="A3550" s="16" t="n">
        <v>45955</v>
      </c>
      <c r="B3550" s="17" t="inlineStr">
        <is>
          <t>MH2510-70</t>
        </is>
      </c>
      <c r="C3550" s="16" t="n">
        <v>45955</v>
      </c>
      <c r="D3550" s="17" t="inlineStr">
        <is>
          <t>00004203</t>
        </is>
      </c>
      <c r="E3550" s="16" t="n">
        <v>45955</v>
      </c>
      <c r="F3550" s="16" t="inlineStr">
        <is>
          <t>XK2510-56</t>
        </is>
      </c>
      <c r="G3550" s="16" t="n">
        <v>45955</v>
      </c>
      <c r="H3550" s="17" t="inlineStr">
        <is>
          <t>CÔNG TY CỔ PHẦN CÔNG NGHIỆP VÀ THƯƠNG MẠI CƯỜNG THỊNH</t>
        </is>
      </c>
      <c r="I3550" s="17" t="inlineStr">
        <is>
          <t>Bulong thường 4.6 ZP M12x30</t>
        </is>
      </c>
      <c r="J3550" s="17" t="inlineStr">
        <is>
          <t>Cái</t>
        </is>
      </c>
      <c r="K3550" s="19" t="n">
        <v>950</v>
      </c>
      <c r="L3550" s="21" t="n"/>
      <c r="M3550" s="22" t="n"/>
      <c r="N3550" s="22" t="n">
        <v>282</v>
      </c>
      <c r="O3550" s="22" t="n">
        <v>267900</v>
      </c>
      <c r="P3550" s="22" t="n">
        <v>282</v>
      </c>
      <c r="Q3550" s="22" t="n">
        <v>267900</v>
      </c>
      <c r="R3550" s="42">
        <f>+L3550+N3550-P3550</f>
        <v/>
      </c>
      <c r="S3550" s="42">
        <f>+M3550+O3550-Q3550</f>
        <v/>
      </c>
    </row>
    <row r="3551" ht="30" customHeight="1">
      <c r="A3551" s="16" t="n">
        <v>45955</v>
      </c>
      <c r="B3551" s="17" t="inlineStr">
        <is>
          <t>MH2510-70</t>
        </is>
      </c>
      <c r="C3551" s="16" t="n">
        <v>45955</v>
      </c>
      <c r="D3551" s="17" t="inlineStr">
        <is>
          <t>00004203</t>
        </is>
      </c>
      <c r="E3551" s="16" t="n">
        <v>45955</v>
      </c>
      <c r="F3551" s="16" t="inlineStr">
        <is>
          <t>XK2510-56</t>
        </is>
      </c>
      <c r="G3551" s="16" t="n">
        <v>45955</v>
      </c>
      <c r="H3551" s="17" t="inlineStr">
        <is>
          <t>CÔNG TY CỔ PHẦN CÔNG NGHIỆP VÀ THƯƠNG MẠI CƯỜNG THỊNH</t>
        </is>
      </c>
      <c r="I3551" s="17" t="inlineStr">
        <is>
          <t>Đai ốc thường 4 ZP M12 (8mm)</t>
        </is>
      </c>
      <c r="J3551" s="17" t="inlineStr">
        <is>
          <t>Cái</t>
        </is>
      </c>
      <c r="K3551" s="19" t="n">
        <v>360</v>
      </c>
      <c r="L3551" s="21" t="n"/>
      <c r="M3551" s="22" t="n"/>
      <c r="N3551" s="22" t="n">
        <v>282</v>
      </c>
      <c r="O3551" s="22" t="n">
        <v>101520</v>
      </c>
      <c r="P3551" s="22" t="n">
        <v>282</v>
      </c>
      <c r="Q3551" s="22" t="n">
        <v>101520</v>
      </c>
      <c r="R3551" s="42">
        <f>+L3551+N3551-P3551</f>
        <v/>
      </c>
      <c r="S3551" s="42">
        <f>+M3551+O3551-Q3551</f>
        <v/>
      </c>
    </row>
    <row r="3552" ht="30" customHeight="1">
      <c r="A3552" s="16" t="n">
        <v>45955</v>
      </c>
      <c r="B3552" s="17" t="inlineStr">
        <is>
          <t>MH2510-70</t>
        </is>
      </c>
      <c r="C3552" s="16" t="n">
        <v>45955</v>
      </c>
      <c r="D3552" s="17" t="inlineStr">
        <is>
          <t>00004203</t>
        </is>
      </c>
      <c r="E3552" s="16" t="n">
        <v>45955</v>
      </c>
      <c r="F3552" s="16" t="inlineStr">
        <is>
          <t>XK2510-56</t>
        </is>
      </c>
      <c r="G3552" s="16" t="n">
        <v>45955</v>
      </c>
      <c r="H3552" s="17" t="inlineStr">
        <is>
          <t>CÔNG TY CỔ PHẦN CÔNG NGHIỆP VÀ THƯƠNG MẠI CƯỜNG THỊNH</t>
        </is>
      </c>
      <c r="I3552" s="17" t="inlineStr">
        <is>
          <t>Long đền thường ZP M12B23D1</t>
        </is>
      </c>
      <c r="J3552" s="17" t="inlineStr">
        <is>
          <t>Cái</t>
        </is>
      </c>
      <c r="K3552" s="19" t="n">
        <v>100</v>
      </c>
      <c r="L3552" s="21" t="n"/>
      <c r="M3552" s="22" t="n"/>
      <c r="N3552" s="22" t="n">
        <v>564</v>
      </c>
      <c r="O3552" s="22" t="n">
        <v>56400</v>
      </c>
      <c r="P3552" s="22" t="n">
        <v>564</v>
      </c>
      <c r="Q3552" s="22" t="n">
        <v>56400</v>
      </c>
      <c r="R3552" s="42">
        <f>+L3552+N3552-P3552</f>
        <v/>
      </c>
      <c r="S3552" s="42">
        <f>+M3552+O3552-Q3552</f>
        <v/>
      </c>
    </row>
    <row r="3553" ht="30" customHeight="1">
      <c r="A3553" s="16" t="n">
        <v>45955</v>
      </c>
      <c r="B3553" s="17" t="inlineStr">
        <is>
          <t>MH2510-70</t>
        </is>
      </c>
      <c r="C3553" s="16" t="n">
        <v>45955</v>
      </c>
      <c r="D3553" s="17" t="inlineStr">
        <is>
          <t>00004203</t>
        </is>
      </c>
      <c r="E3553" s="16" t="n">
        <v>45955</v>
      </c>
      <c r="F3553" s="16" t="inlineStr">
        <is>
          <t>XK2510-56</t>
        </is>
      </c>
      <c r="G3553" s="16" t="n">
        <v>45955</v>
      </c>
      <c r="H3553" s="17" t="inlineStr">
        <is>
          <t>CÔNG TY CỔ PHẦN CÔNG NGHIỆP VÀ THƯƠNG MẠI CƯỜNG THỊNH</t>
        </is>
      </c>
      <c r="I3553" s="17" t="inlineStr">
        <is>
          <t>Bulong Din 933 8.8 ZP M16x40</t>
        </is>
      </c>
      <c r="J3553" s="17" t="inlineStr">
        <is>
          <t>Cái</t>
        </is>
      </c>
      <c r="K3553" s="19" t="n">
        <v>3030</v>
      </c>
      <c r="L3553" s="21" t="n"/>
      <c r="M3553" s="22" t="n"/>
      <c r="N3553" s="22" t="n">
        <v>183</v>
      </c>
      <c r="O3553" s="22" t="n">
        <v>554490</v>
      </c>
      <c r="P3553" s="22" t="n">
        <v>183</v>
      </c>
      <c r="Q3553" s="22" t="n">
        <v>554490</v>
      </c>
      <c r="R3553" s="42">
        <f>+L3553+N3553-P3553</f>
        <v/>
      </c>
      <c r="S3553" s="42">
        <f>+M3553+O3553-Q3553</f>
        <v/>
      </c>
    </row>
    <row r="3554" ht="30" customHeight="1">
      <c r="A3554" s="16" t="n">
        <v>45955</v>
      </c>
      <c r="B3554" s="17" t="inlineStr">
        <is>
          <t>MH2510-70</t>
        </is>
      </c>
      <c r="C3554" s="16" t="n">
        <v>45955</v>
      </c>
      <c r="D3554" s="17" t="inlineStr">
        <is>
          <t>00004203</t>
        </is>
      </c>
      <c r="E3554" s="16" t="n">
        <v>45955</v>
      </c>
      <c r="F3554" s="16" t="inlineStr">
        <is>
          <t>XK2510-56</t>
        </is>
      </c>
      <c r="G3554" s="16" t="n">
        <v>45955</v>
      </c>
      <c r="H3554" s="17" t="inlineStr">
        <is>
          <t>CÔNG TY CỔ PHẦN CÔNG NGHIỆP VÀ THƯƠNG MẠI CƯỜNG THỊNH</t>
        </is>
      </c>
      <c r="I3554" s="17" t="inlineStr">
        <is>
          <t>Đai ốc Din 934 8 ZP M16</t>
        </is>
      </c>
      <c r="J3554" s="17" t="inlineStr">
        <is>
          <t>Cái</t>
        </is>
      </c>
      <c r="K3554" s="19" t="n">
        <v>1080</v>
      </c>
      <c r="L3554" s="21" t="n"/>
      <c r="M3554" s="22" t="n"/>
      <c r="N3554" s="22" t="n">
        <v>183</v>
      </c>
      <c r="O3554" s="22" t="n">
        <v>197640</v>
      </c>
      <c r="P3554" s="22" t="n">
        <v>183</v>
      </c>
      <c r="Q3554" s="22" t="n">
        <v>197640</v>
      </c>
      <c r="R3554" s="42">
        <f>+L3554+N3554-P3554</f>
        <v/>
      </c>
      <c r="S3554" s="42">
        <f>+M3554+O3554-Q3554</f>
        <v/>
      </c>
    </row>
    <row r="3555" ht="30" customHeight="1">
      <c r="A3555" s="16" t="n">
        <v>45955</v>
      </c>
      <c r="B3555" s="17" t="inlineStr">
        <is>
          <t>MH2510-70</t>
        </is>
      </c>
      <c r="C3555" s="16" t="n">
        <v>45955</v>
      </c>
      <c r="D3555" s="17" t="inlineStr">
        <is>
          <t>00004203</t>
        </is>
      </c>
      <c r="E3555" s="16" t="n">
        <v>45955</v>
      </c>
      <c r="F3555" s="16" t="inlineStr">
        <is>
          <t>XK2510-56</t>
        </is>
      </c>
      <c r="G3555" s="16" t="n">
        <v>45955</v>
      </c>
      <c r="H3555" s="17" t="inlineStr">
        <is>
          <t>CÔNG TY CỔ PHẦN CÔNG NGHIỆP VÀ THƯƠNG MẠI CƯỜNG THỊNH</t>
        </is>
      </c>
      <c r="I3555" s="17" t="inlineStr">
        <is>
          <t>Long đền thường ZP M16B30D2</t>
        </is>
      </c>
      <c r="J3555" s="17" t="inlineStr">
        <is>
          <t>Cái</t>
        </is>
      </c>
      <c r="K3555" s="19" t="n">
        <v>340</v>
      </c>
      <c r="L3555" s="21" t="n"/>
      <c r="M3555" s="22" t="n"/>
      <c r="N3555" s="22" t="n">
        <v>183</v>
      </c>
      <c r="O3555" s="22" t="n">
        <v>62220</v>
      </c>
      <c r="P3555" s="22" t="n">
        <v>183</v>
      </c>
      <c r="Q3555" s="22" t="n">
        <v>62220</v>
      </c>
      <c r="R3555" s="42">
        <f>+L3555+N3555-P3555</f>
        <v/>
      </c>
      <c r="S3555" s="42">
        <f>+M3555+O3555-Q3555</f>
        <v/>
      </c>
    </row>
    <row r="3556" ht="30" customHeight="1">
      <c r="A3556" s="16" t="n">
        <v>45955</v>
      </c>
      <c r="B3556" s="17" t="inlineStr">
        <is>
          <t>MH2510-70</t>
        </is>
      </c>
      <c r="C3556" s="16" t="n">
        <v>45955</v>
      </c>
      <c r="D3556" s="17" t="inlineStr">
        <is>
          <t>00004203</t>
        </is>
      </c>
      <c r="E3556" s="16" t="n">
        <v>45955</v>
      </c>
      <c r="F3556" s="16" t="inlineStr">
        <is>
          <t>XK2510-56</t>
        </is>
      </c>
      <c r="G3556" s="16" t="n">
        <v>45955</v>
      </c>
      <c r="H3556" s="17" t="inlineStr">
        <is>
          <t>CÔNG TY CỔ PHẦN CÔNG NGHIỆP VÀ THƯƠNG MẠI CƯỜNG THỊNH</t>
        </is>
      </c>
      <c r="I3556" s="17" t="inlineStr">
        <is>
          <t>Bulong Din 933 8.8 ZP M20x50</t>
        </is>
      </c>
      <c r="J3556" s="17" t="inlineStr">
        <is>
          <t>Cái</t>
        </is>
      </c>
      <c r="K3556" s="19" t="n">
        <v>5760</v>
      </c>
      <c r="L3556" s="21" t="n"/>
      <c r="M3556" s="22" t="n"/>
      <c r="N3556" s="22" t="n">
        <v>78</v>
      </c>
      <c r="O3556" s="22" t="n">
        <v>449280</v>
      </c>
      <c r="P3556" s="22" t="n">
        <v>78</v>
      </c>
      <c r="Q3556" s="22" t="n">
        <v>449280</v>
      </c>
      <c r="R3556" s="42">
        <f>+L3556+N3556-P3556</f>
        <v/>
      </c>
      <c r="S3556" s="42">
        <f>+M3556+O3556-Q3556</f>
        <v/>
      </c>
    </row>
    <row r="3557" ht="30" customHeight="1">
      <c r="A3557" s="16" t="n">
        <v>45955</v>
      </c>
      <c r="B3557" s="17" t="inlineStr">
        <is>
          <t>MH2510-70</t>
        </is>
      </c>
      <c r="C3557" s="16" t="n">
        <v>45955</v>
      </c>
      <c r="D3557" s="17" t="inlineStr">
        <is>
          <t>00004203</t>
        </is>
      </c>
      <c r="E3557" s="16" t="n">
        <v>45955</v>
      </c>
      <c r="F3557" s="16" t="inlineStr">
        <is>
          <t>XK2510-56</t>
        </is>
      </c>
      <c r="G3557" s="16" t="n">
        <v>45955</v>
      </c>
      <c r="H3557" s="17" t="inlineStr">
        <is>
          <t>CÔNG TY CỔ PHẦN CÔNG NGHIỆP VÀ THƯƠNG MẠI CƯỜNG THỊNH</t>
        </is>
      </c>
      <c r="I3557" s="17" t="inlineStr">
        <is>
          <t>Đai ốc Din 934 8 ZP M20</t>
        </is>
      </c>
      <c r="J3557" s="17" t="inlineStr">
        <is>
          <t>Cái</t>
        </is>
      </c>
      <c r="K3557" s="19" t="n">
        <v>2030</v>
      </c>
      <c r="L3557" s="21" t="n"/>
      <c r="M3557" s="22" t="n"/>
      <c r="N3557" s="22" t="n">
        <v>78</v>
      </c>
      <c r="O3557" s="22" t="n">
        <v>158340</v>
      </c>
      <c r="P3557" s="22" t="n">
        <v>78</v>
      </c>
      <c r="Q3557" s="22" t="n">
        <v>158340</v>
      </c>
      <c r="R3557" s="42">
        <f>+L3557+N3557-P3557</f>
        <v/>
      </c>
      <c r="S3557" s="42">
        <f>+M3557+O3557-Q3557</f>
        <v/>
      </c>
    </row>
    <row r="3558" ht="30" customHeight="1">
      <c r="A3558" s="16" t="n">
        <v>45955</v>
      </c>
      <c r="B3558" s="17" t="inlineStr">
        <is>
          <t>MH2510-70</t>
        </is>
      </c>
      <c r="C3558" s="16" t="n">
        <v>45955</v>
      </c>
      <c r="D3558" s="17" t="inlineStr">
        <is>
          <t>00004203</t>
        </is>
      </c>
      <c r="E3558" s="16" t="n">
        <v>45955</v>
      </c>
      <c r="F3558" s="16" t="inlineStr">
        <is>
          <t>XK2510-56</t>
        </is>
      </c>
      <c r="G3558" s="16" t="n">
        <v>45955</v>
      </c>
      <c r="H3558" s="17" t="inlineStr">
        <is>
          <t>CÔNG TY CỔ PHẦN CÔNG NGHIỆP VÀ THƯƠNG MẠI CƯỜNG THỊNH</t>
        </is>
      </c>
      <c r="I3558" s="17" t="inlineStr">
        <is>
          <t>Long đền thường ZP M20B35D2</t>
        </is>
      </c>
      <c r="J3558" s="17" t="inlineStr">
        <is>
          <t>Cái</t>
        </is>
      </c>
      <c r="K3558" s="19" t="n">
        <v>350</v>
      </c>
      <c r="L3558" s="21" t="n"/>
      <c r="M3558" s="22" t="n"/>
      <c r="N3558" s="22" t="n">
        <v>78</v>
      </c>
      <c r="O3558" s="22" t="n">
        <v>27300</v>
      </c>
      <c r="P3558" s="22" t="n">
        <v>78</v>
      </c>
      <c r="Q3558" s="22" t="n">
        <v>27300</v>
      </c>
      <c r="R3558" s="42">
        <f>+L3558+N3558-P3558</f>
        <v/>
      </c>
      <c r="S3558" s="42">
        <f>+M3558+O3558-Q3558</f>
        <v/>
      </c>
    </row>
    <row r="3559" ht="30" customHeight="1">
      <c r="A3559" s="16" t="n">
        <v>45955</v>
      </c>
      <c r="B3559" s="17" t="inlineStr">
        <is>
          <t>MH2510-70</t>
        </is>
      </c>
      <c r="C3559" s="16" t="n">
        <v>45955</v>
      </c>
      <c r="D3559" s="17" t="inlineStr">
        <is>
          <t>00004203</t>
        </is>
      </c>
      <c r="E3559" s="16" t="n">
        <v>45955</v>
      </c>
      <c r="F3559" s="16" t="inlineStr">
        <is>
          <t>XK2510-56</t>
        </is>
      </c>
      <c r="G3559" s="16" t="n">
        <v>45955</v>
      </c>
      <c r="H3559" s="17" t="inlineStr">
        <is>
          <t>CÔNG TY CỔ PHẦN CÔNG NGHIỆP VÀ THƯƠNG MẠI CƯỜNG THỊNH</t>
        </is>
      </c>
      <c r="I3559" s="17" t="inlineStr">
        <is>
          <t>Bulong Din 933 8.8 ZP M20x60</t>
        </is>
      </c>
      <c r="J3559" s="17" t="inlineStr">
        <is>
          <t>Cái</t>
        </is>
      </c>
      <c r="K3559" s="19" t="n">
        <v>6360</v>
      </c>
      <c r="L3559" s="21" t="n"/>
      <c r="M3559" s="22" t="n"/>
      <c r="N3559" s="22" t="n">
        <v>550</v>
      </c>
      <c r="O3559" s="22" t="n">
        <v>3498000</v>
      </c>
      <c r="P3559" s="22" t="n">
        <v>550</v>
      </c>
      <c r="Q3559" s="22" t="n">
        <v>3498000</v>
      </c>
      <c r="R3559" s="42">
        <f>+L3559+N3559-P3559</f>
        <v/>
      </c>
      <c r="S3559" s="42">
        <f>+M3559+O3559-Q3559</f>
        <v/>
      </c>
    </row>
    <row r="3560" ht="30" customHeight="1">
      <c r="A3560" s="16" t="n">
        <v>45955</v>
      </c>
      <c r="B3560" s="17" t="inlineStr">
        <is>
          <t>MH2510-70</t>
        </is>
      </c>
      <c r="C3560" s="16" t="n">
        <v>45955</v>
      </c>
      <c r="D3560" s="17" t="inlineStr">
        <is>
          <t>00004203</t>
        </is>
      </c>
      <c r="E3560" s="16" t="n">
        <v>45955</v>
      </c>
      <c r="F3560" s="16" t="inlineStr">
        <is>
          <t>XK2510-56</t>
        </is>
      </c>
      <c r="G3560" s="16" t="n">
        <v>45955</v>
      </c>
      <c r="H3560" s="17" t="inlineStr">
        <is>
          <t>CÔNG TY CỔ PHẦN CÔNG NGHIỆP VÀ THƯƠNG MẠI CƯỜNG THỊNH</t>
        </is>
      </c>
      <c r="I3560" s="17" t="inlineStr">
        <is>
          <t>Đai ốc Din 934 8 ZP M20</t>
        </is>
      </c>
      <c r="J3560" s="17" t="inlineStr">
        <is>
          <t>Cái</t>
        </is>
      </c>
      <c r="K3560" s="19" t="n">
        <v>2030</v>
      </c>
      <c r="L3560" s="21" t="n"/>
      <c r="M3560" s="22" t="n"/>
      <c r="N3560" s="22" t="n">
        <v>550</v>
      </c>
      <c r="O3560" s="22" t="n">
        <v>1116500</v>
      </c>
      <c r="P3560" s="22" t="n">
        <v>550</v>
      </c>
      <c r="Q3560" s="22" t="n">
        <v>1116500</v>
      </c>
      <c r="R3560" s="42">
        <f>+L3560+N3560-P3560</f>
        <v/>
      </c>
      <c r="S3560" s="42">
        <f>+M3560+O3560-Q3560</f>
        <v/>
      </c>
    </row>
    <row r="3561" ht="30" customHeight="1">
      <c r="A3561" s="16" t="n">
        <v>45955</v>
      </c>
      <c r="B3561" s="17" t="inlineStr">
        <is>
          <t>MH2510-70</t>
        </is>
      </c>
      <c r="C3561" s="16" t="n">
        <v>45955</v>
      </c>
      <c r="D3561" s="17" t="inlineStr">
        <is>
          <t>00004203</t>
        </is>
      </c>
      <c r="E3561" s="16" t="n">
        <v>45955</v>
      </c>
      <c r="F3561" s="16" t="inlineStr">
        <is>
          <t>XK2510-56</t>
        </is>
      </c>
      <c r="G3561" s="16" t="n">
        <v>45955</v>
      </c>
      <c r="H3561" s="17" t="inlineStr">
        <is>
          <t>CÔNG TY CỔ PHẦN CÔNG NGHIỆP VÀ THƯƠNG MẠI CƯỜNG THỊNH</t>
        </is>
      </c>
      <c r="I3561" s="17" t="inlineStr">
        <is>
          <t>Long đền thường ZP M20B35D2</t>
        </is>
      </c>
      <c r="J3561" s="17" t="inlineStr">
        <is>
          <t>Cái</t>
        </is>
      </c>
      <c r="K3561" s="19" t="n">
        <v>350</v>
      </c>
      <c r="L3561" s="21" t="n"/>
      <c r="M3561" s="22" t="n"/>
      <c r="N3561" s="22" t="n">
        <v>550</v>
      </c>
      <c r="O3561" s="22" t="n">
        <v>192500</v>
      </c>
      <c r="P3561" s="22" t="n">
        <v>550</v>
      </c>
      <c r="Q3561" s="22" t="n">
        <v>192500</v>
      </c>
      <c r="R3561" s="42">
        <f>+L3561+N3561-P3561</f>
        <v/>
      </c>
      <c r="S3561" s="42">
        <f>+M3561+O3561-Q3561</f>
        <v/>
      </c>
    </row>
    <row r="3562" ht="30" customHeight="1">
      <c r="A3562" s="16" t="n">
        <v>45955</v>
      </c>
      <c r="B3562" s="17" t="inlineStr">
        <is>
          <t>MH2510-70</t>
        </is>
      </c>
      <c r="C3562" s="16" t="n">
        <v>45955</v>
      </c>
      <c r="D3562" s="17" t="inlineStr">
        <is>
          <t>00004203</t>
        </is>
      </c>
      <c r="E3562" s="16" t="n">
        <v>45955</v>
      </c>
      <c r="F3562" s="16" t="inlineStr">
        <is>
          <t>XK2510-56</t>
        </is>
      </c>
      <c r="G3562" s="16" t="n">
        <v>45955</v>
      </c>
      <c r="H3562" s="17" t="inlineStr">
        <is>
          <t>CÔNG TY CỔ PHẦN CÔNG NGHIỆP VÀ THƯƠNG MẠI CƯỜNG THỊNH</t>
        </is>
      </c>
      <c r="I3562" s="17" t="inlineStr">
        <is>
          <t>Bulong Din 933 8.8 ZP M16x50</t>
        </is>
      </c>
      <c r="J3562" s="17" t="inlineStr">
        <is>
          <t>Cái</t>
        </is>
      </c>
      <c r="K3562" s="19" t="n">
        <v>3470</v>
      </c>
      <c r="L3562" s="21" t="n"/>
      <c r="M3562" s="22" t="n"/>
      <c r="N3562" s="22" t="n">
        <v>49</v>
      </c>
      <c r="O3562" s="22" t="n">
        <v>170030</v>
      </c>
      <c r="P3562" s="22" t="n">
        <v>49</v>
      </c>
      <c r="Q3562" s="22" t="n">
        <v>170030</v>
      </c>
      <c r="R3562" s="42">
        <f>+L3562+N3562-P3562</f>
        <v/>
      </c>
      <c r="S3562" s="42">
        <f>+M3562+O3562-Q3562</f>
        <v/>
      </c>
    </row>
    <row r="3563" ht="30" customHeight="1">
      <c r="A3563" s="16" t="n">
        <v>45955</v>
      </c>
      <c r="B3563" s="17" t="inlineStr">
        <is>
          <t>MH2510-70</t>
        </is>
      </c>
      <c r="C3563" s="16" t="n">
        <v>45955</v>
      </c>
      <c r="D3563" s="17" t="inlineStr">
        <is>
          <t>00004203</t>
        </is>
      </c>
      <c r="E3563" s="16" t="n">
        <v>45955</v>
      </c>
      <c r="F3563" s="16" t="inlineStr">
        <is>
          <t>XK2510-56</t>
        </is>
      </c>
      <c r="G3563" s="16" t="n">
        <v>45955</v>
      </c>
      <c r="H3563" s="17" t="inlineStr">
        <is>
          <t>CÔNG TY CỔ PHẦN CÔNG NGHIỆP VÀ THƯƠNG MẠI CƯỜNG THỊNH</t>
        </is>
      </c>
      <c r="I3563" s="17" t="inlineStr">
        <is>
          <t>Đai ốc Din 934 8 ZP M16</t>
        </is>
      </c>
      <c r="J3563" s="17" t="inlineStr">
        <is>
          <t>Cái</t>
        </is>
      </c>
      <c r="K3563" s="19" t="n">
        <v>1080</v>
      </c>
      <c r="L3563" s="21" t="n"/>
      <c r="M3563" s="22" t="n"/>
      <c r="N3563" s="22" t="n">
        <v>49</v>
      </c>
      <c r="O3563" s="22" t="n">
        <v>52920</v>
      </c>
      <c r="P3563" s="22" t="n">
        <v>49</v>
      </c>
      <c r="Q3563" s="22" t="n">
        <v>52920</v>
      </c>
      <c r="R3563" s="42">
        <f>+L3563+N3563-P3563</f>
        <v/>
      </c>
      <c r="S3563" s="42">
        <f>+M3563+O3563-Q3563</f>
        <v/>
      </c>
    </row>
    <row r="3564" ht="30" customHeight="1">
      <c r="A3564" s="16" t="n">
        <v>45955</v>
      </c>
      <c r="B3564" s="17" t="inlineStr">
        <is>
          <t>MH2510-70</t>
        </is>
      </c>
      <c r="C3564" s="16" t="n">
        <v>45955</v>
      </c>
      <c r="D3564" s="17" t="inlineStr">
        <is>
          <t>00004203</t>
        </is>
      </c>
      <c r="E3564" s="16" t="n">
        <v>45955</v>
      </c>
      <c r="F3564" s="16" t="inlineStr">
        <is>
          <t>XK2510-56</t>
        </is>
      </c>
      <c r="G3564" s="16" t="n">
        <v>45955</v>
      </c>
      <c r="H3564" s="17" t="inlineStr">
        <is>
          <t>CÔNG TY CỔ PHẦN CÔNG NGHIỆP VÀ THƯƠNG MẠI CƯỜNG THỊNH</t>
        </is>
      </c>
      <c r="I3564" s="17" t="inlineStr">
        <is>
          <t>Long đền thường ZP M16B30D2</t>
        </is>
      </c>
      <c r="J3564" s="17" t="inlineStr">
        <is>
          <t>Cái</t>
        </is>
      </c>
      <c r="K3564" s="19" t="n">
        <v>340</v>
      </c>
      <c r="L3564" s="21" t="n"/>
      <c r="M3564" s="22" t="n"/>
      <c r="N3564" s="22" t="n">
        <v>49</v>
      </c>
      <c r="O3564" s="22" t="n">
        <v>16660</v>
      </c>
      <c r="P3564" s="22" t="n">
        <v>49</v>
      </c>
      <c r="Q3564" s="22" t="n">
        <v>16660</v>
      </c>
      <c r="R3564" s="42">
        <f>+L3564+N3564-P3564</f>
        <v/>
      </c>
      <c r="S3564" s="42">
        <f>+M3564+O3564-Q3564</f>
        <v/>
      </c>
    </row>
    <row r="3565" ht="30" customHeight="1">
      <c r="A3565" s="16" t="n">
        <v>45955</v>
      </c>
      <c r="B3565" s="17" t="inlineStr">
        <is>
          <t>MH2510-70</t>
        </is>
      </c>
      <c r="C3565" s="16" t="n">
        <v>45955</v>
      </c>
      <c r="D3565" s="17" t="inlineStr">
        <is>
          <t>00004203</t>
        </is>
      </c>
      <c r="E3565" s="16" t="n">
        <v>45955</v>
      </c>
      <c r="F3565" s="16" t="inlineStr">
        <is>
          <t>XK2510-56</t>
        </is>
      </c>
      <c r="G3565" s="16" t="n">
        <v>45955</v>
      </c>
      <c r="H3565" s="17" t="inlineStr">
        <is>
          <t>CÔNG TY CỔ PHẦN CÔNG NGHIỆP VÀ THƯƠNG MẠI CƯỜNG THỊNH</t>
        </is>
      </c>
      <c r="I3565" s="17" t="inlineStr">
        <is>
          <t>Vít B2 Dacromet 12-14x20</t>
        </is>
      </c>
      <c r="J3565" s="17" t="inlineStr">
        <is>
          <t>Cái</t>
        </is>
      </c>
      <c r="K3565" s="19" t="n">
        <v>600</v>
      </c>
      <c r="L3565" s="21" t="n"/>
      <c r="M3565" s="22" t="n"/>
      <c r="N3565" s="22" t="n">
        <v>400</v>
      </c>
      <c r="O3565" s="22" t="n">
        <v>240000</v>
      </c>
      <c r="P3565" s="22" t="n">
        <v>400</v>
      </c>
      <c r="Q3565" s="22" t="n">
        <v>240000</v>
      </c>
      <c r="R3565" s="42">
        <f>+L3565+N3565-P3565</f>
        <v/>
      </c>
      <c r="S3565" s="42">
        <f>+M3565+O3565-Q3565</f>
        <v/>
      </c>
    </row>
    <row r="3566" ht="30" customHeight="1">
      <c r="A3566" s="16" t="n">
        <v>45955</v>
      </c>
      <c r="B3566" s="17" t="inlineStr">
        <is>
          <t>MH2510-71</t>
        </is>
      </c>
      <c r="C3566" s="16" t="n">
        <v>45955</v>
      </c>
      <c r="D3566" s="17" t="inlineStr">
        <is>
          <t>00004204</t>
        </is>
      </c>
      <c r="E3566" s="16" t="n">
        <v>45955</v>
      </c>
      <c r="F3566" s="16" t="inlineStr">
        <is>
          <t>XK2510-57</t>
        </is>
      </c>
      <c r="G3566" s="16" t="n">
        <v>45955</v>
      </c>
      <c r="H3566" s="17" t="inlineStr">
        <is>
          <t>CÔNG TY CỔ PHẦN CÔNG NGHIỆP VÀ THƯƠNG MẠI CƯỜNG THỊNH</t>
        </is>
      </c>
      <c r="I3566" s="17" t="inlineStr">
        <is>
          <t>Ty giằng 2 đầu ren 4.6 ZP M16</t>
        </is>
      </c>
      <c r="J3566" s="17" t="inlineStr">
        <is>
          <t>Mét</t>
        </is>
      </c>
      <c r="K3566" s="19" t="n">
        <v>48000</v>
      </c>
      <c r="L3566" s="21" t="n"/>
      <c r="M3566" s="22" t="n"/>
      <c r="N3566" s="22" t="n">
        <v>71.2</v>
      </c>
      <c r="O3566" s="22" t="n">
        <v>3417600</v>
      </c>
      <c r="P3566" s="22" t="n">
        <v>71.2</v>
      </c>
      <c r="Q3566" s="22" t="n">
        <v>3417600</v>
      </c>
      <c r="R3566" s="42">
        <f>+L3566+N3566-P3566</f>
        <v/>
      </c>
      <c r="S3566" s="42">
        <f>+M3566+O3566-Q3566</f>
        <v/>
      </c>
    </row>
    <row r="3567" ht="30" customHeight="1">
      <c r="A3567" s="16" t="n">
        <v>45955</v>
      </c>
      <c r="B3567" s="17" t="inlineStr">
        <is>
          <t>MH2510-71</t>
        </is>
      </c>
      <c r="C3567" s="16" t="n">
        <v>45955</v>
      </c>
      <c r="D3567" s="17" t="inlineStr">
        <is>
          <t>00004204</t>
        </is>
      </c>
      <c r="E3567" s="16" t="n">
        <v>45955</v>
      </c>
      <c r="F3567" s="16" t="inlineStr">
        <is>
          <t>XK2510-57</t>
        </is>
      </c>
      <c r="G3567" s="16" t="n">
        <v>45955</v>
      </c>
      <c r="H3567" s="17" t="inlineStr">
        <is>
          <t>CÔNG TY CỔ PHẦN CÔNG NGHIỆP VÀ THƯƠNG MẠI CƯỜNG THỊNH</t>
        </is>
      </c>
      <c r="I3567" s="17" t="inlineStr">
        <is>
          <t>Đai ốc Din 934 5 ZP M16</t>
        </is>
      </c>
      <c r="J3567" s="17" t="inlineStr">
        <is>
          <t>Cái</t>
        </is>
      </c>
      <c r="K3567" s="19" t="n">
        <v>990</v>
      </c>
      <c r="L3567" s="21" t="n"/>
      <c r="M3567" s="22" t="n"/>
      <c r="N3567" s="22" t="n">
        <v>20</v>
      </c>
      <c r="O3567" s="22" t="n">
        <v>19800</v>
      </c>
      <c r="P3567" s="22" t="n">
        <v>20</v>
      </c>
      <c r="Q3567" s="22" t="n">
        <v>19800</v>
      </c>
      <c r="R3567" s="42">
        <f>+L3567+N3567-P3567</f>
        <v/>
      </c>
      <c r="S3567" s="42">
        <f>+M3567+O3567-Q3567</f>
        <v/>
      </c>
    </row>
    <row r="3568" ht="30" customHeight="1">
      <c r="A3568" s="16" t="n">
        <v>45955</v>
      </c>
      <c r="B3568" s="17" t="inlineStr">
        <is>
          <t>MH2510-71</t>
        </is>
      </c>
      <c r="C3568" s="16" t="n">
        <v>45955</v>
      </c>
      <c r="D3568" s="17" t="inlineStr">
        <is>
          <t>00004204</t>
        </is>
      </c>
      <c r="E3568" s="16" t="n">
        <v>45955</v>
      </c>
      <c r="F3568" s="16" t="inlineStr">
        <is>
          <t>XK2510-57</t>
        </is>
      </c>
      <c r="G3568" s="16" t="n">
        <v>45955</v>
      </c>
      <c r="H3568" s="17" t="inlineStr">
        <is>
          <t>CÔNG TY CỔ PHẦN CÔNG NGHIỆP VÀ THƯƠNG MẠI CƯỜNG THỊNH</t>
        </is>
      </c>
      <c r="I3568" s="17" t="inlineStr">
        <is>
          <t>Long đền thường ZP M16B42D2</t>
        </is>
      </c>
      <c r="J3568" s="17" t="inlineStr">
        <is>
          <t>Cái</t>
        </is>
      </c>
      <c r="K3568" s="19" t="n">
        <v>700</v>
      </c>
      <c r="L3568" s="21" t="n"/>
      <c r="M3568" s="22" t="n"/>
      <c r="N3568" s="22" t="n">
        <v>20</v>
      </c>
      <c r="O3568" s="22" t="n">
        <v>14000</v>
      </c>
      <c r="P3568" s="22" t="n">
        <v>20</v>
      </c>
      <c r="Q3568" s="22" t="n">
        <v>14000</v>
      </c>
      <c r="R3568" s="42">
        <f>+L3568+N3568-P3568</f>
        <v/>
      </c>
      <c r="S3568" s="42">
        <f>+M3568+O3568-Q3568</f>
        <v/>
      </c>
    </row>
    <row r="3569" ht="30" customHeight="1">
      <c r="A3569" s="16" t="n">
        <v>45955</v>
      </c>
      <c r="B3569" s="17" t="inlineStr">
        <is>
          <t>MH2510-71</t>
        </is>
      </c>
      <c r="C3569" s="16" t="n">
        <v>45955</v>
      </c>
      <c r="D3569" s="17" t="inlineStr">
        <is>
          <t>00004204</t>
        </is>
      </c>
      <c r="E3569" s="16" t="n">
        <v>45955</v>
      </c>
      <c r="F3569" s="16" t="inlineStr">
        <is>
          <t>XK2510-57</t>
        </is>
      </c>
      <c r="G3569" s="16" t="n">
        <v>45955</v>
      </c>
      <c r="H3569" s="17" t="inlineStr">
        <is>
          <t>CÔNG TY CỔ PHẦN CÔNG NGHIỆP VÀ THƯƠNG MẠI CƯỜNG THỊNH</t>
        </is>
      </c>
      <c r="I3569" s="17" t="inlineStr">
        <is>
          <t>Long đền móng ngựa ZP M16</t>
        </is>
      </c>
      <c r="J3569" s="17" t="inlineStr">
        <is>
          <t>Cái</t>
        </is>
      </c>
      <c r="K3569" s="19" t="n">
        <v>14830</v>
      </c>
      <c r="L3569" s="21" t="n"/>
      <c r="M3569" s="22" t="n"/>
      <c r="N3569" s="22" t="n">
        <v>20</v>
      </c>
      <c r="O3569" s="22" t="n">
        <v>296600</v>
      </c>
      <c r="P3569" s="22" t="n">
        <v>20</v>
      </c>
      <c r="Q3569" s="22" t="n">
        <v>296600</v>
      </c>
      <c r="R3569" s="42">
        <f>+L3569+N3569-P3569</f>
        <v/>
      </c>
      <c r="S3569" s="42">
        <f>+M3569+O3569-Q3569</f>
        <v/>
      </c>
    </row>
    <row r="3570" ht="30" customHeight="1">
      <c r="A3570" s="16" t="n">
        <v>45955</v>
      </c>
      <c r="B3570" s="17" t="inlineStr">
        <is>
          <t>MH2510-72</t>
        </is>
      </c>
      <c r="C3570" s="16" t="n">
        <v>45955</v>
      </c>
      <c r="D3570" s="17" t="inlineStr">
        <is>
          <t>00004206</t>
        </is>
      </c>
      <c r="E3570" s="16" t="n">
        <v>45955</v>
      </c>
      <c r="F3570" s="16" t="inlineStr">
        <is>
          <t>XK2510-58</t>
        </is>
      </c>
      <c r="G3570" s="16" t="n">
        <v>45955</v>
      </c>
      <c r="H3570" s="17" t="inlineStr">
        <is>
          <t>CÔNG TY CỔ PHẦN CÔNG NGHIỆP VÀ THƯƠNG MẠI CƯỜNG THỊNH</t>
        </is>
      </c>
      <c r="I3570" s="17" t="inlineStr">
        <is>
          <t>Ty giằng 2 đầu ren 4.6 ZP M16</t>
        </is>
      </c>
      <c r="J3570" s="17" t="inlineStr">
        <is>
          <t>Mét</t>
        </is>
      </c>
      <c r="K3570" s="19" t="n">
        <v>48000</v>
      </c>
      <c r="L3570" s="21" t="n"/>
      <c r="M3570" s="22" t="n"/>
      <c r="N3570" s="22" t="n">
        <v>174.25</v>
      </c>
      <c r="O3570" s="22" t="n">
        <v>8364000</v>
      </c>
      <c r="P3570" s="22" t="n">
        <v>174.25</v>
      </c>
      <c r="Q3570" s="22" t="n">
        <v>8364000</v>
      </c>
      <c r="R3570" s="42">
        <f>+L3570+N3570-P3570</f>
        <v/>
      </c>
      <c r="S3570" s="42">
        <f>+M3570+O3570-Q3570</f>
        <v/>
      </c>
    </row>
    <row r="3571" ht="30" customHeight="1">
      <c r="A3571" s="16" t="n">
        <v>45955</v>
      </c>
      <c r="B3571" s="17" t="inlineStr">
        <is>
          <t>MH2510-72</t>
        </is>
      </c>
      <c r="C3571" s="16" t="n">
        <v>45955</v>
      </c>
      <c r="D3571" s="17" t="inlineStr">
        <is>
          <t>00004206</t>
        </is>
      </c>
      <c r="E3571" s="16" t="n">
        <v>45955</v>
      </c>
      <c r="F3571" s="16" t="inlineStr">
        <is>
          <t>XK2510-58</t>
        </is>
      </c>
      <c r="G3571" s="16" t="n">
        <v>45955</v>
      </c>
      <c r="H3571" s="17" t="inlineStr">
        <is>
          <t>CÔNG TY CỔ PHẦN CÔNG NGHIỆP VÀ THƯƠNG MẠI CƯỜNG THỊNH</t>
        </is>
      </c>
      <c r="I3571" s="17" t="inlineStr">
        <is>
          <t>Đai ốc Din 934 5 ZP M16</t>
        </is>
      </c>
      <c r="J3571" s="17" t="inlineStr">
        <is>
          <t>Cái</t>
        </is>
      </c>
      <c r="K3571" s="19" t="n">
        <v>990</v>
      </c>
      <c r="L3571" s="21" t="n"/>
      <c r="M3571" s="22" t="n"/>
      <c r="N3571" s="22" t="n">
        <v>88</v>
      </c>
      <c r="O3571" s="22" t="n">
        <v>87120</v>
      </c>
      <c r="P3571" s="22" t="n">
        <v>88</v>
      </c>
      <c r="Q3571" s="22" t="n">
        <v>87120</v>
      </c>
      <c r="R3571" s="42">
        <f>+L3571+N3571-P3571</f>
        <v/>
      </c>
      <c r="S3571" s="42">
        <f>+M3571+O3571-Q3571</f>
        <v/>
      </c>
    </row>
    <row r="3572" ht="30" customHeight="1">
      <c r="A3572" s="16" t="n">
        <v>45955</v>
      </c>
      <c r="B3572" s="17" t="inlineStr">
        <is>
          <t>MH2510-72</t>
        </is>
      </c>
      <c r="C3572" s="16" t="n">
        <v>45955</v>
      </c>
      <c r="D3572" s="17" t="inlineStr">
        <is>
          <t>00004206</t>
        </is>
      </c>
      <c r="E3572" s="16" t="n">
        <v>45955</v>
      </c>
      <c r="F3572" s="16" t="inlineStr">
        <is>
          <t>XK2510-58</t>
        </is>
      </c>
      <c r="G3572" s="16" t="n">
        <v>45955</v>
      </c>
      <c r="H3572" s="17" t="inlineStr">
        <is>
          <t>CÔNG TY CỔ PHẦN CÔNG NGHIỆP VÀ THƯƠNG MẠI CƯỜNG THỊNH</t>
        </is>
      </c>
      <c r="I3572" s="17" t="inlineStr">
        <is>
          <t>Long đền thường ZP M16B42D2</t>
        </is>
      </c>
      <c r="J3572" s="17" t="inlineStr">
        <is>
          <t>Cái</t>
        </is>
      </c>
      <c r="K3572" s="19" t="n">
        <v>700</v>
      </c>
      <c r="L3572" s="21" t="n"/>
      <c r="M3572" s="22" t="n"/>
      <c r="N3572" s="22" t="n">
        <v>88</v>
      </c>
      <c r="O3572" s="22" t="n">
        <v>61600</v>
      </c>
      <c r="P3572" s="22" t="n">
        <v>88</v>
      </c>
      <c r="Q3572" s="22" t="n">
        <v>61600</v>
      </c>
      <c r="R3572" s="42">
        <f>+L3572+N3572-P3572</f>
        <v/>
      </c>
      <c r="S3572" s="42">
        <f>+M3572+O3572-Q3572</f>
        <v/>
      </c>
    </row>
    <row r="3573" ht="30" customHeight="1">
      <c r="A3573" s="16" t="n">
        <v>45955</v>
      </c>
      <c r="B3573" s="17" t="inlineStr">
        <is>
          <t>MH2510-72</t>
        </is>
      </c>
      <c r="C3573" s="16" t="n">
        <v>45955</v>
      </c>
      <c r="D3573" s="17" t="inlineStr">
        <is>
          <t>00004206</t>
        </is>
      </c>
      <c r="E3573" s="16" t="n">
        <v>45955</v>
      </c>
      <c r="F3573" s="16" t="inlineStr">
        <is>
          <t>XK2510-58</t>
        </is>
      </c>
      <c r="G3573" s="16" t="n">
        <v>45955</v>
      </c>
      <c r="H3573" s="17" t="inlineStr">
        <is>
          <t>CÔNG TY CỔ PHẦN CÔNG NGHIỆP VÀ THƯƠNG MẠI CƯỜNG THỊNH</t>
        </is>
      </c>
      <c r="I3573" s="17" t="inlineStr">
        <is>
          <t>Long đền móng ngựa ZP M16</t>
        </is>
      </c>
      <c r="J3573" s="17" t="inlineStr">
        <is>
          <t>Cái</t>
        </is>
      </c>
      <c r="K3573" s="19" t="n">
        <v>14830</v>
      </c>
      <c r="L3573" s="21" t="n"/>
      <c r="M3573" s="22" t="n"/>
      <c r="N3573" s="22" t="n">
        <v>88</v>
      </c>
      <c r="O3573" s="22" t="n">
        <v>1305040</v>
      </c>
      <c r="P3573" s="22" t="n">
        <v>88</v>
      </c>
      <c r="Q3573" s="22" t="n">
        <v>1305040</v>
      </c>
      <c r="R3573" s="42">
        <f>+L3573+N3573-P3573</f>
        <v/>
      </c>
      <c r="S3573" s="42">
        <f>+M3573+O3573-Q3573</f>
        <v/>
      </c>
    </row>
    <row r="3574" ht="15" customHeight="1">
      <c r="A3574" s="16" t="n">
        <v>45957</v>
      </c>
      <c r="B3574" s="17" t="inlineStr">
        <is>
          <t>MH2510-73</t>
        </is>
      </c>
      <c r="C3574" s="16" t="n">
        <v>45957</v>
      </c>
      <c r="D3574" s="17" t="inlineStr">
        <is>
          <t>00010103</t>
        </is>
      </c>
      <c r="E3574" s="16" t="n">
        <v>45957</v>
      </c>
      <c r="F3574" s="16" t="inlineStr">
        <is>
          <t>XK2510-59</t>
        </is>
      </c>
      <c r="G3574" s="16" t="n">
        <v>45957</v>
      </c>
      <c r="H3574" s="17" t="inlineStr">
        <is>
          <t>CÔNG TY TNHH SƠN JOTUN VIỆT NAM</t>
        </is>
      </c>
      <c r="I3574" s="17" t="inlineStr">
        <is>
          <t>SƠN JOTAMASTIC 70 GREY 18L</t>
        </is>
      </c>
      <c r="J3574" s="17" t="inlineStr">
        <is>
          <t>Lít</t>
        </is>
      </c>
      <c r="K3574" s="19" t="n">
        <v>90000</v>
      </c>
      <c r="L3574" s="21" t="n"/>
      <c r="M3574" s="22" t="n"/>
      <c r="N3574" s="22" t="n">
        <v>252</v>
      </c>
      <c r="O3574" s="22" t="n">
        <v>22680000</v>
      </c>
      <c r="P3574" s="22" t="n">
        <v>252</v>
      </c>
      <c r="Q3574" s="22" t="n">
        <v>22680000</v>
      </c>
      <c r="R3574" s="42">
        <f>+L3574+N3574-P3574</f>
        <v/>
      </c>
      <c r="S3574" s="42">
        <f>+M3574+O3574-Q3574</f>
        <v/>
      </c>
    </row>
    <row r="3575" ht="15" customHeight="1">
      <c r="A3575" s="16" t="n">
        <v>45957</v>
      </c>
      <c r="B3575" s="17" t="inlineStr">
        <is>
          <t>MH2510-73</t>
        </is>
      </c>
      <c r="C3575" s="16" t="n">
        <v>45957</v>
      </c>
      <c r="D3575" s="17" t="inlineStr">
        <is>
          <t>00010103</t>
        </is>
      </c>
      <c r="E3575" s="16" t="n">
        <v>45957</v>
      </c>
      <c r="F3575" s="16" t="inlineStr">
        <is>
          <t>XK2510-59</t>
        </is>
      </c>
      <c r="G3575" s="16" t="n">
        <v>45957</v>
      </c>
      <c r="H3575" s="17" t="inlineStr">
        <is>
          <t>CÔNG TY TNHH SƠN JOTUN VIỆT NAM</t>
        </is>
      </c>
      <c r="I3575" s="17" t="inlineStr">
        <is>
          <t>SƠN FUTURA CLASSIC RAL 7046 18.94L</t>
        </is>
      </c>
      <c r="J3575" s="17" t="inlineStr">
        <is>
          <t>Lít</t>
        </is>
      </c>
      <c r="K3575" s="19" t="n">
        <v>155000</v>
      </c>
      <c r="L3575" s="21" t="n"/>
      <c r="M3575" s="22" t="n"/>
      <c r="N3575" s="22" t="n">
        <v>208.34</v>
      </c>
      <c r="O3575" s="22" t="n">
        <v>32292700</v>
      </c>
      <c r="P3575" s="22" t="n">
        <v>208.34</v>
      </c>
      <c r="Q3575" s="22" t="n">
        <v>32292700</v>
      </c>
      <c r="R3575" s="42">
        <f>+L3575+N3575-P3575</f>
        <v/>
      </c>
      <c r="S3575" s="42">
        <f>+M3575+O3575-Q3575</f>
        <v/>
      </c>
    </row>
    <row r="3576" ht="15" customHeight="1">
      <c r="A3576" s="16" t="n">
        <v>45957</v>
      </c>
      <c r="B3576" s="17" t="inlineStr">
        <is>
          <t>MH2510-73</t>
        </is>
      </c>
      <c r="C3576" s="16" t="n">
        <v>45957</v>
      </c>
      <c r="D3576" s="17" t="inlineStr">
        <is>
          <t>00010103</t>
        </is>
      </c>
      <c r="E3576" s="16" t="n">
        <v>45957</v>
      </c>
      <c r="F3576" s="16" t="inlineStr">
        <is>
          <t>XK2510-59</t>
        </is>
      </c>
      <c r="G3576" s="16" t="n">
        <v>45957</v>
      </c>
      <c r="H3576" s="17" t="inlineStr">
        <is>
          <t>CÔNG TY TNHH SƠN JOTUN VIỆT NAM</t>
        </is>
      </c>
      <c r="I3576" s="17" t="inlineStr">
        <is>
          <t>SƠN FUTURA CLASSIC RAL 7046 4.73L</t>
        </is>
      </c>
      <c r="J3576" s="17" t="inlineStr">
        <is>
          <t>Lít</t>
        </is>
      </c>
      <c r="K3576" s="19" t="n">
        <v>155000</v>
      </c>
      <c r="L3576" s="21" t="n"/>
      <c r="M3576" s="22" t="n"/>
      <c r="N3576" s="22" t="n">
        <v>23.65</v>
      </c>
      <c r="O3576" s="22" t="n">
        <v>3665750</v>
      </c>
      <c r="P3576" s="22" t="n">
        <v>23.65</v>
      </c>
      <c r="Q3576" s="22" t="n">
        <v>3665750</v>
      </c>
      <c r="R3576" s="42">
        <f>+L3576+N3576-P3576</f>
        <v/>
      </c>
      <c r="S3576" s="42">
        <f>+M3576+O3576-Q3576</f>
        <v/>
      </c>
    </row>
    <row r="3577" ht="15" customHeight="1">
      <c r="A3577" s="16" t="n">
        <v>45957</v>
      </c>
      <c r="B3577" s="17" t="inlineStr">
        <is>
          <t>MH2510-73</t>
        </is>
      </c>
      <c r="C3577" s="16" t="n">
        <v>45957</v>
      </c>
      <c r="D3577" s="17" t="inlineStr">
        <is>
          <t>00010103</t>
        </is>
      </c>
      <c r="E3577" s="16" t="n">
        <v>45957</v>
      </c>
      <c r="F3577" s="16" t="inlineStr">
        <is>
          <t>XK2510-59</t>
        </is>
      </c>
      <c r="G3577" s="16" t="n">
        <v>45957</v>
      </c>
      <c r="H3577" s="17" t="inlineStr">
        <is>
          <t>CÔNG TY TNHH SƠN JOTUN VIỆT NAM</t>
        </is>
      </c>
      <c r="I3577" s="17" t="inlineStr">
        <is>
          <t>DUNG MÔI JOTUN THINNER NO. 10 20L</t>
        </is>
      </c>
      <c r="J3577" s="17" t="inlineStr">
        <is>
          <t>Lít</t>
        </is>
      </c>
      <c r="K3577" s="19" t="n">
        <v>60000</v>
      </c>
      <c r="L3577" s="21" t="n"/>
      <c r="M3577" s="22" t="n"/>
      <c r="N3577" s="22" t="n">
        <v>20</v>
      </c>
      <c r="O3577" s="22" t="n">
        <v>1200000</v>
      </c>
      <c r="P3577" s="22" t="n">
        <v>20</v>
      </c>
      <c r="Q3577" s="22" t="n">
        <v>1200000</v>
      </c>
      <c r="R3577" s="42">
        <f>+L3577+N3577-P3577</f>
        <v/>
      </c>
      <c r="S3577" s="42">
        <f>+M3577+O3577-Q3577</f>
        <v/>
      </c>
    </row>
    <row r="3578" ht="15" customHeight="1">
      <c r="A3578" s="16" t="n">
        <v>45957</v>
      </c>
      <c r="B3578" s="17" t="inlineStr">
        <is>
          <t>MH2510-73</t>
        </is>
      </c>
      <c r="C3578" s="16" t="n">
        <v>45957</v>
      </c>
      <c r="D3578" s="17" t="inlineStr">
        <is>
          <t>00010103</t>
        </is>
      </c>
      <c r="E3578" s="16" t="n">
        <v>45957</v>
      </c>
      <c r="F3578" s="16" t="inlineStr">
        <is>
          <t>XK2510-59</t>
        </is>
      </c>
      <c r="G3578" s="16" t="n">
        <v>45957</v>
      </c>
      <c r="H3578" s="17" t="inlineStr">
        <is>
          <t>CÔNG TY TNHH SƠN JOTUN VIỆT NAM</t>
        </is>
      </c>
      <c r="I3578" s="17" t="inlineStr">
        <is>
          <t>DUNG MÔI JOTUN THINNER NO. 10 5L</t>
        </is>
      </c>
      <c r="J3578" s="17" t="inlineStr">
        <is>
          <t>Lít</t>
        </is>
      </c>
      <c r="K3578" s="19" t="n">
        <v>60000</v>
      </c>
      <c r="L3578" s="21" t="n"/>
      <c r="M3578" s="22" t="n"/>
      <c r="N3578" s="22" t="n">
        <v>15</v>
      </c>
      <c r="O3578" s="22" t="n">
        <v>900000</v>
      </c>
      <c r="P3578" s="22" t="n">
        <v>15</v>
      </c>
      <c r="Q3578" s="22" t="n">
        <v>900000</v>
      </c>
      <c r="R3578" s="42">
        <f>+L3578+N3578-P3578</f>
        <v/>
      </c>
      <c r="S3578" s="42">
        <f>+M3578+O3578-Q3578</f>
        <v/>
      </c>
    </row>
    <row r="3579" ht="15" customHeight="1">
      <c r="A3579" s="16" t="n">
        <v>45957</v>
      </c>
      <c r="B3579" s="17" t="inlineStr">
        <is>
          <t>MH2510-73</t>
        </is>
      </c>
      <c r="C3579" s="16" t="n">
        <v>45957</v>
      </c>
      <c r="D3579" s="17" t="inlineStr">
        <is>
          <t>00010103</t>
        </is>
      </c>
      <c r="E3579" s="16" t="n">
        <v>45957</v>
      </c>
      <c r="F3579" s="16" t="inlineStr">
        <is>
          <t>XK2510-59</t>
        </is>
      </c>
      <c r="G3579" s="16" t="n">
        <v>45957</v>
      </c>
      <c r="H3579" s="17" t="inlineStr">
        <is>
          <t>CÔNG TY TNHH SƠN JOTUN VIỆT NAM</t>
        </is>
      </c>
      <c r="I3579" s="17" t="inlineStr">
        <is>
          <t>DUNG MÔI JOTUN THINNER NO. 17 20L</t>
        </is>
      </c>
      <c r="J3579" s="17" t="inlineStr">
        <is>
          <t>Lít</t>
        </is>
      </c>
      <c r="K3579" s="19" t="n">
        <v>60000</v>
      </c>
      <c r="L3579" s="21" t="n"/>
      <c r="M3579" s="22" t="n"/>
      <c r="N3579" s="22" t="n">
        <v>20</v>
      </c>
      <c r="O3579" s="22" t="n">
        <v>1200000</v>
      </c>
      <c r="P3579" s="22" t="n">
        <v>20</v>
      </c>
      <c r="Q3579" s="22" t="n">
        <v>1200000</v>
      </c>
      <c r="R3579" s="42">
        <f>+L3579+N3579-P3579</f>
        <v/>
      </c>
      <c r="S3579" s="42">
        <f>+M3579+O3579-Q3579</f>
        <v/>
      </c>
    </row>
    <row r="3580" ht="15" customHeight="1">
      <c r="A3580" s="16" t="n">
        <v>45957</v>
      </c>
      <c r="B3580" s="17" t="inlineStr">
        <is>
          <t>MH2510-73</t>
        </is>
      </c>
      <c r="C3580" s="16" t="n">
        <v>45957</v>
      </c>
      <c r="D3580" s="17" t="inlineStr">
        <is>
          <t>00010103</t>
        </is>
      </c>
      <c r="E3580" s="16" t="n">
        <v>45957</v>
      </c>
      <c r="F3580" s="16" t="inlineStr">
        <is>
          <t>XK2510-59</t>
        </is>
      </c>
      <c r="G3580" s="16" t="n">
        <v>45957</v>
      </c>
      <c r="H3580" s="17" t="inlineStr">
        <is>
          <t>CÔNG TY TNHH SƠN JOTUN VIỆT NAM</t>
        </is>
      </c>
      <c r="I3580" s="17" t="inlineStr">
        <is>
          <t>DUNG MÔI JOTUN THINNER NO. 17 5L</t>
        </is>
      </c>
      <c r="J3580" s="17" t="inlineStr">
        <is>
          <t>Lít</t>
        </is>
      </c>
      <c r="K3580" s="19" t="n">
        <v>60000</v>
      </c>
      <c r="L3580" s="21" t="n"/>
      <c r="M3580" s="22" t="n"/>
      <c r="N3580" s="22" t="n">
        <v>15</v>
      </c>
      <c r="O3580" s="22" t="n">
        <v>900000</v>
      </c>
      <c r="P3580" s="22" t="n">
        <v>15</v>
      </c>
      <c r="Q3580" s="22" t="n">
        <v>900000</v>
      </c>
      <c r="R3580" s="42">
        <f>+L3580+N3580-P3580</f>
        <v/>
      </c>
      <c r="S3580" s="42">
        <f>+M3580+O3580-Q3580</f>
        <v/>
      </c>
    </row>
    <row r="3581" ht="15" customHeight="1">
      <c r="A3581" s="16" t="n">
        <v>45957</v>
      </c>
      <c r="B3581" s="17" t="inlineStr">
        <is>
          <t>MH2510-74</t>
        </is>
      </c>
      <c r="C3581" s="16" t="n">
        <v>45957</v>
      </c>
      <c r="D3581" s="17" t="inlineStr">
        <is>
          <t>00010102</t>
        </is>
      </c>
      <c r="E3581" s="16" t="n">
        <v>45957</v>
      </c>
      <c r="F3581" s="16" t="inlineStr">
        <is>
          <t>XK2510-86</t>
        </is>
      </c>
      <c r="G3581" s="16" t="n">
        <v>45961</v>
      </c>
      <c r="H3581" s="17" t="inlineStr">
        <is>
          <t>CÔNG TY TNHH SƠN JOTUN VIỆT NAM</t>
        </is>
      </c>
      <c r="I3581" s="17" t="inlineStr">
        <is>
          <t>SƠN FUTURA CLASSIC RAL 9010 18.22L</t>
        </is>
      </c>
      <c r="J3581" s="17" t="inlineStr">
        <is>
          <t>Lít</t>
        </is>
      </c>
      <c r="K3581" s="19" t="n">
        <v>155000</v>
      </c>
      <c r="L3581" s="21" t="n"/>
      <c r="M3581" s="22" t="n"/>
      <c r="N3581" s="22" t="n">
        <v>36.44</v>
      </c>
      <c r="O3581" s="22" t="n">
        <v>5648200</v>
      </c>
      <c r="P3581" s="22" t="n">
        <v>36.44</v>
      </c>
      <c r="Q3581" s="22" t="n">
        <v>5648200</v>
      </c>
      <c r="R3581" s="42">
        <f>+L3581+N3581-P3581</f>
        <v/>
      </c>
      <c r="S3581" s="42">
        <f>+M3581+O3581-Q3581</f>
        <v/>
      </c>
    </row>
    <row r="3582" ht="15" customHeight="1">
      <c r="A3582" s="16" t="n">
        <v>45957</v>
      </c>
      <c r="B3582" s="17" t="inlineStr">
        <is>
          <t>MH2510-74</t>
        </is>
      </c>
      <c r="C3582" s="16" t="n">
        <v>45957</v>
      </c>
      <c r="D3582" s="17" t="inlineStr">
        <is>
          <t>00010102</t>
        </is>
      </c>
      <c r="E3582" s="16" t="n">
        <v>45957</v>
      </c>
      <c r="F3582" s="16" t="inlineStr">
        <is>
          <t>XK2510-86</t>
        </is>
      </c>
      <c r="G3582" s="16" t="n">
        <v>45961</v>
      </c>
      <c r="H3582" s="17" t="inlineStr">
        <is>
          <t>CÔNG TY TNHH SƠN JOTUN VIỆT NAM</t>
        </is>
      </c>
      <c r="I3582" s="17" t="inlineStr">
        <is>
          <t>SƠN FUTURA CLASSIC RAL 3028 19.97L</t>
        </is>
      </c>
      <c r="J3582" s="17" t="inlineStr">
        <is>
          <t>Lít</t>
        </is>
      </c>
      <c r="K3582" s="19" t="n">
        <v>172000</v>
      </c>
      <c r="L3582" s="21" t="n"/>
      <c r="M3582" s="22" t="n"/>
      <c r="N3582" s="22" t="n">
        <v>159.76</v>
      </c>
      <c r="O3582" s="22" t="n">
        <v>27478720</v>
      </c>
      <c r="P3582" s="22" t="n">
        <v>159.76</v>
      </c>
      <c r="Q3582" s="22" t="n">
        <v>27478720</v>
      </c>
      <c r="R3582" s="42">
        <f>+L3582+N3582-P3582</f>
        <v/>
      </c>
      <c r="S3582" s="42">
        <f>+M3582+O3582-Q3582</f>
        <v/>
      </c>
    </row>
    <row r="3583" ht="30" customHeight="1">
      <c r="A3583" s="16" t="n">
        <v>45957</v>
      </c>
      <c r="B3583" s="17" t="inlineStr">
        <is>
          <t>MH2510-76</t>
        </is>
      </c>
      <c r="C3583" s="16" t="n">
        <v>45957</v>
      </c>
      <c r="D3583" s="17" t="inlineStr">
        <is>
          <t>00004223</t>
        </is>
      </c>
      <c r="E3583" s="16" t="n">
        <v>45957</v>
      </c>
      <c r="F3583" s="16" t="inlineStr">
        <is>
          <t>XK2510-61</t>
        </is>
      </c>
      <c r="G3583" s="16" t="n">
        <v>45957</v>
      </c>
      <c r="H3583" s="17" t="inlineStr">
        <is>
          <t>CÔNG TY CỔ PHẦN CÔNG NGHIỆP VÀ THƯƠNG MẠI CƯỜNG THỊNH</t>
        </is>
      </c>
      <c r="I3583" s="17" t="inlineStr">
        <is>
          <t>Đai ốc Din 934 5 ZP M16</t>
        </is>
      </c>
      <c r="J3583" s="17" t="inlineStr">
        <is>
          <t>Cái</t>
        </is>
      </c>
      <c r="K3583" s="19" t="n">
        <v>990</v>
      </c>
      <c r="L3583" s="21" t="n"/>
      <c r="M3583" s="22" t="n"/>
      <c r="N3583" s="22" t="n">
        <v>56</v>
      </c>
      <c r="O3583" s="22" t="n">
        <v>55440</v>
      </c>
      <c r="P3583" s="22" t="n">
        <v>56</v>
      </c>
      <c r="Q3583" s="22" t="n">
        <v>55440</v>
      </c>
      <c r="R3583" s="42">
        <f>+L3583+N3583-P3583</f>
        <v/>
      </c>
      <c r="S3583" s="42">
        <f>+M3583+O3583-Q3583</f>
        <v/>
      </c>
    </row>
    <row r="3584" ht="30" customHeight="1">
      <c r="A3584" s="16" t="n">
        <v>45957</v>
      </c>
      <c r="B3584" s="17" t="inlineStr">
        <is>
          <t>MH2510-76</t>
        </is>
      </c>
      <c r="C3584" s="16" t="n">
        <v>45957</v>
      </c>
      <c r="D3584" s="17" t="inlineStr">
        <is>
          <t>00004223</t>
        </is>
      </c>
      <c r="E3584" s="16" t="n">
        <v>45957</v>
      </c>
      <c r="F3584" s="16" t="inlineStr">
        <is>
          <t>XK2510-61</t>
        </is>
      </c>
      <c r="G3584" s="16" t="n">
        <v>45957</v>
      </c>
      <c r="H3584" s="17" t="inlineStr">
        <is>
          <t>CÔNG TY CỔ PHẦN CÔNG NGHIỆP VÀ THƯƠNG MẠI CƯỜNG THỊNH</t>
        </is>
      </c>
      <c r="I3584" s="17" t="inlineStr">
        <is>
          <t>Long đền thường ZP M16B42D2</t>
        </is>
      </c>
      <c r="J3584" s="17" t="inlineStr">
        <is>
          <t>Cái</t>
        </is>
      </c>
      <c r="K3584" s="19" t="n">
        <v>700</v>
      </c>
      <c r="L3584" s="21" t="n"/>
      <c r="M3584" s="22" t="n"/>
      <c r="N3584" s="22" t="n">
        <v>56</v>
      </c>
      <c r="O3584" s="22" t="n">
        <v>39200</v>
      </c>
      <c r="P3584" s="22" t="n">
        <v>56</v>
      </c>
      <c r="Q3584" s="22" t="n">
        <v>39200</v>
      </c>
      <c r="R3584" s="42">
        <f>+L3584+N3584-P3584</f>
        <v/>
      </c>
      <c r="S3584" s="42">
        <f>+M3584+O3584-Q3584</f>
        <v/>
      </c>
    </row>
    <row r="3585" ht="30" customHeight="1">
      <c r="A3585" s="16" t="n">
        <v>45957</v>
      </c>
      <c r="B3585" s="17" t="inlineStr">
        <is>
          <t>MH2510-76</t>
        </is>
      </c>
      <c r="C3585" s="16" t="n">
        <v>45957</v>
      </c>
      <c r="D3585" s="17" t="inlineStr">
        <is>
          <t>00004223</t>
        </is>
      </c>
      <c r="E3585" s="16" t="n">
        <v>45957</v>
      </c>
      <c r="F3585" s="16" t="inlineStr">
        <is>
          <t>XK2510-61</t>
        </is>
      </c>
      <c r="G3585" s="16" t="n">
        <v>45957</v>
      </c>
      <c r="H3585" s="17" t="inlineStr">
        <is>
          <t>CÔNG TY CỔ PHẦN CÔNG NGHIỆP VÀ THƯƠNG MẠI CƯỜNG THỊNH</t>
        </is>
      </c>
      <c r="I3585" s="17" t="inlineStr">
        <is>
          <t>Long đền móng ngựa ZP M16</t>
        </is>
      </c>
      <c r="J3585" s="17" t="inlineStr">
        <is>
          <t>Cái</t>
        </is>
      </c>
      <c r="K3585" s="19" t="n">
        <v>14830</v>
      </c>
      <c r="L3585" s="21" t="n"/>
      <c r="M3585" s="22" t="n"/>
      <c r="N3585" s="22" t="n">
        <v>56</v>
      </c>
      <c r="O3585" s="22" t="n">
        <v>830480</v>
      </c>
      <c r="P3585" s="22" t="n">
        <v>56</v>
      </c>
      <c r="Q3585" s="22" t="n">
        <v>830480</v>
      </c>
      <c r="R3585" s="42">
        <f>+L3585+N3585-P3585</f>
        <v/>
      </c>
      <c r="S3585" s="42">
        <f>+M3585+O3585-Q3585</f>
        <v/>
      </c>
    </row>
    <row r="3586" ht="30" customHeight="1">
      <c r="A3586" s="16" t="n">
        <v>45958</v>
      </c>
      <c r="B3586" s="17" t="inlineStr">
        <is>
          <t>MH2510-78</t>
        </is>
      </c>
      <c r="C3586" s="16" t="n">
        <v>45958</v>
      </c>
      <c r="D3586" s="17" t="inlineStr">
        <is>
          <t>00004260</t>
        </is>
      </c>
      <c r="E3586" s="16" t="n">
        <v>45958</v>
      </c>
      <c r="F3586" s="16" t="inlineStr">
        <is>
          <t>XK2510-62</t>
        </is>
      </c>
      <c r="G3586" s="16" t="n">
        <v>45958</v>
      </c>
      <c r="H3586" s="17" t="inlineStr">
        <is>
          <t>CÔNG TY CỔ PHẦN CÔNG NGHIỆP VÀ THƯƠNG MẠI CƯỜNG THỊNH</t>
        </is>
      </c>
      <c r="I3586" s="17" t="inlineStr">
        <is>
          <t>Bulong thường 4.6 ZP M12x30</t>
        </is>
      </c>
      <c r="J3586" s="17" t="inlineStr">
        <is>
          <t>Cái</t>
        </is>
      </c>
      <c r="K3586" s="19" t="n">
        <v>950</v>
      </c>
      <c r="L3586" s="21" t="n"/>
      <c r="M3586" s="22" t="n"/>
      <c r="N3586" s="22" t="n">
        <v>284</v>
      </c>
      <c r="O3586" s="22" t="n">
        <v>269800</v>
      </c>
      <c r="P3586" s="22" t="n">
        <v>284</v>
      </c>
      <c r="Q3586" s="22" t="n">
        <v>269800</v>
      </c>
      <c r="R3586" s="42">
        <f>+L3586+N3586-P3586</f>
        <v/>
      </c>
      <c r="S3586" s="42">
        <f>+M3586+O3586-Q3586</f>
        <v/>
      </c>
    </row>
    <row r="3587" ht="30" customHeight="1">
      <c r="A3587" s="16" t="n">
        <v>45958</v>
      </c>
      <c r="B3587" s="17" t="inlineStr">
        <is>
          <t>MH2510-78</t>
        </is>
      </c>
      <c r="C3587" s="16" t="n">
        <v>45958</v>
      </c>
      <c r="D3587" s="17" t="inlineStr">
        <is>
          <t>00004260</t>
        </is>
      </c>
      <c r="E3587" s="16" t="n">
        <v>45958</v>
      </c>
      <c r="F3587" s="16" t="inlineStr">
        <is>
          <t>XK2510-62</t>
        </is>
      </c>
      <c r="G3587" s="16" t="n">
        <v>45958</v>
      </c>
      <c r="H3587" s="17" t="inlineStr">
        <is>
          <t>CÔNG TY CỔ PHẦN CÔNG NGHIỆP VÀ THƯƠNG MẠI CƯỜNG THỊNH</t>
        </is>
      </c>
      <c r="I3587" s="17" t="inlineStr">
        <is>
          <t>Đai ốc thường 4 ZP M12 (8mm)</t>
        </is>
      </c>
      <c r="J3587" s="17" t="inlineStr">
        <is>
          <t>Cái</t>
        </is>
      </c>
      <c r="K3587" s="19" t="n">
        <v>360</v>
      </c>
      <c r="L3587" s="21" t="n"/>
      <c r="M3587" s="22" t="n"/>
      <c r="N3587" s="22" t="n">
        <v>284</v>
      </c>
      <c r="O3587" s="22" t="n">
        <v>102240</v>
      </c>
      <c r="P3587" s="22" t="n">
        <v>284</v>
      </c>
      <c r="Q3587" s="22" t="n">
        <v>102240</v>
      </c>
      <c r="R3587" s="42">
        <f>+L3587+N3587-P3587</f>
        <v/>
      </c>
      <c r="S3587" s="42">
        <f>+M3587+O3587-Q3587</f>
        <v/>
      </c>
    </row>
    <row r="3588" ht="30" customHeight="1">
      <c r="A3588" s="16" t="n">
        <v>45958</v>
      </c>
      <c r="B3588" s="17" t="inlineStr">
        <is>
          <t>MH2510-78</t>
        </is>
      </c>
      <c r="C3588" s="16" t="n">
        <v>45958</v>
      </c>
      <c r="D3588" s="17" t="inlineStr">
        <is>
          <t>00004260</t>
        </is>
      </c>
      <c r="E3588" s="16" t="n">
        <v>45958</v>
      </c>
      <c r="F3588" s="16" t="inlineStr">
        <is>
          <t>XK2510-62</t>
        </is>
      </c>
      <c r="G3588" s="16" t="n">
        <v>45958</v>
      </c>
      <c r="H3588" s="17" t="inlineStr">
        <is>
          <t>CÔNG TY CỔ PHẦN CÔNG NGHIỆP VÀ THƯƠNG MẠI CƯỜNG THỊNH</t>
        </is>
      </c>
      <c r="I3588" s="17" t="inlineStr">
        <is>
          <t>Long đền thường ZP M12B23D1</t>
        </is>
      </c>
      <c r="J3588" s="17" t="inlineStr">
        <is>
          <t>Cái</t>
        </is>
      </c>
      <c r="K3588" s="19" t="n">
        <v>100</v>
      </c>
      <c r="L3588" s="21" t="n"/>
      <c r="M3588" s="22" t="n"/>
      <c r="N3588" s="22" t="n">
        <v>568</v>
      </c>
      <c r="O3588" s="22" t="n">
        <v>56800</v>
      </c>
      <c r="P3588" s="22" t="n">
        <v>568</v>
      </c>
      <c r="Q3588" s="22" t="n">
        <v>56800</v>
      </c>
      <c r="R3588" s="42">
        <f>+L3588+N3588-P3588</f>
        <v/>
      </c>
      <c r="S3588" s="42">
        <f>+M3588+O3588-Q3588</f>
        <v/>
      </c>
    </row>
    <row r="3589" ht="30" customHeight="1">
      <c r="A3589" s="16" t="n">
        <v>45958</v>
      </c>
      <c r="B3589" s="17" t="inlineStr">
        <is>
          <t>MH2510-78</t>
        </is>
      </c>
      <c r="C3589" s="16" t="n">
        <v>45958</v>
      </c>
      <c r="D3589" s="17" t="inlineStr">
        <is>
          <t>00004260</t>
        </is>
      </c>
      <c r="E3589" s="16" t="n">
        <v>45958</v>
      </c>
      <c r="F3589" s="16" t="inlineStr">
        <is>
          <t>XK2510-62</t>
        </is>
      </c>
      <c r="G3589" s="16" t="n">
        <v>45958</v>
      </c>
      <c r="H3589" s="17" t="inlineStr">
        <is>
          <t>CÔNG TY CỔ PHẦN CÔNG NGHIỆP VÀ THƯƠNG MẠI CƯỜNG THỊNH</t>
        </is>
      </c>
      <c r="I3589" s="17" t="inlineStr">
        <is>
          <t>Bulong Din 933 8.8 ZP M16x40</t>
        </is>
      </c>
      <c r="J3589" s="17" t="inlineStr">
        <is>
          <t>Cái</t>
        </is>
      </c>
      <c r="K3589" s="19" t="n">
        <v>3030</v>
      </c>
      <c r="L3589" s="21" t="n"/>
      <c r="M3589" s="22" t="n"/>
      <c r="N3589" s="22" t="n">
        <v>185</v>
      </c>
      <c r="O3589" s="22" t="n">
        <v>560550</v>
      </c>
      <c r="P3589" s="22" t="n">
        <v>185</v>
      </c>
      <c r="Q3589" s="22" t="n">
        <v>560550</v>
      </c>
      <c r="R3589" s="42">
        <f>+L3589+N3589-P3589</f>
        <v/>
      </c>
      <c r="S3589" s="42">
        <f>+M3589+O3589-Q3589</f>
        <v/>
      </c>
    </row>
    <row r="3590" ht="30" customHeight="1">
      <c r="A3590" s="16" t="n">
        <v>45958</v>
      </c>
      <c r="B3590" s="17" t="inlineStr">
        <is>
          <t>MH2510-78</t>
        </is>
      </c>
      <c r="C3590" s="16" t="n">
        <v>45958</v>
      </c>
      <c r="D3590" s="17" t="inlineStr">
        <is>
          <t>00004260</t>
        </is>
      </c>
      <c r="E3590" s="16" t="n">
        <v>45958</v>
      </c>
      <c r="F3590" s="16" t="inlineStr">
        <is>
          <t>XK2510-62</t>
        </is>
      </c>
      <c r="G3590" s="16" t="n">
        <v>45958</v>
      </c>
      <c r="H3590" s="17" t="inlineStr">
        <is>
          <t>CÔNG TY CỔ PHẦN CÔNG NGHIỆP VÀ THƯƠNG MẠI CƯỜNG THỊNH</t>
        </is>
      </c>
      <c r="I3590" s="17" t="inlineStr">
        <is>
          <t>Đai ốc Din 934 8 ZP M16</t>
        </is>
      </c>
      <c r="J3590" s="17" t="inlineStr">
        <is>
          <t>Cái</t>
        </is>
      </c>
      <c r="K3590" s="19" t="n">
        <v>1080</v>
      </c>
      <c r="L3590" s="21" t="n"/>
      <c r="M3590" s="22" t="n"/>
      <c r="N3590" s="22" t="n">
        <v>185</v>
      </c>
      <c r="O3590" s="22" t="n">
        <v>199800</v>
      </c>
      <c r="P3590" s="22" t="n">
        <v>185</v>
      </c>
      <c r="Q3590" s="22" t="n">
        <v>199800</v>
      </c>
      <c r="R3590" s="42">
        <f>+L3590+N3590-P3590</f>
        <v/>
      </c>
      <c r="S3590" s="42">
        <f>+M3590+O3590-Q3590</f>
        <v/>
      </c>
    </row>
    <row r="3591" ht="30" customHeight="1">
      <c r="A3591" s="16" t="n">
        <v>45958</v>
      </c>
      <c r="B3591" s="17" t="inlineStr">
        <is>
          <t>MH2510-78</t>
        </is>
      </c>
      <c r="C3591" s="16" t="n">
        <v>45958</v>
      </c>
      <c r="D3591" s="17" t="inlineStr">
        <is>
          <t>00004260</t>
        </is>
      </c>
      <c r="E3591" s="16" t="n">
        <v>45958</v>
      </c>
      <c r="F3591" s="16" t="inlineStr">
        <is>
          <t>XK2510-62</t>
        </is>
      </c>
      <c r="G3591" s="16" t="n">
        <v>45958</v>
      </c>
      <c r="H3591" s="17" t="inlineStr">
        <is>
          <t>CÔNG TY CỔ PHẦN CÔNG NGHIỆP VÀ THƯƠNG MẠI CƯỜNG THỊNH</t>
        </is>
      </c>
      <c r="I3591" s="17" t="inlineStr">
        <is>
          <t>Long đền thường ZP M16B30D2</t>
        </is>
      </c>
      <c r="J3591" s="17" t="inlineStr">
        <is>
          <t>Cái</t>
        </is>
      </c>
      <c r="K3591" s="19" t="n">
        <v>340</v>
      </c>
      <c r="L3591" s="21" t="n"/>
      <c r="M3591" s="22" t="n"/>
      <c r="N3591" s="22" t="n">
        <v>185</v>
      </c>
      <c r="O3591" s="22" t="n">
        <v>62900</v>
      </c>
      <c r="P3591" s="22" t="n">
        <v>185</v>
      </c>
      <c r="Q3591" s="22" t="n">
        <v>62900</v>
      </c>
      <c r="R3591" s="42">
        <f>+L3591+N3591-P3591</f>
        <v/>
      </c>
      <c r="S3591" s="42">
        <f>+M3591+O3591-Q3591</f>
        <v/>
      </c>
    </row>
    <row r="3592" ht="30" customHeight="1">
      <c r="A3592" s="16" t="n">
        <v>45958</v>
      </c>
      <c r="B3592" s="17" t="inlineStr">
        <is>
          <t>MH2510-78</t>
        </is>
      </c>
      <c r="C3592" s="16" t="n">
        <v>45958</v>
      </c>
      <c r="D3592" s="17" t="inlineStr">
        <is>
          <t>00004260</t>
        </is>
      </c>
      <c r="E3592" s="16" t="n">
        <v>45958</v>
      </c>
      <c r="F3592" s="16" t="inlineStr">
        <is>
          <t>XK2510-62</t>
        </is>
      </c>
      <c r="G3592" s="16" t="n">
        <v>45958</v>
      </c>
      <c r="H3592" s="17" t="inlineStr">
        <is>
          <t>CÔNG TY CỔ PHẦN CÔNG NGHIỆP VÀ THƯƠNG MẠI CƯỜNG THỊNH</t>
        </is>
      </c>
      <c r="I3592" s="17" t="inlineStr">
        <is>
          <t>Bulong Din 933 8.8 ZP M20x60</t>
        </is>
      </c>
      <c r="J3592" s="17" t="inlineStr">
        <is>
          <t>Cái</t>
        </is>
      </c>
      <c r="K3592" s="19" t="n">
        <v>6360</v>
      </c>
      <c r="L3592" s="21" t="n"/>
      <c r="M3592" s="22" t="n"/>
      <c r="N3592" s="22" t="n">
        <v>1508</v>
      </c>
      <c r="O3592" s="22" t="n">
        <v>9590880</v>
      </c>
      <c r="P3592" s="22" t="n">
        <v>1508</v>
      </c>
      <c r="Q3592" s="22" t="n">
        <v>9590880</v>
      </c>
      <c r="R3592" s="42">
        <f>+L3592+N3592-P3592</f>
        <v/>
      </c>
      <c r="S3592" s="42">
        <f>+M3592+O3592-Q3592</f>
        <v/>
      </c>
    </row>
    <row r="3593" ht="30" customHeight="1">
      <c r="A3593" s="16" t="n">
        <v>45958</v>
      </c>
      <c r="B3593" s="17" t="inlineStr">
        <is>
          <t>MH2510-78</t>
        </is>
      </c>
      <c r="C3593" s="16" t="n">
        <v>45958</v>
      </c>
      <c r="D3593" s="17" t="inlineStr">
        <is>
          <t>00004260</t>
        </is>
      </c>
      <c r="E3593" s="16" t="n">
        <v>45958</v>
      </c>
      <c r="F3593" s="16" t="inlineStr">
        <is>
          <t>XK2510-62</t>
        </is>
      </c>
      <c r="G3593" s="16" t="n">
        <v>45958</v>
      </c>
      <c r="H3593" s="17" t="inlineStr">
        <is>
          <t>CÔNG TY CỔ PHẦN CÔNG NGHIỆP VÀ THƯƠNG MẠI CƯỜNG THỊNH</t>
        </is>
      </c>
      <c r="I3593" s="17" t="inlineStr">
        <is>
          <t>Đai ốc Din 934 8 ZP M20</t>
        </is>
      </c>
      <c r="J3593" s="17" t="inlineStr">
        <is>
          <t>Cái</t>
        </is>
      </c>
      <c r="K3593" s="19" t="n">
        <v>2030</v>
      </c>
      <c r="L3593" s="21" t="n"/>
      <c r="M3593" s="22" t="n"/>
      <c r="N3593" s="22" t="n">
        <v>1508</v>
      </c>
      <c r="O3593" s="22" t="n">
        <v>3061240</v>
      </c>
      <c r="P3593" s="22" t="n">
        <v>1508</v>
      </c>
      <c r="Q3593" s="22" t="n">
        <v>3061240</v>
      </c>
      <c r="R3593" s="42">
        <f>+L3593+N3593-P3593</f>
        <v/>
      </c>
      <c r="S3593" s="42">
        <f>+M3593+O3593-Q3593</f>
        <v/>
      </c>
    </row>
    <row r="3594" ht="30" customHeight="1">
      <c r="A3594" s="16" t="n">
        <v>45958</v>
      </c>
      <c r="B3594" s="17" t="inlineStr">
        <is>
          <t>MH2510-78</t>
        </is>
      </c>
      <c r="C3594" s="16" t="n">
        <v>45958</v>
      </c>
      <c r="D3594" s="17" t="inlineStr">
        <is>
          <t>00004260</t>
        </is>
      </c>
      <c r="E3594" s="16" t="n">
        <v>45958</v>
      </c>
      <c r="F3594" s="16" t="inlineStr">
        <is>
          <t>XK2510-62</t>
        </is>
      </c>
      <c r="G3594" s="16" t="n">
        <v>45958</v>
      </c>
      <c r="H3594" s="17" t="inlineStr">
        <is>
          <t>CÔNG TY CỔ PHẦN CÔNG NGHIỆP VÀ THƯƠNG MẠI CƯỜNG THỊNH</t>
        </is>
      </c>
      <c r="I3594" s="17" t="inlineStr">
        <is>
          <t>Long đền thường ZP M20B35D2</t>
        </is>
      </c>
      <c r="J3594" s="17" t="inlineStr">
        <is>
          <t>Cái</t>
        </is>
      </c>
      <c r="K3594" s="19" t="n">
        <v>350</v>
      </c>
      <c r="L3594" s="21" t="n"/>
      <c r="M3594" s="22" t="n"/>
      <c r="N3594" s="22" t="n">
        <v>1508</v>
      </c>
      <c r="O3594" s="22" t="n">
        <v>527800</v>
      </c>
      <c r="P3594" s="22" t="n">
        <v>1508</v>
      </c>
      <c r="Q3594" s="22" t="n">
        <v>527800</v>
      </c>
      <c r="R3594" s="42">
        <f>+L3594+N3594-P3594</f>
        <v/>
      </c>
      <c r="S3594" s="42">
        <f>+M3594+O3594-Q3594</f>
        <v/>
      </c>
    </row>
    <row r="3595" ht="30" customHeight="1">
      <c r="A3595" s="16" t="n">
        <v>45958</v>
      </c>
      <c r="B3595" s="17" t="inlineStr">
        <is>
          <t>MH2510-78</t>
        </is>
      </c>
      <c r="C3595" s="16" t="n">
        <v>45958</v>
      </c>
      <c r="D3595" s="17" t="inlineStr">
        <is>
          <t>00004260</t>
        </is>
      </c>
      <c r="E3595" s="16" t="n">
        <v>45958</v>
      </c>
      <c r="F3595" s="16" t="inlineStr">
        <is>
          <t>XK2510-62</t>
        </is>
      </c>
      <c r="G3595" s="16" t="n">
        <v>45958</v>
      </c>
      <c r="H3595" s="17" t="inlineStr">
        <is>
          <t>CÔNG TY CỔ PHẦN CÔNG NGHIỆP VÀ THƯƠNG MẠI CƯỜNG THỊNH</t>
        </is>
      </c>
      <c r="I3595" s="17" t="inlineStr">
        <is>
          <t>Bulong Din 933 8.8 ZP M20x50</t>
        </is>
      </c>
      <c r="J3595" s="17" t="inlineStr">
        <is>
          <t>Cái</t>
        </is>
      </c>
      <c r="K3595" s="19" t="n">
        <v>5760</v>
      </c>
      <c r="L3595" s="21" t="n"/>
      <c r="M3595" s="22" t="n"/>
      <c r="N3595" s="22" t="n">
        <v>173</v>
      </c>
      <c r="O3595" s="22" t="n">
        <v>996480</v>
      </c>
      <c r="P3595" s="22" t="n">
        <v>173</v>
      </c>
      <c r="Q3595" s="22" t="n">
        <v>996480</v>
      </c>
      <c r="R3595" s="42">
        <f>+L3595+N3595-P3595</f>
        <v/>
      </c>
      <c r="S3595" s="42">
        <f>+M3595+O3595-Q3595</f>
        <v/>
      </c>
    </row>
    <row r="3596" ht="30" customHeight="1">
      <c r="A3596" s="16" t="n">
        <v>45958</v>
      </c>
      <c r="B3596" s="17" t="inlineStr">
        <is>
          <t>MH2510-78</t>
        </is>
      </c>
      <c r="C3596" s="16" t="n">
        <v>45958</v>
      </c>
      <c r="D3596" s="17" t="inlineStr">
        <is>
          <t>00004260</t>
        </is>
      </c>
      <c r="E3596" s="16" t="n">
        <v>45958</v>
      </c>
      <c r="F3596" s="16" t="inlineStr">
        <is>
          <t>XK2510-62</t>
        </is>
      </c>
      <c r="G3596" s="16" t="n">
        <v>45958</v>
      </c>
      <c r="H3596" s="17" t="inlineStr">
        <is>
          <t>CÔNG TY CỔ PHẦN CÔNG NGHIỆP VÀ THƯƠNG MẠI CƯỜNG THỊNH</t>
        </is>
      </c>
      <c r="I3596" s="17" t="inlineStr">
        <is>
          <t>Đai ốc Din 934 8 ZP M20</t>
        </is>
      </c>
      <c r="J3596" s="17" t="inlineStr">
        <is>
          <t>Cái</t>
        </is>
      </c>
      <c r="K3596" s="19" t="n">
        <v>2030</v>
      </c>
      <c r="L3596" s="21" t="n"/>
      <c r="M3596" s="22" t="n"/>
      <c r="N3596" s="22" t="n">
        <v>173</v>
      </c>
      <c r="O3596" s="22" t="n">
        <v>351190</v>
      </c>
      <c r="P3596" s="22" t="n">
        <v>173</v>
      </c>
      <c r="Q3596" s="22" t="n">
        <v>351190</v>
      </c>
      <c r="R3596" s="42">
        <f>+L3596+N3596-P3596</f>
        <v/>
      </c>
      <c r="S3596" s="42">
        <f>+M3596+O3596-Q3596</f>
        <v/>
      </c>
    </row>
    <row r="3597" ht="30" customHeight="1">
      <c r="A3597" s="16" t="n">
        <v>45958</v>
      </c>
      <c r="B3597" s="17" t="inlineStr">
        <is>
          <t>MH2510-78</t>
        </is>
      </c>
      <c r="C3597" s="16" t="n">
        <v>45958</v>
      </c>
      <c r="D3597" s="17" t="inlineStr">
        <is>
          <t>00004260</t>
        </is>
      </c>
      <c r="E3597" s="16" t="n">
        <v>45958</v>
      </c>
      <c r="F3597" s="16" t="inlineStr">
        <is>
          <t>XK2510-62</t>
        </is>
      </c>
      <c r="G3597" s="16" t="n">
        <v>45958</v>
      </c>
      <c r="H3597" s="17" t="inlineStr">
        <is>
          <t>CÔNG TY CỔ PHẦN CÔNG NGHIỆP VÀ THƯƠNG MẠI CƯỜNG THỊNH</t>
        </is>
      </c>
      <c r="I3597" s="17" t="inlineStr">
        <is>
          <t>Long đền thường ZP M20B35D2</t>
        </is>
      </c>
      <c r="J3597" s="17" t="inlineStr">
        <is>
          <t>Cái</t>
        </is>
      </c>
      <c r="K3597" s="19" t="n">
        <v>350</v>
      </c>
      <c r="L3597" s="21" t="n"/>
      <c r="M3597" s="22" t="n"/>
      <c r="N3597" s="22" t="n">
        <v>173</v>
      </c>
      <c r="O3597" s="22" t="n">
        <v>60550</v>
      </c>
      <c r="P3597" s="22" t="n">
        <v>173</v>
      </c>
      <c r="Q3597" s="22" t="n">
        <v>60550</v>
      </c>
      <c r="R3597" s="42">
        <f>+L3597+N3597-P3597</f>
        <v/>
      </c>
      <c r="S3597" s="42">
        <f>+M3597+O3597-Q3597</f>
        <v/>
      </c>
    </row>
    <row r="3598" ht="30" customHeight="1">
      <c r="A3598" s="16" t="n">
        <v>45958</v>
      </c>
      <c r="B3598" s="17" t="inlineStr">
        <is>
          <t>MH2510-78</t>
        </is>
      </c>
      <c r="C3598" s="16" t="n">
        <v>45958</v>
      </c>
      <c r="D3598" s="17" t="inlineStr">
        <is>
          <t>00004260</t>
        </is>
      </c>
      <c r="E3598" s="16" t="n">
        <v>45958</v>
      </c>
      <c r="F3598" s="16" t="inlineStr">
        <is>
          <t>XK2510-62</t>
        </is>
      </c>
      <c r="G3598" s="16" t="n">
        <v>45958</v>
      </c>
      <c r="H3598" s="17" t="inlineStr">
        <is>
          <t>CÔNG TY CỔ PHẦN CÔNG NGHIỆP VÀ THƯƠNG MẠI CƯỜNG THỊNH</t>
        </is>
      </c>
      <c r="I3598" s="17" t="inlineStr">
        <is>
          <t>Vít B2 Dacromet 12-14x20</t>
        </is>
      </c>
      <c r="J3598" s="17" t="inlineStr">
        <is>
          <t>Cái</t>
        </is>
      </c>
      <c r="K3598" s="19" t="n">
        <v>600</v>
      </c>
      <c r="L3598" s="21" t="n"/>
      <c r="M3598" s="22" t="n"/>
      <c r="N3598" s="22" t="n">
        <v>800</v>
      </c>
      <c r="O3598" s="22" t="n">
        <v>480000</v>
      </c>
      <c r="P3598" s="22" t="n">
        <v>800</v>
      </c>
      <c r="Q3598" s="22" t="n">
        <v>480000</v>
      </c>
      <c r="R3598" s="42">
        <f>+L3598+N3598-P3598</f>
        <v/>
      </c>
      <c r="S3598" s="42">
        <f>+M3598+O3598-Q3598</f>
        <v/>
      </c>
    </row>
    <row r="3599" ht="30" customHeight="1">
      <c r="A3599" s="16" t="n">
        <v>45958</v>
      </c>
      <c r="B3599" s="17" t="inlineStr">
        <is>
          <t>MH2510-79</t>
        </is>
      </c>
      <c r="C3599" s="16" t="n">
        <v>45958</v>
      </c>
      <c r="D3599" s="17" t="inlineStr">
        <is>
          <t>00004261</t>
        </is>
      </c>
      <c r="E3599" s="16" t="n">
        <v>45958</v>
      </c>
      <c r="F3599" s="16" t="inlineStr">
        <is>
          <t>XK2510-83</t>
        </is>
      </c>
      <c r="G3599" s="16" t="n">
        <v>45958</v>
      </c>
      <c r="H3599" s="17" t="inlineStr">
        <is>
          <t>CÔNG TY CỔ PHẦN CÔNG NGHIỆP VÀ THƯƠNG MẠI CƯỜNG THỊNH</t>
        </is>
      </c>
      <c r="I3599" s="17" t="inlineStr">
        <is>
          <t>Bulong neo I 8.8 ZP M30x645</t>
        </is>
      </c>
      <c r="J3599" s="17" t="inlineStr">
        <is>
          <t>Cái</t>
        </is>
      </c>
      <c r="K3599" s="19" t="n">
        <v>125810</v>
      </c>
      <c r="L3599" s="21" t="n"/>
      <c r="M3599" s="22" t="n"/>
      <c r="N3599" s="22" t="n">
        <v>3000</v>
      </c>
      <c r="O3599" s="22" t="n">
        <v>377430000</v>
      </c>
      <c r="P3599" s="22" t="n">
        <v>3000</v>
      </c>
      <c r="Q3599" s="22" t="n">
        <v>377430000</v>
      </c>
      <c r="R3599" s="42">
        <f>+L3599+N3599-P3599</f>
        <v/>
      </c>
      <c r="S3599" s="42">
        <f>+M3599+O3599-Q3599</f>
        <v/>
      </c>
    </row>
    <row r="3600" ht="30" customHeight="1">
      <c r="A3600" s="16" t="n">
        <v>45958</v>
      </c>
      <c r="B3600" s="17" t="inlineStr">
        <is>
          <t>MH2510-79</t>
        </is>
      </c>
      <c r="C3600" s="16" t="n">
        <v>45958</v>
      </c>
      <c r="D3600" s="17" t="inlineStr">
        <is>
          <t>00004261</t>
        </is>
      </c>
      <c r="E3600" s="16" t="n">
        <v>45958</v>
      </c>
      <c r="F3600" s="16" t="inlineStr">
        <is>
          <t>XK2510-83</t>
        </is>
      </c>
      <c r="G3600" s="16" t="n">
        <v>45958</v>
      </c>
      <c r="H3600" s="17" t="inlineStr">
        <is>
          <t>CÔNG TY CỔ PHẦN CÔNG NGHIỆP VÀ THƯƠNG MẠI CƯỜNG THỊNH</t>
        </is>
      </c>
      <c r="I3600" s="17" t="inlineStr">
        <is>
          <t>Đai ốc Din 934 8 ZP M30</t>
        </is>
      </c>
      <c r="J3600" s="17" t="inlineStr">
        <is>
          <t>Cái</t>
        </is>
      </c>
      <c r="K3600" s="19" t="n">
        <v>6950</v>
      </c>
      <c r="L3600" s="21" t="n"/>
      <c r="M3600" s="22" t="n"/>
      <c r="N3600" s="22" t="n">
        <v>12000</v>
      </c>
      <c r="O3600" s="22" t="n">
        <v>83400000</v>
      </c>
      <c r="P3600" s="22" t="n">
        <v>12000</v>
      </c>
      <c r="Q3600" s="22" t="n">
        <v>83400000</v>
      </c>
      <c r="R3600" s="42">
        <f>+L3600+N3600-P3600</f>
        <v/>
      </c>
      <c r="S3600" s="42">
        <f>+M3600+O3600-Q3600</f>
        <v/>
      </c>
    </row>
    <row r="3601" ht="30" customHeight="1">
      <c r="A3601" s="16" t="n">
        <v>45958</v>
      </c>
      <c r="B3601" s="17" t="inlineStr">
        <is>
          <t>MH2510-79</t>
        </is>
      </c>
      <c r="C3601" s="16" t="n">
        <v>45958</v>
      </c>
      <c r="D3601" s="17" t="inlineStr">
        <is>
          <t>00004261</t>
        </is>
      </c>
      <c r="E3601" s="16" t="n">
        <v>45958</v>
      </c>
      <c r="F3601" s="16" t="inlineStr">
        <is>
          <t>XK2510-83</t>
        </is>
      </c>
      <c r="G3601" s="16" t="n">
        <v>45958</v>
      </c>
      <c r="H3601" s="17" t="inlineStr">
        <is>
          <t>CÔNG TY CỔ PHẦN CÔNG NGHIỆP VÀ THƯƠNG MẠI CƯỜNG THỊNH</t>
        </is>
      </c>
      <c r="I3601" s="17" t="inlineStr">
        <is>
          <t>Long đền thường ZP M30B60D2</t>
        </is>
      </c>
      <c r="J3601" s="17" t="inlineStr">
        <is>
          <t>Cái</t>
        </is>
      </c>
      <c r="K3601" s="19" t="n">
        <v>1170</v>
      </c>
      <c r="L3601" s="21" t="n"/>
      <c r="M3601" s="22" t="n"/>
      <c r="N3601" s="22" t="n">
        <v>3000</v>
      </c>
      <c r="O3601" s="22" t="n">
        <v>3510000</v>
      </c>
      <c r="P3601" s="22" t="n">
        <v>3000</v>
      </c>
      <c r="Q3601" s="22" t="n">
        <v>3510000</v>
      </c>
      <c r="R3601" s="42">
        <f>+L3601+N3601-P3601</f>
        <v/>
      </c>
      <c r="S3601" s="42">
        <f>+M3601+O3601-Q3601</f>
        <v/>
      </c>
    </row>
    <row r="3602" ht="30" customHeight="1">
      <c r="A3602" s="16" t="n">
        <v>45958</v>
      </c>
      <c r="B3602" s="17" t="inlineStr">
        <is>
          <t>MH2510-80</t>
        </is>
      </c>
      <c r="C3602" s="16" t="n">
        <v>45958</v>
      </c>
      <c r="D3602" s="17" t="inlineStr">
        <is>
          <t>00004254</t>
        </is>
      </c>
      <c r="E3602" s="16" t="n">
        <v>45958</v>
      </c>
      <c r="F3602" s="16" t="inlineStr">
        <is>
          <t>XK2510-64</t>
        </is>
      </c>
      <c r="G3602" s="16" t="n">
        <v>45958</v>
      </c>
      <c r="H3602" s="17" t="inlineStr">
        <is>
          <t>CÔNG TY CỔ PHẦN CÔNG NGHIỆP VÀ THƯƠNG MẠI CƯỜNG THỊNH</t>
        </is>
      </c>
      <c r="I3602" s="17" t="inlineStr">
        <is>
          <t>Bulong thường 4.6 ZP M12x30</t>
        </is>
      </c>
      <c r="J3602" s="17" t="inlineStr">
        <is>
          <t>Cái</t>
        </is>
      </c>
      <c r="K3602" s="19" t="n">
        <v>950</v>
      </c>
      <c r="L3602" s="21" t="n"/>
      <c r="M3602" s="22" t="n"/>
      <c r="N3602" s="22" t="n">
        <v>468</v>
      </c>
      <c r="O3602" s="22" t="n">
        <v>444600</v>
      </c>
      <c r="P3602" s="22" t="n">
        <v>468</v>
      </c>
      <c r="Q3602" s="22" t="n">
        <v>444600</v>
      </c>
      <c r="R3602" s="42">
        <f>+L3602+N3602-P3602</f>
        <v/>
      </c>
      <c r="S3602" s="42">
        <f>+M3602+O3602-Q3602</f>
        <v/>
      </c>
    </row>
    <row r="3603" ht="30" customHeight="1">
      <c r="A3603" s="16" t="n">
        <v>45958</v>
      </c>
      <c r="B3603" s="17" t="inlineStr">
        <is>
          <t>MH2510-80</t>
        </is>
      </c>
      <c r="C3603" s="16" t="n">
        <v>45958</v>
      </c>
      <c r="D3603" s="17" t="inlineStr">
        <is>
          <t>00004254</t>
        </is>
      </c>
      <c r="E3603" s="16" t="n">
        <v>45958</v>
      </c>
      <c r="F3603" s="16" t="inlineStr">
        <is>
          <t>XK2510-64</t>
        </is>
      </c>
      <c r="G3603" s="16" t="n">
        <v>45958</v>
      </c>
      <c r="H3603" s="17" t="inlineStr">
        <is>
          <t>CÔNG TY CỔ PHẦN CÔNG NGHIỆP VÀ THƯƠNG MẠI CƯỜNG THỊNH</t>
        </is>
      </c>
      <c r="I3603" s="17" t="inlineStr">
        <is>
          <t>Đai ốc thường 4 ZP M12 (8mm)</t>
        </is>
      </c>
      <c r="J3603" s="17" t="inlineStr">
        <is>
          <t>Cái</t>
        </is>
      </c>
      <c r="K3603" s="19" t="n">
        <v>360</v>
      </c>
      <c r="L3603" s="21" t="n"/>
      <c r="M3603" s="22" t="n"/>
      <c r="N3603" s="22" t="n">
        <v>468</v>
      </c>
      <c r="O3603" s="22" t="n">
        <v>168480</v>
      </c>
      <c r="P3603" s="22" t="n">
        <v>468</v>
      </c>
      <c r="Q3603" s="22" t="n">
        <v>168480</v>
      </c>
      <c r="R3603" s="42">
        <f>+L3603+N3603-P3603</f>
        <v/>
      </c>
      <c r="S3603" s="42">
        <f>+M3603+O3603-Q3603</f>
        <v/>
      </c>
    </row>
    <row r="3604" ht="30" customHeight="1">
      <c r="A3604" s="16" t="n">
        <v>45958</v>
      </c>
      <c r="B3604" s="17" t="inlineStr">
        <is>
          <t>MH2510-80</t>
        </is>
      </c>
      <c r="C3604" s="16" t="n">
        <v>45958</v>
      </c>
      <c r="D3604" s="17" t="inlineStr">
        <is>
          <t>00004254</t>
        </is>
      </c>
      <c r="E3604" s="16" t="n">
        <v>45958</v>
      </c>
      <c r="F3604" s="16" t="inlineStr">
        <is>
          <t>XK2510-64</t>
        </is>
      </c>
      <c r="G3604" s="16" t="n">
        <v>45958</v>
      </c>
      <c r="H3604" s="17" t="inlineStr">
        <is>
          <t>CÔNG TY CỔ PHẦN CÔNG NGHIỆP VÀ THƯƠNG MẠI CƯỜNG THỊNH</t>
        </is>
      </c>
      <c r="I3604" s="17" t="inlineStr">
        <is>
          <t>Long đền thường ZP M12B23D1</t>
        </is>
      </c>
      <c r="J3604" s="17" t="inlineStr">
        <is>
          <t>Cái</t>
        </is>
      </c>
      <c r="K3604" s="19" t="n">
        <v>100</v>
      </c>
      <c r="L3604" s="21" t="n"/>
      <c r="M3604" s="22" t="n"/>
      <c r="N3604" s="22" t="n">
        <v>936</v>
      </c>
      <c r="O3604" s="22" t="n">
        <v>93600</v>
      </c>
      <c r="P3604" s="22" t="n">
        <v>936</v>
      </c>
      <c r="Q3604" s="22" t="n">
        <v>93600</v>
      </c>
      <c r="R3604" s="42">
        <f>+L3604+N3604-P3604</f>
        <v/>
      </c>
      <c r="S3604" s="42">
        <f>+M3604+O3604-Q3604</f>
        <v/>
      </c>
    </row>
    <row r="3605" ht="30" customHeight="1">
      <c r="A3605" s="16" t="n">
        <v>45958</v>
      </c>
      <c r="B3605" s="17" t="inlineStr">
        <is>
          <t>MH2510-80</t>
        </is>
      </c>
      <c r="C3605" s="16" t="n">
        <v>45958</v>
      </c>
      <c r="D3605" s="17" t="inlineStr">
        <is>
          <t>00004254</t>
        </is>
      </c>
      <c r="E3605" s="16" t="n">
        <v>45958</v>
      </c>
      <c r="F3605" s="16" t="inlineStr">
        <is>
          <t>XK2510-64</t>
        </is>
      </c>
      <c r="G3605" s="16" t="n">
        <v>45958</v>
      </c>
      <c r="H3605" s="17" t="inlineStr">
        <is>
          <t>CÔNG TY CỔ PHẦN CÔNG NGHIỆP VÀ THƯƠNG MẠI CƯỜNG THỊNH</t>
        </is>
      </c>
      <c r="I3605" s="17" t="inlineStr">
        <is>
          <t>Bulong Din 933 8.8 ZP M16x40</t>
        </is>
      </c>
      <c r="J3605" s="17" t="inlineStr">
        <is>
          <t>Cái</t>
        </is>
      </c>
      <c r="K3605" s="19" t="n">
        <v>3030</v>
      </c>
      <c r="L3605" s="21" t="n"/>
      <c r="M3605" s="22" t="n"/>
      <c r="N3605" s="22" t="n">
        <v>305</v>
      </c>
      <c r="O3605" s="22" t="n">
        <v>924150</v>
      </c>
      <c r="P3605" s="22" t="n">
        <v>305</v>
      </c>
      <c r="Q3605" s="22" t="n">
        <v>924150</v>
      </c>
      <c r="R3605" s="42">
        <f>+L3605+N3605-P3605</f>
        <v/>
      </c>
      <c r="S3605" s="42">
        <f>+M3605+O3605-Q3605</f>
        <v/>
      </c>
    </row>
    <row r="3606" ht="30" customHeight="1">
      <c r="A3606" s="16" t="n">
        <v>45958</v>
      </c>
      <c r="B3606" s="17" t="inlineStr">
        <is>
          <t>MH2510-80</t>
        </is>
      </c>
      <c r="C3606" s="16" t="n">
        <v>45958</v>
      </c>
      <c r="D3606" s="17" t="inlineStr">
        <is>
          <t>00004254</t>
        </is>
      </c>
      <c r="E3606" s="16" t="n">
        <v>45958</v>
      </c>
      <c r="F3606" s="16" t="inlineStr">
        <is>
          <t>XK2510-64</t>
        </is>
      </c>
      <c r="G3606" s="16" t="n">
        <v>45958</v>
      </c>
      <c r="H3606" s="17" t="inlineStr">
        <is>
          <t>CÔNG TY CỔ PHẦN CÔNG NGHIỆP VÀ THƯƠNG MẠI CƯỜNG THỊNH</t>
        </is>
      </c>
      <c r="I3606" s="17" t="inlineStr">
        <is>
          <t>Đai ốc Din 934 8 ZP M16</t>
        </is>
      </c>
      <c r="J3606" s="17" t="inlineStr">
        <is>
          <t>Cái</t>
        </is>
      </c>
      <c r="K3606" s="19" t="n">
        <v>1080</v>
      </c>
      <c r="L3606" s="21" t="n"/>
      <c r="M3606" s="22" t="n"/>
      <c r="N3606" s="22" t="n">
        <v>305</v>
      </c>
      <c r="O3606" s="22" t="n">
        <v>329400</v>
      </c>
      <c r="P3606" s="22" t="n">
        <v>305</v>
      </c>
      <c r="Q3606" s="22" t="n">
        <v>329400</v>
      </c>
      <c r="R3606" s="42">
        <f>+L3606+N3606-P3606</f>
        <v/>
      </c>
      <c r="S3606" s="42">
        <f>+M3606+O3606-Q3606</f>
        <v/>
      </c>
    </row>
    <row r="3607" ht="30" customHeight="1">
      <c r="A3607" s="16" t="n">
        <v>45958</v>
      </c>
      <c r="B3607" s="17" t="inlineStr">
        <is>
          <t>MH2510-80</t>
        </is>
      </c>
      <c r="C3607" s="16" t="n">
        <v>45958</v>
      </c>
      <c r="D3607" s="17" t="inlineStr">
        <is>
          <t>00004254</t>
        </is>
      </c>
      <c r="E3607" s="16" t="n">
        <v>45958</v>
      </c>
      <c r="F3607" s="16" t="inlineStr">
        <is>
          <t>XK2510-64</t>
        </is>
      </c>
      <c r="G3607" s="16" t="n">
        <v>45958</v>
      </c>
      <c r="H3607" s="17" t="inlineStr">
        <is>
          <t>CÔNG TY CỔ PHẦN CÔNG NGHIỆP VÀ THƯƠNG MẠI CƯỜNG THỊNH</t>
        </is>
      </c>
      <c r="I3607" s="17" t="inlineStr">
        <is>
          <t>Long đền thường ZP M16B30D2</t>
        </is>
      </c>
      <c r="J3607" s="17" t="inlineStr">
        <is>
          <t>Cái</t>
        </is>
      </c>
      <c r="K3607" s="19" t="n">
        <v>340</v>
      </c>
      <c r="L3607" s="21" t="n"/>
      <c r="M3607" s="22" t="n"/>
      <c r="N3607" s="22" t="n">
        <v>305</v>
      </c>
      <c r="O3607" s="22" t="n">
        <v>103700</v>
      </c>
      <c r="P3607" s="22" t="n">
        <v>305</v>
      </c>
      <c r="Q3607" s="22" t="n">
        <v>103700</v>
      </c>
      <c r="R3607" s="42">
        <f>+L3607+N3607-P3607</f>
        <v/>
      </c>
      <c r="S3607" s="42">
        <f>+M3607+O3607-Q3607</f>
        <v/>
      </c>
    </row>
    <row r="3608" ht="30" customHeight="1">
      <c r="A3608" s="16" t="n">
        <v>45958</v>
      </c>
      <c r="B3608" s="17" t="inlineStr">
        <is>
          <t>MH2510-80</t>
        </is>
      </c>
      <c r="C3608" s="16" t="n">
        <v>45958</v>
      </c>
      <c r="D3608" s="17" t="inlineStr">
        <is>
          <t>00004254</t>
        </is>
      </c>
      <c r="E3608" s="16" t="n">
        <v>45958</v>
      </c>
      <c r="F3608" s="16" t="inlineStr">
        <is>
          <t>XK2510-64</t>
        </is>
      </c>
      <c r="G3608" s="16" t="n">
        <v>45958</v>
      </c>
      <c r="H3608" s="17" t="inlineStr">
        <is>
          <t>CÔNG TY CỔ PHẦN CÔNG NGHIỆP VÀ THƯƠNG MẠI CƯỜNG THỊNH</t>
        </is>
      </c>
      <c r="I3608" s="17" t="inlineStr">
        <is>
          <t>Bulong Din 933 8.8 ZP M16x50</t>
        </is>
      </c>
      <c r="J3608" s="17" t="inlineStr">
        <is>
          <t>Cái</t>
        </is>
      </c>
      <c r="K3608" s="19" t="n">
        <v>3470</v>
      </c>
      <c r="L3608" s="21" t="n"/>
      <c r="M3608" s="22" t="n"/>
      <c r="N3608" s="22" t="n">
        <v>66</v>
      </c>
      <c r="O3608" s="22" t="n">
        <v>229020</v>
      </c>
      <c r="P3608" s="22" t="n">
        <v>66</v>
      </c>
      <c r="Q3608" s="22" t="n">
        <v>229020</v>
      </c>
      <c r="R3608" s="42">
        <f>+L3608+N3608-P3608</f>
        <v/>
      </c>
      <c r="S3608" s="42">
        <f>+M3608+O3608-Q3608</f>
        <v/>
      </c>
    </row>
    <row r="3609" ht="30" customHeight="1">
      <c r="A3609" s="16" t="n">
        <v>45958</v>
      </c>
      <c r="B3609" s="17" t="inlineStr">
        <is>
          <t>MH2510-80</t>
        </is>
      </c>
      <c r="C3609" s="16" t="n">
        <v>45958</v>
      </c>
      <c r="D3609" s="17" t="inlineStr">
        <is>
          <t>00004254</t>
        </is>
      </c>
      <c r="E3609" s="16" t="n">
        <v>45958</v>
      </c>
      <c r="F3609" s="16" t="inlineStr">
        <is>
          <t>XK2510-64</t>
        </is>
      </c>
      <c r="G3609" s="16" t="n">
        <v>45958</v>
      </c>
      <c r="H3609" s="17" t="inlineStr">
        <is>
          <t>CÔNG TY CỔ PHẦN CÔNG NGHIỆP VÀ THƯƠNG MẠI CƯỜNG THỊNH</t>
        </is>
      </c>
      <c r="I3609" s="17" t="inlineStr">
        <is>
          <t>Đai ốc Din 934 8 ZP M16</t>
        </is>
      </c>
      <c r="J3609" s="17" t="inlineStr">
        <is>
          <t>Cái</t>
        </is>
      </c>
      <c r="K3609" s="19" t="n">
        <v>1080</v>
      </c>
      <c r="L3609" s="21" t="n"/>
      <c r="M3609" s="22" t="n"/>
      <c r="N3609" s="22" t="n">
        <v>66</v>
      </c>
      <c r="O3609" s="22" t="n">
        <v>71280</v>
      </c>
      <c r="P3609" s="22" t="n">
        <v>66</v>
      </c>
      <c r="Q3609" s="22" t="n">
        <v>71280</v>
      </c>
      <c r="R3609" s="42">
        <f>+L3609+N3609-P3609</f>
        <v/>
      </c>
      <c r="S3609" s="42">
        <f>+M3609+O3609-Q3609</f>
        <v/>
      </c>
    </row>
    <row r="3610" ht="30" customHeight="1">
      <c r="A3610" s="16" t="n">
        <v>45958</v>
      </c>
      <c r="B3610" s="17" t="inlineStr">
        <is>
          <t>MH2510-80</t>
        </is>
      </c>
      <c r="C3610" s="16" t="n">
        <v>45958</v>
      </c>
      <c r="D3610" s="17" t="inlineStr">
        <is>
          <t>00004254</t>
        </is>
      </c>
      <c r="E3610" s="16" t="n">
        <v>45958</v>
      </c>
      <c r="F3610" s="16" t="inlineStr">
        <is>
          <t>XK2510-64</t>
        </is>
      </c>
      <c r="G3610" s="16" t="n">
        <v>45958</v>
      </c>
      <c r="H3610" s="17" t="inlineStr">
        <is>
          <t>CÔNG TY CỔ PHẦN CÔNG NGHIỆP VÀ THƯƠNG MẠI CƯỜNG THỊNH</t>
        </is>
      </c>
      <c r="I3610" s="17" t="inlineStr">
        <is>
          <t>Long đền thường ZP M16B30D2</t>
        </is>
      </c>
      <c r="J3610" s="17" t="inlineStr">
        <is>
          <t>Cái</t>
        </is>
      </c>
      <c r="K3610" s="19" t="n">
        <v>340</v>
      </c>
      <c r="L3610" s="21" t="n"/>
      <c r="M3610" s="22" t="n"/>
      <c r="N3610" s="22" t="n">
        <v>66</v>
      </c>
      <c r="O3610" s="22" t="n">
        <v>22440</v>
      </c>
      <c r="P3610" s="22" t="n">
        <v>66</v>
      </c>
      <c r="Q3610" s="22" t="n">
        <v>22440</v>
      </c>
      <c r="R3610" s="42">
        <f>+L3610+N3610-P3610</f>
        <v/>
      </c>
      <c r="S3610" s="42">
        <f>+M3610+O3610-Q3610</f>
        <v/>
      </c>
    </row>
    <row r="3611" ht="30" customHeight="1">
      <c r="A3611" s="16" t="n">
        <v>45958</v>
      </c>
      <c r="B3611" s="17" t="inlineStr">
        <is>
          <t>MH2510-80</t>
        </is>
      </c>
      <c r="C3611" s="16" t="n">
        <v>45958</v>
      </c>
      <c r="D3611" s="17" t="inlineStr">
        <is>
          <t>00004254</t>
        </is>
      </c>
      <c r="E3611" s="16" t="n">
        <v>45958</v>
      </c>
      <c r="F3611" s="16" t="inlineStr">
        <is>
          <t>XK2510-64</t>
        </is>
      </c>
      <c r="G3611" s="16" t="n">
        <v>45958</v>
      </c>
      <c r="H3611" s="17" t="inlineStr">
        <is>
          <t>CÔNG TY CỔ PHẦN CÔNG NGHIỆP VÀ THƯƠNG MẠI CƯỜNG THỊNH</t>
        </is>
      </c>
      <c r="I3611" s="17" t="inlineStr">
        <is>
          <t>Bulong Din 933 8.8 ZP M20x60</t>
        </is>
      </c>
      <c r="J3611" s="17" t="inlineStr">
        <is>
          <t>Cái</t>
        </is>
      </c>
      <c r="K3611" s="19" t="n">
        <v>6360</v>
      </c>
      <c r="L3611" s="21" t="n"/>
      <c r="M3611" s="22" t="n"/>
      <c r="N3611" s="22" t="n">
        <v>894</v>
      </c>
      <c r="O3611" s="22" t="n">
        <v>5685840</v>
      </c>
      <c r="P3611" s="22" t="n">
        <v>894</v>
      </c>
      <c r="Q3611" s="22" t="n">
        <v>5685840</v>
      </c>
      <c r="R3611" s="42">
        <f>+L3611+N3611-P3611</f>
        <v/>
      </c>
      <c r="S3611" s="42">
        <f>+M3611+O3611-Q3611</f>
        <v/>
      </c>
    </row>
    <row r="3612" ht="30" customHeight="1">
      <c r="A3612" s="16" t="n">
        <v>45958</v>
      </c>
      <c r="B3612" s="17" t="inlineStr">
        <is>
          <t>MH2510-80</t>
        </is>
      </c>
      <c r="C3612" s="16" t="n">
        <v>45958</v>
      </c>
      <c r="D3612" s="17" t="inlineStr">
        <is>
          <t>00004254</t>
        </is>
      </c>
      <c r="E3612" s="16" t="n">
        <v>45958</v>
      </c>
      <c r="F3612" s="16" t="inlineStr">
        <is>
          <t>XK2510-64</t>
        </is>
      </c>
      <c r="G3612" s="16" t="n">
        <v>45958</v>
      </c>
      <c r="H3612" s="17" t="inlineStr">
        <is>
          <t>CÔNG TY CỔ PHẦN CÔNG NGHIỆP VÀ THƯƠNG MẠI CƯỜNG THỊNH</t>
        </is>
      </c>
      <c r="I3612" s="17" t="inlineStr">
        <is>
          <t>Đai ốc Din 934 8 ZP M20</t>
        </is>
      </c>
      <c r="J3612" s="17" t="inlineStr">
        <is>
          <t>Cái</t>
        </is>
      </c>
      <c r="K3612" s="19" t="n">
        <v>2030</v>
      </c>
      <c r="L3612" s="21" t="n"/>
      <c r="M3612" s="22" t="n"/>
      <c r="N3612" s="22" t="n">
        <v>894</v>
      </c>
      <c r="O3612" s="22" t="n">
        <v>1814820</v>
      </c>
      <c r="P3612" s="22" t="n">
        <v>894</v>
      </c>
      <c r="Q3612" s="22" t="n">
        <v>1814820</v>
      </c>
      <c r="R3612" s="42">
        <f>+L3612+N3612-P3612</f>
        <v/>
      </c>
      <c r="S3612" s="42">
        <f>+M3612+O3612-Q3612</f>
        <v/>
      </c>
    </row>
    <row r="3613" ht="30" customHeight="1">
      <c r="A3613" s="16" t="n">
        <v>45958</v>
      </c>
      <c r="B3613" s="17" t="inlineStr">
        <is>
          <t>MH2510-80</t>
        </is>
      </c>
      <c r="C3613" s="16" t="n">
        <v>45958</v>
      </c>
      <c r="D3613" s="17" t="inlineStr">
        <is>
          <t>00004254</t>
        </is>
      </c>
      <c r="E3613" s="16" t="n">
        <v>45958</v>
      </c>
      <c r="F3613" s="16" t="inlineStr">
        <is>
          <t>XK2510-64</t>
        </is>
      </c>
      <c r="G3613" s="16" t="n">
        <v>45958</v>
      </c>
      <c r="H3613" s="17" t="inlineStr">
        <is>
          <t>CÔNG TY CỔ PHẦN CÔNG NGHIỆP VÀ THƯƠNG MẠI CƯỜNG THỊNH</t>
        </is>
      </c>
      <c r="I3613" s="17" t="inlineStr">
        <is>
          <t>Long đền thường ZP M20B35D2</t>
        </is>
      </c>
      <c r="J3613" s="17" t="inlineStr">
        <is>
          <t>Cái</t>
        </is>
      </c>
      <c r="K3613" s="19" t="n">
        <v>350</v>
      </c>
      <c r="L3613" s="21" t="n"/>
      <c r="M3613" s="22" t="n"/>
      <c r="N3613" s="22" t="n">
        <v>894</v>
      </c>
      <c r="O3613" s="22" t="n">
        <v>312900</v>
      </c>
      <c r="P3613" s="22" t="n">
        <v>894</v>
      </c>
      <c r="Q3613" s="22" t="n">
        <v>312900</v>
      </c>
      <c r="R3613" s="42">
        <f>+L3613+N3613-P3613</f>
        <v/>
      </c>
      <c r="S3613" s="42">
        <f>+M3613+O3613-Q3613</f>
        <v/>
      </c>
    </row>
    <row r="3614" ht="30" customHeight="1">
      <c r="A3614" s="16" t="n">
        <v>45958</v>
      </c>
      <c r="B3614" s="17" t="inlineStr">
        <is>
          <t>MH2510-80</t>
        </is>
      </c>
      <c r="C3614" s="16" t="n">
        <v>45958</v>
      </c>
      <c r="D3614" s="17" t="inlineStr">
        <is>
          <t>00004254</t>
        </is>
      </c>
      <c r="E3614" s="16" t="n">
        <v>45958</v>
      </c>
      <c r="F3614" s="16" t="inlineStr">
        <is>
          <t>XK2510-64</t>
        </is>
      </c>
      <c r="G3614" s="16" t="n">
        <v>45958</v>
      </c>
      <c r="H3614" s="17" t="inlineStr">
        <is>
          <t>CÔNG TY CỔ PHẦN CÔNG NGHIỆP VÀ THƯƠNG MẠI CƯỜNG THỊNH</t>
        </is>
      </c>
      <c r="I3614" s="17" t="inlineStr">
        <is>
          <t>Bulong Din 933 8.8 ZP M20x50</t>
        </is>
      </c>
      <c r="J3614" s="17" t="inlineStr">
        <is>
          <t>Cái</t>
        </is>
      </c>
      <c r="K3614" s="19" t="n">
        <v>5760</v>
      </c>
      <c r="L3614" s="21" t="n"/>
      <c r="M3614" s="22" t="n"/>
      <c r="N3614" s="22" t="n">
        <v>74</v>
      </c>
      <c r="O3614" s="22" t="n">
        <v>426240</v>
      </c>
      <c r="P3614" s="22" t="n">
        <v>74</v>
      </c>
      <c r="Q3614" s="22" t="n">
        <v>426240</v>
      </c>
      <c r="R3614" s="42">
        <f>+L3614+N3614-P3614</f>
        <v/>
      </c>
      <c r="S3614" s="42">
        <f>+M3614+O3614-Q3614</f>
        <v/>
      </c>
    </row>
    <row r="3615" ht="30" customHeight="1">
      <c r="A3615" s="16" t="n">
        <v>45958</v>
      </c>
      <c r="B3615" s="17" t="inlineStr">
        <is>
          <t>MH2510-80</t>
        </is>
      </c>
      <c r="C3615" s="16" t="n">
        <v>45958</v>
      </c>
      <c r="D3615" s="17" t="inlineStr">
        <is>
          <t>00004254</t>
        </is>
      </c>
      <c r="E3615" s="16" t="n">
        <v>45958</v>
      </c>
      <c r="F3615" s="16" t="inlineStr">
        <is>
          <t>XK2510-64</t>
        </is>
      </c>
      <c r="G3615" s="16" t="n">
        <v>45958</v>
      </c>
      <c r="H3615" s="17" t="inlineStr">
        <is>
          <t>CÔNG TY CỔ PHẦN CÔNG NGHIỆP VÀ THƯƠNG MẠI CƯỜNG THỊNH</t>
        </is>
      </c>
      <c r="I3615" s="17" t="inlineStr">
        <is>
          <t>Đai ốc Din 934 8 ZP M20</t>
        </is>
      </c>
      <c r="J3615" s="17" t="inlineStr">
        <is>
          <t>Cái</t>
        </is>
      </c>
      <c r="K3615" s="19" t="n">
        <v>2030</v>
      </c>
      <c r="L3615" s="21" t="n"/>
      <c r="M3615" s="22" t="n"/>
      <c r="N3615" s="22" t="n">
        <v>74</v>
      </c>
      <c r="O3615" s="22" t="n">
        <v>150220</v>
      </c>
      <c r="P3615" s="22" t="n">
        <v>74</v>
      </c>
      <c r="Q3615" s="22" t="n">
        <v>150220</v>
      </c>
      <c r="R3615" s="42">
        <f>+L3615+N3615-P3615</f>
        <v/>
      </c>
      <c r="S3615" s="42">
        <f>+M3615+O3615-Q3615</f>
        <v/>
      </c>
    </row>
    <row r="3616" ht="30" customHeight="1">
      <c r="A3616" s="16" t="n">
        <v>45958</v>
      </c>
      <c r="B3616" s="17" t="inlineStr">
        <is>
          <t>MH2510-80</t>
        </is>
      </c>
      <c r="C3616" s="16" t="n">
        <v>45958</v>
      </c>
      <c r="D3616" s="17" t="inlineStr">
        <is>
          <t>00004254</t>
        </is>
      </c>
      <c r="E3616" s="16" t="n">
        <v>45958</v>
      </c>
      <c r="F3616" s="16" t="inlineStr">
        <is>
          <t>XK2510-64</t>
        </is>
      </c>
      <c r="G3616" s="16" t="n">
        <v>45958</v>
      </c>
      <c r="H3616" s="17" t="inlineStr">
        <is>
          <t>CÔNG TY CỔ PHẦN CÔNG NGHIỆP VÀ THƯƠNG MẠI CƯỜNG THỊNH</t>
        </is>
      </c>
      <c r="I3616" s="17" t="inlineStr">
        <is>
          <t>Long đền thường ZP M20B35D2</t>
        </is>
      </c>
      <c r="J3616" s="17" t="inlineStr">
        <is>
          <t>Cái</t>
        </is>
      </c>
      <c r="K3616" s="19" t="n">
        <v>350</v>
      </c>
      <c r="L3616" s="21" t="n"/>
      <c r="M3616" s="22" t="n"/>
      <c r="N3616" s="22" t="n">
        <v>74</v>
      </c>
      <c r="O3616" s="22" t="n">
        <v>25900</v>
      </c>
      <c r="P3616" s="22" t="n">
        <v>74</v>
      </c>
      <c r="Q3616" s="22" t="n">
        <v>25900</v>
      </c>
      <c r="R3616" s="42">
        <f>+L3616+N3616-P3616</f>
        <v/>
      </c>
      <c r="S3616" s="42">
        <f>+M3616+O3616-Q3616</f>
        <v/>
      </c>
    </row>
    <row r="3617" ht="30" customHeight="1">
      <c r="A3617" s="16" t="n">
        <v>45958</v>
      </c>
      <c r="B3617" s="17" t="inlineStr">
        <is>
          <t>MH2510-80</t>
        </is>
      </c>
      <c r="C3617" s="16" t="n">
        <v>45958</v>
      </c>
      <c r="D3617" s="17" t="inlineStr">
        <is>
          <t>00004254</t>
        </is>
      </c>
      <c r="E3617" s="16" t="n">
        <v>45958</v>
      </c>
      <c r="F3617" s="16" t="inlineStr">
        <is>
          <t>XK2510-64</t>
        </is>
      </c>
      <c r="G3617" s="16" t="n">
        <v>45958</v>
      </c>
      <c r="H3617" s="17" t="inlineStr">
        <is>
          <t>CÔNG TY CỔ PHẦN CÔNG NGHIỆP VÀ THƯƠNG MẠI CƯỜNG THỊNH</t>
        </is>
      </c>
      <c r="I3617" s="17" t="inlineStr">
        <is>
          <t>Vít B2 Dacromet 12-14x20</t>
        </is>
      </c>
      <c r="J3617" s="17" t="inlineStr">
        <is>
          <t>Cái</t>
        </is>
      </c>
      <c r="K3617" s="19" t="n">
        <v>600</v>
      </c>
      <c r="L3617" s="21" t="n"/>
      <c r="M3617" s="22" t="n"/>
      <c r="N3617" s="22" t="n">
        <v>600</v>
      </c>
      <c r="O3617" s="22" t="n">
        <v>360000</v>
      </c>
      <c r="P3617" s="22" t="n">
        <v>600</v>
      </c>
      <c r="Q3617" s="22" t="n">
        <v>360000</v>
      </c>
      <c r="R3617" s="42">
        <f>+L3617+N3617-P3617</f>
        <v/>
      </c>
      <c r="S3617" s="42">
        <f>+M3617+O3617-Q3617</f>
        <v/>
      </c>
    </row>
    <row r="3618" ht="30" customHeight="1">
      <c r="A3618" s="16" t="n">
        <v>45958</v>
      </c>
      <c r="B3618" s="17" t="inlineStr">
        <is>
          <t>MH2510-81</t>
        </is>
      </c>
      <c r="C3618" s="16" t="n">
        <v>45958</v>
      </c>
      <c r="D3618" s="17" t="inlineStr">
        <is>
          <t>00004257</t>
        </is>
      </c>
      <c r="E3618" s="16" t="n">
        <v>45958</v>
      </c>
      <c r="F3618" s="16" t="inlineStr">
        <is>
          <t>XK2510-65</t>
        </is>
      </c>
      <c r="G3618" s="16" t="n">
        <v>45958</v>
      </c>
      <c r="H3618" s="17" t="inlineStr">
        <is>
          <t>CÔNG TY CỔ PHẦN CÔNG NGHIỆP VÀ THƯƠNG MẠI CƯỜNG THỊNH</t>
        </is>
      </c>
      <c r="I3618" s="17" t="inlineStr">
        <is>
          <t>Ty giằng 2 đầu ren 4.6 ZP M16</t>
        </is>
      </c>
      <c r="J3618" s="17" t="inlineStr">
        <is>
          <t>Mét</t>
        </is>
      </c>
      <c r="K3618" s="19" t="n">
        <v>48000</v>
      </c>
      <c r="L3618" s="21" t="n"/>
      <c r="M3618" s="22" t="n"/>
      <c r="N3618" s="22" t="n">
        <v>132.7</v>
      </c>
      <c r="O3618" s="22" t="n">
        <v>6369600</v>
      </c>
      <c r="P3618" s="22" t="n">
        <v>132.7</v>
      </c>
      <c r="Q3618" s="22" t="n">
        <v>6369600</v>
      </c>
      <c r="R3618" s="42">
        <f>+L3618+N3618-P3618</f>
        <v/>
      </c>
      <c r="S3618" s="42">
        <f>+M3618+O3618-Q3618</f>
        <v/>
      </c>
    </row>
    <row r="3619" ht="30" customHeight="1">
      <c r="A3619" s="16" t="n">
        <v>45958</v>
      </c>
      <c r="B3619" s="17" t="inlineStr">
        <is>
          <t>MH2510-81</t>
        </is>
      </c>
      <c r="C3619" s="16" t="n">
        <v>45958</v>
      </c>
      <c r="D3619" s="17" t="inlineStr">
        <is>
          <t>00004257</t>
        </is>
      </c>
      <c r="E3619" s="16" t="n">
        <v>45958</v>
      </c>
      <c r="F3619" s="16" t="inlineStr">
        <is>
          <t>XK2510-65</t>
        </is>
      </c>
      <c r="G3619" s="16" t="n">
        <v>45958</v>
      </c>
      <c r="H3619" s="17" t="inlineStr">
        <is>
          <t>CÔNG TY CỔ PHẦN CÔNG NGHIỆP VÀ THƯƠNG MẠI CƯỜNG THỊNH</t>
        </is>
      </c>
      <c r="I3619" s="17" t="inlineStr">
        <is>
          <t>Đai ốc Din 934 5 ZP M16</t>
        </is>
      </c>
      <c r="J3619" s="17" t="inlineStr">
        <is>
          <t>Cái</t>
        </is>
      </c>
      <c r="K3619" s="19" t="n">
        <v>990</v>
      </c>
      <c r="L3619" s="21" t="n"/>
      <c r="M3619" s="22" t="n"/>
      <c r="N3619" s="22" t="n">
        <v>72</v>
      </c>
      <c r="O3619" s="22" t="n">
        <v>71280</v>
      </c>
      <c r="P3619" s="22" t="n">
        <v>72</v>
      </c>
      <c r="Q3619" s="22" t="n">
        <v>71280</v>
      </c>
      <c r="R3619" s="42">
        <f>+L3619+N3619-P3619</f>
        <v/>
      </c>
      <c r="S3619" s="42">
        <f>+M3619+O3619-Q3619</f>
        <v/>
      </c>
    </row>
    <row r="3620" ht="30" customHeight="1">
      <c r="A3620" s="16" t="n">
        <v>45958</v>
      </c>
      <c r="B3620" s="17" t="inlineStr">
        <is>
          <t>MH2510-81</t>
        </is>
      </c>
      <c r="C3620" s="16" t="n">
        <v>45958</v>
      </c>
      <c r="D3620" s="17" t="inlineStr">
        <is>
          <t>00004257</t>
        </is>
      </c>
      <c r="E3620" s="16" t="n">
        <v>45958</v>
      </c>
      <c r="F3620" s="16" t="inlineStr">
        <is>
          <t>XK2510-65</t>
        </is>
      </c>
      <c r="G3620" s="16" t="n">
        <v>45958</v>
      </c>
      <c r="H3620" s="17" t="inlineStr">
        <is>
          <t>CÔNG TY CỔ PHẦN CÔNG NGHIỆP VÀ THƯƠNG MẠI CƯỜNG THỊNH</t>
        </is>
      </c>
      <c r="I3620" s="17" t="inlineStr">
        <is>
          <t>Long đền thường ZP M16B42D2</t>
        </is>
      </c>
      <c r="J3620" s="17" t="inlineStr">
        <is>
          <t>Cái</t>
        </is>
      </c>
      <c r="K3620" s="19" t="n">
        <v>700</v>
      </c>
      <c r="L3620" s="21" t="n"/>
      <c r="M3620" s="22" t="n"/>
      <c r="N3620" s="22" t="n">
        <v>72</v>
      </c>
      <c r="O3620" s="22" t="n">
        <v>50400</v>
      </c>
      <c r="P3620" s="22" t="n">
        <v>72</v>
      </c>
      <c r="Q3620" s="22" t="n">
        <v>50400</v>
      </c>
      <c r="R3620" s="42">
        <f>+L3620+N3620-P3620</f>
        <v/>
      </c>
      <c r="S3620" s="42">
        <f>+M3620+O3620-Q3620</f>
        <v/>
      </c>
    </row>
    <row r="3621" ht="30" customHeight="1">
      <c r="A3621" s="16" t="n">
        <v>45958</v>
      </c>
      <c r="B3621" s="17" t="inlineStr">
        <is>
          <t>MH2510-81</t>
        </is>
      </c>
      <c r="C3621" s="16" t="n">
        <v>45958</v>
      </c>
      <c r="D3621" s="17" t="inlineStr">
        <is>
          <t>00004257</t>
        </is>
      </c>
      <c r="E3621" s="16" t="n">
        <v>45958</v>
      </c>
      <c r="F3621" s="16" t="inlineStr">
        <is>
          <t>XK2510-65</t>
        </is>
      </c>
      <c r="G3621" s="16" t="n">
        <v>45958</v>
      </c>
      <c r="H3621" s="17" t="inlineStr">
        <is>
          <t>CÔNG TY CỔ PHẦN CÔNG NGHIỆP VÀ THƯƠNG MẠI CƯỜNG THỊNH</t>
        </is>
      </c>
      <c r="I3621" s="17" t="inlineStr">
        <is>
          <t>Long đền móng ngựa ZP M16</t>
        </is>
      </c>
      <c r="J3621" s="17" t="inlineStr">
        <is>
          <t>Cái</t>
        </is>
      </c>
      <c r="K3621" s="19" t="n">
        <v>14830</v>
      </c>
      <c r="L3621" s="21" t="n"/>
      <c r="M3621" s="22" t="n"/>
      <c r="N3621" s="22" t="n">
        <v>72</v>
      </c>
      <c r="O3621" s="22" t="n">
        <v>1067760</v>
      </c>
      <c r="P3621" s="22" t="n">
        <v>72</v>
      </c>
      <c r="Q3621" s="22" t="n">
        <v>1067760</v>
      </c>
      <c r="R3621" s="42">
        <f>+L3621+N3621-P3621</f>
        <v/>
      </c>
      <c r="S3621" s="42">
        <f>+M3621+O3621-Q3621</f>
        <v/>
      </c>
    </row>
    <row r="3622" ht="30" customHeight="1">
      <c r="A3622" s="16" t="n">
        <v>45958</v>
      </c>
      <c r="B3622" s="17" t="inlineStr">
        <is>
          <t>MH2510-82</t>
        </is>
      </c>
      <c r="C3622" s="16" t="n">
        <v>45958</v>
      </c>
      <c r="D3622" s="17" t="inlineStr">
        <is>
          <t>00004258</t>
        </is>
      </c>
      <c r="E3622" s="16" t="n">
        <v>45958</v>
      </c>
      <c r="F3622" s="16" t="inlineStr">
        <is>
          <t>XK2510-66</t>
        </is>
      </c>
      <c r="G3622" s="16" t="n">
        <v>45958</v>
      </c>
      <c r="H3622" s="17" t="inlineStr">
        <is>
          <t>CÔNG TY CỔ PHẦN CÔNG NGHIỆP VÀ THƯƠNG MẠI CƯỜNG THỊNH</t>
        </is>
      </c>
      <c r="I3622" s="17" t="inlineStr">
        <is>
          <t>Đai ốc Din 934 8 ZP M16</t>
        </is>
      </c>
      <c r="J3622" s="17" t="inlineStr">
        <is>
          <t>Cái</t>
        </is>
      </c>
      <c r="K3622" s="19" t="n">
        <v>1080</v>
      </c>
      <c r="L3622" s="21" t="n"/>
      <c r="M3622" s="22" t="n"/>
      <c r="N3622" s="22" t="n">
        <v>100</v>
      </c>
      <c r="O3622" s="22" t="n">
        <v>108000</v>
      </c>
      <c r="P3622" s="22" t="n">
        <v>100</v>
      </c>
      <c r="Q3622" s="22" t="n">
        <v>108000</v>
      </c>
      <c r="R3622" s="42">
        <f>+L3622+N3622-P3622</f>
        <v/>
      </c>
      <c r="S3622" s="42">
        <f>+M3622+O3622-Q3622</f>
        <v/>
      </c>
    </row>
    <row r="3623" ht="30" customHeight="1">
      <c r="A3623" s="16" t="n">
        <v>45958</v>
      </c>
      <c r="B3623" s="17" t="inlineStr">
        <is>
          <t>MH2510-83</t>
        </is>
      </c>
      <c r="C3623" s="16" t="n">
        <v>45958</v>
      </c>
      <c r="D3623" s="17" t="inlineStr">
        <is>
          <t>00004255</t>
        </is>
      </c>
      <c r="E3623" s="16" t="n">
        <v>45958</v>
      </c>
      <c r="F3623" s="16" t="inlineStr">
        <is>
          <t>XK2510-67</t>
        </is>
      </c>
      <c r="G3623" s="16" t="n">
        <v>45958</v>
      </c>
      <c r="H3623" s="17" t="inlineStr">
        <is>
          <t>CÔNG TY CỔ PHẦN CÔNG NGHIỆP VÀ THƯƠNG MẠI CƯỜNG THỊNH</t>
        </is>
      </c>
      <c r="I3623" s="17" t="inlineStr">
        <is>
          <t>Bulong thường 4.6 ZP M12x30</t>
        </is>
      </c>
      <c r="J3623" s="17" t="inlineStr">
        <is>
          <t>Cái</t>
        </is>
      </c>
      <c r="K3623" s="19" t="n">
        <v>950</v>
      </c>
      <c r="L3623" s="21" t="n"/>
      <c r="M3623" s="22" t="n"/>
      <c r="N3623" s="22" t="n">
        <v>1121</v>
      </c>
      <c r="O3623" s="22" t="n">
        <v>1064950</v>
      </c>
      <c r="P3623" s="22" t="n">
        <v>1121</v>
      </c>
      <c r="Q3623" s="22" t="n">
        <v>1064950</v>
      </c>
      <c r="R3623" s="42">
        <f>+L3623+N3623-P3623</f>
        <v/>
      </c>
      <c r="S3623" s="42">
        <f>+M3623+O3623-Q3623</f>
        <v/>
      </c>
    </row>
    <row r="3624" ht="30" customHeight="1">
      <c r="A3624" s="16" t="n">
        <v>45958</v>
      </c>
      <c r="B3624" s="17" t="inlineStr">
        <is>
          <t>MH2510-83</t>
        </is>
      </c>
      <c r="C3624" s="16" t="n">
        <v>45958</v>
      </c>
      <c r="D3624" s="17" t="inlineStr">
        <is>
          <t>00004255</t>
        </is>
      </c>
      <c r="E3624" s="16" t="n">
        <v>45958</v>
      </c>
      <c r="F3624" s="16" t="inlineStr">
        <is>
          <t>XK2510-67</t>
        </is>
      </c>
      <c r="G3624" s="16" t="n">
        <v>45958</v>
      </c>
      <c r="H3624" s="17" t="inlineStr">
        <is>
          <t>CÔNG TY CỔ PHẦN CÔNG NGHIỆP VÀ THƯƠNG MẠI CƯỜNG THỊNH</t>
        </is>
      </c>
      <c r="I3624" s="17" t="inlineStr">
        <is>
          <t>Đai ốc thường 4 ZP M12 (8mm)</t>
        </is>
      </c>
      <c r="J3624" s="17" t="inlineStr">
        <is>
          <t>Cái</t>
        </is>
      </c>
      <c r="K3624" s="19" t="n">
        <v>360</v>
      </c>
      <c r="L3624" s="21" t="n"/>
      <c r="M3624" s="22" t="n"/>
      <c r="N3624" s="22" t="n">
        <v>1121</v>
      </c>
      <c r="O3624" s="22" t="n">
        <v>403560</v>
      </c>
      <c r="P3624" s="22" t="n">
        <v>1121</v>
      </c>
      <c r="Q3624" s="22" t="n">
        <v>403560</v>
      </c>
      <c r="R3624" s="42">
        <f>+L3624+N3624-P3624</f>
        <v/>
      </c>
      <c r="S3624" s="42">
        <f>+M3624+O3624-Q3624</f>
        <v/>
      </c>
    </row>
    <row r="3625" ht="30" customHeight="1">
      <c r="A3625" s="16" t="n">
        <v>45958</v>
      </c>
      <c r="B3625" s="17" t="inlineStr">
        <is>
          <t>MH2510-83</t>
        </is>
      </c>
      <c r="C3625" s="16" t="n">
        <v>45958</v>
      </c>
      <c r="D3625" s="17" t="inlineStr">
        <is>
          <t>00004255</t>
        </is>
      </c>
      <c r="E3625" s="16" t="n">
        <v>45958</v>
      </c>
      <c r="F3625" s="16" t="inlineStr">
        <is>
          <t>XK2510-67</t>
        </is>
      </c>
      <c r="G3625" s="16" t="n">
        <v>45958</v>
      </c>
      <c r="H3625" s="17" t="inlineStr">
        <is>
          <t>CÔNG TY CỔ PHẦN CÔNG NGHIỆP VÀ THƯƠNG MẠI CƯỜNG THỊNH</t>
        </is>
      </c>
      <c r="I3625" s="17" t="inlineStr">
        <is>
          <t>Long đền thường ZP M12B23D1</t>
        </is>
      </c>
      <c r="J3625" s="17" t="inlineStr">
        <is>
          <t>Cái</t>
        </is>
      </c>
      <c r="K3625" s="19" t="n">
        <v>100</v>
      </c>
      <c r="L3625" s="21" t="n"/>
      <c r="M3625" s="22" t="n"/>
      <c r="N3625" s="22" t="n">
        <v>2242</v>
      </c>
      <c r="O3625" s="22" t="n">
        <v>224200</v>
      </c>
      <c r="P3625" s="22" t="n">
        <v>2242</v>
      </c>
      <c r="Q3625" s="22" t="n">
        <v>224200</v>
      </c>
      <c r="R3625" s="42">
        <f>+L3625+N3625-P3625</f>
        <v/>
      </c>
      <c r="S3625" s="42">
        <f>+M3625+O3625-Q3625</f>
        <v/>
      </c>
    </row>
    <row r="3626" ht="30" customHeight="1">
      <c r="A3626" s="16" t="n">
        <v>45958</v>
      </c>
      <c r="B3626" s="17" t="inlineStr">
        <is>
          <t>MH2510-83</t>
        </is>
      </c>
      <c r="C3626" s="16" t="n">
        <v>45958</v>
      </c>
      <c r="D3626" s="17" t="inlineStr">
        <is>
          <t>00004255</t>
        </is>
      </c>
      <c r="E3626" s="16" t="n">
        <v>45958</v>
      </c>
      <c r="F3626" s="16" t="inlineStr">
        <is>
          <t>XK2510-67</t>
        </is>
      </c>
      <c r="G3626" s="16" t="n">
        <v>45958</v>
      </c>
      <c r="H3626" s="17" t="inlineStr">
        <is>
          <t>CÔNG TY CỔ PHẦN CÔNG NGHIỆP VÀ THƯƠNG MẠI CƯỜNG THỊNH</t>
        </is>
      </c>
      <c r="I3626" s="17" t="inlineStr">
        <is>
          <t>Bulong Din 933 8.8 ZP M16x40</t>
        </is>
      </c>
      <c r="J3626" s="17" t="inlineStr">
        <is>
          <t>Cái</t>
        </is>
      </c>
      <c r="K3626" s="19" t="n">
        <v>3030</v>
      </c>
      <c r="L3626" s="21" t="n"/>
      <c r="M3626" s="22" t="n"/>
      <c r="N3626" s="22" t="n">
        <v>733</v>
      </c>
      <c r="O3626" s="22" t="n">
        <v>2220990</v>
      </c>
      <c r="P3626" s="22" t="n">
        <v>733</v>
      </c>
      <c r="Q3626" s="22" t="n">
        <v>2220990</v>
      </c>
      <c r="R3626" s="42">
        <f>+L3626+N3626-P3626</f>
        <v/>
      </c>
      <c r="S3626" s="42">
        <f>+M3626+O3626-Q3626</f>
        <v/>
      </c>
    </row>
    <row r="3627" ht="30" customHeight="1">
      <c r="A3627" s="16" t="n">
        <v>45958</v>
      </c>
      <c r="B3627" s="17" t="inlineStr">
        <is>
          <t>MH2510-83</t>
        </is>
      </c>
      <c r="C3627" s="16" t="n">
        <v>45958</v>
      </c>
      <c r="D3627" s="17" t="inlineStr">
        <is>
          <t>00004255</t>
        </is>
      </c>
      <c r="E3627" s="16" t="n">
        <v>45958</v>
      </c>
      <c r="F3627" s="16" t="inlineStr">
        <is>
          <t>XK2510-67</t>
        </is>
      </c>
      <c r="G3627" s="16" t="n">
        <v>45958</v>
      </c>
      <c r="H3627" s="17" t="inlineStr">
        <is>
          <t>CÔNG TY CỔ PHẦN CÔNG NGHIỆP VÀ THƯƠNG MẠI CƯỜNG THỊNH</t>
        </is>
      </c>
      <c r="I3627" s="17" t="inlineStr">
        <is>
          <t>Đai ốc Din 934 8 ZP M16</t>
        </is>
      </c>
      <c r="J3627" s="17" t="inlineStr">
        <is>
          <t>Cái</t>
        </is>
      </c>
      <c r="K3627" s="19" t="n">
        <v>1080</v>
      </c>
      <c r="L3627" s="21" t="n"/>
      <c r="M3627" s="22" t="n"/>
      <c r="N3627" s="22" t="n">
        <v>733</v>
      </c>
      <c r="O3627" s="22" t="n">
        <v>791640</v>
      </c>
      <c r="P3627" s="22" t="n">
        <v>733</v>
      </c>
      <c r="Q3627" s="22" t="n">
        <v>791640</v>
      </c>
      <c r="R3627" s="42">
        <f>+L3627+N3627-P3627</f>
        <v/>
      </c>
      <c r="S3627" s="42">
        <f>+M3627+O3627-Q3627</f>
        <v/>
      </c>
    </row>
    <row r="3628" ht="30" customHeight="1">
      <c r="A3628" s="16" t="n">
        <v>45958</v>
      </c>
      <c r="B3628" s="17" t="inlineStr">
        <is>
          <t>MH2510-83</t>
        </is>
      </c>
      <c r="C3628" s="16" t="n">
        <v>45958</v>
      </c>
      <c r="D3628" s="17" t="inlineStr">
        <is>
          <t>00004255</t>
        </is>
      </c>
      <c r="E3628" s="16" t="n">
        <v>45958</v>
      </c>
      <c r="F3628" s="16" t="inlineStr">
        <is>
          <t>XK2510-67</t>
        </is>
      </c>
      <c r="G3628" s="16" t="n">
        <v>45958</v>
      </c>
      <c r="H3628" s="17" t="inlineStr">
        <is>
          <t>CÔNG TY CỔ PHẦN CÔNG NGHIỆP VÀ THƯƠNG MẠI CƯỜNG THỊNH</t>
        </is>
      </c>
      <c r="I3628" s="17" t="inlineStr">
        <is>
          <t>Long đền thường ZP M16B30D2</t>
        </is>
      </c>
      <c r="J3628" s="17" t="inlineStr">
        <is>
          <t>Cái</t>
        </is>
      </c>
      <c r="K3628" s="19" t="n">
        <v>340</v>
      </c>
      <c r="L3628" s="21" t="n"/>
      <c r="M3628" s="22" t="n"/>
      <c r="N3628" s="22" t="n">
        <v>733</v>
      </c>
      <c r="O3628" s="22" t="n">
        <v>249220</v>
      </c>
      <c r="P3628" s="22" t="n">
        <v>733</v>
      </c>
      <c r="Q3628" s="22" t="n">
        <v>249220</v>
      </c>
      <c r="R3628" s="42">
        <f>+L3628+N3628-P3628</f>
        <v/>
      </c>
      <c r="S3628" s="42">
        <f>+M3628+O3628-Q3628</f>
        <v/>
      </c>
    </row>
    <row r="3629" ht="30" customHeight="1">
      <c r="A3629" s="16" t="n">
        <v>45958</v>
      </c>
      <c r="B3629" s="17" t="inlineStr">
        <is>
          <t>MH2510-83</t>
        </is>
      </c>
      <c r="C3629" s="16" t="n">
        <v>45958</v>
      </c>
      <c r="D3629" s="17" t="inlineStr">
        <is>
          <t>00004255</t>
        </is>
      </c>
      <c r="E3629" s="16" t="n">
        <v>45958</v>
      </c>
      <c r="F3629" s="16" t="inlineStr">
        <is>
          <t>XK2510-67</t>
        </is>
      </c>
      <c r="G3629" s="16" t="n">
        <v>45958</v>
      </c>
      <c r="H3629" s="17" t="inlineStr">
        <is>
          <t>CÔNG TY CỔ PHẦN CÔNG NGHIỆP VÀ THƯƠNG MẠI CƯỜNG THỊNH</t>
        </is>
      </c>
      <c r="I3629" s="17" t="inlineStr">
        <is>
          <t>Bulong Din 933 8.8 ZP M16x50</t>
        </is>
      </c>
      <c r="J3629" s="17" t="inlineStr">
        <is>
          <t>Cái</t>
        </is>
      </c>
      <c r="K3629" s="19" t="n">
        <v>3470</v>
      </c>
      <c r="L3629" s="21" t="n"/>
      <c r="M3629" s="22" t="n"/>
      <c r="N3629" s="22" t="n">
        <v>165</v>
      </c>
      <c r="O3629" s="22" t="n">
        <v>572550</v>
      </c>
      <c r="P3629" s="22" t="n">
        <v>165</v>
      </c>
      <c r="Q3629" s="22" t="n">
        <v>572550</v>
      </c>
      <c r="R3629" s="42">
        <f>+L3629+N3629-P3629</f>
        <v/>
      </c>
      <c r="S3629" s="42">
        <f>+M3629+O3629-Q3629</f>
        <v/>
      </c>
    </row>
    <row r="3630" ht="30" customHeight="1">
      <c r="A3630" s="16" t="n">
        <v>45958</v>
      </c>
      <c r="B3630" s="17" t="inlineStr">
        <is>
          <t>MH2510-83</t>
        </is>
      </c>
      <c r="C3630" s="16" t="n">
        <v>45958</v>
      </c>
      <c r="D3630" s="17" t="inlineStr">
        <is>
          <t>00004255</t>
        </is>
      </c>
      <c r="E3630" s="16" t="n">
        <v>45958</v>
      </c>
      <c r="F3630" s="16" t="inlineStr">
        <is>
          <t>XK2510-67</t>
        </is>
      </c>
      <c r="G3630" s="16" t="n">
        <v>45958</v>
      </c>
      <c r="H3630" s="17" t="inlineStr">
        <is>
          <t>CÔNG TY CỔ PHẦN CÔNG NGHIỆP VÀ THƯƠNG MẠI CƯỜNG THỊNH</t>
        </is>
      </c>
      <c r="I3630" s="17" t="inlineStr">
        <is>
          <t>Đai ốc Din 934 8 ZP M16</t>
        </is>
      </c>
      <c r="J3630" s="17" t="inlineStr">
        <is>
          <t>Cái</t>
        </is>
      </c>
      <c r="K3630" s="19" t="n">
        <v>1080</v>
      </c>
      <c r="L3630" s="21" t="n"/>
      <c r="M3630" s="22" t="n"/>
      <c r="N3630" s="22" t="n">
        <v>165</v>
      </c>
      <c r="O3630" s="22" t="n">
        <v>178200</v>
      </c>
      <c r="P3630" s="22" t="n">
        <v>165</v>
      </c>
      <c r="Q3630" s="22" t="n">
        <v>178200</v>
      </c>
      <c r="R3630" s="42">
        <f>+L3630+N3630-P3630</f>
        <v/>
      </c>
      <c r="S3630" s="42">
        <f>+M3630+O3630-Q3630</f>
        <v/>
      </c>
    </row>
    <row r="3631" ht="30" customHeight="1">
      <c r="A3631" s="16" t="n">
        <v>45958</v>
      </c>
      <c r="B3631" s="17" t="inlineStr">
        <is>
          <t>MH2510-83</t>
        </is>
      </c>
      <c r="C3631" s="16" t="n">
        <v>45958</v>
      </c>
      <c r="D3631" s="17" t="inlineStr">
        <is>
          <t>00004255</t>
        </is>
      </c>
      <c r="E3631" s="16" t="n">
        <v>45958</v>
      </c>
      <c r="F3631" s="16" t="inlineStr">
        <is>
          <t>XK2510-67</t>
        </is>
      </c>
      <c r="G3631" s="16" t="n">
        <v>45958</v>
      </c>
      <c r="H3631" s="17" t="inlineStr">
        <is>
          <t>CÔNG TY CỔ PHẦN CÔNG NGHIỆP VÀ THƯƠNG MẠI CƯỜNG THỊNH</t>
        </is>
      </c>
      <c r="I3631" s="17" t="inlineStr">
        <is>
          <t>Long đền thường ZP M16B30D2</t>
        </is>
      </c>
      <c r="J3631" s="17" t="inlineStr">
        <is>
          <t>Cái</t>
        </is>
      </c>
      <c r="K3631" s="19" t="n">
        <v>340</v>
      </c>
      <c r="L3631" s="21" t="n"/>
      <c r="M3631" s="22" t="n"/>
      <c r="N3631" s="22" t="n">
        <v>165</v>
      </c>
      <c r="O3631" s="22" t="n">
        <v>56100</v>
      </c>
      <c r="P3631" s="22" t="n">
        <v>165</v>
      </c>
      <c r="Q3631" s="22" t="n">
        <v>56100</v>
      </c>
      <c r="R3631" s="42">
        <f>+L3631+N3631-P3631</f>
        <v/>
      </c>
      <c r="S3631" s="42">
        <f>+M3631+O3631-Q3631</f>
        <v/>
      </c>
    </row>
    <row r="3632" ht="30" customHeight="1">
      <c r="A3632" s="16" t="n">
        <v>45958</v>
      </c>
      <c r="B3632" s="17" t="inlineStr">
        <is>
          <t>MH2510-83</t>
        </is>
      </c>
      <c r="C3632" s="16" t="n">
        <v>45958</v>
      </c>
      <c r="D3632" s="17" t="inlineStr">
        <is>
          <t>00004255</t>
        </is>
      </c>
      <c r="E3632" s="16" t="n">
        <v>45958</v>
      </c>
      <c r="F3632" s="16" t="inlineStr">
        <is>
          <t>XK2510-67</t>
        </is>
      </c>
      <c r="G3632" s="16" t="n">
        <v>45958</v>
      </c>
      <c r="H3632" s="17" t="inlineStr">
        <is>
          <t>CÔNG TY CỔ PHẦN CÔNG NGHIỆP VÀ THƯƠNG MẠI CƯỜNG THỊNH</t>
        </is>
      </c>
      <c r="I3632" s="17" t="inlineStr">
        <is>
          <t>Bulong Din 933 8.8 ZP M20x60</t>
        </is>
      </c>
      <c r="J3632" s="17" t="inlineStr">
        <is>
          <t>Cái</t>
        </is>
      </c>
      <c r="K3632" s="19" t="n">
        <v>6360</v>
      </c>
      <c r="L3632" s="21" t="n"/>
      <c r="M3632" s="22" t="n"/>
      <c r="N3632" s="22" t="n">
        <v>2101</v>
      </c>
      <c r="O3632" s="22" t="n">
        <v>13362360</v>
      </c>
      <c r="P3632" s="22" t="n">
        <v>2101</v>
      </c>
      <c r="Q3632" s="22" t="n">
        <v>13362360</v>
      </c>
      <c r="R3632" s="42">
        <f>+L3632+N3632-P3632</f>
        <v/>
      </c>
      <c r="S3632" s="42">
        <f>+M3632+O3632-Q3632</f>
        <v/>
      </c>
    </row>
    <row r="3633" ht="30" customHeight="1">
      <c r="A3633" s="16" t="n">
        <v>45958</v>
      </c>
      <c r="B3633" s="17" t="inlineStr">
        <is>
          <t>MH2510-83</t>
        </is>
      </c>
      <c r="C3633" s="16" t="n">
        <v>45958</v>
      </c>
      <c r="D3633" s="17" t="inlineStr">
        <is>
          <t>00004255</t>
        </is>
      </c>
      <c r="E3633" s="16" t="n">
        <v>45958</v>
      </c>
      <c r="F3633" s="16" t="inlineStr">
        <is>
          <t>XK2510-67</t>
        </is>
      </c>
      <c r="G3633" s="16" t="n">
        <v>45958</v>
      </c>
      <c r="H3633" s="17" t="inlineStr">
        <is>
          <t>CÔNG TY CỔ PHẦN CÔNG NGHIỆP VÀ THƯƠNG MẠI CƯỜNG THỊNH</t>
        </is>
      </c>
      <c r="I3633" s="17" t="inlineStr">
        <is>
          <t>Đai ốc Din 934 8 ZP M20</t>
        </is>
      </c>
      <c r="J3633" s="17" t="inlineStr">
        <is>
          <t>Cái</t>
        </is>
      </c>
      <c r="K3633" s="19" t="n">
        <v>2030</v>
      </c>
      <c r="L3633" s="21" t="n"/>
      <c r="M3633" s="22" t="n"/>
      <c r="N3633" s="22" t="n">
        <v>2101</v>
      </c>
      <c r="O3633" s="22" t="n">
        <v>4265030</v>
      </c>
      <c r="P3633" s="22" t="n">
        <v>2101</v>
      </c>
      <c r="Q3633" s="22" t="n">
        <v>4265030</v>
      </c>
      <c r="R3633" s="42">
        <f>+L3633+N3633-P3633</f>
        <v/>
      </c>
      <c r="S3633" s="42">
        <f>+M3633+O3633-Q3633</f>
        <v/>
      </c>
    </row>
    <row r="3634" ht="30" customHeight="1">
      <c r="A3634" s="16" t="n">
        <v>45958</v>
      </c>
      <c r="B3634" s="17" t="inlineStr">
        <is>
          <t>MH2510-83</t>
        </is>
      </c>
      <c r="C3634" s="16" t="n">
        <v>45958</v>
      </c>
      <c r="D3634" s="17" t="inlineStr">
        <is>
          <t>00004255</t>
        </is>
      </c>
      <c r="E3634" s="16" t="n">
        <v>45958</v>
      </c>
      <c r="F3634" s="16" t="inlineStr">
        <is>
          <t>XK2510-67</t>
        </is>
      </c>
      <c r="G3634" s="16" t="n">
        <v>45958</v>
      </c>
      <c r="H3634" s="17" t="inlineStr">
        <is>
          <t>CÔNG TY CỔ PHẦN CÔNG NGHIỆP VÀ THƯƠNG MẠI CƯỜNG THỊNH</t>
        </is>
      </c>
      <c r="I3634" s="17" t="inlineStr">
        <is>
          <t>Long đền thường ZP M20B35D2</t>
        </is>
      </c>
      <c r="J3634" s="17" t="inlineStr">
        <is>
          <t>Cái</t>
        </is>
      </c>
      <c r="K3634" s="19" t="n">
        <v>350</v>
      </c>
      <c r="L3634" s="21" t="n"/>
      <c r="M3634" s="22" t="n"/>
      <c r="N3634" s="22" t="n">
        <v>2101</v>
      </c>
      <c r="O3634" s="22" t="n">
        <v>735350</v>
      </c>
      <c r="P3634" s="22" t="n">
        <v>2101</v>
      </c>
      <c r="Q3634" s="22" t="n">
        <v>735350</v>
      </c>
      <c r="R3634" s="42">
        <f>+L3634+N3634-P3634</f>
        <v/>
      </c>
      <c r="S3634" s="42">
        <f>+M3634+O3634-Q3634</f>
        <v/>
      </c>
    </row>
    <row r="3635" ht="30" customHeight="1">
      <c r="A3635" s="16" t="n">
        <v>45958</v>
      </c>
      <c r="B3635" s="17" t="inlineStr">
        <is>
          <t>MH2510-83</t>
        </is>
      </c>
      <c r="C3635" s="16" t="n">
        <v>45958</v>
      </c>
      <c r="D3635" s="17" t="inlineStr">
        <is>
          <t>00004255</t>
        </is>
      </c>
      <c r="E3635" s="16" t="n">
        <v>45958</v>
      </c>
      <c r="F3635" s="16" t="inlineStr">
        <is>
          <t>XK2510-67</t>
        </is>
      </c>
      <c r="G3635" s="16" t="n">
        <v>45958</v>
      </c>
      <c r="H3635" s="17" t="inlineStr">
        <is>
          <t>CÔNG TY CỔ PHẦN CÔNG NGHIỆP VÀ THƯƠNG MẠI CƯỜNG THỊNH</t>
        </is>
      </c>
      <c r="I3635" s="17" t="inlineStr">
        <is>
          <t>Bulong Din 933 8.8 ZP M20x50</t>
        </is>
      </c>
      <c r="J3635" s="17" t="inlineStr">
        <is>
          <t>Cái</t>
        </is>
      </c>
      <c r="K3635" s="19" t="n">
        <v>5760</v>
      </c>
      <c r="L3635" s="21" t="n"/>
      <c r="M3635" s="22" t="n"/>
      <c r="N3635" s="22" t="n">
        <v>181</v>
      </c>
      <c r="O3635" s="22" t="n">
        <v>1042560</v>
      </c>
      <c r="P3635" s="22" t="n">
        <v>181</v>
      </c>
      <c r="Q3635" s="22" t="n">
        <v>1042560</v>
      </c>
      <c r="R3635" s="42">
        <f>+L3635+N3635-P3635</f>
        <v/>
      </c>
      <c r="S3635" s="42">
        <f>+M3635+O3635-Q3635</f>
        <v/>
      </c>
    </row>
    <row r="3636" ht="30" customHeight="1">
      <c r="A3636" s="16" t="n">
        <v>45958</v>
      </c>
      <c r="B3636" s="17" t="inlineStr">
        <is>
          <t>MH2510-83</t>
        </is>
      </c>
      <c r="C3636" s="16" t="n">
        <v>45958</v>
      </c>
      <c r="D3636" s="17" t="inlineStr">
        <is>
          <t>00004255</t>
        </is>
      </c>
      <c r="E3636" s="16" t="n">
        <v>45958</v>
      </c>
      <c r="F3636" s="16" t="inlineStr">
        <is>
          <t>XK2510-67</t>
        </is>
      </c>
      <c r="G3636" s="16" t="n">
        <v>45958</v>
      </c>
      <c r="H3636" s="17" t="inlineStr">
        <is>
          <t>CÔNG TY CỔ PHẦN CÔNG NGHIỆP VÀ THƯƠNG MẠI CƯỜNG THỊNH</t>
        </is>
      </c>
      <c r="I3636" s="17" t="inlineStr">
        <is>
          <t>Đai ốc Din 934 8 ZP M20</t>
        </is>
      </c>
      <c r="J3636" s="17" t="inlineStr">
        <is>
          <t>Cái</t>
        </is>
      </c>
      <c r="K3636" s="19" t="n">
        <v>2030</v>
      </c>
      <c r="L3636" s="21" t="n"/>
      <c r="M3636" s="22" t="n"/>
      <c r="N3636" s="22" t="n">
        <v>181</v>
      </c>
      <c r="O3636" s="22" t="n">
        <v>367430</v>
      </c>
      <c r="P3636" s="22" t="n">
        <v>181</v>
      </c>
      <c r="Q3636" s="22" t="n">
        <v>367430</v>
      </c>
      <c r="R3636" s="42">
        <f>+L3636+N3636-P3636</f>
        <v/>
      </c>
      <c r="S3636" s="42">
        <f>+M3636+O3636-Q3636</f>
        <v/>
      </c>
    </row>
    <row r="3637" ht="30" customHeight="1">
      <c r="A3637" s="16" t="n">
        <v>45958</v>
      </c>
      <c r="B3637" s="17" t="inlineStr">
        <is>
          <t>MH2510-83</t>
        </is>
      </c>
      <c r="C3637" s="16" t="n">
        <v>45958</v>
      </c>
      <c r="D3637" s="17" t="inlineStr">
        <is>
          <t>00004255</t>
        </is>
      </c>
      <c r="E3637" s="16" t="n">
        <v>45958</v>
      </c>
      <c r="F3637" s="16" t="inlineStr">
        <is>
          <t>XK2510-67</t>
        </is>
      </c>
      <c r="G3637" s="16" t="n">
        <v>45958</v>
      </c>
      <c r="H3637" s="17" t="inlineStr">
        <is>
          <t>CÔNG TY CỔ PHẦN CÔNG NGHIỆP VÀ THƯƠNG MẠI CƯỜNG THỊNH</t>
        </is>
      </c>
      <c r="I3637" s="17" t="inlineStr">
        <is>
          <t>Long đền thường ZP M20B35D2</t>
        </is>
      </c>
      <c r="J3637" s="17" t="inlineStr">
        <is>
          <t>Cái</t>
        </is>
      </c>
      <c r="K3637" s="19" t="n">
        <v>350</v>
      </c>
      <c r="L3637" s="21" t="n"/>
      <c r="M3637" s="22" t="n"/>
      <c r="N3637" s="22" t="n">
        <v>181</v>
      </c>
      <c r="O3637" s="22" t="n">
        <v>63350</v>
      </c>
      <c r="P3637" s="22" t="n">
        <v>181</v>
      </c>
      <c r="Q3637" s="22" t="n">
        <v>63350</v>
      </c>
      <c r="R3637" s="42">
        <f>+L3637+N3637-P3637</f>
        <v/>
      </c>
      <c r="S3637" s="42">
        <f>+M3637+O3637-Q3637</f>
        <v/>
      </c>
    </row>
    <row r="3638" ht="30" customHeight="1">
      <c r="A3638" s="16" t="n">
        <v>45958</v>
      </c>
      <c r="B3638" s="17" t="inlineStr">
        <is>
          <t>MH2510-83</t>
        </is>
      </c>
      <c r="C3638" s="16" t="n">
        <v>45958</v>
      </c>
      <c r="D3638" s="17" t="inlineStr">
        <is>
          <t>00004255</t>
        </is>
      </c>
      <c r="E3638" s="16" t="n">
        <v>45958</v>
      </c>
      <c r="F3638" s="16" t="inlineStr">
        <is>
          <t>XK2510-67</t>
        </is>
      </c>
      <c r="G3638" s="16" t="n">
        <v>45958</v>
      </c>
      <c r="H3638" s="17" t="inlineStr">
        <is>
          <t>CÔNG TY CỔ PHẦN CÔNG NGHIỆP VÀ THƯƠNG MẠI CƯỜNG THỊNH</t>
        </is>
      </c>
      <c r="I3638" s="17" t="inlineStr">
        <is>
          <t>Vít B2 Dacromet 12-14x20</t>
        </is>
      </c>
      <c r="J3638" s="17" t="inlineStr">
        <is>
          <t>Cái</t>
        </is>
      </c>
      <c r="K3638" s="19" t="n">
        <v>600</v>
      </c>
      <c r="L3638" s="21" t="n"/>
      <c r="M3638" s="22" t="n"/>
      <c r="N3638" s="22" t="n">
        <v>1400</v>
      </c>
      <c r="O3638" s="22" t="n">
        <v>840000</v>
      </c>
      <c r="P3638" s="22" t="n">
        <v>1400</v>
      </c>
      <c r="Q3638" s="22" t="n">
        <v>840000</v>
      </c>
      <c r="R3638" s="42">
        <f>+L3638+N3638-P3638</f>
        <v/>
      </c>
      <c r="S3638" s="42">
        <f>+M3638+O3638-Q3638</f>
        <v/>
      </c>
    </row>
    <row r="3639" ht="30" customHeight="1">
      <c r="A3639" s="16" t="n">
        <v>45958</v>
      </c>
      <c r="B3639" s="17" t="inlineStr">
        <is>
          <t>MH2510-84</t>
        </is>
      </c>
      <c r="C3639" s="16" t="n">
        <v>45958</v>
      </c>
      <c r="D3639" s="17" t="inlineStr">
        <is>
          <t>00004256</t>
        </is>
      </c>
      <c r="E3639" s="16" t="n">
        <v>45958</v>
      </c>
      <c r="F3639" s="16" t="inlineStr">
        <is>
          <t>XK2510-68</t>
        </is>
      </c>
      <c r="G3639" s="16" t="n">
        <v>45958</v>
      </c>
      <c r="H3639" s="17" t="inlineStr">
        <is>
          <t>CÔNG TY CỔ PHẦN CÔNG NGHIỆP VÀ THƯƠNG MẠI CƯỜNG THỊNH</t>
        </is>
      </c>
      <c r="I3639" s="17" t="inlineStr">
        <is>
          <t>Ty giằng 2 đầu ren 4.6 ZP M16</t>
        </is>
      </c>
      <c r="J3639" s="17" t="inlineStr">
        <is>
          <t>Mét</t>
        </is>
      </c>
      <c r="K3639" s="19" t="n">
        <v>48000</v>
      </c>
      <c r="L3639" s="21" t="n"/>
      <c r="M3639" s="22" t="n"/>
      <c r="N3639" s="22" t="n">
        <v>302.1</v>
      </c>
      <c r="O3639" s="22" t="n">
        <v>14500800</v>
      </c>
      <c r="P3639" s="22" t="n">
        <v>302.1</v>
      </c>
      <c r="Q3639" s="22" t="n">
        <v>14500800</v>
      </c>
      <c r="R3639" s="42">
        <f>+L3639+N3639-P3639</f>
        <v/>
      </c>
      <c r="S3639" s="42">
        <f>+M3639+O3639-Q3639</f>
        <v/>
      </c>
    </row>
    <row r="3640" ht="30" customHeight="1">
      <c r="A3640" s="16" t="n">
        <v>45958</v>
      </c>
      <c r="B3640" s="17" t="inlineStr">
        <is>
          <t>MH2510-84</t>
        </is>
      </c>
      <c r="C3640" s="16" t="n">
        <v>45958</v>
      </c>
      <c r="D3640" s="17" t="inlineStr">
        <is>
          <t>00004256</t>
        </is>
      </c>
      <c r="E3640" s="16" t="n">
        <v>45958</v>
      </c>
      <c r="F3640" s="16" t="inlineStr">
        <is>
          <t>XK2510-68</t>
        </is>
      </c>
      <c r="G3640" s="16" t="n">
        <v>45958</v>
      </c>
      <c r="H3640" s="17" t="inlineStr">
        <is>
          <t>CÔNG TY CỔ PHẦN CÔNG NGHIỆP VÀ THƯƠNG MẠI CƯỜNG THỊNH</t>
        </is>
      </c>
      <c r="I3640" s="17" t="inlineStr">
        <is>
          <t>Đai ốc Din 934 5 ZP M16</t>
        </is>
      </c>
      <c r="J3640" s="17" t="inlineStr">
        <is>
          <t>Cái</t>
        </is>
      </c>
      <c r="K3640" s="19" t="n">
        <v>990</v>
      </c>
      <c r="L3640" s="21" t="n"/>
      <c r="M3640" s="22" t="n"/>
      <c r="N3640" s="22" t="n">
        <v>168</v>
      </c>
      <c r="O3640" s="22" t="n">
        <v>166320</v>
      </c>
      <c r="P3640" s="22" t="n">
        <v>168</v>
      </c>
      <c r="Q3640" s="22" t="n">
        <v>166320</v>
      </c>
      <c r="R3640" s="42">
        <f>+L3640+N3640-P3640</f>
        <v/>
      </c>
      <c r="S3640" s="42">
        <f>+M3640+O3640-Q3640</f>
        <v/>
      </c>
    </row>
    <row r="3641" ht="30" customHeight="1">
      <c r="A3641" s="16" t="n">
        <v>45958</v>
      </c>
      <c r="B3641" s="17" t="inlineStr">
        <is>
          <t>MH2510-84</t>
        </is>
      </c>
      <c r="C3641" s="16" t="n">
        <v>45958</v>
      </c>
      <c r="D3641" s="17" t="inlineStr">
        <is>
          <t>00004256</t>
        </is>
      </c>
      <c r="E3641" s="16" t="n">
        <v>45958</v>
      </c>
      <c r="F3641" s="16" t="inlineStr">
        <is>
          <t>XK2510-68</t>
        </is>
      </c>
      <c r="G3641" s="16" t="n">
        <v>45958</v>
      </c>
      <c r="H3641" s="17" t="inlineStr">
        <is>
          <t>CÔNG TY CỔ PHẦN CÔNG NGHIỆP VÀ THƯƠNG MẠI CƯỜNG THỊNH</t>
        </is>
      </c>
      <c r="I3641" s="17" t="inlineStr">
        <is>
          <t>Long đền thường ZP M16B42D2</t>
        </is>
      </c>
      <c r="J3641" s="17" t="inlineStr">
        <is>
          <t>Cái</t>
        </is>
      </c>
      <c r="K3641" s="19" t="n">
        <v>700</v>
      </c>
      <c r="L3641" s="21" t="n"/>
      <c r="M3641" s="22" t="n"/>
      <c r="N3641" s="22" t="n">
        <v>168</v>
      </c>
      <c r="O3641" s="22" t="n">
        <v>117600</v>
      </c>
      <c r="P3641" s="22" t="n">
        <v>168</v>
      </c>
      <c r="Q3641" s="22" t="n">
        <v>117600</v>
      </c>
      <c r="R3641" s="42">
        <f>+L3641+N3641-P3641</f>
        <v/>
      </c>
      <c r="S3641" s="42">
        <f>+M3641+O3641-Q3641</f>
        <v/>
      </c>
    </row>
    <row r="3642" ht="30" customHeight="1">
      <c r="A3642" s="16" t="n">
        <v>45958</v>
      </c>
      <c r="B3642" s="17" t="inlineStr">
        <is>
          <t>MH2510-84</t>
        </is>
      </c>
      <c r="C3642" s="16" t="n">
        <v>45958</v>
      </c>
      <c r="D3642" s="17" t="inlineStr">
        <is>
          <t>00004256</t>
        </is>
      </c>
      <c r="E3642" s="16" t="n">
        <v>45958</v>
      </c>
      <c r="F3642" s="16" t="inlineStr">
        <is>
          <t>XK2510-68</t>
        </is>
      </c>
      <c r="G3642" s="16" t="n">
        <v>45958</v>
      </c>
      <c r="H3642" s="17" t="inlineStr">
        <is>
          <t>CÔNG TY CỔ PHẦN CÔNG NGHIỆP VÀ THƯƠNG MẠI CƯỜNG THỊNH</t>
        </is>
      </c>
      <c r="I3642" s="17" t="inlineStr">
        <is>
          <t>Long đền móng ngựa ZP M16</t>
        </is>
      </c>
      <c r="J3642" s="17" t="inlineStr">
        <is>
          <t>Cái</t>
        </is>
      </c>
      <c r="K3642" s="19" t="n">
        <v>14830</v>
      </c>
      <c r="L3642" s="21" t="n"/>
      <c r="M3642" s="22" t="n"/>
      <c r="N3642" s="22" t="n">
        <v>168</v>
      </c>
      <c r="O3642" s="22" t="n">
        <v>2491440</v>
      </c>
      <c r="P3642" s="22" t="n">
        <v>168</v>
      </c>
      <c r="Q3642" s="22" t="n">
        <v>2491440</v>
      </c>
      <c r="R3642" s="42">
        <f>+L3642+N3642-P3642</f>
        <v/>
      </c>
      <c r="S3642" s="42">
        <f>+M3642+O3642-Q3642</f>
        <v/>
      </c>
    </row>
    <row r="3643" ht="30" customHeight="1">
      <c r="A3643" s="16" t="n">
        <v>45958</v>
      </c>
      <c r="B3643" s="17" t="inlineStr">
        <is>
          <t>MH2510-85</t>
        </is>
      </c>
      <c r="C3643" s="16" t="n">
        <v>45958</v>
      </c>
      <c r="D3643" s="17" t="inlineStr">
        <is>
          <t>00004259</t>
        </is>
      </c>
      <c r="E3643" s="16" t="n">
        <v>45958</v>
      </c>
      <c r="F3643" s="16" t="inlineStr">
        <is>
          <t>XK2510-69</t>
        </is>
      </c>
      <c r="G3643" s="16" t="n">
        <v>45958</v>
      </c>
      <c r="H3643" s="17" t="inlineStr">
        <is>
          <t>CÔNG TY CỔ PHẦN CÔNG NGHIỆP VÀ THƯƠNG MẠI CƯỜNG THỊNH</t>
        </is>
      </c>
      <c r="I3643" s="17" t="inlineStr">
        <is>
          <t>Ty giằng 2 đầu ren 4.6 ZP M16</t>
        </is>
      </c>
      <c r="J3643" s="17" t="inlineStr">
        <is>
          <t>Mét</t>
        </is>
      </c>
      <c r="K3643" s="19" t="n">
        <v>48000</v>
      </c>
      <c r="L3643" s="21" t="n"/>
      <c r="M3643" s="22" t="n"/>
      <c r="N3643" s="22" t="n">
        <v>152.4</v>
      </c>
      <c r="O3643" s="22" t="n">
        <v>7315200</v>
      </c>
      <c r="P3643" s="22" t="n">
        <v>152.4</v>
      </c>
      <c r="Q3643" s="22" t="n">
        <v>7315200</v>
      </c>
      <c r="R3643" s="42">
        <f>+L3643+N3643-P3643</f>
        <v/>
      </c>
      <c r="S3643" s="42">
        <f>+M3643+O3643-Q3643</f>
        <v/>
      </c>
    </row>
    <row r="3644" ht="30" customHeight="1">
      <c r="A3644" s="16" t="n">
        <v>45958</v>
      </c>
      <c r="B3644" s="17" t="inlineStr">
        <is>
          <t>MH2510-85</t>
        </is>
      </c>
      <c r="C3644" s="16" t="n">
        <v>45958</v>
      </c>
      <c r="D3644" s="17" t="inlineStr">
        <is>
          <t>00004259</t>
        </is>
      </c>
      <c r="E3644" s="16" t="n">
        <v>45958</v>
      </c>
      <c r="F3644" s="16" t="inlineStr">
        <is>
          <t>XK2510-69</t>
        </is>
      </c>
      <c r="G3644" s="16" t="n">
        <v>45958</v>
      </c>
      <c r="H3644" s="17" t="inlineStr">
        <is>
          <t>CÔNG TY CỔ PHẦN CÔNG NGHIỆP VÀ THƯƠNG MẠI CƯỜNG THỊNH</t>
        </is>
      </c>
      <c r="I3644" s="17" t="inlineStr">
        <is>
          <t>Đai ốc Din 934 5 ZP M16</t>
        </is>
      </c>
      <c r="J3644" s="17" t="inlineStr">
        <is>
          <t>Cái</t>
        </is>
      </c>
      <c r="K3644" s="19" t="n">
        <v>990</v>
      </c>
      <c r="L3644" s="21" t="n"/>
      <c r="M3644" s="22" t="n"/>
      <c r="N3644" s="22" t="n">
        <v>48</v>
      </c>
      <c r="O3644" s="22" t="n">
        <v>47520</v>
      </c>
      <c r="P3644" s="22" t="n">
        <v>48</v>
      </c>
      <c r="Q3644" s="22" t="n">
        <v>47520</v>
      </c>
      <c r="R3644" s="42">
        <f>+L3644+N3644-P3644</f>
        <v/>
      </c>
      <c r="S3644" s="42">
        <f>+M3644+O3644-Q3644</f>
        <v/>
      </c>
    </row>
    <row r="3645" ht="30" customHeight="1">
      <c r="A3645" s="16" t="n">
        <v>45958</v>
      </c>
      <c r="B3645" s="17" t="inlineStr">
        <is>
          <t>MH2510-85</t>
        </is>
      </c>
      <c r="C3645" s="16" t="n">
        <v>45958</v>
      </c>
      <c r="D3645" s="17" t="inlineStr">
        <is>
          <t>00004259</t>
        </is>
      </c>
      <c r="E3645" s="16" t="n">
        <v>45958</v>
      </c>
      <c r="F3645" s="16" t="inlineStr">
        <is>
          <t>XK2510-69</t>
        </is>
      </c>
      <c r="G3645" s="16" t="n">
        <v>45958</v>
      </c>
      <c r="H3645" s="17" t="inlineStr">
        <is>
          <t>CÔNG TY CỔ PHẦN CÔNG NGHIỆP VÀ THƯƠNG MẠI CƯỜNG THỊNH</t>
        </is>
      </c>
      <c r="I3645" s="17" t="inlineStr">
        <is>
          <t>Long đền thường ZP M16B42D2</t>
        </is>
      </c>
      <c r="J3645" s="17" t="inlineStr">
        <is>
          <t>Cái</t>
        </is>
      </c>
      <c r="K3645" s="19" t="n">
        <v>700</v>
      </c>
      <c r="L3645" s="21" t="n"/>
      <c r="M3645" s="22" t="n"/>
      <c r="N3645" s="22" t="n">
        <v>48</v>
      </c>
      <c r="O3645" s="22" t="n">
        <v>33600</v>
      </c>
      <c r="P3645" s="22" t="n">
        <v>48</v>
      </c>
      <c r="Q3645" s="22" t="n">
        <v>33600</v>
      </c>
      <c r="R3645" s="42">
        <f>+L3645+N3645-P3645</f>
        <v/>
      </c>
      <c r="S3645" s="42">
        <f>+M3645+O3645-Q3645</f>
        <v/>
      </c>
    </row>
    <row r="3646" ht="30" customHeight="1">
      <c r="A3646" s="16" t="n">
        <v>45958</v>
      </c>
      <c r="B3646" s="17" t="inlineStr">
        <is>
          <t>MH2510-85</t>
        </is>
      </c>
      <c r="C3646" s="16" t="n">
        <v>45958</v>
      </c>
      <c r="D3646" s="17" t="inlineStr">
        <is>
          <t>00004259</t>
        </is>
      </c>
      <c r="E3646" s="16" t="n">
        <v>45958</v>
      </c>
      <c r="F3646" s="16" t="inlineStr">
        <is>
          <t>XK2510-69</t>
        </is>
      </c>
      <c r="G3646" s="16" t="n">
        <v>45958</v>
      </c>
      <c r="H3646" s="17" t="inlineStr">
        <is>
          <t>CÔNG TY CỔ PHẦN CÔNG NGHIỆP VÀ THƯƠNG MẠI CƯỜNG THỊNH</t>
        </is>
      </c>
      <c r="I3646" s="17" t="inlineStr">
        <is>
          <t>Long đền móng ngựa ZP M16</t>
        </is>
      </c>
      <c r="J3646" s="17" t="inlineStr">
        <is>
          <t>Cái</t>
        </is>
      </c>
      <c r="K3646" s="19" t="n">
        <v>14830</v>
      </c>
      <c r="L3646" s="21" t="n"/>
      <c r="M3646" s="22" t="n"/>
      <c r="N3646" s="22" t="n">
        <v>48</v>
      </c>
      <c r="O3646" s="22" t="n">
        <v>711840</v>
      </c>
      <c r="P3646" s="22" t="n">
        <v>48</v>
      </c>
      <c r="Q3646" s="22" t="n">
        <v>711840</v>
      </c>
      <c r="R3646" s="42">
        <f>+L3646+N3646-P3646</f>
        <v/>
      </c>
      <c r="S3646" s="42">
        <f>+M3646+O3646-Q3646</f>
        <v/>
      </c>
    </row>
    <row r="3647" ht="30" customHeight="1">
      <c r="A3647" s="16" t="n">
        <v>45958</v>
      </c>
      <c r="B3647" s="17" t="inlineStr">
        <is>
          <t>MH2510-85</t>
        </is>
      </c>
      <c r="C3647" s="16" t="n">
        <v>45958</v>
      </c>
      <c r="D3647" s="17" t="inlineStr">
        <is>
          <t>00004259</t>
        </is>
      </c>
      <c r="E3647" s="16" t="n">
        <v>45958</v>
      </c>
      <c r="F3647" s="16" t="inlineStr">
        <is>
          <t>XK2510-69</t>
        </is>
      </c>
      <c r="G3647" s="16" t="n">
        <v>45958</v>
      </c>
      <c r="H3647" s="17" t="inlineStr">
        <is>
          <t>CÔNG TY CỔ PHẦN CÔNG NGHIỆP VÀ THƯƠNG MẠI CƯỜNG THỊNH</t>
        </is>
      </c>
      <c r="I3647" s="17" t="inlineStr">
        <is>
          <t>Nối Ty ZP M16x100 (23mm)</t>
        </is>
      </c>
      <c r="J3647" s="17" t="inlineStr">
        <is>
          <t>Cái</t>
        </is>
      </c>
      <c r="K3647" s="19" t="n">
        <v>19960</v>
      </c>
      <c r="L3647" s="21" t="n"/>
      <c r="M3647" s="22" t="n"/>
      <c r="N3647" s="22" t="n">
        <v>12</v>
      </c>
      <c r="O3647" s="22" t="n">
        <v>239520</v>
      </c>
      <c r="P3647" s="22" t="n">
        <v>12</v>
      </c>
      <c r="Q3647" s="22" t="n">
        <v>239520</v>
      </c>
      <c r="R3647" s="42">
        <f>+L3647+N3647-P3647</f>
        <v/>
      </c>
      <c r="S3647" s="42">
        <f>+M3647+O3647-Q3647</f>
        <v/>
      </c>
    </row>
    <row r="3648" ht="15" customHeight="1">
      <c r="A3648" s="16" t="n">
        <v>45958</v>
      </c>
      <c r="B3648" s="17" t="inlineStr">
        <is>
          <t>MH2510-86</t>
        </is>
      </c>
      <c r="C3648" s="16" t="n">
        <v>45958</v>
      </c>
      <c r="D3648" s="17" t="inlineStr">
        <is>
          <t>00010154</t>
        </is>
      </c>
      <c r="E3648" s="16" t="n">
        <v>45958</v>
      </c>
      <c r="F3648" s="16" t="inlineStr">
        <is>
          <t>XK2510-81</t>
        </is>
      </c>
      <c r="G3648" s="16" t="n">
        <v>45958</v>
      </c>
      <c r="H3648" s="17" t="inlineStr">
        <is>
          <t>CÔNG TY TNHH SƠN JOTUN VIỆT NAM</t>
        </is>
      </c>
      <c r="I3648" s="17" t="inlineStr">
        <is>
          <t>SƠN JOTAMASTIC 70 GREY 18L</t>
        </is>
      </c>
      <c r="J3648" s="17" t="inlineStr">
        <is>
          <t>Lít</t>
        </is>
      </c>
      <c r="K3648" s="19" t="n">
        <v>90000</v>
      </c>
      <c r="L3648" s="21" t="n"/>
      <c r="M3648" s="22" t="n"/>
      <c r="N3648" s="22" t="n">
        <v>1224</v>
      </c>
      <c r="O3648" s="22" t="n">
        <v>110160000</v>
      </c>
      <c r="P3648" s="22" t="n">
        <v>1224</v>
      </c>
      <c r="Q3648" s="22" t="n">
        <v>110160000</v>
      </c>
      <c r="R3648" s="42">
        <f>+L3648+N3648-P3648</f>
        <v/>
      </c>
      <c r="S3648" s="42">
        <f>+M3648+O3648-Q3648</f>
        <v/>
      </c>
    </row>
    <row r="3649" ht="15" customHeight="1">
      <c r="A3649" s="16" t="n">
        <v>45958</v>
      </c>
      <c r="B3649" s="17" t="inlineStr">
        <is>
          <t>MH2510-86</t>
        </is>
      </c>
      <c r="C3649" s="16" t="n">
        <v>45958</v>
      </c>
      <c r="D3649" s="17" t="inlineStr">
        <is>
          <t>00010154</t>
        </is>
      </c>
      <c r="E3649" s="16" t="n">
        <v>45958</v>
      </c>
      <c r="F3649" s="16" t="inlineStr">
        <is>
          <t>XK2510-81</t>
        </is>
      </c>
      <c r="G3649" s="16" t="n">
        <v>45958</v>
      </c>
      <c r="H3649" s="17" t="inlineStr">
        <is>
          <t>CÔNG TY TNHH SƠN JOTUN VIỆT NAM</t>
        </is>
      </c>
      <c r="I3649" s="17" t="inlineStr">
        <is>
          <t>DUNG MÔI JOTUN THINNER NO. 10 20L</t>
        </is>
      </c>
      <c r="J3649" s="17" t="inlineStr">
        <is>
          <t>Lít</t>
        </is>
      </c>
      <c r="K3649" s="19" t="n">
        <v>60000</v>
      </c>
      <c r="L3649" s="21" t="n"/>
      <c r="M3649" s="22" t="n"/>
      <c r="N3649" s="22" t="n">
        <v>160</v>
      </c>
      <c r="O3649" s="22" t="n">
        <v>9600000</v>
      </c>
      <c r="P3649" s="22" t="n">
        <v>160</v>
      </c>
      <c r="Q3649" s="22" t="n">
        <v>9600000</v>
      </c>
      <c r="R3649" s="42">
        <f>+L3649+N3649-P3649</f>
        <v/>
      </c>
      <c r="S3649" s="42">
        <f>+M3649+O3649-Q3649</f>
        <v/>
      </c>
    </row>
    <row r="3650" ht="15" customHeight="1">
      <c r="A3650" s="16" t="n">
        <v>45958</v>
      </c>
      <c r="B3650" s="17" t="inlineStr">
        <is>
          <t>MH2510-86</t>
        </is>
      </c>
      <c r="C3650" s="16" t="n">
        <v>45958</v>
      </c>
      <c r="D3650" s="17" t="inlineStr">
        <is>
          <t>00010154</t>
        </is>
      </c>
      <c r="E3650" s="16" t="n">
        <v>45958</v>
      </c>
      <c r="F3650" s="16" t="inlineStr">
        <is>
          <t>XK2510-81</t>
        </is>
      </c>
      <c r="G3650" s="16" t="n">
        <v>45958</v>
      </c>
      <c r="H3650" s="17" t="inlineStr">
        <is>
          <t>CÔNG TY TNHH SƠN JOTUN VIỆT NAM</t>
        </is>
      </c>
      <c r="I3650" s="17" t="inlineStr">
        <is>
          <t>DUNG MÔI JOTUN THINNER NO. 10 5L</t>
        </is>
      </c>
      <c r="J3650" s="17" t="inlineStr">
        <is>
          <t>Lít</t>
        </is>
      </c>
      <c r="K3650" s="19" t="n">
        <v>60000</v>
      </c>
      <c r="L3650" s="21" t="n"/>
      <c r="M3650" s="22" t="n"/>
      <c r="N3650" s="22" t="n">
        <v>15</v>
      </c>
      <c r="O3650" s="22" t="n">
        <v>900000</v>
      </c>
      <c r="P3650" s="22" t="n">
        <v>15</v>
      </c>
      <c r="Q3650" s="22" t="n">
        <v>900000</v>
      </c>
      <c r="R3650" s="42">
        <f>+L3650+N3650-P3650</f>
        <v/>
      </c>
      <c r="S3650" s="42">
        <f>+M3650+O3650-Q3650</f>
        <v/>
      </c>
    </row>
    <row r="3651" ht="15" customHeight="1">
      <c r="A3651" s="16" t="n">
        <v>45958</v>
      </c>
      <c r="B3651" s="17" t="inlineStr">
        <is>
          <t>MH2510-86</t>
        </is>
      </c>
      <c r="C3651" s="16" t="n">
        <v>45958</v>
      </c>
      <c r="D3651" s="17" t="inlineStr">
        <is>
          <t>00010154</t>
        </is>
      </c>
      <c r="E3651" s="16" t="n">
        <v>45958</v>
      </c>
      <c r="F3651" s="16" t="inlineStr">
        <is>
          <t>XK2510-81</t>
        </is>
      </c>
      <c r="G3651" s="16" t="n">
        <v>45958</v>
      </c>
      <c r="H3651" s="17" t="inlineStr">
        <is>
          <t>CÔNG TY TNHH SƠN JOTUN VIỆT NAM</t>
        </is>
      </c>
      <c r="I3651" s="17" t="inlineStr">
        <is>
          <t>DUNG MÔI JOTUN THINNER NO. 17 20L</t>
        </is>
      </c>
      <c r="J3651" s="17" t="inlineStr">
        <is>
          <t>Lít</t>
        </is>
      </c>
      <c r="K3651" s="19" t="n">
        <v>60000</v>
      </c>
      <c r="L3651" s="21" t="n"/>
      <c r="M3651" s="22" t="n"/>
      <c r="N3651" s="22" t="n">
        <v>180</v>
      </c>
      <c r="O3651" s="22" t="n">
        <v>10800000</v>
      </c>
      <c r="P3651" s="22" t="n">
        <v>180</v>
      </c>
      <c r="Q3651" s="22" t="n">
        <v>10800000</v>
      </c>
      <c r="R3651" s="42">
        <f>+L3651+N3651-P3651</f>
        <v/>
      </c>
      <c r="S3651" s="42">
        <f>+M3651+O3651-Q3651</f>
        <v/>
      </c>
    </row>
    <row r="3652" ht="15" customHeight="1">
      <c r="A3652" s="16" t="n">
        <v>45958</v>
      </c>
      <c r="B3652" s="17" t="inlineStr">
        <is>
          <t>MH2510-87</t>
        </is>
      </c>
      <c r="C3652" s="16" t="n">
        <v>45958</v>
      </c>
      <c r="D3652" s="17" t="inlineStr">
        <is>
          <t>00000302</t>
        </is>
      </c>
      <c r="E3652" s="16" t="n">
        <v>45958</v>
      </c>
      <c r="F3652" s="16" t="inlineStr">
        <is>
          <t>XK2510-89</t>
        </is>
      </c>
      <c r="G3652" s="16" t="n">
        <v>45958</v>
      </c>
      <c r="H3652" s="17" t="inlineStr">
        <is>
          <t>CÔNG TY TNHH CƠ KHÍ ĐỨC HIỆP</t>
        </is>
      </c>
      <c r="I3652" s="17" t="inlineStr">
        <is>
          <t>Bulong neo I, M20x445, 4.6, DIN976, MĐP</t>
        </is>
      </c>
      <c r="J3652" s="17" t="inlineStr">
        <is>
          <t>Cái</t>
        </is>
      </c>
      <c r="K3652" s="19" t="n">
        <v>30970</v>
      </c>
      <c r="L3652" s="21" t="n"/>
      <c r="M3652" s="22" t="n"/>
      <c r="N3652" s="22" t="n">
        <v>35</v>
      </c>
      <c r="O3652" s="22" t="n">
        <v>1083950</v>
      </c>
      <c r="P3652" s="22" t="n">
        <v>35</v>
      </c>
      <c r="Q3652" s="22" t="n">
        <v>1083950</v>
      </c>
      <c r="R3652" s="42">
        <f>+L3652+N3652-P3652</f>
        <v/>
      </c>
      <c r="S3652" s="42">
        <f>+M3652+O3652-Q3652</f>
        <v/>
      </c>
    </row>
    <row r="3653" ht="15" customHeight="1">
      <c r="A3653" s="16" t="n">
        <v>45958</v>
      </c>
      <c r="B3653" s="17" t="inlineStr">
        <is>
          <t>MH2510-87</t>
        </is>
      </c>
      <c r="C3653" s="16" t="n">
        <v>45958</v>
      </c>
      <c r="D3653" s="17" t="inlineStr">
        <is>
          <t>00000302</t>
        </is>
      </c>
      <c r="E3653" s="16" t="n">
        <v>45958</v>
      </c>
      <c r="F3653" s="16" t="inlineStr">
        <is>
          <t>XK2510-89</t>
        </is>
      </c>
      <c r="G3653" s="16" t="n">
        <v>45958</v>
      </c>
      <c r="H3653" s="17" t="inlineStr">
        <is>
          <t>CÔNG TY TNHH CƠ KHÍ ĐỨC HIỆP</t>
        </is>
      </c>
      <c r="I3653" s="17" t="inlineStr">
        <is>
          <t>Bulong neo I M30x645, 4.6, DIN976, MĐP</t>
        </is>
      </c>
      <c r="J3653" s="17" t="inlineStr">
        <is>
          <t>Cái</t>
        </is>
      </c>
      <c r="K3653" s="19" t="n">
        <v>118680</v>
      </c>
      <c r="L3653" s="21" t="n"/>
      <c r="M3653" s="22" t="n"/>
      <c r="N3653" s="22" t="n">
        <v>480</v>
      </c>
      <c r="O3653" s="22" t="n">
        <v>56966400</v>
      </c>
      <c r="P3653" s="22" t="n">
        <v>480</v>
      </c>
      <c r="Q3653" s="22" t="n">
        <v>56966400</v>
      </c>
      <c r="R3653" s="42">
        <f>+L3653+N3653-P3653</f>
        <v/>
      </c>
      <c r="S3653" s="42">
        <f>+M3653+O3653-Q3653</f>
        <v/>
      </c>
    </row>
    <row r="3654" ht="30" customHeight="1">
      <c r="A3654" s="16" t="n">
        <v>45959</v>
      </c>
      <c r="B3654" s="17" t="inlineStr">
        <is>
          <t>MH2510-88</t>
        </is>
      </c>
      <c r="C3654" s="16" t="n">
        <v>45959</v>
      </c>
      <c r="D3654" s="17" t="inlineStr">
        <is>
          <t>00006399</t>
        </is>
      </c>
      <c r="E3654" s="16" t="n">
        <v>45959</v>
      </c>
      <c r="F3654" s="16" t="inlineStr">
        <is>
          <t>XK2510-72</t>
        </is>
      </c>
      <c r="G3654" s="16" t="n">
        <v>45959</v>
      </c>
      <c r="H3654" s="17" t="inlineStr">
        <is>
          <t>CÔNG TY TNHH MTV SẢN XUẤT THƯƠNG MẠI DỊCH VỤ THANH HUYỀN</t>
        </is>
      </c>
      <c r="I3654" s="17" t="inlineStr">
        <is>
          <t>Thép mạ kẽm chấn</t>
        </is>
      </c>
      <c r="J3654" s="17" t="inlineStr">
        <is>
          <t>kg</t>
        </is>
      </c>
      <c r="K3654" s="19" t="n">
        <v>21712.06</v>
      </c>
      <c r="L3654" s="21" t="n"/>
      <c r="M3654" s="22" t="n"/>
      <c r="N3654" s="22" t="n">
        <v>363</v>
      </c>
      <c r="O3654" s="22" t="n">
        <v>7881478</v>
      </c>
      <c r="P3654" s="22" t="n">
        <v>363</v>
      </c>
      <c r="Q3654" s="22" t="n">
        <v>7881478</v>
      </c>
      <c r="R3654" s="42">
        <f>+L3654+N3654-P3654</f>
        <v/>
      </c>
      <c r="S3654" s="42">
        <f>+M3654+O3654-Q3654</f>
        <v/>
      </c>
    </row>
    <row r="3655" ht="30" customHeight="1">
      <c r="A3655" s="16" t="n">
        <v>45959</v>
      </c>
      <c r="B3655" s="17" t="inlineStr">
        <is>
          <t>MH2510-88</t>
        </is>
      </c>
      <c r="C3655" s="16" t="n">
        <v>45959</v>
      </c>
      <c r="D3655" s="17" t="inlineStr">
        <is>
          <t>00006399</t>
        </is>
      </c>
      <c r="E3655" s="16" t="n">
        <v>45959</v>
      </c>
      <c r="F3655" s="16" t="inlineStr">
        <is>
          <t>XK2510-72</t>
        </is>
      </c>
      <c r="G3655" s="16" t="n">
        <v>45959</v>
      </c>
      <c r="H3655" s="17" t="inlineStr">
        <is>
          <t>CÔNG TY TNHH MTV SẢN XUẤT THƯƠNG MẠI DỊCH VỤ THANH HUYỀN</t>
        </is>
      </c>
      <c r="I3655" s="17" t="inlineStr">
        <is>
          <t>Xà gồ mạ kẽm</t>
        </is>
      </c>
      <c r="J3655" s="17" t="inlineStr">
        <is>
          <t>kg</t>
        </is>
      </c>
      <c r="K3655" s="19" t="n">
        <v>18164.61</v>
      </c>
      <c r="L3655" s="21" t="n"/>
      <c r="M3655" s="22" t="n"/>
      <c r="N3655" s="22" t="n">
        <v>3086</v>
      </c>
      <c r="O3655" s="22" t="n">
        <v>56055999</v>
      </c>
      <c r="P3655" s="22" t="n">
        <v>3086</v>
      </c>
      <c r="Q3655" s="22" t="n">
        <v>56055999</v>
      </c>
      <c r="R3655" s="42">
        <f>+L3655+N3655-P3655</f>
        <v/>
      </c>
      <c r="S3655" s="42">
        <f>+M3655+O3655-Q3655</f>
        <v/>
      </c>
    </row>
    <row r="3656" ht="30" customHeight="1">
      <c r="A3656" s="16" t="n">
        <v>45959</v>
      </c>
      <c r="B3656" s="17" t="inlineStr">
        <is>
          <t>MH2510-89</t>
        </is>
      </c>
      <c r="C3656" s="16" t="n">
        <v>45959</v>
      </c>
      <c r="D3656" s="17" t="inlineStr">
        <is>
          <t>00002453</t>
        </is>
      </c>
      <c r="E3656" s="16" t="n">
        <v>45959</v>
      </c>
      <c r="F3656" s="16" t="inlineStr">
        <is>
          <t>XK2510-87</t>
        </is>
      </c>
      <c r="G3656" s="16" t="n">
        <v>45961</v>
      </c>
      <c r="H3656" s="17" t="inlineStr">
        <is>
          <t>CÔNG TY TNHH DỊCH VỤ - THƯƠNG MẠI THÉP THIÊN LONG</t>
        </is>
      </c>
      <c r="I3656" s="17" t="inlineStr">
        <is>
          <t>Thép hình H200</t>
        </is>
      </c>
      <c r="J3656" s="17" t="inlineStr">
        <is>
          <t>kg</t>
        </is>
      </c>
      <c r="K3656" s="19" t="n">
        <v>17272.72</v>
      </c>
      <c r="L3656" s="21" t="n"/>
      <c r="M3656" s="22" t="n"/>
      <c r="N3656" s="22" t="n">
        <v>5367.6</v>
      </c>
      <c r="O3656" s="22" t="n">
        <v>92713052</v>
      </c>
      <c r="P3656" s="22" t="n">
        <v>5367.6</v>
      </c>
      <c r="Q3656" s="22" t="n">
        <v>92713052</v>
      </c>
      <c r="R3656" s="42">
        <f>+L3656+N3656-P3656</f>
        <v/>
      </c>
      <c r="S3656" s="42">
        <f>+M3656+O3656-Q3656</f>
        <v/>
      </c>
    </row>
    <row r="3657" ht="30" customHeight="1">
      <c r="A3657" s="16" t="n">
        <v>45959</v>
      </c>
      <c r="B3657" s="17" t="inlineStr">
        <is>
          <t>MH2510-89</t>
        </is>
      </c>
      <c r="C3657" s="16" t="n">
        <v>45959</v>
      </c>
      <c r="D3657" s="17" t="inlineStr">
        <is>
          <t>00002453</t>
        </is>
      </c>
      <c r="E3657" s="16" t="n">
        <v>45959</v>
      </c>
      <c r="F3657" s="16" t="inlineStr">
        <is>
          <t>XK2510-87</t>
        </is>
      </c>
      <c r="G3657" s="16" t="n">
        <v>45961</v>
      </c>
      <c r="H3657" s="17" t="inlineStr">
        <is>
          <t>CÔNG TY TNHH DỊCH VỤ - THƯƠNG MẠI THÉP THIÊN LONG</t>
        </is>
      </c>
      <c r="I3657" s="17" t="inlineStr">
        <is>
          <t>Thép góc V40</t>
        </is>
      </c>
      <c r="J3657" s="17" t="inlineStr">
        <is>
          <t>kg</t>
        </is>
      </c>
      <c r="K3657" s="19" t="n">
        <v>16363.63</v>
      </c>
      <c r="L3657" s="21" t="n"/>
      <c r="M3657" s="22" t="n"/>
      <c r="N3657" s="22" t="n">
        <v>115.68</v>
      </c>
      <c r="O3657" s="22" t="n">
        <v>1892945</v>
      </c>
      <c r="P3657" s="22" t="n">
        <v>115.68</v>
      </c>
      <c r="Q3657" s="22" t="n">
        <v>1892945</v>
      </c>
      <c r="R3657" s="42">
        <f>+L3657+N3657-P3657</f>
        <v/>
      </c>
      <c r="S3657" s="42">
        <f>+M3657+O3657-Q3657</f>
        <v/>
      </c>
    </row>
    <row r="3658" ht="30" customHeight="1">
      <c r="A3658" s="16" t="n">
        <v>45959</v>
      </c>
      <c r="B3658" s="17" t="inlineStr">
        <is>
          <t>MH2510-89</t>
        </is>
      </c>
      <c r="C3658" s="16" t="n">
        <v>45959</v>
      </c>
      <c r="D3658" s="17" t="inlineStr">
        <is>
          <t>00002453</t>
        </is>
      </c>
      <c r="E3658" s="16" t="n">
        <v>45959</v>
      </c>
      <c r="F3658" s="16" t="inlineStr">
        <is>
          <t>XK2510-87</t>
        </is>
      </c>
      <c r="G3658" s="16" t="n">
        <v>45961</v>
      </c>
      <c r="H3658" s="17" t="inlineStr">
        <is>
          <t>CÔNG TY TNHH DỊCH VỤ - THƯƠNG MẠI THÉP THIÊN LONG</t>
        </is>
      </c>
      <c r="I3658" s="17" t="inlineStr">
        <is>
          <t>Thép hộp 100x100</t>
        </is>
      </c>
      <c r="J3658" s="17" t="inlineStr">
        <is>
          <t>kg</t>
        </is>
      </c>
      <c r="K3658" s="19" t="n">
        <v>16272.72</v>
      </c>
      <c r="L3658" s="21" t="n"/>
      <c r="M3658" s="22" t="n"/>
      <c r="N3658" s="22" t="n">
        <v>964.3200000000001</v>
      </c>
      <c r="O3658" s="22" t="n">
        <v>15692109</v>
      </c>
      <c r="P3658" s="22" t="n">
        <v>964.3200000000001</v>
      </c>
      <c r="Q3658" s="22" t="n">
        <v>15692109</v>
      </c>
      <c r="R3658" s="42">
        <f>+L3658+N3658-P3658</f>
        <v/>
      </c>
      <c r="S3658" s="42">
        <f>+M3658+O3658-Q3658</f>
        <v/>
      </c>
    </row>
    <row r="3659" ht="30" customHeight="1">
      <c r="A3659" s="16" t="n">
        <v>45959</v>
      </c>
      <c r="B3659" s="17" t="inlineStr">
        <is>
          <t>MH2510-89</t>
        </is>
      </c>
      <c r="C3659" s="16" t="n">
        <v>45959</v>
      </c>
      <c r="D3659" s="17" t="inlineStr">
        <is>
          <t>00002453</t>
        </is>
      </c>
      <c r="E3659" s="16" t="n">
        <v>45959</v>
      </c>
      <c r="F3659" s="16" t="inlineStr">
        <is>
          <t>XK2510-87</t>
        </is>
      </c>
      <c r="G3659" s="16" t="n">
        <v>45961</v>
      </c>
      <c r="H3659" s="17" t="inlineStr">
        <is>
          <t>CÔNG TY TNHH DỊCH VỤ - THƯƠNG MẠI THÉP THIÊN LONG</t>
        </is>
      </c>
      <c r="I3659" s="17" t="inlineStr">
        <is>
          <t>Thép ống đen 88.9</t>
        </is>
      </c>
      <c r="J3659" s="17" t="inlineStr">
        <is>
          <t>kg</t>
        </is>
      </c>
      <c r="K3659" s="19" t="n">
        <v>16272.72</v>
      </c>
      <c r="L3659" s="21" t="n"/>
      <c r="M3659" s="22" t="n"/>
      <c r="N3659" s="22" t="n">
        <v>447.72</v>
      </c>
      <c r="O3659" s="22" t="n">
        <v>7285622</v>
      </c>
      <c r="P3659" s="22" t="n">
        <v>447.72</v>
      </c>
      <c r="Q3659" s="22" t="n">
        <v>7285622</v>
      </c>
      <c r="R3659" s="42">
        <f>+L3659+N3659-P3659</f>
        <v/>
      </c>
      <c r="S3659" s="42">
        <f>+M3659+O3659-Q3659</f>
        <v/>
      </c>
    </row>
    <row r="3660" ht="30" customHeight="1">
      <c r="A3660" s="16" t="n">
        <v>45959</v>
      </c>
      <c r="B3660" s="17" t="inlineStr">
        <is>
          <t>MH2510-90</t>
        </is>
      </c>
      <c r="C3660" s="16" t="n">
        <v>45959</v>
      </c>
      <c r="D3660" s="17" t="inlineStr">
        <is>
          <t>00002452</t>
        </is>
      </c>
      <c r="E3660" s="16" t="n">
        <v>45959</v>
      </c>
      <c r="F3660" s="16" t="inlineStr">
        <is>
          <t>XK2512-47</t>
        </is>
      </c>
      <c r="G3660" s="16" t="n">
        <v>46022</v>
      </c>
      <c r="H3660" s="17" t="inlineStr">
        <is>
          <t>CÔNG TY TNHH DỊCH VỤ - THƯƠNG MẠI THÉP THIÊN LONG</t>
        </is>
      </c>
      <c r="I3660" s="17" t="inlineStr">
        <is>
          <t>Thép tấm 10ly</t>
        </is>
      </c>
      <c r="J3660" s="17" t="inlineStr">
        <is>
          <t>kg</t>
        </is>
      </c>
      <c r="K3660" s="19" t="n">
        <v>14090.9</v>
      </c>
      <c r="L3660" s="21" t="n"/>
      <c r="M3660" s="22" t="n"/>
      <c r="N3660" s="22" t="n">
        <v>32028</v>
      </c>
      <c r="O3660" s="22" t="n">
        <v>451303345</v>
      </c>
      <c r="P3660" s="22" t="n">
        <v>32028</v>
      </c>
      <c r="Q3660" s="22" t="n">
        <v>451303345</v>
      </c>
      <c r="R3660" s="42">
        <f>+L3660+N3660-P3660</f>
        <v/>
      </c>
      <c r="S3660" s="42">
        <f>+M3660+O3660-Q3660</f>
        <v/>
      </c>
    </row>
    <row r="3661" ht="30" customHeight="1">
      <c r="A3661" s="16" t="n">
        <v>45959</v>
      </c>
      <c r="B3661" s="17" t="inlineStr">
        <is>
          <t>MH2510-90</t>
        </is>
      </c>
      <c r="C3661" s="16" t="n">
        <v>45959</v>
      </c>
      <c r="D3661" s="17" t="inlineStr">
        <is>
          <t>00002452</t>
        </is>
      </c>
      <c r="E3661" s="16" t="n">
        <v>45959</v>
      </c>
      <c r="F3661" s="16" t="inlineStr">
        <is>
          <t>XK2512-47</t>
        </is>
      </c>
      <c r="G3661" s="16" t="n">
        <v>46022</v>
      </c>
      <c r="H3661" s="17" t="inlineStr">
        <is>
          <t>CÔNG TY TNHH DỊCH VỤ - THƯƠNG MẠI THÉP THIÊN LONG</t>
        </is>
      </c>
      <c r="I3661" s="17" t="inlineStr">
        <is>
          <t>Thép tấm 5ly</t>
        </is>
      </c>
      <c r="J3661" s="17" t="inlineStr">
        <is>
          <t>kg</t>
        </is>
      </c>
      <c r="K3661" s="19" t="n">
        <v>14090.9</v>
      </c>
      <c r="L3661" s="21" t="n"/>
      <c r="M3661" s="22" t="n"/>
      <c r="N3661" s="22" t="n">
        <v>14130</v>
      </c>
      <c r="O3661" s="22" t="n">
        <v>199104417</v>
      </c>
      <c r="P3661" s="22" t="n">
        <v>14130</v>
      </c>
      <c r="Q3661" s="22" t="n">
        <v>199104417</v>
      </c>
      <c r="R3661" s="42">
        <f>+L3661+N3661-P3661</f>
        <v/>
      </c>
      <c r="S3661" s="42">
        <f>+M3661+O3661-Q3661</f>
        <v/>
      </c>
    </row>
    <row r="3662" ht="30" customHeight="1">
      <c r="A3662" s="16" t="n">
        <v>45959</v>
      </c>
      <c r="B3662" s="17" t="inlineStr">
        <is>
          <t>MH2510-90</t>
        </is>
      </c>
      <c r="C3662" s="16" t="n">
        <v>45959</v>
      </c>
      <c r="D3662" s="17" t="inlineStr">
        <is>
          <t>00002452</t>
        </is>
      </c>
      <c r="E3662" s="16" t="n">
        <v>45959</v>
      </c>
      <c r="F3662" s="16" t="inlineStr">
        <is>
          <t>XK2512-47</t>
        </is>
      </c>
      <c r="G3662" s="16" t="n">
        <v>46022</v>
      </c>
      <c r="H3662" s="17" t="inlineStr">
        <is>
          <t>CÔNG TY TNHH DỊCH VỤ - THƯƠNG MẠI THÉP THIÊN LONG</t>
        </is>
      </c>
      <c r="I3662" s="17" t="inlineStr">
        <is>
          <t>Thép tấm 6ly</t>
        </is>
      </c>
      <c r="J3662" s="17" t="inlineStr">
        <is>
          <t>kg</t>
        </is>
      </c>
      <c r="K3662" s="19" t="n">
        <v>14090.9</v>
      </c>
      <c r="L3662" s="21" t="n"/>
      <c r="M3662" s="22" t="n"/>
      <c r="N3662" s="22" t="n">
        <v>11304</v>
      </c>
      <c r="O3662" s="22" t="n">
        <v>159283534</v>
      </c>
      <c r="P3662" s="22" t="n">
        <v>11304</v>
      </c>
      <c r="Q3662" s="22" t="n">
        <v>159283534</v>
      </c>
      <c r="R3662" s="42">
        <f>+L3662+N3662-P3662</f>
        <v/>
      </c>
      <c r="S3662" s="42">
        <f>+M3662+O3662-Q3662</f>
        <v/>
      </c>
    </row>
    <row r="3663" ht="15" customHeight="1">
      <c r="A3663" s="16" t="n">
        <v>45959</v>
      </c>
      <c r="B3663" s="17" t="inlineStr">
        <is>
          <t>MH2510-91</t>
        </is>
      </c>
      <c r="C3663" s="16" t="n">
        <v>45959</v>
      </c>
      <c r="D3663" s="17" t="inlineStr">
        <is>
          <t>00001595</t>
        </is>
      </c>
      <c r="E3663" s="16" t="n">
        <v>45959</v>
      </c>
      <c r="F3663" s="16" t="inlineStr">
        <is>
          <t>XK2510-75</t>
        </is>
      </c>
      <c r="G3663" s="16" t="n">
        <v>45959</v>
      </c>
      <c r="H3663" s="17" t="inlineStr">
        <is>
          <t>CÔNG TY TNHH TÂN MỸ HẠNH</t>
        </is>
      </c>
      <c r="I3663" s="17" t="inlineStr">
        <is>
          <t>Thép dày mạ kẽm</t>
        </is>
      </c>
      <c r="J3663" s="17" t="inlineStr">
        <is>
          <t>kg</t>
        </is>
      </c>
      <c r="K3663" s="19" t="n">
        <v>22696</v>
      </c>
      <c r="L3663" s="21" t="n"/>
      <c r="M3663" s="22" t="n"/>
      <c r="N3663" s="22" t="n">
        <v>113.6571</v>
      </c>
      <c r="O3663" s="22" t="n">
        <v>2579562</v>
      </c>
      <c r="P3663" s="22" t="n">
        <v>113.6571</v>
      </c>
      <c r="Q3663" s="22" t="n">
        <v>2579562</v>
      </c>
      <c r="R3663" s="42">
        <f>+L3663+N3663-P3663</f>
        <v/>
      </c>
      <c r="S3663" s="42">
        <f>+M3663+O3663-Q3663</f>
        <v/>
      </c>
    </row>
    <row r="3664" ht="15" customHeight="1">
      <c r="A3664" s="16" t="n">
        <v>45959</v>
      </c>
      <c r="B3664" s="17" t="inlineStr">
        <is>
          <t>MH2510-91</t>
        </is>
      </c>
      <c r="C3664" s="16" t="n">
        <v>45959</v>
      </c>
      <c r="D3664" s="17" t="inlineStr">
        <is>
          <t>00001595</t>
        </is>
      </c>
      <c r="E3664" s="16" t="n">
        <v>45959</v>
      </c>
      <c r="F3664" s="16" t="inlineStr">
        <is>
          <t>XK2510-75</t>
        </is>
      </c>
      <c r="G3664" s="16" t="n">
        <v>45959</v>
      </c>
      <c r="H3664" s="17" t="inlineStr">
        <is>
          <t>CÔNG TY TNHH TÂN MỸ HẠNH</t>
        </is>
      </c>
      <c r="I3664" s="17" t="inlineStr">
        <is>
          <t>Xà gồ kẽm Z</t>
        </is>
      </c>
      <c r="J3664" s="17" t="inlineStr">
        <is>
          <t>kg</t>
        </is>
      </c>
      <c r="K3664" s="19" t="n">
        <v>18976</v>
      </c>
      <c r="L3664" s="21" t="n"/>
      <c r="M3664" s="22" t="n"/>
      <c r="N3664" s="22" t="n">
        <v>1759.7573</v>
      </c>
      <c r="O3664" s="22" t="n">
        <v>33393155</v>
      </c>
      <c r="P3664" s="22" t="n">
        <v>1759.7573</v>
      </c>
      <c r="Q3664" s="22" t="n">
        <v>33393155</v>
      </c>
      <c r="R3664" s="42">
        <f>+L3664+N3664-P3664</f>
        <v/>
      </c>
      <c r="S3664" s="42">
        <f>+M3664+O3664-Q3664</f>
        <v/>
      </c>
    </row>
    <row r="3665" ht="15" customHeight="1">
      <c r="A3665" s="16" t="n">
        <v>45959</v>
      </c>
      <c r="B3665" s="17" t="inlineStr">
        <is>
          <t>MH2510-92</t>
        </is>
      </c>
      <c r="C3665" s="16" t="n">
        <v>45959</v>
      </c>
      <c r="D3665" s="17" t="inlineStr">
        <is>
          <t>00001598</t>
        </is>
      </c>
      <c r="E3665" s="16" t="n">
        <v>45959</v>
      </c>
      <c r="F3665" s="16" t="inlineStr">
        <is>
          <t>XK2510-76</t>
        </is>
      </c>
      <c r="G3665" s="16" t="n">
        <v>45959</v>
      </c>
      <c r="H3665" s="17" t="inlineStr">
        <is>
          <t>CÔNG TY TNHH TÂN MỸ HẠNH</t>
        </is>
      </c>
      <c r="I3665" s="17" t="inlineStr">
        <is>
          <t>Thép dày mạ kẽm</t>
        </is>
      </c>
      <c r="J3665" s="17" t="inlineStr">
        <is>
          <t>kg</t>
        </is>
      </c>
      <c r="K3665" s="19" t="n">
        <v>22696</v>
      </c>
      <c r="L3665" s="21" t="n"/>
      <c r="M3665" s="22" t="n"/>
      <c r="N3665" s="22" t="n">
        <v>73.01009999999999</v>
      </c>
      <c r="O3665" s="22" t="n">
        <v>1657037</v>
      </c>
      <c r="P3665" s="22" t="n">
        <v>73.01009999999999</v>
      </c>
      <c r="Q3665" s="22" t="n">
        <v>1657037</v>
      </c>
      <c r="R3665" s="42">
        <f>+L3665+N3665-P3665</f>
        <v/>
      </c>
      <c r="S3665" s="42">
        <f>+M3665+O3665-Q3665</f>
        <v/>
      </c>
    </row>
    <row r="3666" ht="15" customHeight="1">
      <c r="A3666" s="16" t="n">
        <v>45959</v>
      </c>
      <c r="B3666" s="17" t="inlineStr">
        <is>
          <t>MH2510-92</t>
        </is>
      </c>
      <c r="C3666" s="16" t="n">
        <v>45959</v>
      </c>
      <c r="D3666" s="17" t="inlineStr">
        <is>
          <t>00001598</t>
        </is>
      </c>
      <c r="E3666" s="16" t="n">
        <v>45959</v>
      </c>
      <c r="F3666" s="16" t="inlineStr">
        <is>
          <t>XK2510-76</t>
        </is>
      </c>
      <c r="G3666" s="16" t="n">
        <v>45959</v>
      </c>
      <c r="H3666" s="17" t="inlineStr">
        <is>
          <t>CÔNG TY TNHH TÂN MỸ HẠNH</t>
        </is>
      </c>
      <c r="I3666" s="17" t="inlineStr">
        <is>
          <t>Xà gồ kẽm Z</t>
        </is>
      </c>
      <c r="J3666" s="17" t="inlineStr">
        <is>
          <t>kg</t>
        </is>
      </c>
      <c r="K3666" s="19" t="n">
        <v>18976</v>
      </c>
      <c r="L3666" s="21" t="n"/>
      <c r="M3666" s="22" t="n"/>
      <c r="N3666" s="22" t="n">
        <v>559.2231</v>
      </c>
      <c r="O3666" s="22" t="n">
        <v>10611818</v>
      </c>
      <c r="P3666" s="22" t="n">
        <v>559.2231</v>
      </c>
      <c r="Q3666" s="22" t="n">
        <v>10611818</v>
      </c>
      <c r="R3666" s="42">
        <f>+L3666+N3666-P3666</f>
        <v/>
      </c>
      <c r="S3666" s="42">
        <f>+M3666+O3666-Q3666</f>
        <v/>
      </c>
    </row>
    <row r="3667" ht="15" customHeight="1">
      <c r="A3667" s="16" t="n">
        <v>45959</v>
      </c>
      <c r="B3667" s="17" t="inlineStr">
        <is>
          <t>MH2510-93</t>
        </is>
      </c>
      <c r="C3667" s="16" t="n">
        <v>45959</v>
      </c>
      <c r="D3667" s="17" t="inlineStr">
        <is>
          <t>00001596</t>
        </is>
      </c>
      <c r="E3667" s="16" t="n">
        <v>45959</v>
      </c>
      <c r="F3667" s="16" t="inlineStr">
        <is>
          <t>XK2510-77</t>
        </is>
      </c>
      <c r="G3667" s="16" t="n">
        <v>45959</v>
      </c>
      <c r="H3667" s="17" t="inlineStr">
        <is>
          <t>CÔNG TY TNHH TÂN MỸ HẠNH</t>
        </is>
      </c>
      <c r="I3667" s="17" t="inlineStr">
        <is>
          <t>Thép dày mạ kẽm</t>
        </is>
      </c>
      <c r="J3667" s="17" t="inlineStr">
        <is>
          <t>kg</t>
        </is>
      </c>
      <c r="K3667" s="19" t="n">
        <v>22696</v>
      </c>
      <c r="L3667" s="21" t="n"/>
      <c r="M3667" s="22" t="n"/>
      <c r="N3667" s="22" t="n">
        <v>146.1307</v>
      </c>
      <c r="O3667" s="22" t="n">
        <v>3316582</v>
      </c>
      <c r="P3667" s="22" t="n">
        <v>146.1307</v>
      </c>
      <c r="Q3667" s="22" t="n">
        <v>3316582</v>
      </c>
      <c r="R3667" s="42">
        <f>+L3667+N3667-P3667</f>
        <v/>
      </c>
      <c r="S3667" s="42">
        <f>+M3667+O3667-Q3667</f>
        <v/>
      </c>
    </row>
    <row r="3668" ht="15" customHeight="1">
      <c r="A3668" s="16" t="n">
        <v>45959</v>
      </c>
      <c r="B3668" s="17" t="inlineStr">
        <is>
          <t>MH2510-93</t>
        </is>
      </c>
      <c r="C3668" s="16" t="n">
        <v>45959</v>
      </c>
      <c r="D3668" s="17" t="inlineStr">
        <is>
          <t>00001596</t>
        </is>
      </c>
      <c r="E3668" s="16" t="n">
        <v>45959</v>
      </c>
      <c r="F3668" s="16" t="inlineStr">
        <is>
          <t>XK2510-77</t>
        </is>
      </c>
      <c r="G3668" s="16" t="n">
        <v>45959</v>
      </c>
      <c r="H3668" s="17" t="inlineStr">
        <is>
          <t>CÔNG TY TNHH TÂN MỸ HẠNH</t>
        </is>
      </c>
      <c r="I3668" s="17" t="inlineStr">
        <is>
          <t>Xà gồ kẽm Z</t>
        </is>
      </c>
      <c r="J3668" s="17" t="inlineStr">
        <is>
          <t>kg</t>
        </is>
      </c>
      <c r="K3668" s="19" t="n">
        <v>18976</v>
      </c>
      <c r="L3668" s="21" t="n"/>
      <c r="M3668" s="22" t="n"/>
      <c r="N3668" s="22" t="n">
        <v>2294.7115</v>
      </c>
      <c r="O3668" s="22" t="n">
        <v>43544445</v>
      </c>
      <c r="P3668" s="22" t="n">
        <v>2294.7115</v>
      </c>
      <c r="Q3668" s="22" t="n">
        <v>43544445</v>
      </c>
      <c r="R3668" s="42">
        <f>+L3668+N3668-P3668</f>
        <v/>
      </c>
      <c r="S3668" s="42">
        <f>+M3668+O3668-Q3668</f>
        <v/>
      </c>
    </row>
    <row r="3669" ht="15" customHeight="1">
      <c r="A3669" s="16" t="n">
        <v>45959</v>
      </c>
      <c r="B3669" s="17" t="inlineStr">
        <is>
          <t>MH2510-94</t>
        </is>
      </c>
      <c r="C3669" s="16" t="n">
        <v>45959</v>
      </c>
      <c r="D3669" s="17" t="inlineStr">
        <is>
          <t>00001597</t>
        </is>
      </c>
      <c r="E3669" s="16" t="n">
        <v>45959</v>
      </c>
      <c r="F3669" s="16" t="inlineStr">
        <is>
          <t>XK2510-78</t>
        </is>
      </c>
      <c r="G3669" s="16" t="n">
        <v>45959</v>
      </c>
      <c r="H3669" s="17" t="inlineStr">
        <is>
          <t>CÔNG TY TNHH TÂN MỸ HẠNH</t>
        </is>
      </c>
      <c r="I3669" s="17" t="inlineStr">
        <is>
          <t>Thép dày mạ kẽm</t>
        </is>
      </c>
      <c r="J3669" s="17" t="inlineStr">
        <is>
          <t>kg</t>
        </is>
      </c>
      <c r="K3669" s="19" t="n">
        <v>22696</v>
      </c>
      <c r="L3669" s="21" t="n"/>
      <c r="M3669" s="22" t="n"/>
      <c r="N3669" s="22" t="n">
        <v>121.6834</v>
      </c>
      <c r="O3669" s="22" t="n">
        <v>2761726</v>
      </c>
      <c r="P3669" s="22" t="n">
        <v>121.6834</v>
      </c>
      <c r="Q3669" s="22" t="n">
        <v>2761726</v>
      </c>
      <c r="R3669" s="42">
        <f>+L3669+N3669-P3669</f>
        <v/>
      </c>
      <c r="S3669" s="42">
        <f>+M3669+O3669-Q3669</f>
        <v/>
      </c>
    </row>
    <row r="3670" ht="15" customHeight="1">
      <c r="A3670" s="16" t="n">
        <v>45959</v>
      </c>
      <c r="B3670" s="17" t="inlineStr">
        <is>
          <t>MH2510-94</t>
        </is>
      </c>
      <c r="C3670" s="16" t="n">
        <v>45959</v>
      </c>
      <c r="D3670" s="17" t="inlineStr">
        <is>
          <t>00001597</t>
        </is>
      </c>
      <c r="E3670" s="16" t="n">
        <v>45959</v>
      </c>
      <c r="F3670" s="16" t="inlineStr">
        <is>
          <t>XK2510-78</t>
        </is>
      </c>
      <c r="G3670" s="16" t="n">
        <v>45959</v>
      </c>
      <c r="H3670" s="17" t="inlineStr">
        <is>
          <t>CÔNG TY TNHH TÂN MỸ HẠNH</t>
        </is>
      </c>
      <c r="I3670" s="17" t="inlineStr">
        <is>
          <t>Xà gồ kẽm Z</t>
        </is>
      </c>
      <c r="J3670" s="17" t="inlineStr">
        <is>
          <t>kg</t>
        </is>
      </c>
      <c r="K3670" s="19" t="n">
        <v>18976</v>
      </c>
      <c r="L3670" s="21" t="n"/>
      <c r="M3670" s="22" t="n"/>
      <c r="N3670" s="22" t="n">
        <v>945.0694</v>
      </c>
      <c r="O3670" s="22" t="n">
        <v>17933637</v>
      </c>
      <c r="P3670" s="22" t="n">
        <v>945.0694</v>
      </c>
      <c r="Q3670" s="22" t="n">
        <v>17933637</v>
      </c>
      <c r="R3670" s="42">
        <f>+L3670+N3670-P3670</f>
        <v/>
      </c>
      <c r="S3670" s="42">
        <f>+M3670+O3670-Q3670</f>
        <v/>
      </c>
    </row>
    <row r="3671" ht="45" customHeight="1">
      <c r="A3671" s="16" t="n">
        <v>45959</v>
      </c>
      <c r="B3671" s="17" t="inlineStr">
        <is>
          <t>MH2510-95</t>
        </is>
      </c>
      <c r="C3671" s="16" t="n">
        <v>45959</v>
      </c>
      <c r="D3671" s="17" t="inlineStr">
        <is>
          <t>35</t>
        </is>
      </c>
      <c r="E3671" s="16" t="n">
        <v>45959</v>
      </c>
      <c r="F3671" s="16" t="inlineStr">
        <is>
          <t>XK2510-79</t>
        </is>
      </c>
      <c r="G3671" s="16" t="n">
        <v>45959</v>
      </c>
      <c r="H3671" s="17" t="inlineStr">
        <is>
          <t>CÔNG TY TNHH XÂY DỰNG CƠ KHÍ VÀ CHẾ TẠO MÁY DŨNG SƠN</t>
        </is>
      </c>
      <c r="I3671" s="17" t="inlineStr">
        <is>
          <t>Quyết toán Hợp đồng mua bán số 1209/2025/HĐMB/STEELTECH-DS-G01 ký ngày 12/09/2025 về việc cung cấp vật tư cung cấp kết cấu lan can thép</t>
        </is>
      </c>
      <c r="J3671" s="17" t="inlineStr">
        <is>
          <t>Cái</t>
        </is>
      </c>
      <c r="K3671" s="19" t="n">
        <v>90098500</v>
      </c>
      <c r="L3671" s="21" t="n"/>
      <c r="M3671" s="22" t="n"/>
      <c r="N3671" s="22" t="n">
        <v>1</v>
      </c>
      <c r="O3671" s="22" t="n">
        <v>90098500</v>
      </c>
      <c r="P3671" s="22" t="n">
        <v>1</v>
      </c>
      <c r="Q3671" s="22" t="n">
        <v>90098500</v>
      </c>
      <c r="R3671" s="42">
        <f>+L3671+N3671-P3671</f>
        <v/>
      </c>
      <c r="S3671" s="42">
        <f>+M3671+O3671-Q3671</f>
        <v/>
      </c>
    </row>
    <row r="3672" ht="15" customHeight="1">
      <c r="A3672" s="16" t="n">
        <v>45959</v>
      </c>
      <c r="B3672" s="17" t="inlineStr">
        <is>
          <t>MH2510-97</t>
        </is>
      </c>
      <c r="C3672" s="16" t="n">
        <v>45959</v>
      </c>
      <c r="D3672" s="17" t="inlineStr">
        <is>
          <t>00010212</t>
        </is>
      </c>
      <c r="E3672" s="16" t="n">
        <v>45959</v>
      </c>
      <c r="F3672" s="16" t="inlineStr">
        <is>
          <t>XK2510-80</t>
        </is>
      </c>
      <c r="G3672" s="16" t="n">
        <v>45959</v>
      </c>
      <c r="H3672" s="17" t="inlineStr">
        <is>
          <t>CÔNG TY TNHH SƠN JOTUN VIỆT NAM</t>
        </is>
      </c>
      <c r="I3672" s="17" t="inlineStr">
        <is>
          <t>SƠN JOTAMASTIC 70 GREY 18L</t>
        </is>
      </c>
      <c r="J3672" s="17" t="inlineStr">
        <is>
          <t>Lít</t>
        </is>
      </c>
      <c r="K3672" s="19" t="n">
        <v>90000</v>
      </c>
      <c r="L3672" s="21" t="n"/>
      <c r="M3672" s="22" t="n"/>
      <c r="N3672" s="22" t="n">
        <v>684</v>
      </c>
      <c r="O3672" s="22" t="n">
        <v>61560000</v>
      </c>
      <c r="P3672" s="22" t="n">
        <v>684</v>
      </c>
      <c r="Q3672" s="22" t="n">
        <v>61560000</v>
      </c>
      <c r="R3672" s="42">
        <f>+L3672+N3672-P3672</f>
        <v/>
      </c>
      <c r="S3672" s="42">
        <f>+M3672+O3672-Q3672</f>
        <v/>
      </c>
    </row>
    <row r="3673" ht="15" customHeight="1">
      <c r="A3673" s="16" t="n">
        <v>45959</v>
      </c>
      <c r="B3673" s="17" t="inlineStr">
        <is>
          <t>MH2510-97</t>
        </is>
      </c>
      <c r="C3673" s="16" t="n">
        <v>45959</v>
      </c>
      <c r="D3673" s="17" t="inlineStr">
        <is>
          <t>00010212</t>
        </is>
      </c>
      <c r="E3673" s="16" t="n">
        <v>45959</v>
      </c>
      <c r="F3673" s="16" t="inlineStr">
        <is>
          <t>XK2510-80</t>
        </is>
      </c>
      <c r="G3673" s="16" t="n">
        <v>45959</v>
      </c>
      <c r="H3673" s="17" t="inlineStr">
        <is>
          <t>CÔNG TY TNHH SƠN JOTUN VIỆT NAM</t>
        </is>
      </c>
      <c r="I3673" s="17" t="inlineStr">
        <is>
          <t>DUNG MÔI JOTUN THINNER NO. 17 20L</t>
        </is>
      </c>
      <c r="J3673" s="17" t="inlineStr">
        <is>
          <t>Lít</t>
        </is>
      </c>
      <c r="K3673" s="19" t="n">
        <v>60000</v>
      </c>
      <c r="L3673" s="21" t="n"/>
      <c r="M3673" s="22" t="n"/>
      <c r="N3673" s="22" t="n">
        <v>100</v>
      </c>
      <c r="O3673" s="22" t="n">
        <v>6000000</v>
      </c>
      <c r="P3673" s="22" t="n">
        <v>100</v>
      </c>
      <c r="Q3673" s="22" t="n">
        <v>6000000</v>
      </c>
      <c r="R3673" s="42">
        <f>+L3673+N3673-P3673</f>
        <v/>
      </c>
      <c r="S3673" s="42">
        <f>+M3673+O3673-Q3673</f>
        <v/>
      </c>
    </row>
    <row r="3674" ht="15" customHeight="1">
      <c r="A3674" s="16" t="n">
        <v>45960</v>
      </c>
      <c r="B3674" s="17" t="inlineStr">
        <is>
          <t>MH2510-100</t>
        </is>
      </c>
      <c r="C3674" s="16" t="n">
        <v>45960</v>
      </c>
      <c r="D3674" s="17" t="inlineStr">
        <is>
          <t>00010233</t>
        </is>
      </c>
      <c r="E3674" s="16" t="n">
        <v>45960</v>
      </c>
      <c r="F3674" s="16" t="inlineStr">
        <is>
          <t>XK2510-22</t>
        </is>
      </c>
      <c r="G3674" s="16" t="n">
        <v>45960</v>
      </c>
      <c r="H3674" s="17" t="inlineStr">
        <is>
          <t>CÔNG TY TNHH SƠN JOTUN VIỆT NAM</t>
        </is>
      </c>
      <c r="I3674" s="17" t="inlineStr">
        <is>
          <t>SƠN FUTURA CLASSIC RAL 9005 19.06L</t>
        </is>
      </c>
      <c r="J3674" s="17" t="inlineStr">
        <is>
          <t>Lít</t>
        </is>
      </c>
      <c r="K3674" s="19" t="n">
        <v>155000</v>
      </c>
      <c r="L3674" s="21" t="n"/>
      <c r="M3674" s="22" t="n"/>
      <c r="N3674" s="22" t="n">
        <v>1105.48</v>
      </c>
      <c r="O3674" s="22" t="n">
        <v>171349400</v>
      </c>
      <c r="P3674" s="22" t="n">
        <v>1105.48</v>
      </c>
      <c r="Q3674" s="22" t="n">
        <v>171349400</v>
      </c>
      <c r="R3674" s="42">
        <f>+L3674+N3674-P3674</f>
        <v/>
      </c>
      <c r="S3674" s="42">
        <f>+M3674+O3674-Q3674</f>
        <v/>
      </c>
    </row>
    <row r="3675" ht="15" customHeight="1">
      <c r="A3675" s="16" t="n">
        <v>45960</v>
      </c>
      <c r="B3675" s="17" t="inlineStr">
        <is>
          <t>MH2510-100</t>
        </is>
      </c>
      <c r="C3675" s="16" t="n">
        <v>45960</v>
      </c>
      <c r="D3675" s="17" t="inlineStr">
        <is>
          <t>00010233</t>
        </is>
      </c>
      <c r="E3675" s="16" t="n">
        <v>45960</v>
      </c>
      <c r="F3675" s="16" t="inlineStr">
        <is>
          <t>XK2510-22</t>
        </is>
      </c>
      <c r="G3675" s="16" t="n">
        <v>45960</v>
      </c>
      <c r="H3675" s="17" t="inlineStr">
        <is>
          <t>CÔNG TY TNHH SƠN JOTUN VIỆT NAM</t>
        </is>
      </c>
      <c r="I3675" s="17" t="inlineStr">
        <is>
          <t>SƠN FUTURA CLASSIC RAL 9005 4.77L</t>
        </is>
      </c>
      <c r="J3675" s="17" t="inlineStr">
        <is>
          <t>Lít</t>
        </is>
      </c>
      <c r="K3675" s="19" t="n">
        <v>155000</v>
      </c>
      <c r="L3675" s="21" t="n"/>
      <c r="M3675" s="22" t="n"/>
      <c r="N3675" s="22" t="n">
        <v>42.93</v>
      </c>
      <c r="O3675" s="22" t="n">
        <v>6654150</v>
      </c>
      <c r="P3675" s="22" t="n">
        <v>42.93</v>
      </c>
      <c r="Q3675" s="22" t="n">
        <v>6654150</v>
      </c>
      <c r="R3675" s="42">
        <f>+L3675+N3675-P3675</f>
        <v/>
      </c>
      <c r="S3675" s="42">
        <f>+M3675+O3675-Q3675</f>
        <v/>
      </c>
    </row>
    <row r="3676" ht="30" customHeight="1">
      <c r="A3676" s="16" t="n">
        <v>45960</v>
      </c>
      <c r="B3676" s="17" t="inlineStr">
        <is>
          <t>MH2510-101</t>
        </is>
      </c>
      <c r="C3676" s="16" t="n">
        <v>45960</v>
      </c>
      <c r="D3676" s="17" t="inlineStr">
        <is>
          <t>00004308</t>
        </is>
      </c>
      <c r="E3676" s="16" t="n">
        <v>45960</v>
      </c>
      <c r="F3676" s="16" t="inlineStr">
        <is>
          <t>XK2510-36</t>
        </is>
      </c>
      <c r="G3676" s="16" t="n">
        <v>45947</v>
      </c>
      <c r="H3676" s="17" t="inlineStr">
        <is>
          <t>CÔNG TY CỔ PHẦN CÔNG NGHIỆP VÀ THƯƠNG MẠI CƯỜNG THỊNH</t>
        </is>
      </c>
      <c r="I3676" s="17" t="inlineStr">
        <is>
          <t>Ty ren suốt 5.6 (đầu vát-đầu lục giác) ZP M24x260</t>
        </is>
      </c>
      <c r="J3676" s="17" t="inlineStr">
        <is>
          <t>Cái</t>
        </is>
      </c>
      <c r="K3676" s="19" t="n">
        <v>55660</v>
      </c>
      <c r="L3676" s="21" t="n"/>
      <c r="M3676" s="22" t="n"/>
      <c r="N3676" s="22" t="n">
        <v>3</v>
      </c>
      <c r="O3676" s="22" t="n">
        <v>166980</v>
      </c>
      <c r="P3676" s="22" t="n">
        <v>3</v>
      </c>
      <c r="Q3676" s="22" t="n">
        <v>166980</v>
      </c>
      <c r="R3676" s="42">
        <f>+L3676+N3676-P3676</f>
        <v/>
      </c>
      <c r="S3676" s="42">
        <f>+M3676+O3676-Q3676</f>
        <v/>
      </c>
    </row>
    <row r="3677" ht="30" customHeight="1">
      <c r="A3677" s="16" t="n">
        <v>45960</v>
      </c>
      <c r="B3677" s="17" t="inlineStr">
        <is>
          <t>MH2510-101</t>
        </is>
      </c>
      <c r="C3677" s="16" t="n">
        <v>45960</v>
      </c>
      <c r="D3677" s="17" t="inlineStr">
        <is>
          <t>00004308</t>
        </is>
      </c>
      <c r="E3677" s="16" t="n">
        <v>45960</v>
      </c>
      <c r="F3677" s="16" t="inlineStr">
        <is>
          <t>XK2510-36</t>
        </is>
      </c>
      <c r="G3677" s="16" t="n">
        <v>45947</v>
      </c>
      <c r="H3677" s="17" t="inlineStr">
        <is>
          <t>CÔNG TY CỔ PHẦN CÔNG NGHIỆP VÀ THƯƠNG MẠI CƯỜNG THỊNH</t>
        </is>
      </c>
      <c r="I3677" s="17" t="inlineStr">
        <is>
          <t>Đai ốc Din 934 5 ZP M24</t>
        </is>
      </c>
      <c r="J3677" s="17" t="inlineStr">
        <is>
          <t>Cái</t>
        </is>
      </c>
      <c r="K3677" s="19" t="n">
        <v>3110</v>
      </c>
      <c r="L3677" s="21" t="n"/>
      <c r="M3677" s="22" t="n"/>
      <c r="N3677" s="22" t="n">
        <v>3</v>
      </c>
      <c r="O3677" s="22" t="n">
        <v>9330</v>
      </c>
      <c r="P3677" s="22" t="n">
        <v>3</v>
      </c>
      <c r="Q3677" s="22" t="n">
        <v>9330</v>
      </c>
      <c r="R3677" s="42">
        <f>+L3677+N3677-P3677</f>
        <v/>
      </c>
      <c r="S3677" s="42">
        <f>+M3677+O3677-Q3677</f>
        <v/>
      </c>
    </row>
    <row r="3678" ht="30" customHeight="1">
      <c r="A3678" s="16" t="n">
        <v>45960</v>
      </c>
      <c r="B3678" s="17" t="inlineStr">
        <is>
          <t>MH2510-101</t>
        </is>
      </c>
      <c r="C3678" s="16" t="n">
        <v>45960</v>
      </c>
      <c r="D3678" s="17" t="inlineStr">
        <is>
          <t>00004308</t>
        </is>
      </c>
      <c r="E3678" s="16" t="n">
        <v>45960</v>
      </c>
      <c r="F3678" s="16" t="inlineStr">
        <is>
          <t>XK2510-36</t>
        </is>
      </c>
      <c r="G3678" s="16" t="n">
        <v>45947</v>
      </c>
      <c r="H3678" s="17" t="inlineStr">
        <is>
          <t>CÔNG TY CỔ PHẦN CÔNG NGHIỆP VÀ THƯƠNG MẠI CƯỜNG THỊNH</t>
        </is>
      </c>
      <c r="I3678" s="17" t="inlineStr">
        <is>
          <t>Đai ốc Din 934 5 ZP M30</t>
        </is>
      </c>
      <c r="J3678" s="17" t="inlineStr">
        <is>
          <t>Cái</t>
        </is>
      </c>
      <c r="K3678" s="19" t="n">
        <v>6820</v>
      </c>
      <c r="L3678" s="21" t="n"/>
      <c r="M3678" s="22" t="n"/>
      <c r="N3678" s="22" t="n">
        <v>3</v>
      </c>
      <c r="O3678" s="22" t="n">
        <v>20460</v>
      </c>
      <c r="P3678" s="22" t="n">
        <v>3</v>
      </c>
      <c r="Q3678" s="22" t="n">
        <v>20460</v>
      </c>
      <c r="R3678" s="42">
        <f>+L3678+N3678-P3678</f>
        <v/>
      </c>
      <c r="S3678" s="42">
        <f>+M3678+O3678-Q3678</f>
        <v/>
      </c>
    </row>
    <row r="3679" ht="30" customHeight="1">
      <c r="A3679" s="16" t="n">
        <v>45960</v>
      </c>
      <c r="B3679" s="17" t="inlineStr">
        <is>
          <t>MH2510-101</t>
        </is>
      </c>
      <c r="C3679" s="16" t="n">
        <v>45960</v>
      </c>
      <c r="D3679" s="17" t="inlineStr">
        <is>
          <t>00004308</t>
        </is>
      </c>
      <c r="E3679" s="16" t="n">
        <v>45960</v>
      </c>
      <c r="F3679" s="16" t="inlineStr">
        <is>
          <t>XK2510-36</t>
        </is>
      </c>
      <c r="G3679" s="16" t="n">
        <v>45947</v>
      </c>
      <c r="H3679" s="17" t="inlineStr">
        <is>
          <t>CÔNG TY CỔ PHẦN CÔNG NGHIỆP VÀ THƯƠNG MẠI CƯỜNG THỊNH</t>
        </is>
      </c>
      <c r="I3679" s="17" t="inlineStr">
        <is>
          <t>Long đền thường ZP M24B40-42D2</t>
        </is>
      </c>
      <c r="J3679" s="17" t="inlineStr">
        <is>
          <t>Cái</t>
        </is>
      </c>
      <c r="K3679" s="19" t="n">
        <v>660</v>
      </c>
      <c r="L3679" s="21" t="n"/>
      <c r="M3679" s="22" t="n"/>
      <c r="N3679" s="22" t="n">
        <v>3</v>
      </c>
      <c r="O3679" s="22" t="n">
        <v>1980</v>
      </c>
      <c r="P3679" s="22" t="n">
        <v>3</v>
      </c>
      <c r="Q3679" s="22" t="n">
        <v>1980</v>
      </c>
      <c r="R3679" s="42">
        <f>+L3679+N3679-P3679</f>
        <v/>
      </c>
      <c r="S3679" s="42">
        <f>+M3679+O3679-Q3679</f>
        <v/>
      </c>
    </row>
    <row r="3680" ht="30" customHeight="1">
      <c r="A3680" s="16" t="n">
        <v>45960</v>
      </c>
      <c r="B3680" s="17" t="inlineStr">
        <is>
          <t>MH2510-101</t>
        </is>
      </c>
      <c r="C3680" s="16" t="n">
        <v>45960</v>
      </c>
      <c r="D3680" s="17" t="inlineStr">
        <is>
          <t>00004308</t>
        </is>
      </c>
      <c r="E3680" s="16" t="n">
        <v>45960</v>
      </c>
      <c r="F3680" s="16" t="inlineStr">
        <is>
          <t>XK2510-36</t>
        </is>
      </c>
      <c r="G3680" s="16" t="n">
        <v>45947</v>
      </c>
      <c r="H3680" s="17" t="inlineStr">
        <is>
          <t>CÔNG TY CỔ PHẦN CÔNG NGHIỆP VÀ THƯƠNG MẠI CƯỜNG THỊNH</t>
        </is>
      </c>
      <c r="I3680" s="17" t="inlineStr">
        <is>
          <t>Long đền thường ZP M30B50D2</t>
        </is>
      </c>
      <c r="J3680" s="17" t="inlineStr">
        <is>
          <t>Cái</t>
        </is>
      </c>
      <c r="K3680" s="19" t="n">
        <v>890</v>
      </c>
      <c r="L3680" s="21" t="n"/>
      <c r="M3680" s="22" t="n"/>
      <c r="N3680" s="22" t="n">
        <v>3</v>
      </c>
      <c r="O3680" s="22" t="n">
        <v>2670</v>
      </c>
      <c r="P3680" s="22" t="n">
        <v>3</v>
      </c>
      <c r="Q3680" s="22" t="n">
        <v>2670</v>
      </c>
      <c r="R3680" s="42">
        <f>+L3680+N3680-P3680</f>
        <v/>
      </c>
      <c r="S3680" s="42">
        <f>+M3680+O3680-Q3680</f>
        <v/>
      </c>
    </row>
    <row r="3681" ht="30" customHeight="1">
      <c r="A3681" s="16" t="n">
        <v>45960</v>
      </c>
      <c r="B3681" s="17" t="inlineStr">
        <is>
          <t>MH2510-101</t>
        </is>
      </c>
      <c r="C3681" s="16" t="n">
        <v>45960</v>
      </c>
      <c r="D3681" s="17" t="inlineStr">
        <is>
          <t>00004308</t>
        </is>
      </c>
      <c r="E3681" s="16" t="n">
        <v>45960</v>
      </c>
      <c r="F3681" s="16" t="inlineStr">
        <is>
          <t>XK2510-36</t>
        </is>
      </c>
      <c r="G3681" s="16" t="n">
        <v>45947</v>
      </c>
      <c r="H3681" s="17" t="inlineStr">
        <is>
          <t>CÔNG TY CỔ PHẦN CÔNG NGHIỆP VÀ THƯƠNG MẠI CƯỜNG THỊNH</t>
        </is>
      </c>
      <c r="I3681" s="17" t="inlineStr">
        <is>
          <t>Ty ren suốt 5.6 (đầu vát-đầu lục giác) ZP M30x300</t>
        </is>
      </c>
      <c r="J3681" s="17" t="inlineStr">
        <is>
          <t>Cái</t>
        </is>
      </c>
      <c r="K3681" s="19" t="n">
        <v>83080</v>
      </c>
      <c r="L3681" s="21" t="n"/>
      <c r="M3681" s="22" t="n"/>
      <c r="N3681" s="22" t="n">
        <v>3</v>
      </c>
      <c r="O3681" s="22" t="n">
        <v>249240</v>
      </c>
      <c r="P3681" s="22" t="n">
        <v>3</v>
      </c>
      <c r="Q3681" s="22" t="n">
        <v>249240</v>
      </c>
      <c r="R3681" s="42">
        <f>+L3681+N3681-P3681</f>
        <v/>
      </c>
      <c r="S3681" s="42">
        <f>+M3681+O3681-Q3681</f>
        <v/>
      </c>
    </row>
    <row r="3682" ht="15" customHeight="1">
      <c r="A3682" s="16" t="n">
        <v>45960</v>
      </c>
      <c r="B3682" s="17" t="inlineStr">
        <is>
          <t>MH2510-102</t>
        </is>
      </c>
      <c r="C3682" s="16" t="n">
        <v>45960</v>
      </c>
      <c r="D3682" s="17" t="inlineStr">
        <is>
          <t>0000009</t>
        </is>
      </c>
      <c r="E3682" s="16" t="n">
        <v>45960</v>
      </c>
      <c r="F3682" s="16" t="inlineStr">
        <is>
          <t>XK2510-14</t>
        </is>
      </c>
      <c r="G3682" s="16" t="n">
        <v>45960</v>
      </c>
      <c r="H3682" s="17" t="inlineStr">
        <is>
          <t>CÔNG TY TNHH LOTALUX</t>
        </is>
      </c>
      <c r="I3682" s="17" t="inlineStr">
        <is>
          <t>Cửa thép</t>
        </is>
      </c>
      <c r="J3682" s="17" t="inlineStr">
        <is>
          <t>Bộ</t>
        </is>
      </c>
      <c r="K3682" s="19" t="n">
        <v>532809750</v>
      </c>
      <c r="L3682" s="21" t="n"/>
      <c r="M3682" s="22" t="n"/>
      <c r="N3682" s="22" t="n">
        <v>1</v>
      </c>
      <c r="O3682" s="22" t="n">
        <v>532809750</v>
      </c>
      <c r="P3682" s="22" t="n">
        <v>1</v>
      </c>
      <c r="Q3682" s="22" t="n">
        <v>532809750</v>
      </c>
      <c r="R3682" s="42">
        <f>+L3682+N3682-P3682</f>
        <v/>
      </c>
      <c r="S3682" s="42">
        <f>+M3682+O3682-Q3682</f>
        <v/>
      </c>
    </row>
    <row r="3683" ht="30" customHeight="1">
      <c r="A3683" s="16" t="n">
        <v>45960</v>
      </c>
      <c r="B3683" s="17" t="inlineStr">
        <is>
          <t>MH2510-99</t>
        </is>
      </c>
      <c r="C3683" s="16" t="n">
        <v>45960</v>
      </c>
      <c r="D3683" s="17" t="inlineStr">
        <is>
          <t>00000102</t>
        </is>
      </c>
      <c r="E3683" s="16" t="n">
        <v>45960</v>
      </c>
      <c r="F3683" s="16" t="inlineStr">
        <is>
          <t>XK2510-88</t>
        </is>
      </c>
      <c r="G3683" s="16" t="n">
        <v>45961</v>
      </c>
      <c r="H3683" s="17" t="inlineStr">
        <is>
          <t>CÔNG TY TNHH THIẾT BỊ XÂY DỰNG QUANG MINH HƯNG</t>
        </is>
      </c>
      <c r="I3683" s="17" t="inlineStr">
        <is>
          <t>CÂY CHỐNG NÊM 2.6M KHÔNG ĐẦU 7.2KG</t>
        </is>
      </c>
      <c r="J3683" s="17" t="inlineStr">
        <is>
          <t>Cây</t>
        </is>
      </c>
      <c r="K3683" s="19" t="n">
        <v>180000</v>
      </c>
      <c r="L3683" s="21" t="n"/>
      <c r="M3683" s="22" t="n"/>
      <c r="N3683" s="22" t="n">
        <v>300</v>
      </c>
      <c r="O3683" s="22" t="n">
        <v>54000000</v>
      </c>
      <c r="P3683" s="22" t="n">
        <v>300</v>
      </c>
      <c r="Q3683" s="22" t="n">
        <v>54000000</v>
      </c>
      <c r="R3683" s="42">
        <f>+L3683+N3683-P3683</f>
        <v/>
      </c>
      <c r="S3683" s="42">
        <f>+M3683+O3683-Q3683</f>
        <v/>
      </c>
    </row>
    <row r="3684" ht="30" customHeight="1">
      <c r="A3684" s="16" t="n">
        <v>45960</v>
      </c>
      <c r="B3684" s="17" t="inlineStr">
        <is>
          <t>MH2510-99</t>
        </is>
      </c>
      <c r="C3684" s="16" t="n">
        <v>45960</v>
      </c>
      <c r="D3684" s="17" t="inlineStr">
        <is>
          <t>00000102</t>
        </is>
      </c>
      <c r="E3684" s="16" t="n">
        <v>45960</v>
      </c>
      <c r="F3684" s="16" t="inlineStr">
        <is>
          <t>XK2510-88</t>
        </is>
      </c>
      <c r="G3684" s="16" t="n">
        <v>45961</v>
      </c>
      <c r="H3684" s="17" t="inlineStr">
        <is>
          <t>CÔNG TY TNHH THIẾT BỊ XÂY DỰNG QUANG MINH HƯNG</t>
        </is>
      </c>
      <c r="I3684" s="17" t="inlineStr">
        <is>
          <t>CƯỚC VẬN CHUYỂN</t>
        </is>
      </c>
      <c r="J3684" s="17" t="inlineStr">
        <is>
          <t>Cây</t>
        </is>
      </c>
      <c r="K3684" s="19" t="n">
        <v>2000000</v>
      </c>
      <c r="L3684" s="21" t="n"/>
      <c r="M3684" s="22" t="n"/>
      <c r="N3684" s="22" t="n">
        <v>1</v>
      </c>
      <c r="O3684" s="22" t="n">
        <v>2000000</v>
      </c>
      <c r="P3684" s="22" t="n">
        <v>1</v>
      </c>
      <c r="Q3684" s="22" t="n">
        <v>2000000</v>
      </c>
      <c r="R3684" s="42">
        <f>+L3684+N3684-P3684</f>
        <v/>
      </c>
      <c r="S3684" s="42">
        <f>+M3684+O3684-Q3684</f>
        <v/>
      </c>
    </row>
    <row r="3685" ht="30" customHeight="1">
      <c r="A3685" s="16" t="n">
        <v>45961</v>
      </c>
      <c r="B3685" s="17" t="inlineStr">
        <is>
          <t>MH2510-104</t>
        </is>
      </c>
      <c r="C3685" s="16" t="n">
        <v>45961</v>
      </c>
      <c r="D3685" s="17" t="inlineStr">
        <is>
          <t>2467</t>
        </is>
      </c>
      <c r="E3685" s="16" t="n">
        <v>45961</v>
      </c>
      <c r="F3685" s="16" t="inlineStr">
        <is>
          <t>XK2510-37</t>
        </is>
      </c>
      <c r="G3685" s="16" t="n">
        <v>45947</v>
      </c>
      <c r="H3685" s="17" t="inlineStr">
        <is>
          <t>CÔNG TY TNHH KỸ THUẬT VÀ THƯƠNG MẠI B.F.C</t>
        </is>
      </c>
      <c r="I3685" s="17" t="inlineStr">
        <is>
          <t>Vít B3stek 12-24x38 WAF</t>
        </is>
      </c>
      <c r="J3685" s="17" t="inlineStr">
        <is>
          <t>Cái</t>
        </is>
      </c>
      <c r="K3685" s="19" t="n">
        <v>2188</v>
      </c>
      <c r="L3685" s="21" t="n"/>
      <c r="M3685" s="22" t="n"/>
      <c r="N3685" s="22" t="n">
        <v>100</v>
      </c>
      <c r="O3685" s="22" t="n">
        <v>218800</v>
      </c>
      <c r="P3685" s="22" t="n">
        <v>100</v>
      </c>
      <c r="Q3685" s="22" t="n">
        <v>218800</v>
      </c>
      <c r="R3685" s="42">
        <f>+L3685+N3685-P3685</f>
        <v/>
      </c>
      <c r="S3685" s="42">
        <f>+M3685+O3685-Q3685</f>
        <v/>
      </c>
    </row>
    <row r="3686" ht="30" customHeight="1">
      <c r="A3686" s="16" t="n">
        <v>45961</v>
      </c>
      <c r="B3686" s="17" t="inlineStr">
        <is>
          <t>MH2510-105</t>
        </is>
      </c>
      <c r="C3686" s="16" t="n">
        <v>45961</v>
      </c>
      <c r="D3686" s="17" t="inlineStr">
        <is>
          <t>00000859</t>
        </is>
      </c>
      <c r="E3686" s="16" t="n">
        <v>45961</v>
      </c>
      <c r="F3686" s="16" t="inlineStr">
        <is>
          <t>XK2510-38</t>
        </is>
      </c>
      <c r="G3686" s="16" t="n">
        <v>45948</v>
      </c>
      <c r="H3686" s="17" t="inlineStr">
        <is>
          <t>CÔNG TY CỔ PHẦN XÂY DỰNG VÀ DỊCH VỤ DHD VIỆT NAM</t>
        </is>
      </c>
      <c r="I3686" s="17" t="inlineStr">
        <is>
          <t>Ma tít gắn thép Ramset Epcon G5 PRO</t>
        </is>
      </c>
      <c r="J3686" s="17" t="inlineStr">
        <is>
          <t>Gói</t>
        </is>
      </c>
      <c r="K3686" s="19" t="n">
        <v>620000</v>
      </c>
      <c r="L3686" s="21" t="n"/>
      <c r="M3686" s="22" t="n"/>
      <c r="N3686" s="22" t="n">
        <v>3</v>
      </c>
      <c r="O3686" s="22" t="n">
        <v>1860000</v>
      </c>
      <c r="P3686" s="22" t="n">
        <v>3</v>
      </c>
      <c r="Q3686" s="22" t="n">
        <v>1860000</v>
      </c>
      <c r="R3686" s="42">
        <f>+L3686+N3686-P3686</f>
        <v/>
      </c>
      <c r="S3686" s="42">
        <f>+M3686+O3686-Q3686</f>
        <v/>
      </c>
    </row>
    <row r="3687" ht="30" customHeight="1">
      <c r="A3687" s="16" t="n">
        <v>45961</v>
      </c>
      <c r="B3687" s="17" t="inlineStr">
        <is>
          <t>MH2510-107</t>
        </is>
      </c>
      <c r="C3687" s="16" t="n">
        <v>45961</v>
      </c>
      <c r="D3687" s="17" t="inlineStr">
        <is>
          <t>3163</t>
        </is>
      </c>
      <c r="E3687" s="16" t="n">
        <v>45961</v>
      </c>
      <c r="F3687" s="16" t="inlineStr">
        <is>
          <t>XK2510-39</t>
        </is>
      </c>
      <c r="G3687" s="16" t="n">
        <v>45950</v>
      </c>
      <c r="H3687" s="17" t="inlineStr">
        <is>
          <t>CÔNG TY TNHH THƯƠNG MẠI DỊCH VỤ THÉP KHÔNG GỈ VẠN LỢI</t>
        </is>
      </c>
      <c r="I3687" s="17" t="inlineStr">
        <is>
          <t>Tấm inox 304: 10.0mm x 680 x 250</t>
        </is>
      </c>
      <c r="J3687" s="17" t="inlineStr">
        <is>
          <t>kg</t>
        </is>
      </c>
      <c r="K3687" s="19" t="n">
        <v>810000</v>
      </c>
      <c r="L3687" s="21" t="n"/>
      <c r="M3687" s="22" t="n"/>
      <c r="N3687" s="22" t="n">
        <v>2</v>
      </c>
      <c r="O3687" s="22" t="n">
        <v>1620000</v>
      </c>
      <c r="P3687" s="22" t="n">
        <v>2</v>
      </c>
      <c r="Q3687" s="22" t="n">
        <v>1620000</v>
      </c>
      <c r="R3687" s="42">
        <f>+L3687+N3687-P3687</f>
        <v/>
      </c>
      <c r="S3687" s="42">
        <f>+M3687+O3687-Q3687</f>
        <v/>
      </c>
    </row>
    <row r="3688" ht="15" customHeight="1">
      <c r="A3688" s="16" t="n">
        <v>45961</v>
      </c>
      <c r="B3688" s="17" t="inlineStr">
        <is>
          <t>MH2510-108</t>
        </is>
      </c>
      <c r="C3688" s="16" t="n">
        <v>45961</v>
      </c>
      <c r="D3688" s="17" t="inlineStr">
        <is>
          <t>00010304</t>
        </is>
      </c>
      <c r="E3688" s="16" t="n">
        <v>45961</v>
      </c>
      <c r="F3688" s="16" t="inlineStr">
        <is>
          <t>XK2510-49</t>
        </is>
      </c>
      <c r="G3688" s="16" t="n">
        <v>45954</v>
      </c>
      <c r="H3688" s="17" t="inlineStr">
        <is>
          <t>CÔNG TY TNHH SƠN JOTUN VIỆT NAM</t>
        </is>
      </c>
      <c r="I3688" s="17" t="inlineStr">
        <is>
          <t>SƠN JOTAMASTIC 70 RED 18L</t>
        </is>
      </c>
      <c r="J3688" s="17" t="inlineStr">
        <is>
          <t>Lít</t>
        </is>
      </c>
      <c r="K3688" s="19" t="n">
        <v>90000</v>
      </c>
      <c r="L3688" s="21" t="n"/>
      <c r="M3688" s="22" t="n"/>
      <c r="N3688" s="22" t="n">
        <v>270</v>
      </c>
      <c r="O3688" s="22" t="n">
        <v>24300000</v>
      </c>
      <c r="P3688" s="22" t="n">
        <v>270</v>
      </c>
      <c r="Q3688" s="22" t="n">
        <v>24300000</v>
      </c>
      <c r="R3688" s="42">
        <f>+L3688+N3688-P3688</f>
        <v/>
      </c>
      <c r="S3688" s="42">
        <f>+M3688+O3688-Q3688</f>
        <v/>
      </c>
    </row>
    <row r="3689" ht="15" customHeight="1">
      <c r="A3689" s="16" t="n">
        <v>45961</v>
      </c>
      <c r="B3689" s="17" t="inlineStr">
        <is>
          <t>MH2510-108</t>
        </is>
      </c>
      <c r="C3689" s="16" t="n">
        <v>45961</v>
      </c>
      <c r="D3689" s="17" t="inlineStr">
        <is>
          <t>00010304</t>
        </is>
      </c>
      <c r="E3689" s="16" t="n">
        <v>45961</v>
      </c>
      <c r="F3689" s="16" t="inlineStr">
        <is>
          <t>XK2510-49</t>
        </is>
      </c>
      <c r="G3689" s="16" t="n">
        <v>45954</v>
      </c>
      <c r="H3689" s="17" t="inlineStr">
        <is>
          <t>CÔNG TY TNHH SƠN JOTUN VIỆT NAM</t>
        </is>
      </c>
      <c r="I3689" s="17" t="inlineStr">
        <is>
          <t>DUNG MÔI JOTUN THINNER NO. 17 20L</t>
        </is>
      </c>
      <c r="J3689" s="17" t="inlineStr">
        <is>
          <t>Lít</t>
        </is>
      </c>
      <c r="K3689" s="19" t="n">
        <v>60000</v>
      </c>
      <c r="L3689" s="21" t="n"/>
      <c r="M3689" s="22" t="n"/>
      <c r="N3689" s="22" t="n">
        <v>40</v>
      </c>
      <c r="O3689" s="22" t="n">
        <v>2400000</v>
      </c>
      <c r="P3689" s="22" t="n">
        <v>40</v>
      </c>
      <c r="Q3689" s="22" t="n">
        <v>2400000</v>
      </c>
      <c r="R3689" s="42">
        <f>+L3689+N3689-P3689</f>
        <v/>
      </c>
      <c r="S3689" s="42">
        <f>+M3689+O3689-Q3689</f>
        <v/>
      </c>
    </row>
    <row r="3690" ht="15" customHeight="1">
      <c r="A3690" s="16" t="n">
        <v>45961</v>
      </c>
      <c r="B3690" s="17" t="inlineStr">
        <is>
          <t>MH2510-109</t>
        </is>
      </c>
      <c r="C3690" s="16" t="n">
        <v>45961</v>
      </c>
      <c r="D3690" s="17" t="inlineStr">
        <is>
          <t>762</t>
        </is>
      </c>
      <c r="E3690" s="16" t="n">
        <v>45961</v>
      </c>
      <c r="F3690" s="16" t="inlineStr">
        <is>
          <t>XK2510-32</t>
        </is>
      </c>
      <c r="G3690" s="16" t="n">
        <v>45961</v>
      </c>
      <c r="H3690" s="17" t="inlineStr">
        <is>
          <t>CÔNG TY CỔ PHẦN THÉP TOÀN THẮNG - LA</t>
        </is>
      </c>
      <c r="I3690" s="17" t="inlineStr">
        <is>
          <t>Thép tấm 12x2000x12000mm Q355B</t>
        </is>
      </c>
      <c r="J3690" s="17" t="inlineStr">
        <is>
          <t>kg</t>
        </is>
      </c>
      <c r="K3690" s="19" t="n">
        <v>14000</v>
      </c>
      <c r="L3690" s="21" t="n"/>
      <c r="M3690" s="22" t="n"/>
      <c r="N3690" s="22" t="n">
        <v>63302.4</v>
      </c>
      <c r="O3690" s="22" t="n">
        <v>886233600</v>
      </c>
      <c r="P3690" s="22" t="n">
        <v>63302.4</v>
      </c>
      <c r="Q3690" s="22" t="n">
        <v>886233600</v>
      </c>
      <c r="R3690" s="42">
        <f>+L3690+N3690-P3690</f>
        <v/>
      </c>
      <c r="S3690" s="42">
        <f>+M3690+O3690-Q3690</f>
        <v/>
      </c>
    </row>
    <row r="3691" ht="30" customHeight="1">
      <c r="A3691" s="16" t="n">
        <v>45962</v>
      </c>
      <c r="B3691" s="17" t="inlineStr">
        <is>
          <t>MH2511-01</t>
        </is>
      </c>
      <c r="C3691" s="16" t="n">
        <v>45962</v>
      </c>
      <c r="D3691" s="17" t="inlineStr">
        <is>
          <t>00004321</t>
        </is>
      </c>
      <c r="E3691" s="16" t="n">
        <v>45962</v>
      </c>
      <c r="F3691" s="66" t="inlineStr">
        <is>
          <t>XK2511-01</t>
        </is>
      </c>
      <c r="G3691" s="16" t="n">
        <v>45962</v>
      </c>
      <c r="H3691" s="17" t="inlineStr">
        <is>
          <t>CÔNG TY CỔ PHẦN CÔNG NGHIỆP VÀ THƯƠNG MẠI CƯỜNG THỊNH</t>
        </is>
      </c>
      <c r="I3691" s="17" t="inlineStr">
        <is>
          <t>Bulong thường 4.6 ZP M12x30</t>
        </is>
      </c>
      <c r="J3691" s="17" t="inlineStr">
        <is>
          <t>Cái</t>
        </is>
      </c>
      <c r="K3691" s="19" t="n">
        <v>950</v>
      </c>
      <c r="L3691" s="21" t="n"/>
      <c r="M3691" s="22" t="n"/>
      <c r="N3691" s="22" t="n">
        <v>3317</v>
      </c>
      <c r="O3691" s="22" t="n">
        <v>3151150</v>
      </c>
      <c r="P3691" s="22" t="n">
        <v>3317</v>
      </c>
      <c r="Q3691" s="22" t="n">
        <v>3151150</v>
      </c>
      <c r="R3691" s="42">
        <f>+L3691+N3691-P3691</f>
        <v/>
      </c>
      <c r="S3691" s="42">
        <f>+M3691+O3691-Q3691</f>
        <v/>
      </c>
    </row>
    <row r="3692" ht="30" customHeight="1">
      <c r="A3692" s="16" t="n">
        <v>45962</v>
      </c>
      <c r="B3692" s="17" t="inlineStr">
        <is>
          <t>MH2511-01</t>
        </is>
      </c>
      <c r="C3692" s="16" t="n">
        <v>45962</v>
      </c>
      <c r="D3692" s="17" t="inlineStr">
        <is>
          <t>00004321</t>
        </is>
      </c>
      <c r="E3692" s="16" t="n">
        <v>45962</v>
      </c>
      <c r="F3692" s="66" t="inlineStr">
        <is>
          <t>XK2511-01</t>
        </is>
      </c>
      <c r="G3692" s="16" t="n">
        <v>45962</v>
      </c>
      <c r="H3692" s="17" t="inlineStr">
        <is>
          <t>CÔNG TY CỔ PHẦN CÔNG NGHIỆP VÀ THƯƠNG MẠI CƯỜNG THỊNH</t>
        </is>
      </c>
      <c r="I3692" s="17" t="inlineStr">
        <is>
          <t>Đai ốc thường 4 ZP M12 (8mm)</t>
        </is>
      </c>
      <c r="J3692" s="17" t="inlineStr">
        <is>
          <t>Cái</t>
        </is>
      </c>
      <c r="K3692" s="19" t="n">
        <v>360</v>
      </c>
      <c r="L3692" s="21" t="n"/>
      <c r="M3692" s="22" t="n"/>
      <c r="N3692" s="22" t="n">
        <v>3317</v>
      </c>
      <c r="O3692" s="22" t="n">
        <v>1194120</v>
      </c>
      <c r="P3692" s="22" t="n">
        <v>3317</v>
      </c>
      <c r="Q3692" s="22" t="n">
        <v>1194120</v>
      </c>
      <c r="R3692" s="42">
        <f>+L3692+N3692-P3692</f>
        <v/>
      </c>
      <c r="S3692" s="42">
        <f>+M3692+O3692-Q3692</f>
        <v/>
      </c>
    </row>
    <row r="3693" ht="30" customHeight="1">
      <c r="A3693" s="16" t="n">
        <v>45962</v>
      </c>
      <c r="B3693" s="17" t="inlineStr">
        <is>
          <t>MH2511-01</t>
        </is>
      </c>
      <c r="C3693" s="16" t="n">
        <v>45962</v>
      </c>
      <c r="D3693" s="17" t="inlineStr">
        <is>
          <t>00004321</t>
        </is>
      </c>
      <c r="E3693" s="16" t="n">
        <v>45962</v>
      </c>
      <c r="F3693" s="66" t="inlineStr">
        <is>
          <t>XK2511-01</t>
        </is>
      </c>
      <c r="G3693" s="16" t="n">
        <v>45962</v>
      </c>
      <c r="H3693" s="17" t="inlineStr">
        <is>
          <t>CÔNG TY CỔ PHẦN CÔNG NGHIỆP VÀ THƯƠNG MẠI CƯỜNG THỊNH</t>
        </is>
      </c>
      <c r="I3693" s="17" t="inlineStr">
        <is>
          <t>Long đền thường ZP M12B23D1</t>
        </is>
      </c>
      <c r="J3693" s="17" t="inlineStr">
        <is>
          <t>Cái</t>
        </is>
      </c>
      <c r="K3693" s="19" t="n">
        <v>100</v>
      </c>
      <c r="L3693" s="21" t="n"/>
      <c r="M3693" s="22" t="n"/>
      <c r="N3693" s="22" t="n">
        <v>6634</v>
      </c>
      <c r="O3693" s="22" t="n">
        <v>663400</v>
      </c>
      <c r="P3693" s="22" t="n">
        <v>6634</v>
      </c>
      <c r="Q3693" s="22" t="n">
        <v>663400</v>
      </c>
      <c r="R3693" s="42">
        <f>+L3693+N3693-P3693</f>
        <v/>
      </c>
      <c r="S3693" s="42">
        <f>+M3693+O3693-Q3693</f>
        <v/>
      </c>
    </row>
    <row r="3694" ht="30" customHeight="1">
      <c r="A3694" s="16" t="n">
        <v>45962</v>
      </c>
      <c r="B3694" s="17" t="inlineStr">
        <is>
          <t>MH2511-01</t>
        </is>
      </c>
      <c r="C3694" s="16" t="n">
        <v>45962</v>
      </c>
      <c r="D3694" s="17" t="inlineStr">
        <is>
          <t>00004321</t>
        </is>
      </c>
      <c r="E3694" s="16" t="n">
        <v>45962</v>
      </c>
      <c r="F3694" s="66" t="inlineStr">
        <is>
          <t>XK2511-01</t>
        </is>
      </c>
      <c r="G3694" s="16" t="n">
        <v>45962</v>
      </c>
      <c r="H3694" s="17" t="inlineStr">
        <is>
          <t>CÔNG TY CỔ PHẦN CÔNG NGHIỆP VÀ THƯƠNG MẠI CƯỜNG THỊNH</t>
        </is>
      </c>
      <c r="I3694" s="17" t="inlineStr">
        <is>
          <t>Bulong Din 933 8.8 ZP M16x50</t>
        </is>
      </c>
      <c r="J3694" s="17" t="inlineStr">
        <is>
          <t>Cái</t>
        </is>
      </c>
      <c r="K3694" s="19" t="n">
        <v>3470</v>
      </c>
      <c r="L3694" s="21" t="n"/>
      <c r="M3694" s="22" t="n"/>
      <c r="N3694" s="22" t="n">
        <v>173</v>
      </c>
      <c r="O3694" s="22" t="n">
        <v>600310</v>
      </c>
      <c r="P3694" s="22" t="n">
        <v>173</v>
      </c>
      <c r="Q3694" s="22" t="n">
        <v>600310</v>
      </c>
      <c r="R3694" s="42">
        <f>+L3694+N3694-P3694</f>
        <v/>
      </c>
      <c r="S3694" s="42">
        <f>+M3694+O3694-Q3694</f>
        <v/>
      </c>
    </row>
    <row r="3695" ht="30" customHeight="1">
      <c r="A3695" s="16" t="n">
        <v>45962</v>
      </c>
      <c r="B3695" s="17" t="inlineStr">
        <is>
          <t>MH2511-01</t>
        </is>
      </c>
      <c r="C3695" s="16" t="n">
        <v>45962</v>
      </c>
      <c r="D3695" s="17" t="inlineStr">
        <is>
          <t>00004321</t>
        </is>
      </c>
      <c r="E3695" s="16" t="n">
        <v>45962</v>
      </c>
      <c r="F3695" s="66" t="inlineStr">
        <is>
          <t>XK2511-01</t>
        </is>
      </c>
      <c r="G3695" s="16" t="n">
        <v>45962</v>
      </c>
      <c r="H3695" s="17" t="inlineStr">
        <is>
          <t>CÔNG TY CỔ PHẦN CÔNG NGHIỆP VÀ THƯƠNG MẠI CƯỜNG THỊNH</t>
        </is>
      </c>
      <c r="I3695" s="17" t="inlineStr">
        <is>
          <t>Đai ốc Din 934 8 ZP M16</t>
        </is>
      </c>
      <c r="J3695" s="17" t="inlineStr">
        <is>
          <t>Cái</t>
        </is>
      </c>
      <c r="K3695" s="19" t="n">
        <v>1080</v>
      </c>
      <c r="L3695" s="21" t="n"/>
      <c r="M3695" s="22" t="n"/>
      <c r="N3695" s="22" t="n">
        <v>173</v>
      </c>
      <c r="O3695" s="22" t="n">
        <v>186840</v>
      </c>
      <c r="P3695" s="22" t="n">
        <v>173</v>
      </c>
      <c r="Q3695" s="22" t="n">
        <v>186840</v>
      </c>
      <c r="R3695" s="42">
        <f>+L3695+N3695-P3695</f>
        <v/>
      </c>
      <c r="S3695" s="42">
        <f>+M3695+O3695-Q3695</f>
        <v/>
      </c>
    </row>
    <row r="3696" ht="30" customHeight="1">
      <c r="A3696" s="16" t="n">
        <v>45962</v>
      </c>
      <c r="B3696" s="17" t="inlineStr">
        <is>
          <t>MH2511-01</t>
        </is>
      </c>
      <c r="C3696" s="16" t="n">
        <v>45962</v>
      </c>
      <c r="D3696" s="17" t="inlineStr">
        <is>
          <t>00004321</t>
        </is>
      </c>
      <c r="E3696" s="16" t="n">
        <v>45962</v>
      </c>
      <c r="F3696" s="66" t="inlineStr">
        <is>
          <t>XK2511-01</t>
        </is>
      </c>
      <c r="G3696" s="16" t="n">
        <v>45962</v>
      </c>
      <c r="H3696" s="17" t="inlineStr">
        <is>
          <t>CÔNG TY CỔ PHẦN CÔNG NGHIỆP VÀ THƯƠNG MẠI CƯỜNG THỊNH</t>
        </is>
      </c>
      <c r="I3696" s="17" t="inlineStr">
        <is>
          <t>Long đền thường ZP M16B30D2</t>
        </is>
      </c>
      <c r="J3696" s="17" t="inlineStr">
        <is>
          <t>Cái</t>
        </is>
      </c>
      <c r="K3696" s="19" t="n">
        <v>340</v>
      </c>
      <c r="L3696" s="21" t="n"/>
      <c r="M3696" s="22" t="n"/>
      <c r="N3696" s="22" t="n">
        <v>173</v>
      </c>
      <c r="O3696" s="22" t="n">
        <v>58820</v>
      </c>
      <c r="P3696" s="22" t="n">
        <v>173</v>
      </c>
      <c r="Q3696" s="22" t="n">
        <v>58820</v>
      </c>
      <c r="R3696" s="42">
        <f>+L3696+N3696-P3696</f>
        <v/>
      </c>
      <c r="S3696" s="42">
        <f>+M3696+O3696-Q3696</f>
        <v/>
      </c>
    </row>
    <row r="3697" ht="30" customHeight="1">
      <c r="A3697" s="16" t="n">
        <v>45962</v>
      </c>
      <c r="B3697" s="17" t="inlineStr">
        <is>
          <t>MH2511-01</t>
        </is>
      </c>
      <c r="C3697" s="16" t="n">
        <v>45962</v>
      </c>
      <c r="D3697" s="17" t="inlineStr">
        <is>
          <t>00004321</t>
        </is>
      </c>
      <c r="E3697" s="16" t="n">
        <v>45962</v>
      </c>
      <c r="F3697" s="66" t="inlineStr">
        <is>
          <t>XK2511-01</t>
        </is>
      </c>
      <c r="G3697" s="16" t="n">
        <v>45962</v>
      </c>
      <c r="H3697" s="17" t="inlineStr">
        <is>
          <t>CÔNG TY CỔ PHẦN CÔNG NGHIỆP VÀ THƯƠNG MẠI CƯỜNG THỊNH</t>
        </is>
      </c>
      <c r="I3697" s="17" t="inlineStr">
        <is>
          <t>Bulong Din 933 8.8 ZP M20x60</t>
        </is>
      </c>
      <c r="J3697" s="17" t="inlineStr">
        <is>
          <t>Cái</t>
        </is>
      </c>
      <c r="K3697" s="19" t="n">
        <v>6360</v>
      </c>
      <c r="L3697" s="21" t="n"/>
      <c r="M3697" s="22" t="n"/>
      <c r="N3697" s="22" t="n">
        <v>1030</v>
      </c>
      <c r="O3697" s="22" t="n">
        <v>6550800</v>
      </c>
      <c r="P3697" s="22" t="n">
        <v>1030</v>
      </c>
      <c r="Q3697" s="22" t="n">
        <v>6550800</v>
      </c>
      <c r="R3697" s="42">
        <f>+L3697+N3697-P3697</f>
        <v/>
      </c>
      <c r="S3697" s="42">
        <f>+M3697+O3697-Q3697</f>
        <v/>
      </c>
    </row>
    <row r="3698" ht="30" customHeight="1">
      <c r="A3698" s="16" t="n">
        <v>45962</v>
      </c>
      <c r="B3698" s="17" t="inlineStr">
        <is>
          <t>MH2511-01</t>
        </is>
      </c>
      <c r="C3698" s="16" t="n">
        <v>45962</v>
      </c>
      <c r="D3698" s="17" t="inlineStr">
        <is>
          <t>00004321</t>
        </is>
      </c>
      <c r="E3698" s="16" t="n">
        <v>45962</v>
      </c>
      <c r="F3698" s="66" t="inlineStr">
        <is>
          <t>XK2511-01</t>
        </is>
      </c>
      <c r="G3698" s="16" t="n">
        <v>45962</v>
      </c>
      <c r="H3698" s="17" t="inlineStr">
        <is>
          <t>CÔNG TY CỔ PHẦN CÔNG NGHIỆP VÀ THƯƠNG MẠI CƯỜNG THỊNH</t>
        </is>
      </c>
      <c r="I3698" s="17" t="inlineStr">
        <is>
          <t>Đai ốc Din 934 8 ZP M20</t>
        </is>
      </c>
      <c r="J3698" s="17" t="inlineStr">
        <is>
          <t>Cái</t>
        </is>
      </c>
      <c r="K3698" s="19" t="n">
        <v>2030</v>
      </c>
      <c r="L3698" s="21" t="n"/>
      <c r="M3698" s="22" t="n"/>
      <c r="N3698" s="22" t="n">
        <v>1030</v>
      </c>
      <c r="O3698" s="22" t="n">
        <v>2090900</v>
      </c>
      <c r="P3698" s="22" t="n">
        <v>1030</v>
      </c>
      <c r="Q3698" s="22" t="n">
        <v>2090900</v>
      </c>
      <c r="R3698" s="42">
        <f>+L3698+N3698-P3698</f>
        <v/>
      </c>
      <c r="S3698" s="42">
        <f>+M3698+O3698-Q3698</f>
        <v/>
      </c>
    </row>
    <row r="3699" ht="30" customHeight="1">
      <c r="A3699" s="16" t="n">
        <v>45962</v>
      </c>
      <c r="B3699" s="17" t="inlineStr">
        <is>
          <t>MH2511-01</t>
        </is>
      </c>
      <c r="C3699" s="16" t="n">
        <v>45962</v>
      </c>
      <c r="D3699" s="17" t="inlineStr">
        <is>
          <t>00004321</t>
        </is>
      </c>
      <c r="E3699" s="16" t="n">
        <v>45962</v>
      </c>
      <c r="F3699" s="66" t="inlineStr">
        <is>
          <t>XK2511-01</t>
        </is>
      </c>
      <c r="G3699" s="16" t="n">
        <v>45962</v>
      </c>
      <c r="H3699" s="17" t="inlineStr">
        <is>
          <t>CÔNG TY CỔ PHẦN CÔNG NGHIỆP VÀ THƯƠNG MẠI CƯỜNG THỊNH</t>
        </is>
      </c>
      <c r="I3699" s="17" t="inlineStr">
        <is>
          <t>Long đền thường ZP M20B35D2</t>
        </is>
      </c>
      <c r="J3699" s="17" t="inlineStr">
        <is>
          <t>Cái</t>
        </is>
      </c>
      <c r="K3699" s="19" t="n">
        <v>350</v>
      </c>
      <c r="L3699" s="21" t="n"/>
      <c r="M3699" s="22" t="n"/>
      <c r="N3699" s="22" t="n">
        <v>1030</v>
      </c>
      <c r="O3699" s="22" t="n">
        <v>360500</v>
      </c>
      <c r="P3699" s="22" t="n">
        <v>1030</v>
      </c>
      <c r="Q3699" s="22" t="n">
        <v>360500</v>
      </c>
      <c r="R3699" s="42">
        <f>+L3699+N3699-P3699</f>
        <v/>
      </c>
      <c r="S3699" s="42">
        <f>+M3699+O3699-Q3699</f>
        <v/>
      </c>
    </row>
    <row r="3700" ht="30" customHeight="1">
      <c r="A3700" s="16" t="n">
        <v>45962</v>
      </c>
      <c r="B3700" s="17" t="inlineStr">
        <is>
          <t>MH2511-01</t>
        </is>
      </c>
      <c r="C3700" s="16" t="n">
        <v>45962</v>
      </c>
      <c r="D3700" s="17" t="inlineStr">
        <is>
          <t>00004321</t>
        </is>
      </c>
      <c r="E3700" s="16" t="n">
        <v>45962</v>
      </c>
      <c r="F3700" s="66" t="inlineStr">
        <is>
          <t>XK2511-01</t>
        </is>
      </c>
      <c r="G3700" s="16" t="n">
        <v>45962</v>
      </c>
      <c r="H3700" s="17" t="inlineStr">
        <is>
          <t>CÔNG TY CỔ PHẦN CÔNG NGHIỆP VÀ THƯƠNG MẠI CƯỜNG THỊNH</t>
        </is>
      </c>
      <c r="I3700" s="17" t="inlineStr">
        <is>
          <t>Vít B2 Dacromet 12-14x20</t>
        </is>
      </c>
      <c r="J3700" s="17" t="inlineStr">
        <is>
          <t>Cái</t>
        </is>
      </c>
      <c r="K3700" s="19" t="n">
        <v>600</v>
      </c>
      <c r="L3700" s="21" t="n"/>
      <c r="M3700" s="22" t="n"/>
      <c r="N3700" s="22" t="n">
        <v>400</v>
      </c>
      <c r="O3700" s="22" t="n">
        <v>240000</v>
      </c>
      <c r="P3700" s="22" t="n">
        <v>400</v>
      </c>
      <c r="Q3700" s="22" t="n">
        <v>240000</v>
      </c>
      <c r="R3700" s="42">
        <f>+L3700+N3700-P3700</f>
        <v/>
      </c>
      <c r="S3700" s="42">
        <f>+M3700+O3700-Q3700</f>
        <v/>
      </c>
    </row>
    <row r="3701" ht="30" customHeight="1">
      <c r="A3701" s="16" t="n">
        <v>45962</v>
      </c>
      <c r="B3701" s="17" t="inlineStr">
        <is>
          <t>MH2511-01</t>
        </is>
      </c>
      <c r="C3701" s="16" t="n">
        <v>45962</v>
      </c>
      <c r="D3701" s="17" t="inlineStr">
        <is>
          <t>00004321</t>
        </is>
      </c>
      <c r="E3701" s="16" t="n">
        <v>45962</v>
      </c>
      <c r="F3701" s="66" t="inlineStr">
        <is>
          <t>XK2511-01</t>
        </is>
      </c>
      <c r="G3701" s="16" t="n">
        <v>45962</v>
      </c>
      <c r="H3701" s="17" t="inlineStr">
        <is>
          <t>CÔNG TY CỔ PHẦN CÔNG NGHIỆP VÀ THƯƠNG MẠI CƯỜNG THỊNH</t>
        </is>
      </c>
      <c r="I3701" s="17" t="inlineStr">
        <is>
          <t>Bulong Din 933 8.8 ZP M20x80</t>
        </is>
      </c>
      <c r="J3701" s="17" t="inlineStr">
        <is>
          <t>Cái</t>
        </is>
      </c>
      <c r="K3701" s="19" t="n">
        <v>7630</v>
      </c>
      <c r="L3701" s="21" t="n"/>
      <c r="M3701" s="22" t="n"/>
      <c r="N3701" s="22" t="n">
        <v>198</v>
      </c>
      <c r="O3701" s="22" t="n">
        <v>1510740</v>
      </c>
      <c r="P3701" s="22" t="n">
        <v>198</v>
      </c>
      <c r="Q3701" s="22" t="n">
        <v>1510740</v>
      </c>
      <c r="R3701" s="42">
        <f>+L3701+N3701-P3701</f>
        <v/>
      </c>
      <c r="S3701" s="42">
        <f>+M3701+O3701-Q3701</f>
        <v/>
      </c>
    </row>
    <row r="3702" ht="30" customHeight="1">
      <c r="A3702" s="16" t="n">
        <v>45962</v>
      </c>
      <c r="B3702" s="17" t="inlineStr">
        <is>
          <t>MH2511-01</t>
        </is>
      </c>
      <c r="C3702" s="16" t="n">
        <v>45962</v>
      </c>
      <c r="D3702" s="17" t="inlineStr">
        <is>
          <t>00004321</t>
        </is>
      </c>
      <c r="E3702" s="16" t="n">
        <v>45962</v>
      </c>
      <c r="F3702" s="66" t="inlineStr">
        <is>
          <t>XK2511-01</t>
        </is>
      </c>
      <c r="G3702" s="16" t="n">
        <v>45962</v>
      </c>
      <c r="H3702" s="17" t="inlineStr">
        <is>
          <t>CÔNG TY CỔ PHẦN CÔNG NGHIỆP VÀ THƯƠNG MẠI CƯỜNG THỊNH</t>
        </is>
      </c>
      <c r="I3702" s="17" t="inlineStr">
        <is>
          <t>Đai ốc Din 934 8 ZP M20</t>
        </is>
      </c>
      <c r="J3702" s="17" t="inlineStr">
        <is>
          <t>Cái</t>
        </is>
      </c>
      <c r="K3702" s="19" t="n">
        <v>2030</v>
      </c>
      <c r="L3702" s="21" t="n"/>
      <c r="M3702" s="22" t="n"/>
      <c r="N3702" s="22" t="n">
        <v>198</v>
      </c>
      <c r="O3702" s="22" t="n">
        <v>401940</v>
      </c>
      <c r="P3702" s="22" t="n">
        <v>198</v>
      </c>
      <c r="Q3702" s="22" t="n">
        <v>401940</v>
      </c>
      <c r="R3702" s="42">
        <f>+L3702+N3702-P3702</f>
        <v/>
      </c>
      <c r="S3702" s="42">
        <f>+M3702+O3702-Q3702</f>
        <v/>
      </c>
    </row>
    <row r="3703" ht="30" customHeight="1">
      <c r="A3703" s="16" t="n">
        <v>45962</v>
      </c>
      <c r="B3703" s="17" t="inlineStr">
        <is>
          <t>MH2511-01</t>
        </is>
      </c>
      <c r="C3703" s="16" t="n">
        <v>45962</v>
      </c>
      <c r="D3703" s="17" t="inlineStr">
        <is>
          <t>00004321</t>
        </is>
      </c>
      <c r="E3703" s="16" t="n">
        <v>45962</v>
      </c>
      <c r="F3703" s="66" t="inlineStr">
        <is>
          <t>XK2511-01</t>
        </is>
      </c>
      <c r="G3703" s="16" t="n">
        <v>45962</v>
      </c>
      <c r="H3703" s="17" t="inlineStr">
        <is>
          <t>CÔNG TY CỔ PHẦN CÔNG NGHIỆP VÀ THƯƠNG MẠI CƯỜNG THỊNH</t>
        </is>
      </c>
      <c r="I3703" s="17" t="inlineStr">
        <is>
          <t>Long đền thường ZP M20B35D2</t>
        </is>
      </c>
      <c r="J3703" s="17" t="inlineStr">
        <is>
          <t>Cái</t>
        </is>
      </c>
      <c r="K3703" s="19" t="n">
        <v>350</v>
      </c>
      <c r="L3703" s="21" t="n"/>
      <c r="M3703" s="22" t="n"/>
      <c r="N3703" s="22" t="n">
        <v>198</v>
      </c>
      <c r="O3703" s="22" t="n">
        <v>69300</v>
      </c>
      <c r="P3703" s="22" t="n">
        <v>198</v>
      </c>
      <c r="Q3703" s="22" t="n">
        <v>69300</v>
      </c>
      <c r="R3703" s="42">
        <f>+L3703+N3703-P3703</f>
        <v/>
      </c>
      <c r="S3703" s="42">
        <f>+M3703+O3703-Q3703</f>
        <v/>
      </c>
    </row>
    <row r="3704" ht="30" customHeight="1">
      <c r="A3704" s="16" t="n">
        <v>45962</v>
      </c>
      <c r="B3704" s="17" t="inlineStr">
        <is>
          <t>MH2511-02</t>
        </is>
      </c>
      <c r="C3704" s="16" t="n">
        <v>45962</v>
      </c>
      <c r="D3704" s="17" t="inlineStr">
        <is>
          <t>00004322</t>
        </is>
      </c>
      <c r="E3704" s="16" t="n">
        <v>45962</v>
      </c>
      <c r="F3704" s="66" t="inlineStr">
        <is>
          <t>XK2511-02</t>
        </is>
      </c>
      <c r="G3704" s="16" t="n">
        <v>45962</v>
      </c>
      <c r="H3704" s="17" t="inlineStr">
        <is>
          <t>CÔNG TY CỔ PHẦN CÔNG NGHIỆP VÀ THƯƠNG MẠI CƯỜNG THỊNH</t>
        </is>
      </c>
      <c r="I3704" s="17" t="inlineStr">
        <is>
          <t>Ty giằng 2 đầu ren 4.6 ZP M20</t>
        </is>
      </c>
      <c r="J3704" s="17" t="inlineStr">
        <is>
          <t>Mét</t>
        </is>
      </c>
      <c r="K3704" s="19" t="n">
        <v>69000</v>
      </c>
      <c r="L3704" s="21" t="n"/>
      <c r="M3704" s="22" t="n"/>
      <c r="N3704" s="22" t="n">
        <v>61.22</v>
      </c>
      <c r="O3704" s="22" t="n">
        <v>4224180</v>
      </c>
      <c r="P3704" s="22" t="n">
        <v>61.22</v>
      </c>
      <c r="Q3704" s="22" t="n">
        <v>4224180</v>
      </c>
      <c r="R3704" s="42">
        <f>+L3704+N3704-P3704</f>
        <v/>
      </c>
      <c r="S3704" s="42">
        <f>+M3704+O3704-Q3704</f>
        <v/>
      </c>
    </row>
    <row r="3705" ht="30" customHeight="1">
      <c r="A3705" s="16" t="n">
        <v>45962</v>
      </c>
      <c r="B3705" s="17" t="inlineStr">
        <is>
          <t>MH2511-02</t>
        </is>
      </c>
      <c r="C3705" s="16" t="n">
        <v>45962</v>
      </c>
      <c r="D3705" s="17" t="inlineStr">
        <is>
          <t>00004322</t>
        </is>
      </c>
      <c r="E3705" s="16" t="n">
        <v>45962</v>
      </c>
      <c r="F3705" s="66" t="inlineStr">
        <is>
          <t>XK2511-02</t>
        </is>
      </c>
      <c r="G3705" s="16" t="n">
        <v>45962</v>
      </c>
      <c r="H3705" s="17" t="inlineStr">
        <is>
          <t>CÔNG TY CỔ PHẦN CÔNG NGHIỆP VÀ THƯƠNG MẠI CƯỜNG THỊNH</t>
        </is>
      </c>
      <c r="I3705" s="17" t="inlineStr">
        <is>
          <t>Đai ốc Din 934 5 ZP M20</t>
        </is>
      </c>
      <c r="J3705" s="17" t="inlineStr">
        <is>
          <t>Cái</t>
        </is>
      </c>
      <c r="K3705" s="19" t="n">
        <v>1850</v>
      </c>
      <c r="L3705" s="21" t="n"/>
      <c r="M3705" s="22" t="n"/>
      <c r="N3705" s="22" t="n">
        <v>16</v>
      </c>
      <c r="O3705" s="22" t="n">
        <v>29600</v>
      </c>
      <c r="P3705" s="22" t="n">
        <v>16</v>
      </c>
      <c r="Q3705" s="22" t="n">
        <v>29600</v>
      </c>
      <c r="R3705" s="42">
        <f>+L3705+N3705-P3705</f>
        <v/>
      </c>
      <c r="S3705" s="42">
        <f>+M3705+O3705-Q3705</f>
        <v/>
      </c>
    </row>
    <row r="3706" ht="30" customHeight="1">
      <c r="A3706" s="16" t="n">
        <v>45962</v>
      </c>
      <c r="B3706" s="17" t="inlineStr">
        <is>
          <t>MH2511-02</t>
        </is>
      </c>
      <c r="C3706" s="16" t="n">
        <v>45962</v>
      </c>
      <c r="D3706" s="17" t="inlineStr">
        <is>
          <t>00004322</t>
        </is>
      </c>
      <c r="E3706" s="16" t="n">
        <v>45962</v>
      </c>
      <c r="F3706" s="66" t="inlineStr">
        <is>
          <t>XK2511-02</t>
        </is>
      </c>
      <c r="G3706" s="16" t="n">
        <v>45962</v>
      </c>
      <c r="H3706" s="17" t="inlineStr">
        <is>
          <t>CÔNG TY CỔ PHẦN CÔNG NGHIỆP VÀ THƯƠNG MẠI CƯỜNG THỊNH</t>
        </is>
      </c>
      <c r="I3706" s="17" t="inlineStr">
        <is>
          <t>Long đền thường ZP M20B42D2</t>
        </is>
      </c>
      <c r="J3706" s="17" t="inlineStr">
        <is>
          <t>Cái</t>
        </is>
      </c>
      <c r="K3706" s="19" t="n">
        <v>700</v>
      </c>
      <c r="L3706" s="21" t="n"/>
      <c r="M3706" s="22" t="n"/>
      <c r="N3706" s="22" t="n">
        <v>16</v>
      </c>
      <c r="O3706" s="22" t="n">
        <v>11200</v>
      </c>
      <c r="P3706" s="22" t="n">
        <v>16</v>
      </c>
      <c r="Q3706" s="22" t="n">
        <v>11200</v>
      </c>
      <c r="R3706" s="42">
        <f>+L3706+N3706-P3706</f>
        <v/>
      </c>
      <c r="S3706" s="42">
        <f>+M3706+O3706-Q3706</f>
        <v/>
      </c>
    </row>
    <row r="3707" ht="30" customHeight="1">
      <c r="A3707" s="16" t="n">
        <v>45962</v>
      </c>
      <c r="B3707" s="17" t="inlineStr">
        <is>
          <t>MH2511-02</t>
        </is>
      </c>
      <c r="C3707" s="16" t="n">
        <v>45962</v>
      </c>
      <c r="D3707" s="17" t="inlineStr">
        <is>
          <t>00004322</t>
        </is>
      </c>
      <c r="E3707" s="16" t="n">
        <v>45962</v>
      </c>
      <c r="F3707" s="66" t="inlineStr">
        <is>
          <t>XK2511-02</t>
        </is>
      </c>
      <c r="G3707" s="16" t="n">
        <v>45962</v>
      </c>
      <c r="H3707" s="17" t="inlineStr">
        <is>
          <t>CÔNG TY CỔ PHẦN CÔNG NGHIỆP VÀ THƯƠNG MẠI CƯỜNG THỊNH</t>
        </is>
      </c>
      <c r="I3707" s="17" t="inlineStr">
        <is>
          <t>Long đền móng ngựa ZP M20</t>
        </is>
      </c>
      <c r="J3707" s="17" t="inlineStr">
        <is>
          <t>Cái</t>
        </is>
      </c>
      <c r="K3707" s="19" t="n">
        <v>15590</v>
      </c>
      <c r="L3707" s="21" t="n"/>
      <c r="M3707" s="22" t="n"/>
      <c r="N3707" s="22" t="n">
        <v>16</v>
      </c>
      <c r="O3707" s="22" t="n">
        <v>249440</v>
      </c>
      <c r="P3707" s="22" t="n">
        <v>16</v>
      </c>
      <c r="Q3707" s="22" t="n">
        <v>249440</v>
      </c>
      <c r="R3707" s="42">
        <f>+L3707+N3707-P3707</f>
        <v/>
      </c>
      <c r="S3707" s="42">
        <f>+M3707+O3707-Q3707</f>
        <v/>
      </c>
    </row>
    <row r="3708" ht="30" customHeight="1">
      <c r="A3708" s="16" t="n">
        <v>45962</v>
      </c>
      <c r="B3708" s="17" t="inlineStr">
        <is>
          <t>MH2511-02</t>
        </is>
      </c>
      <c r="C3708" s="16" t="n">
        <v>45962</v>
      </c>
      <c r="D3708" s="17" t="inlineStr">
        <is>
          <t>00004322</t>
        </is>
      </c>
      <c r="E3708" s="16" t="n">
        <v>45962</v>
      </c>
      <c r="F3708" s="66" t="inlineStr">
        <is>
          <t>XK2511-02</t>
        </is>
      </c>
      <c r="G3708" s="16" t="n">
        <v>45962</v>
      </c>
      <c r="H3708" s="17" t="inlineStr">
        <is>
          <t>CÔNG TY CỔ PHẦN CÔNG NGHIỆP VÀ THƯƠNG MẠI CƯỜNG THỊNH</t>
        </is>
      </c>
      <c r="I3708" s="17" t="inlineStr">
        <is>
          <t>Nối Ty ZP M20x100(28mm)</t>
        </is>
      </c>
      <c r="J3708" s="17" t="inlineStr">
        <is>
          <t>Cái</t>
        </is>
      </c>
      <c r="K3708" s="19" t="n">
        <v>24470</v>
      </c>
      <c r="L3708" s="21" t="n"/>
      <c r="M3708" s="22" t="n"/>
      <c r="N3708" s="22" t="n">
        <v>8</v>
      </c>
      <c r="O3708" s="22" t="n">
        <v>195760</v>
      </c>
      <c r="P3708" s="22" t="n">
        <v>8</v>
      </c>
      <c r="Q3708" s="22" t="n">
        <v>195760</v>
      </c>
      <c r="R3708" s="42">
        <f>+L3708+N3708-P3708</f>
        <v/>
      </c>
      <c r="S3708" s="42">
        <f>+M3708+O3708-Q3708</f>
        <v/>
      </c>
    </row>
    <row r="3709" ht="30" customHeight="1">
      <c r="A3709" s="16" t="n">
        <v>45962</v>
      </c>
      <c r="B3709" s="17" t="inlineStr">
        <is>
          <t>MH2511-02</t>
        </is>
      </c>
      <c r="C3709" s="16" t="n">
        <v>45962</v>
      </c>
      <c r="D3709" s="17" t="inlineStr">
        <is>
          <t>00004322</t>
        </is>
      </c>
      <c r="E3709" s="16" t="n">
        <v>45962</v>
      </c>
      <c r="F3709" s="66" t="inlineStr">
        <is>
          <t>XK2511-02</t>
        </is>
      </c>
      <c r="G3709" s="16" t="n">
        <v>45962</v>
      </c>
      <c r="H3709" s="17" t="inlineStr">
        <is>
          <t>CÔNG TY CỔ PHẦN CÔNG NGHIỆP VÀ THƯƠNG MẠI CƯỜNG THỊNH</t>
        </is>
      </c>
      <c r="I3709" s="17" t="inlineStr">
        <is>
          <t>Ty giằng 2 đầu ren 4.6 Ф11.3-11.5mm ZP M12</t>
        </is>
      </c>
      <c r="J3709" s="17" t="inlineStr">
        <is>
          <t>Mét</t>
        </is>
      </c>
      <c r="K3709" s="19" t="n">
        <v>20500</v>
      </c>
      <c r="L3709" s="21" t="n"/>
      <c r="M3709" s="22" t="n"/>
      <c r="N3709" s="22" t="n">
        <v>450.1</v>
      </c>
      <c r="O3709" s="22" t="n">
        <v>9227050</v>
      </c>
      <c r="P3709" s="22" t="n">
        <v>450.1</v>
      </c>
      <c r="Q3709" s="22" t="n">
        <v>9227050</v>
      </c>
      <c r="R3709" s="42">
        <f>+L3709+N3709-P3709</f>
        <v/>
      </c>
      <c r="S3709" s="42">
        <f>+M3709+O3709-Q3709</f>
        <v/>
      </c>
    </row>
    <row r="3710" ht="30" customHeight="1">
      <c r="A3710" s="16" t="n">
        <v>45962</v>
      </c>
      <c r="B3710" s="17" t="inlineStr">
        <is>
          <t>MH2511-02</t>
        </is>
      </c>
      <c r="C3710" s="16" t="n">
        <v>45962</v>
      </c>
      <c r="D3710" s="17" t="inlineStr">
        <is>
          <t>00004322</t>
        </is>
      </c>
      <c r="E3710" s="16" t="n">
        <v>45962</v>
      </c>
      <c r="F3710" s="66" t="inlineStr">
        <is>
          <t>XK2511-02</t>
        </is>
      </c>
      <c r="G3710" s="16" t="n">
        <v>45962</v>
      </c>
      <c r="H3710" s="17" t="inlineStr">
        <is>
          <t>CÔNG TY CỔ PHẦN CÔNG NGHIỆP VÀ THƯƠNG MẠI CƯỜNG THỊNH</t>
        </is>
      </c>
      <c r="I3710" s="17" t="inlineStr">
        <is>
          <t>Đai ốc thường 4 ZP M12 (9mm)</t>
        </is>
      </c>
      <c r="J3710" s="17" t="inlineStr">
        <is>
          <t>Cái</t>
        </is>
      </c>
      <c r="K3710" s="19" t="n">
        <v>350</v>
      </c>
      <c r="L3710" s="21" t="n"/>
      <c r="M3710" s="22" t="n"/>
      <c r="N3710" s="22" t="n">
        <v>1476</v>
      </c>
      <c r="O3710" s="22" t="n">
        <v>516600</v>
      </c>
      <c r="P3710" s="22" t="n">
        <v>1476</v>
      </c>
      <c r="Q3710" s="22" t="n">
        <v>516600</v>
      </c>
      <c r="R3710" s="42">
        <f>+L3710+N3710-P3710</f>
        <v/>
      </c>
      <c r="S3710" s="42">
        <f>+M3710+O3710-Q3710</f>
        <v/>
      </c>
    </row>
    <row r="3711" ht="30" customHeight="1">
      <c r="A3711" s="16" t="n">
        <v>45962</v>
      </c>
      <c r="B3711" s="17" t="inlineStr">
        <is>
          <t>MH2511-02</t>
        </is>
      </c>
      <c r="C3711" s="16" t="n">
        <v>45962</v>
      </c>
      <c r="D3711" s="17" t="inlineStr">
        <is>
          <t>00004322</t>
        </is>
      </c>
      <c r="E3711" s="16" t="n">
        <v>45962</v>
      </c>
      <c r="F3711" s="66" t="inlineStr">
        <is>
          <t>XK2511-02</t>
        </is>
      </c>
      <c r="G3711" s="16" t="n">
        <v>45962</v>
      </c>
      <c r="H3711" s="17" t="inlineStr">
        <is>
          <t>CÔNG TY CỔ PHẦN CÔNG NGHIỆP VÀ THƯƠNG MẠI CƯỜNG THỊNH</t>
        </is>
      </c>
      <c r="I3711" s="17" t="inlineStr">
        <is>
          <t>Long đền thường ZP M12B26D1.5</t>
        </is>
      </c>
      <c r="J3711" s="17" t="inlineStr">
        <is>
          <t>Cái</t>
        </is>
      </c>
      <c r="K3711" s="19" t="n">
        <v>170</v>
      </c>
      <c r="L3711" s="21" t="n"/>
      <c r="M3711" s="22" t="n"/>
      <c r="N3711" s="22" t="n">
        <v>1476</v>
      </c>
      <c r="O3711" s="22" t="n">
        <v>250920</v>
      </c>
      <c r="P3711" s="22" t="n">
        <v>1476</v>
      </c>
      <c r="Q3711" s="22" t="n">
        <v>250920</v>
      </c>
      <c r="R3711" s="42">
        <f>+L3711+N3711-P3711</f>
        <v/>
      </c>
      <c r="S3711" s="42">
        <f>+M3711+O3711-Q3711</f>
        <v/>
      </c>
    </row>
    <row r="3712" ht="30" customHeight="1">
      <c r="A3712" s="16" t="n">
        <v>45962</v>
      </c>
      <c r="B3712" s="17" t="inlineStr">
        <is>
          <t>MH2511-02</t>
        </is>
      </c>
      <c r="C3712" s="16" t="n">
        <v>45962</v>
      </c>
      <c r="D3712" s="17" t="inlineStr">
        <is>
          <t>00004322</t>
        </is>
      </c>
      <c r="E3712" s="16" t="n">
        <v>45962</v>
      </c>
      <c r="F3712" s="66" t="inlineStr">
        <is>
          <t>XK2511-02</t>
        </is>
      </c>
      <c r="G3712" s="16" t="n">
        <v>45962</v>
      </c>
      <c r="H3712" s="17" t="inlineStr">
        <is>
          <t>CÔNG TY CỔ PHẦN CÔNG NGHIỆP VÀ THƯƠNG MẠI CƯỜNG THỊNH</t>
        </is>
      </c>
      <c r="I3712" s="17" t="inlineStr">
        <is>
          <t>Ty giằng 2 đầu ren 4.6 Ф11.3-11.5mm ZP M12</t>
        </is>
      </c>
      <c r="J3712" s="17" t="inlineStr">
        <is>
          <t>Mét</t>
        </is>
      </c>
      <c r="K3712" s="19" t="n">
        <v>22500</v>
      </c>
      <c r="L3712" s="21" t="n"/>
      <c r="M3712" s="22" t="n"/>
      <c r="N3712" s="22" t="n">
        <v>159.7</v>
      </c>
      <c r="O3712" s="22" t="n">
        <v>3593250</v>
      </c>
      <c r="P3712" s="22" t="n">
        <v>159.7</v>
      </c>
      <c r="Q3712" s="22" t="n">
        <v>3593250</v>
      </c>
      <c r="R3712" s="42">
        <f>+L3712+N3712-P3712</f>
        <v/>
      </c>
      <c r="S3712" s="42">
        <f>+M3712+O3712-Q3712</f>
        <v/>
      </c>
    </row>
    <row r="3713" ht="30" customHeight="1">
      <c r="A3713" s="16" t="n">
        <v>45962</v>
      </c>
      <c r="B3713" s="17" t="inlineStr">
        <is>
          <t>MH2511-02</t>
        </is>
      </c>
      <c r="C3713" s="16" t="n">
        <v>45962</v>
      </c>
      <c r="D3713" s="17" t="inlineStr">
        <is>
          <t>00004322</t>
        </is>
      </c>
      <c r="E3713" s="16" t="n">
        <v>45962</v>
      </c>
      <c r="F3713" s="66" t="inlineStr">
        <is>
          <t>XK2511-02</t>
        </is>
      </c>
      <c r="G3713" s="16" t="n">
        <v>45962</v>
      </c>
      <c r="H3713" s="17" t="inlineStr">
        <is>
          <t>CÔNG TY CỔ PHẦN CÔNG NGHIỆP VÀ THƯƠNG MẠI CƯỜNG THỊNH</t>
        </is>
      </c>
      <c r="I3713" s="17" t="inlineStr">
        <is>
          <t>Ty giằng 2 đầu ren 5.6 ZP M24</t>
        </is>
      </c>
      <c r="J3713" s="17" t="inlineStr">
        <is>
          <t>Mét</t>
        </is>
      </c>
      <c r="K3713" s="19" t="n">
        <v>106000</v>
      </c>
      <c r="L3713" s="21" t="n"/>
      <c r="M3713" s="22" t="n"/>
      <c r="N3713" s="22" t="n">
        <v>52.72</v>
      </c>
      <c r="O3713" s="22" t="n">
        <v>5588320</v>
      </c>
      <c r="P3713" s="22" t="n">
        <v>52.72</v>
      </c>
      <c r="Q3713" s="22" t="n">
        <v>5588320</v>
      </c>
      <c r="R3713" s="42">
        <f>+L3713+N3713-P3713</f>
        <v/>
      </c>
      <c r="S3713" s="42">
        <f>+M3713+O3713-Q3713</f>
        <v/>
      </c>
    </row>
    <row r="3714" ht="30" customHeight="1">
      <c r="A3714" s="16" t="n">
        <v>45962</v>
      </c>
      <c r="B3714" s="17" t="inlineStr">
        <is>
          <t>MH2511-02</t>
        </is>
      </c>
      <c r="C3714" s="16" t="n">
        <v>45962</v>
      </c>
      <c r="D3714" s="17" t="inlineStr">
        <is>
          <t>00004322</t>
        </is>
      </c>
      <c r="E3714" s="16" t="n">
        <v>45962</v>
      </c>
      <c r="F3714" s="66" t="inlineStr">
        <is>
          <t>XK2511-02</t>
        </is>
      </c>
      <c r="G3714" s="16" t="n">
        <v>45962</v>
      </c>
      <c r="H3714" s="17" t="inlineStr">
        <is>
          <t>CÔNG TY CỔ PHẦN CÔNG NGHIỆP VÀ THƯƠNG MẠI CƯỜNG THỊNH</t>
        </is>
      </c>
      <c r="I3714" s="17" t="inlineStr">
        <is>
          <t>Đai ốc Din 934 5 ZP M24</t>
        </is>
      </c>
      <c r="J3714" s="17" t="inlineStr">
        <is>
          <t>Cái</t>
        </is>
      </c>
      <c r="K3714" s="19" t="n">
        <v>3110</v>
      </c>
      <c r="L3714" s="21" t="n"/>
      <c r="M3714" s="22" t="n"/>
      <c r="N3714" s="22" t="n">
        <v>16</v>
      </c>
      <c r="O3714" s="22" t="n">
        <v>49760</v>
      </c>
      <c r="P3714" s="22" t="n">
        <v>16</v>
      </c>
      <c r="Q3714" s="22" t="n">
        <v>49760</v>
      </c>
      <c r="R3714" s="42">
        <f>+L3714+N3714-P3714</f>
        <v/>
      </c>
      <c r="S3714" s="42">
        <f>+M3714+O3714-Q3714</f>
        <v/>
      </c>
    </row>
    <row r="3715" ht="30" customHeight="1">
      <c r="A3715" s="16" t="n">
        <v>45962</v>
      </c>
      <c r="B3715" s="17" t="inlineStr">
        <is>
          <t>MH2511-02</t>
        </is>
      </c>
      <c r="C3715" s="16" t="n">
        <v>45962</v>
      </c>
      <c r="D3715" s="17" t="inlineStr">
        <is>
          <t>00004322</t>
        </is>
      </c>
      <c r="E3715" s="16" t="n">
        <v>45962</v>
      </c>
      <c r="F3715" s="66" t="inlineStr">
        <is>
          <t>XK2511-02</t>
        </is>
      </c>
      <c r="G3715" s="16" t="n">
        <v>45962</v>
      </c>
      <c r="H3715" s="17" t="inlineStr">
        <is>
          <t>CÔNG TY CỔ PHẦN CÔNG NGHIỆP VÀ THƯƠNG MẠI CƯỜNG THỊNH</t>
        </is>
      </c>
      <c r="I3715" s="17" t="inlineStr">
        <is>
          <t>Long đền móng ngựa ZP M24</t>
        </is>
      </c>
      <c r="J3715" s="17" t="inlineStr">
        <is>
          <t>Cái</t>
        </is>
      </c>
      <c r="K3715" s="19" t="n">
        <v>21210</v>
      </c>
      <c r="L3715" s="21" t="n"/>
      <c r="M3715" s="22" t="n"/>
      <c r="N3715" s="22" t="n">
        <v>16</v>
      </c>
      <c r="O3715" s="22" t="n">
        <v>339360</v>
      </c>
      <c r="P3715" s="22" t="n">
        <v>16</v>
      </c>
      <c r="Q3715" s="22" t="n">
        <v>339360</v>
      </c>
      <c r="R3715" s="42">
        <f>+L3715+N3715-P3715</f>
        <v/>
      </c>
      <c r="S3715" s="42">
        <f>+M3715+O3715-Q3715</f>
        <v/>
      </c>
    </row>
    <row r="3716" ht="30" customHeight="1">
      <c r="A3716" s="16" t="n">
        <v>45962</v>
      </c>
      <c r="B3716" s="17" t="inlineStr">
        <is>
          <t>MH2511-02</t>
        </is>
      </c>
      <c r="C3716" s="16" t="n">
        <v>45962</v>
      </c>
      <c r="D3716" s="17" t="inlineStr">
        <is>
          <t>00004322</t>
        </is>
      </c>
      <c r="E3716" s="16" t="n">
        <v>45962</v>
      </c>
      <c r="F3716" s="66" t="inlineStr">
        <is>
          <t>XK2511-02</t>
        </is>
      </c>
      <c r="G3716" s="16" t="n">
        <v>45962</v>
      </c>
      <c r="H3716" s="17" t="inlineStr">
        <is>
          <t>CÔNG TY CỔ PHẦN CÔNG NGHIỆP VÀ THƯƠNG MẠI CƯỜNG THỊNH</t>
        </is>
      </c>
      <c r="I3716" s="17" t="inlineStr">
        <is>
          <t>Long đền thường ZP M24B45D2</t>
        </is>
      </c>
      <c r="J3716" s="17" t="inlineStr">
        <is>
          <t>Cái</t>
        </is>
      </c>
      <c r="K3716" s="19" t="n">
        <v>770</v>
      </c>
      <c r="L3716" s="21" t="n"/>
      <c r="M3716" s="22" t="n"/>
      <c r="N3716" s="22" t="n">
        <v>16</v>
      </c>
      <c r="O3716" s="22" t="n">
        <v>12320</v>
      </c>
      <c r="P3716" s="22" t="n">
        <v>16</v>
      </c>
      <c r="Q3716" s="22" t="n">
        <v>12320</v>
      </c>
      <c r="R3716" s="42">
        <f>+L3716+N3716-P3716</f>
        <v/>
      </c>
      <c r="S3716" s="42">
        <f>+M3716+O3716-Q3716</f>
        <v/>
      </c>
    </row>
    <row r="3717" ht="30" customHeight="1">
      <c r="A3717" s="16" t="n">
        <v>45962</v>
      </c>
      <c r="B3717" s="17" t="inlineStr">
        <is>
          <t>MH2511-02</t>
        </is>
      </c>
      <c r="C3717" s="16" t="n">
        <v>45962</v>
      </c>
      <c r="D3717" s="17" t="inlineStr">
        <is>
          <t>00004322</t>
        </is>
      </c>
      <c r="E3717" s="16" t="n">
        <v>45962</v>
      </c>
      <c r="F3717" s="66" t="inlineStr">
        <is>
          <t>XK2511-02</t>
        </is>
      </c>
      <c r="G3717" s="16" t="n">
        <v>45962</v>
      </c>
      <c r="H3717" s="17" t="inlineStr">
        <is>
          <t>CÔNG TY CỔ PHẦN CÔNG NGHIỆP VÀ THƯƠNG MẠI CƯỜNG THỊNH</t>
        </is>
      </c>
      <c r="I3717" s="17" t="inlineStr">
        <is>
          <t>Nối Ty ZP M24x100 (34mm)</t>
        </is>
      </c>
      <c r="J3717" s="17" t="inlineStr">
        <is>
          <t>Cái</t>
        </is>
      </c>
      <c r="K3717" s="19" t="n">
        <v>30860</v>
      </c>
      <c r="L3717" s="21" t="n"/>
      <c r="M3717" s="22" t="n"/>
      <c r="N3717" s="22" t="n">
        <v>8</v>
      </c>
      <c r="O3717" s="22" t="n">
        <v>246880</v>
      </c>
      <c r="P3717" s="22" t="n">
        <v>8</v>
      </c>
      <c r="Q3717" s="22" t="n">
        <v>246880</v>
      </c>
      <c r="R3717" s="42">
        <f>+L3717+N3717-P3717</f>
        <v/>
      </c>
      <c r="S3717" s="42">
        <f>+M3717+O3717-Q3717</f>
        <v/>
      </c>
    </row>
    <row r="3718" ht="30" customHeight="1">
      <c r="A3718" s="16" t="n">
        <v>45962</v>
      </c>
      <c r="B3718" s="17" t="inlineStr">
        <is>
          <t>MH2511-02</t>
        </is>
      </c>
      <c r="C3718" s="16" t="n">
        <v>45962</v>
      </c>
      <c r="D3718" s="17" t="inlineStr">
        <is>
          <t>00004322</t>
        </is>
      </c>
      <c r="E3718" s="16" t="n">
        <v>45962</v>
      </c>
      <c r="F3718" s="66" t="inlineStr">
        <is>
          <t>XK2511-02</t>
        </is>
      </c>
      <c r="G3718" s="16" t="n">
        <v>45962</v>
      </c>
      <c r="H3718" s="17" t="inlineStr">
        <is>
          <t>CÔNG TY CỔ PHẦN CÔNG NGHIỆP VÀ THƯƠNG MẠI CƯỜNG THỊNH</t>
        </is>
      </c>
      <c r="I3718" s="17" t="inlineStr">
        <is>
          <t>Ty giằng 2 đầu ren 4.6 ZP M16</t>
        </is>
      </c>
      <c r="J3718" s="17" t="inlineStr">
        <is>
          <t>Mét</t>
        </is>
      </c>
      <c r="K3718" s="19" t="n">
        <v>48000</v>
      </c>
      <c r="L3718" s="21" t="n"/>
      <c r="M3718" s="22" t="n"/>
      <c r="N3718" s="22" t="n">
        <v>378.63</v>
      </c>
      <c r="O3718" s="22" t="n">
        <v>18174240</v>
      </c>
      <c r="P3718" s="22" t="n">
        <v>378.63</v>
      </c>
      <c r="Q3718" s="22" t="n">
        <v>18174240</v>
      </c>
      <c r="R3718" s="42">
        <f>+L3718+N3718-P3718</f>
        <v/>
      </c>
      <c r="S3718" s="42">
        <f>+M3718+O3718-Q3718</f>
        <v/>
      </c>
    </row>
    <row r="3719" ht="30" customHeight="1">
      <c r="A3719" s="16" t="n">
        <v>45962</v>
      </c>
      <c r="B3719" s="17" t="inlineStr">
        <is>
          <t>MH2511-02</t>
        </is>
      </c>
      <c r="C3719" s="16" t="n">
        <v>45962</v>
      </c>
      <c r="D3719" s="17" t="inlineStr">
        <is>
          <t>00004322</t>
        </is>
      </c>
      <c r="E3719" s="16" t="n">
        <v>45962</v>
      </c>
      <c r="F3719" s="66" t="inlineStr">
        <is>
          <t>XK2511-02</t>
        </is>
      </c>
      <c r="G3719" s="16" t="n">
        <v>45962</v>
      </c>
      <c r="H3719" s="17" t="inlineStr">
        <is>
          <t>CÔNG TY CỔ PHẦN CÔNG NGHIỆP VÀ THƯƠNG MẠI CƯỜNG THỊNH</t>
        </is>
      </c>
      <c r="I3719" s="17" t="inlineStr">
        <is>
          <t>Đai ốc Din 934 5 ZP M16</t>
        </is>
      </c>
      <c r="J3719" s="17" t="inlineStr">
        <is>
          <t>Cái</t>
        </is>
      </c>
      <c r="K3719" s="19" t="n">
        <v>990</v>
      </c>
      <c r="L3719" s="21" t="n"/>
      <c r="M3719" s="22" t="n"/>
      <c r="N3719" s="22" t="n">
        <v>84</v>
      </c>
      <c r="O3719" s="22" t="n">
        <v>83160</v>
      </c>
      <c r="P3719" s="22" t="n">
        <v>84</v>
      </c>
      <c r="Q3719" s="22" t="n">
        <v>83160</v>
      </c>
      <c r="R3719" s="42">
        <f>+L3719+N3719-P3719</f>
        <v/>
      </c>
      <c r="S3719" s="42">
        <f>+M3719+O3719-Q3719</f>
        <v/>
      </c>
    </row>
    <row r="3720" ht="30" customHeight="1">
      <c r="A3720" s="16" t="n">
        <v>45962</v>
      </c>
      <c r="B3720" s="17" t="inlineStr">
        <is>
          <t>MH2511-02</t>
        </is>
      </c>
      <c r="C3720" s="16" t="n">
        <v>45962</v>
      </c>
      <c r="D3720" s="17" t="inlineStr">
        <is>
          <t>00004322</t>
        </is>
      </c>
      <c r="E3720" s="16" t="n">
        <v>45962</v>
      </c>
      <c r="F3720" s="66" t="inlineStr">
        <is>
          <t>XK2511-02</t>
        </is>
      </c>
      <c r="G3720" s="16" t="n">
        <v>45962</v>
      </c>
      <c r="H3720" s="17" t="inlineStr">
        <is>
          <t>CÔNG TY CỔ PHẦN CÔNG NGHIỆP VÀ THƯƠNG MẠI CƯỜNG THỊNH</t>
        </is>
      </c>
      <c r="I3720" s="17" t="inlineStr">
        <is>
          <t>Long đền thường ZP M16B42D2</t>
        </is>
      </c>
      <c r="J3720" s="17" t="inlineStr">
        <is>
          <t>Cái</t>
        </is>
      </c>
      <c r="K3720" s="19" t="n">
        <v>700</v>
      </c>
      <c r="L3720" s="21" t="n"/>
      <c r="M3720" s="22" t="n"/>
      <c r="N3720" s="22" t="n">
        <v>84</v>
      </c>
      <c r="O3720" s="22" t="n">
        <v>58800</v>
      </c>
      <c r="P3720" s="22" t="n">
        <v>84</v>
      </c>
      <c r="Q3720" s="22" t="n">
        <v>58800</v>
      </c>
      <c r="R3720" s="42">
        <f>+L3720+N3720-P3720</f>
        <v/>
      </c>
      <c r="S3720" s="42">
        <f>+M3720+O3720-Q3720</f>
        <v/>
      </c>
    </row>
    <row r="3721" ht="30" customHeight="1">
      <c r="A3721" s="16" t="n">
        <v>45962</v>
      </c>
      <c r="B3721" s="17" t="inlineStr">
        <is>
          <t>MH2511-02</t>
        </is>
      </c>
      <c r="C3721" s="16" t="n">
        <v>45962</v>
      </c>
      <c r="D3721" s="17" t="inlineStr">
        <is>
          <t>00004322</t>
        </is>
      </c>
      <c r="E3721" s="16" t="n">
        <v>45962</v>
      </c>
      <c r="F3721" s="66" t="inlineStr">
        <is>
          <t>XK2511-02</t>
        </is>
      </c>
      <c r="G3721" s="16" t="n">
        <v>45962</v>
      </c>
      <c r="H3721" s="17" t="inlineStr">
        <is>
          <t>CÔNG TY CỔ PHẦN CÔNG NGHIỆP VÀ THƯƠNG MẠI CƯỜNG THỊNH</t>
        </is>
      </c>
      <c r="I3721" s="17" t="inlineStr">
        <is>
          <t>Long đền móng ngựa ZP M16</t>
        </is>
      </c>
      <c r="J3721" s="17" t="inlineStr">
        <is>
          <t>Cái</t>
        </is>
      </c>
      <c r="K3721" s="19" t="n">
        <v>14830</v>
      </c>
      <c r="L3721" s="21" t="n"/>
      <c r="M3721" s="22" t="n"/>
      <c r="N3721" s="22" t="n">
        <v>84</v>
      </c>
      <c r="O3721" s="22" t="n">
        <v>1245720</v>
      </c>
      <c r="P3721" s="22" t="n">
        <v>84</v>
      </c>
      <c r="Q3721" s="22" t="n">
        <v>1245720</v>
      </c>
      <c r="R3721" s="42">
        <f>+L3721+N3721-P3721</f>
        <v/>
      </c>
      <c r="S3721" s="42">
        <f>+M3721+O3721-Q3721</f>
        <v/>
      </c>
    </row>
    <row r="3722" ht="30" customHeight="1">
      <c r="A3722" s="16" t="n">
        <v>45962</v>
      </c>
      <c r="B3722" s="17" t="inlineStr">
        <is>
          <t>MH2511-02</t>
        </is>
      </c>
      <c r="C3722" s="16" t="n">
        <v>45962</v>
      </c>
      <c r="D3722" s="17" t="inlineStr">
        <is>
          <t>00004322</t>
        </is>
      </c>
      <c r="E3722" s="16" t="n">
        <v>45962</v>
      </c>
      <c r="F3722" s="66" t="inlineStr">
        <is>
          <t>XK2511-02</t>
        </is>
      </c>
      <c r="G3722" s="16" t="n">
        <v>45962</v>
      </c>
      <c r="H3722" s="17" t="inlineStr">
        <is>
          <t>CÔNG TY CỔ PHẦN CÔNG NGHIỆP VÀ THƯƠNG MẠI CƯỜNG THỊNH</t>
        </is>
      </c>
      <c r="I3722" s="17" t="inlineStr">
        <is>
          <t>Nối Ty ZP M16x100 (23mm)</t>
        </is>
      </c>
      <c r="J3722" s="17" t="inlineStr">
        <is>
          <t>Cái</t>
        </is>
      </c>
      <c r="K3722" s="19" t="n">
        <v>19960</v>
      </c>
      <c r="L3722" s="21" t="n"/>
      <c r="M3722" s="22" t="n"/>
      <c r="N3722" s="22" t="n">
        <v>42</v>
      </c>
      <c r="O3722" s="22" t="n">
        <v>838320</v>
      </c>
      <c r="P3722" s="22" t="n">
        <v>42</v>
      </c>
      <c r="Q3722" s="22" t="n">
        <v>838320</v>
      </c>
      <c r="R3722" s="42">
        <f>+L3722+N3722-P3722</f>
        <v/>
      </c>
      <c r="S3722" s="42">
        <f>+M3722+O3722-Q3722</f>
        <v/>
      </c>
    </row>
    <row r="3723" ht="30" customHeight="1">
      <c r="A3723" s="16" t="n">
        <v>45962</v>
      </c>
      <c r="B3723" s="17" t="inlineStr">
        <is>
          <t>MH2511-03</t>
        </is>
      </c>
      <c r="C3723" s="16" t="n">
        <v>45962</v>
      </c>
      <c r="D3723" s="17" t="inlineStr">
        <is>
          <t>00004323</t>
        </is>
      </c>
      <c r="E3723" s="16" t="n">
        <v>45962</v>
      </c>
      <c r="F3723" s="66" t="inlineStr">
        <is>
          <t>XK2511-03</t>
        </is>
      </c>
      <c r="G3723" s="16" t="n">
        <v>45962</v>
      </c>
      <c r="H3723" s="17" t="inlineStr">
        <is>
          <t>CÔNG TY CỔ PHẦN CÔNG NGHIỆP VÀ THƯƠNG MẠI CƯỜNG THỊNH</t>
        </is>
      </c>
      <c r="I3723" s="17" t="inlineStr">
        <is>
          <t>Ty giằng 2 đầu ren 4.6 Ф11.3-11.5mm ZP M12</t>
        </is>
      </c>
      <c r="J3723" s="17" t="inlineStr">
        <is>
          <t>Mét</t>
        </is>
      </c>
      <c r="K3723" s="19" t="n">
        <v>20500</v>
      </c>
      <c r="L3723" s="21" t="n"/>
      <c r="M3723" s="22" t="n"/>
      <c r="N3723" s="22" t="n">
        <v>27.24</v>
      </c>
      <c r="O3723" s="22" t="n">
        <v>558420</v>
      </c>
      <c r="P3723" s="22" t="n">
        <v>27.24</v>
      </c>
      <c r="Q3723" s="22" t="n">
        <v>558420</v>
      </c>
      <c r="R3723" s="42">
        <f>+L3723+N3723-P3723</f>
        <v/>
      </c>
      <c r="S3723" s="42">
        <f>+M3723+O3723-Q3723</f>
        <v/>
      </c>
    </row>
    <row r="3724" ht="30" customHeight="1">
      <c r="A3724" s="16" t="n">
        <v>45962</v>
      </c>
      <c r="B3724" s="17" t="inlineStr">
        <is>
          <t>MH2511-03</t>
        </is>
      </c>
      <c r="C3724" s="16" t="n">
        <v>45962</v>
      </c>
      <c r="D3724" s="17" t="inlineStr">
        <is>
          <t>00004323</t>
        </is>
      </c>
      <c r="E3724" s="16" t="n">
        <v>45962</v>
      </c>
      <c r="F3724" s="66" t="inlineStr">
        <is>
          <t>XK2511-03</t>
        </is>
      </c>
      <c r="G3724" s="16" t="n">
        <v>45962</v>
      </c>
      <c r="H3724" s="17" t="inlineStr">
        <is>
          <t>CÔNG TY CỔ PHẦN CÔNG NGHIỆP VÀ THƯƠNG MẠI CƯỜNG THỊNH</t>
        </is>
      </c>
      <c r="I3724" s="17" t="inlineStr">
        <is>
          <t>Đai ốc thường 4 ZP M12 (9mm)</t>
        </is>
      </c>
      <c r="J3724" s="17" t="inlineStr">
        <is>
          <t>Cái</t>
        </is>
      </c>
      <c r="K3724" s="19" t="n">
        <v>350</v>
      </c>
      <c r="L3724" s="21" t="n"/>
      <c r="M3724" s="22" t="n"/>
      <c r="N3724" s="22" t="n">
        <v>60</v>
      </c>
      <c r="O3724" s="22" t="n">
        <v>21000</v>
      </c>
      <c r="P3724" s="22" t="n">
        <v>60</v>
      </c>
      <c r="Q3724" s="22" t="n">
        <v>21000</v>
      </c>
      <c r="R3724" s="42">
        <f>+L3724+N3724-P3724</f>
        <v/>
      </c>
      <c r="S3724" s="42">
        <f>+M3724+O3724-Q3724</f>
        <v/>
      </c>
    </row>
    <row r="3725" ht="30" customHeight="1">
      <c r="A3725" s="16" t="n">
        <v>45962</v>
      </c>
      <c r="B3725" s="17" t="inlineStr">
        <is>
          <t>MH2511-03</t>
        </is>
      </c>
      <c r="C3725" s="16" t="n">
        <v>45962</v>
      </c>
      <c r="D3725" s="17" t="inlineStr">
        <is>
          <t>00004323</t>
        </is>
      </c>
      <c r="E3725" s="16" t="n">
        <v>45962</v>
      </c>
      <c r="F3725" s="66" t="inlineStr">
        <is>
          <t>XK2511-03</t>
        </is>
      </c>
      <c r="G3725" s="16" t="n">
        <v>45962</v>
      </c>
      <c r="H3725" s="17" t="inlineStr">
        <is>
          <t>CÔNG TY CỔ PHẦN CÔNG NGHIỆP VÀ THƯƠNG MẠI CƯỜNG THỊNH</t>
        </is>
      </c>
      <c r="I3725" s="17" t="inlineStr">
        <is>
          <t>Long đền thường ZP M12B26D1.5</t>
        </is>
      </c>
      <c r="J3725" s="17" t="inlineStr">
        <is>
          <t>Cái</t>
        </is>
      </c>
      <c r="K3725" s="19" t="n">
        <v>170</v>
      </c>
      <c r="L3725" s="21" t="n"/>
      <c r="M3725" s="22" t="n"/>
      <c r="N3725" s="22" t="n">
        <v>60</v>
      </c>
      <c r="O3725" s="22" t="n">
        <v>10200</v>
      </c>
      <c r="P3725" s="22" t="n">
        <v>60</v>
      </c>
      <c r="Q3725" s="22" t="n">
        <v>10200</v>
      </c>
      <c r="R3725" s="42">
        <f>+L3725+N3725-P3725</f>
        <v/>
      </c>
      <c r="S3725" s="42">
        <f>+M3725+O3725-Q3725</f>
        <v/>
      </c>
    </row>
    <row r="3726" ht="30" customHeight="1">
      <c r="A3726" s="16" t="n">
        <v>45962</v>
      </c>
      <c r="B3726" s="17" t="inlineStr">
        <is>
          <t>MH2511-04</t>
        </is>
      </c>
      <c r="C3726" s="16" t="n">
        <v>45962</v>
      </c>
      <c r="D3726" s="17" t="inlineStr">
        <is>
          <t>00004324</t>
        </is>
      </c>
      <c r="E3726" s="16" t="n">
        <v>45962</v>
      </c>
      <c r="F3726" s="66" t="inlineStr">
        <is>
          <t>XK2511-04</t>
        </is>
      </c>
      <c r="G3726" s="16" t="n">
        <v>45962</v>
      </c>
      <c r="H3726" s="17" t="inlineStr">
        <is>
          <t>CÔNG TY CỔ PHẦN CÔNG NGHIỆP VÀ THƯƠNG MẠI CƯỜNG THỊNH</t>
        </is>
      </c>
      <c r="I3726" s="17" t="inlineStr">
        <is>
          <t>Bulong Din 933 8.8 ZP M16x50</t>
        </is>
      </c>
      <c r="J3726" s="17" t="inlineStr">
        <is>
          <t>Cái</t>
        </is>
      </c>
      <c r="K3726" s="19" t="n">
        <v>3540.62</v>
      </c>
      <c r="L3726" s="21" t="n"/>
      <c r="M3726" s="22" t="n"/>
      <c r="N3726" s="22" t="n">
        <v>66</v>
      </c>
      <c r="O3726" s="22" t="n">
        <v>233681</v>
      </c>
      <c r="P3726" s="22" t="n">
        <v>66</v>
      </c>
      <c r="Q3726" s="22" t="n">
        <v>233681</v>
      </c>
      <c r="R3726" s="42">
        <f>+L3726+N3726-P3726</f>
        <v/>
      </c>
      <c r="S3726" s="42">
        <f>+M3726+O3726-Q3726</f>
        <v/>
      </c>
    </row>
    <row r="3727" ht="30" customHeight="1">
      <c r="A3727" s="16" t="n">
        <v>45962</v>
      </c>
      <c r="B3727" s="17" t="inlineStr">
        <is>
          <t>MH2511-04</t>
        </is>
      </c>
      <c r="C3727" s="16" t="n">
        <v>45962</v>
      </c>
      <c r="D3727" s="17" t="inlineStr">
        <is>
          <t>00004324</t>
        </is>
      </c>
      <c r="E3727" s="16" t="n">
        <v>45962</v>
      </c>
      <c r="F3727" s="66" t="inlineStr">
        <is>
          <t>XK2511-04</t>
        </is>
      </c>
      <c r="G3727" s="16" t="n">
        <v>45962</v>
      </c>
      <c r="H3727" s="17" t="inlineStr">
        <is>
          <t>CÔNG TY CỔ PHẦN CÔNG NGHIỆP VÀ THƯƠNG MẠI CƯỜNG THỊNH</t>
        </is>
      </c>
      <c r="I3727" s="17" t="inlineStr">
        <is>
          <t>Bulong Din 933 8.8 ZP M20x60</t>
        </is>
      </c>
      <c r="J3727" s="17" t="inlineStr">
        <is>
          <t>Cái</t>
        </is>
      </c>
      <c r="K3727" s="19" t="n">
        <v>6417</v>
      </c>
      <c r="L3727" s="21" t="n"/>
      <c r="M3727" s="22" t="n"/>
      <c r="N3727" s="22" t="n">
        <v>1450</v>
      </c>
      <c r="O3727" s="22" t="n">
        <v>9304650</v>
      </c>
      <c r="P3727" s="22" t="n">
        <v>1450</v>
      </c>
      <c r="Q3727" s="22" t="n">
        <v>9304650</v>
      </c>
      <c r="R3727" s="42">
        <f>+L3727+N3727-P3727</f>
        <v/>
      </c>
      <c r="S3727" s="42">
        <f>+M3727+O3727-Q3727</f>
        <v/>
      </c>
    </row>
    <row r="3728" ht="30" customHeight="1">
      <c r="A3728" s="16" t="n">
        <v>45962</v>
      </c>
      <c r="B3728" s="17" t="inlineStr">
        <is>
          <t>MH2511-04</t>
        </is>
      </c>
      <c r="C3728" s="16" t="n">
        <v>45962</v>
      </c>
      <c r="D3728" s="17" t="inlineStr">
        <is>
          <t>00004324</t>
        </is>
      </c>
      <c r="E3728" s="16" t="n">
        <v>45962</v>
      </c>
      <c r="F3728" s="66" t="inlineStr">
        <is>
          <t>XK2511-04</t>
        </is>
      </c>
      <c r="G3728" s="16" t="n">
        <v>45962</v>
      </c>
      <c r="H3728" s="17" t="inlineStr">
        <is>
          <t>CÔNG TY CỔ PHẦN CÔNG NGHIỆP VÀ THƯƠNG MẠI CƯỜNG THỊNH</t>
        </is>
      </c>
      <c r="I3728" s="17" t="inlineStr">
        <is>
          <t>Đai ốc Din 934 8 ZP M20</t>
        </is>
      </c>
      <c r="J3728" s="17" t="inlineStr">
        <is>
          <t>Cái</t>
        </is>
      </c>
      <c r="K3728" s="19" t="n">
        <v>2087</v>
      </c>
      <c r="L3728" s="21" t="n"/>
      <c r="M3728" s="22" t="n"/>
      <c r="N3728" s="22" t="n">
        <v>1450</v>
      </c>
      <c r="O3728" s="22" t="n">
        <v>3026150</v>
      </c>
      <c r="P3728" s="22" t="n">
        <v>1450</v>
      </c>
      <c r="Q3728" s="22" t="n">
        <v>3026150</v>
      </c>
      <c r="R3728" s="42">
        <f>+L3728+N3728-P3728</f>
        <v/>
      </c>
      <c r="S3728" s="42">
        <f>+M3728+O3728-Q3728</f>
        <v/>
      </c>
    </row>
    <row r="3729" ht="30" customHeight="1">
      <c r="A3729" s="16" t="n">
        <v>45962</v>
      </c>
      <c r="B3729" s="17" t="inlineStr">
        <is>
          <t>MH2511-04</t>
        </is>
      </c>
      <c r="C3729" s="16" t="n">
        <v>45962</v>
      </c>
      <c r="D3729" s="17" t="inlineStr">
        <is>
          <t>00004324</t>
        </is>
      </c>
      <c r="E3729" s="16" t="n">
        <v>45962</v>
      </c>
      <c r="F3729" s="66" t="inlineStr">
        <is>
          <t>XK2511-04</t>
        </is>
      </c>
      <c r="G3729" s="16" t="n">
        <v>45962</v>
      </c>
      <c r="H3729" s="17" t="inlineStr">
        <is>
          <t>CÔNG TY CỔ PHẦN CÔNG NGHIỆP VÀ THƯƠNG MẠI CƯỜNG THỊNH</t>
        </is>
      </c>
      <c r="I3729" s="17" t="inlineStr">
        <is>
          <t>Long đền thường ZP M20B35D2</t>
        </is>
      </c>
      <c r="J3729" s="17" t="inlineStr">
        <is>
          <t>Cái</t>
        </is>
      </c>
      <c r="K3729" s="19" t="n">
        <v>350</v>
      </c>
      <c r="L3729" s="21" t="n"/>
      <c r="M3729" s="22" t="n"/>
      <c r="N3729" s="22" t="n">
        <v>1450</v>
      </c>
      <c r="O3729" s="22" t="n">
        <v>507500</v>
      </c>
      <c r="P3729" s="22" t="n">
        <v>1450</v>
      </c>
      <c r="Q3729" s="22" t="n">
        <v>507500</v>
      </c>
      <c r="R3729" s="42">
        <f>+L3729+N3729-P3729</f>
        <v/>
      </c>
      <c r="S3729" s="42">
        <f>+M3729+O3729-Q3729</f>
        <v/>
      </c>
    </row>
    <row r="3730" ht="30" customHeight="1">
      <c r="A3730" s="16" t="n">
        <v>45962</v>
      </c>
      <c r="B3730" s="17" t="inlineStr">
        <is>
          <t>MH2511-04</t>
        </is>
      </c>
      <c r="C3730" s="16" t="n">
        <v>45962</v>
      </c>
      <c r="D3730" s="17" t="inlineStr">
        <is>
          <t>00004324</t>
        </is>
      </c>
      <c r="E3730" s="16" t="n">
        <v>45962</v>
      </c>
      <c r="F3730" s="66" t="inlineStr">
        <is>
          <t>XK2511-04</t>
        </is>
      </c>
      <c r="G3730" s="16" t="n">
        <v>45962</v>
      </c>
      <c r="H3730" s="17" t="inlineStr">
        <is>
          <t>CÔNG TY CỔ PHẦN CÔNG NGHIỆP VÀ THƯƠNG MẠI CƯỜNG THỊNH</t>
        </is>
      </c>
      <c r="I3730" s="17" t="inlineStr">
        <is>
          <t>Long đền thường ZP M16B30D2</t>
        </is>
      </c>
      <c r="J3730" s="17" t="inlineStr">
        <is>
          <t>Cái</t>
        </is>
      </c>
      <c r="K3730" s="19" t="n">
        <v>340</v>
      </c>
      <c r="L3730" s="21" t="n"/>
      <c r="M3730" s="22" t="n"/>
      <c r="N3730" s="22" t="n">
        <v>66</v>
      </c>
      <c r="O3730" s="22" t="n">
        <v>22440</v>
      </c>
      <c r="P3730" s="22" t="n">
        <v>66</v>
      </c>
      <c r="Q3730" s="22" t="n">
        <v>22440</v>
      </c>
      <c r="R3730" s="42">
        <f>+L3730+N3730-P3730</f>
        <v/>
      </c>
      <c r="S3730" s="42">
        <f>+M3730+O3730-Q3730</f>
        <v/>
      </c>
    </row>
    <row r="3731" ht="30" customHeight="1">
      <c r="A3731" s="16" t="n">
        <v>45962</v>
      </c>
      <c r="B3731" s="17" t="inlineStr">
        <is>
          <t>MH2511-04</t>
        </is>
      </c>
      <c r="C3731" s="16" t="n">
        <v>45962</v>
      </c>
      <c r="D3731" s="17" t="inlineStr">
        <is>
          <t>00004324</t>
        </is>
      </c>
      <c r="E3731" s="16" t="n">
        <v>45962</v>
      </c>
      <c r="F3731" s="66" t="inlineStr">
        <is>
          <t>XK2511-04</t>
        </is>
      </c>
      <c r="G3731" s="16" t="n">
        <v>45962</v>
      </c>
      <c r="H3731" s="17" t="inlineStr">
        <is>
          <t>CÔNG TY CỔ PHẦN CÔNG NGHIỆP VÀ THƯƠNG MẠI CƯỜNG THỊNH</t>
        </is>
      </c>
      <c r="I3731" s="17" t="inlineStr">
        <is>
          <t>Bulong thường 4.6 ZP M12x50</t>
        </is>
      </c>
      <c r="J3731" s="17" t="inlineStr">
        <is>
          <t>Cái</t>
        </is>
      </c>
      <c r="K3731" s="19" t="n">
        <v>1357</v>
      </c>
      <c r="L3731" s="21" t="n"/>
      <c r="M3731" s="22" t="n"/>
      <c r="N3731" s="22" t="n">
        <v>527</v>
      </c>
      <c r="O3731" s="22" t="n">
        <v>715139</v>
      </c>
      <c r="P3731" s="22" t="n">
        <v>527</v>
      </c>
      <c r="Q3731" s="22" t="n">
        <v>715139</v>
      </c>
      <c r="R3731" s="42">
        <f>+L3731+N3731-P3731</f>
        <v/>
      </c>
      <c r="S3731" s="42">
        <f>+M3731+O3731-Q3731</f>
        <v/>
      </c>
    </row>
    <row r="3732" ht="30" customHeight="1">
      <c r="A3732" s="16" t="n">
        <v>45962</v>
      </c>
      <c r="B3732" s="17" t="inlineStr">
        <is>
          <t>MH2511-04</t>
        </is>
      </c>
      <c r="C3732" s="16" t="n">
        <v>45962</v>
      </c>
      <c r="D3732" s="17" t="inlineStr">
        <is>
          <t>00004324</t>
        </is>
      </c>
      <c r="E3732" s="16" t="n">
        <v>45962</v>
      </c>
      <c r="F3732" s="66" t="inlineStr">
        <is>
          <t>XK2511-04</t>
        </is>
      </c>
      <c r="G3732" s="16" t="n">
        <v>45962</v>
      </c>
      <c r="H3732" s="17" t="inlineStr">
        <is>
          <t>CÔNG TY CỔ PHẦN CÔNG NGHIỆP VÀ THƯƠNG MẠI CƯỜNG THỊNH</t>
        </is>
      </c>
      <c r="I3732" s="17" t="inlineStr">
        <is>
          <t>Đai ốc thường 4 ZP M12 (9mm)</t>
        </is>
      </c>
      <c r="J3732" s="17" t="inlineStr">
        <is>
          <t>Cái</t>
        </is>
      </c>
      <c r="K3732" s="19" t="n">
        <v>350</v>
      </c>
      <c r="L3732" s="21" t="n"/>
      <c r="M3732" s="22" t="n"/>
      <c r="N3732" s="22" t="n">
        <v>527</v>
      </c>
      <c r="O3732" s="22" t="n">
        <v>184450</v>
      </c>
      <c r="P3732" s="22" t="n">
        <v>527</v>
      </c>
      <c r="Q3732" s="22" t="n">
        <v>184450</v>
      </c>
      <c r="R3732" s="42">
        <f>+L3732+N3732-P3732</f>
        <v/>
      </c>
      <c r="S3732" s="42">
        <f>+M3732+O3732-Q3732</f>
        <v/>
      </c>
    </row>
    <row r="3733" ht="30" customHeight="1">
      <c r="A3733" s="16" t="n">
        <v>45962</v>
      </c>
      <c r="B3733" s="17" t="inlineStr">
        <is>
          <t>MH2511-04</t>
        </is>
      </c>
      <c r="C3733" s="16" t="n">
        <v>45962</v>
      </c>
      <c r="D3733" s="17" t="inlineStr">
        <is>
          <t>00004324</t>
        </is>
      </c>
      <c r="E3733" s="16" t="n">
        <v>45962</v>
      </c>
      <c r="F3733" s="66" t="inlineStr">
        <is>
          <t>XK2511-04</t>
        </is>
      </c>
      <c r="G3733" s="16" t="n">
        <v>45962</v>
      </c>
      <c r="H3733" s="17" t="inlineStr">
        <is>
          <t>CÔNG TY CỔ PHẦN CÔNG NGHIỆP VÀ THƯƠNG MẠI CƯỜNG THỊNH</t>
        </is>
      </c>
      <c r="I3733" s="17" t="inlineStr">
        <is>
          <t>Long đền thường ZP M12B23D1</t>
        </is>
      </c>
      <c r="J3733" s="17" t="inlineStr">
        <is>
          <t>Cái</t>
        </is>
      </c>
      <c r="K3733" s="19" t="n">
        <v>100</v>
      </c>
      <c r="L3733" s="21" t="n"/>
      <c r="M3733" s="22" t="n"/>
      <c r="N3733" s="22" t="n">
        <v>1054</v>
      </c>
      <c r="O3733" s="22" t="n">
        <v>105400</v>
      </c>
      <c r="P3733" s="22" t="n">
        <v>1054</v>
      </c>
      <c r="Q3733" s="22" t="n">
        <v>105400</v>
      </c>
      <c r="R3733" s="42">
        <f>+L3733+N3733-P3733</f>
        <v/>
      </c>
      <c r="S3733" s="42">
        <f>+M3733+O3733-Q3733</f>
        <v/>
      </c>
    </row>
    <row r="3734" ht="30" customHeight="1">
      <c r="A3734" s="16" t="n">
        <v>45964</v>
      </c>
      <c r="B3734" s="17" t="inlineStr">
        <is>
          <t>MH2511-05</t>
        </is>
      </c>
      <c r="C3734" s="16" t="n">
        <v>45964</v>
      </c>
      <c r="D3734" s="17" t="inlineStr">
        <is>
          <t>00006128</t>
        </is>
      </c>
      <c r="E3734" s="16" t="n">
        <v>45964</v>
      </c>
      <c r="F3734" s="66" t="inlineStr">
        <is>
          <t>XK2511-23</t>
        </is>
      </c>
      <c r="G3734" s="16" t="n">
        <v>45991</v>
      </c>
      <c r="H3734" s="17" t="inlineStr">
        <is>
          <t>Công Ty TNHH Đầu Tư Thương Mại Dịch Vụ Việt Tiến Phát</t>
        </is>
      </c>
      <c r="I3734" s="17" t="inlineStr">
        <is>
          <t>Thép hộp 50x100x3.0x11m</t>
        </is>
      </c>
      <c r="J3734" s="17" t="inlineStr">
        <is>
          <t>kg</t>
        </is>
      </c>
      <c r="K3734" s="19" t="n">
        <v>15997.59</v>
      </c>
      <c r="L3734" s="21" t="n"/>
      <c r="M3734" s="22" t="n"/>
      <c r="N3734" s="22" t="n">
        <v>14800</v>
      </c>
      <c r="O3734" s="22" t="n">
        <v>236764332</v>
      </c>
      <c r="P3734" s="22" t="n">
        <v>14800</v>
      </c>
      <c r="Q3734" s="22" t="n">
        <v>236764332</v>
      </c>
      <c r="R3734" s="42">
        <f>+L3734+N3734-P3734</f>
        <v/>
      </c>
      <c r="S3734" s="42">
        <f>+M3734+O3734-Q3734</f>
        <v/>
      </c>
    </row>
    <row r="3735" ht="30" customHeight="1">
      <c r="A3735" s="16" t="n">
        <v>45964</v>
      </c>
      <c r="B3735" s="17" t="inlineStr">
        <is>
          <t>MH2511-05</t>
        </is>
      </c>
      <c r="C3735" s="16" t="n">
        <v>45964</v>
      </c>
      <c r="D3735" s="17" t="inlineStr">
        <is>
          <t>00006128</t>
        </is>
      </c>
      <c r="E3735" s="16" t="n">
        <v>45964</v>
      </c>
      <c r="F3735" s="66" t="inlineStr">
        <is>
          <t>XK2511-23</t>
        </is>
      </c>
      <c r="G3735" s="16" t="n">
        <v>45991</v>
      </c>
      <c r="H3735" s="17" t="inlineStr">
        <is>
          <t>Công Ty TNHH Đầu Tư Thương Mại Dịch Vụ Việt Tiến Phát</t>
        </is>
      </c>
      <c r="I3735" s="17" t="inlineStr">
        <is>
          <t>Thép hộp 150x150x2.5x12m</t>
        </is>
      </c>
      <c r="J3735" s="17" t="inlineStr">
        <is>
          <t>kg</t>
        </is>
      </c>
      <c r="K3735" s="19" t="n">
        <v>16179.4</v>
      </c>
      <c r="L3735" s="21" t="n"/>
      <c r="M3735" s="22" t="n"/>
      <c r="N3735" s="22" t="n">
        <v>13854</v>
      </c>
      <c r="O3735" s="22" t="n">
        <v>224149408</v>
      </c>
      <c r="P3735" s="22" t="n">
        <v>13854</v>
      </c>
      <c r="Q3735" s="22" t="n">
        <v>224149408</v>
      </c>
      <c r="R3735" s="42">
        <f>+L3735+N3735-P3735</f>
        <v/>
      </c>
      <c r="S3735" s="42">
        <f>+M3735+O3735-Q3735</f>
        <v/>
      </c>
    </row>
    <row r="3736" ht="30" customHeight="1">
      <c r="A3736" s="16" t="n">
        <v>45964</v>
      </c>
      <c r="B3736" s="17" t="inlineStr">
        <is>
          <t>MH2511-05</t>
        </is>
      </c>
      <c r="C3736" s="16" t="n">
        <v>45964</v>
      </c>
      <c r="D3736" s="17" t="inlineStr">
        <is>
          <t>00006128</t>
        </is>
      </c>
      <c r="E3736" s="16" t="n">
        <v>45964</v>
      </c>
      <c r="F3736" s="66" t="inlineStr">
        <is>
          <t>XK2511-23</t>
        </is>
      </c>
      <c r="G3736" s="16" t="n">
        <v>45991</v>
      </c>
      <c r="H3736" s="17" t="inlineStr">
        <is>
          <t>Công Ty TNHH Đầu Tư Thương Mại Dịch Vụ Việt Tiến Phát</t>
        </is>
      </c>
      <c r="I3736" s="17" t="inlineStr">
        <is>
          <t>Thép hộp 100x100x2.5x6m</t>
        </is>
      </c>
      <c r="J3736" s="17" t="inlineStr">
        <is>
          <t>kg</t>
        </is>
      </c>
      <c r="K3736" s="19" t="n">
        <v>15997.59</v>
      </c>
      <c r="L3736" s="21" t="n"/>
      <c r="M3736" s="22" t="n"/>
      <c r="N3736" s="22" t="n">
        <v>4569</v>
      </c>
      <c r="O3736" s="22" t="n">
        <v>73092989</v>
      </c>
      <c r="P3736" s="22" t="n">
        <v>4569</v>
      </c>
      <c r="Q3736" s="22" t="n">
        <v>73092989</v>
      </c>
      <c r="R3736" s="42">
        <f>+L3736+N3736-P3736</f>
        <v/>
      </c>
      <c r="S3736" s="42">
        <f>+M3736+O3736-Q3736</f>
        <v/>
      </c>
    </row>
    <row r="3737" ht="30" customHeight="1">
      <c r="A3737" s="16" t="n">
        <v>45964</v>
      </c>
      <c r="B3737" s="17" t="inlineStr">
        <is>
          <t>MH2511-05</t>
        </is>
      </c>
      <c r="C3737" s="16" t="n">
        <v>45964</v>
      </c>
      <c r="D3737" s="17" t="inlineStr">
        <is>
          <t>00006128</t>
        </is>
      </c>
      <c r="E3737" s="16" t="n">
        <v>45964</v>
      </c>
      <c r="F3737" s="66" t="inlineStr">
        <is>
          <t>XK2511-23</t>
        </is>
      </c>
      <c r="G3737" s="16" t="n">
        <v>45991</v>
      </c>
      <c r="H3737" s="17" t="inlineStr">
        <is>
          <t>Công Ty TNHH Đầu Tư Thương Mại Dịch Vụ Việt Tiến Phát</t>
        </is>
      </c>
      <c r="I3737" s="17" t="inlineStr">
        <is>
          <t>Thép V50</t>
        </is>
      </c>
      <c r="J3737" s="17" t="inlineStr">
        <is>
          <t>kg</t>
        </is>
      </c>
      <c r="K3737" s="19" t="n">
        <v>14088.49</v>
      </c>
      <c r="L3737" s="21" t="n"/>
      <c r="M3737" s="22" t="n"/>
      <c r="N3737" s="22" t="n">
        <v>5400</v>
      </c>
      <c r="O3737" s="22" t="n">
        <v>76077846</v>
      </c>
      <c r="P3737" s="22" t="n">
        <v>5400</v>
      </c>
      <c r="Q3737" s="22" t="n">
        <v>76077846</v>
      </c>
      <c r="R3737" s="42">
        <f>+L3737+N3737-P3737</f>
        <v/>
      </c>
      <c r="S3737" s="42">
        <f>+M3737+O3737-Q3737</f>
        <v/>
      </c>
    </row>
    <row r="3738" ht="30" customHeight="1">
      <c r="A3738" s="16" t="n">
        <v>45964</v>
      </c>
      <c r="B3738" s="17" t="inlineStr">
        <is>
          <t>MH2511-05</t>
        </is>
      </c>
      <c r="C3738" s="16" t="n">
        <v>45964</v>
      </c>
      <c r="D3738" s="17" t="inlineStr">
        <is>
          <t>00006128</t>
        </is>
      </c>
      <c r="E3738" s="16" t="n">
        <v>45964</v>
      </c>
      <c r="F3738" s="66" t="inlineStr">
        <is>
          <t>XK2511-23</t>
        </is>
      </c>
      <c r="G3738" s="16" t="n">
        <v>45991</v>
      </c>
      <c r="H3738" s="17" t="inlineStr">
        <is>
          <t>Công Ty TNHH Đầu Tư Thương Mại Dịch Vụ Việt Tiến Phát</t>
        </is>
      </c>
      <c r="I3738" s="17" t="inlineStr">
        <is>
          <t>Thép tấm gân 5.0</t>
        </is>
      </c>
      <c r="J3738" s="17" t="inlineStr">
        <is>
          <t>kg</t>
        </is>
      </c>
      <c r="K3738" s="19" t="n">
        <v>12906.68</v>
      </c>
      <c r="L3738" s="21" t="n"/>
      <c r="M3738" s="22" t="n"/>
      <c r="N3738" s="22" t="n">
        <v>7605</v>
      </c>
      <c r="O3738" s="22" t="n">
        <v>98155301</v>
      </c>
      <c r="P3738" s="22" t="n">
        <v>7605</v>
      </c>
      <c r="Q3738" s="22" t="n">
        <v>98155301</v>
      </c>
      <c r="R3738" s="42">
        <f>+L3738+N3738-P3738</f>
        <v/>
      </c>
      <c r="S3738" s="42">
        <f>+M3738+O3738-Q3738</f>
        <v/>
      </c>
    </row>
    <row r="3739" ht="30" customHeight="1">
      <c r="A3739" s="16" t="n">
        <v>45966</v>
      </c>
      <c r="B3739" s="17" t="inlineStr">
        <is>
          <t>MH2511-09</t>
        </is>
      </c>
      <c r="C3739" s="16" t="n">
        <v>45966</v>
      </c>
      <c r="D3739" s="17" t="inlineStr">
        <is>
          <t>00006595</t>
        </is>
      </c>
      <c r="E3739" s="16" t="n">
        <v>45966</v>
      </c>
      <c r="F3739" s="66" t="inlineStr">
        <is>
          <t>XK2511-06</t>
        </is>
      </c>
      <c r="G3739" s="16" t="n">
        <v>45966</v>
      </c>
      <c r="H3739" s="17" t="inlineStr">
        <is>
          <t>CÔNG TY TNHH MTV SẢN XUẤT THƯƠNG MẠI DỊCH VỤ THANH HUYỀN</t>
        </is>
      </c>
      <c r="I3739" s="17" t="inlineStr">
        <is>
          <t>Thép mạ kẽm chấn</t>
        </is>
      </c>
      <c r="J3739" s="17" t="inlineStr">
        <is>
          <t>kg</t>
        </is>
      </c>
      <c r="K3739" s="19" t="n">
        <v>21662.17</v>
      </c>
      <c r="L3739" s="21" t="n"/>
      <c r="M3739" s="22" t="n"/>
      <c r="N3739" s="22" t="n">
        <v>650</v>
      </c>
      <c r="O3739" s="22" t="n">
        <v>14080409</v>
      </c>
      <c r="P3739" s="22" t="n">
        <v>650</v>
      </c>
      <c r="Q3739" s="22" t="n">
        <v>14080409</v>
      </c>
      <c r="R3739" s="42">
        <f>+L3739+N3739-P3739</f>
        <v/>
      </c>
      <c r="S3739" s="42">
        <f>+M3739+O3739-Q3739</f>
        <v/>
      </c>
    </row>
    <row r="3740" ht="30" customHeight="1">
      <c r="A3740" s="16" t="n">
        <v>45966</v>
      </c>
      <c r="B3740" s="17" t="inlineStr">
        <is>
          <t>MH2511-09</t>
        </is>
      </c>
      <c r="C3740" s="16" t="n">
        <v>45966</v>
      </c>
      <c r="D3740" s="17" t="inlineStr">
        <is>
          <t>00006595</t>
        </is>
      </c>
      <c r="E3740" s="16" t="n">
        <v>45966</v>
      </c>
      <c r="F3740" s="66" t="inlineStr">
        <is>
          <t>XK2511-06</t>
        </is>
      </c>
      <c r="G3740" s="16" t="n">
        <v>45966</v>
      </c>
      <c r="H3740" s="17" t="inlineStr">
        <is>
          <t>CÔNG TY TNHH MTV SẢN XUẤT THƯƠNG MẠI DỊCH VỤ THANH HUYỀN</t>
        </is>
      </c>
      <c r="I3740" s="17" t="inlineStr">
        <is>
          <t>Xà gồ mạ kẽm</t>
        </is>
      </c>
      <c r="J3740" s="17" t="inlineStr">
        <is>
          <t>kg</t>
        </is>
      </c>
      <c r="K3740" s="19" t="n">
        <v>17902.31</v>
      </c>
      <c r="L3740" s="21" t="n"/>
      <c r="M3740" s="22" t="n"/>
      <c r="N3740" s="22" t="n">
        <v>8166</v>
      </c>
      <c r="O3740" s="22" t="n">
        <v>146190263</v>
      </c>
      <c r="P3740" s="22" t="n">
        <v>8166</v>
      </c>
      <c r="Q3740" s="22" t="n">
        <v>146190263</v>
      </c>
      <c r="R3740" s="42">
        <f>+L3740+N3740-P3740</f>
        <v/>
      </c>
      <c r="S3740" s="42">
        <f>+M3740+O3740-Q3740</f>
        <v/>
      </c>
    </row>
    <row r="3741" ht="30" customHeight="1">
      <c r="A3741" s="16" t="n">
        <v>45966</v>
      </c>
      <c r="B3741" s="17" t="inlineStr">
        <is>
          <t>MH2511-10</t>
        </is>
      </c>
      <c r="C3741" s="16" t="n">
        <v>45966</v>
      </c>
      <c r="D3741" s="17" t="inlineStr">
        <is>
          <t>37</t>
        </is>
      </c>
      <c r="E3741" s="16" t="n">
        <v>45966</v>
      </c>
      <c r="F3741" s="66" t="inlineStr">
        <is>
          <t>XK2511-07</t>
        </is>
      </c>
      <c r="G3741" s="16" t="n">
        <v>45966</v>
      </c>
      <c r="H3741" s="17" t="inlineStr">
        <is>
          <t>CÔNG TY TNHH XÂY DỰNG CƠ KHÍ VÀ CHẾ TẠO MÁY DŨNG SƠN</t>
        </is>
      </c>
      <c r="I3741" s="17" t="inlineStr">
        <is>
          <t>Lan can cầu thang</t>
        </is>
      </c>
      <c r="J3741" s="17" t="inlineStr">
        <is>
          <t>Cái</t>
        </is>
      </c>
      <c r="K3741" s="19" t="n">
        <v>143181605</v>
      </c>
      <c r="L3741" s="21" t="n"/>
      <c r="M3741" s="22" t="n"/>
      <c r="N3741" s="22" t="n">
        <v>1</v>
      </c>
      <c r="O3741" s="22" t="n">
        <v>143181605</v>
      </c>
      <c r="P3741" s="22" t="n">
        <v>1</v>
      </c>
      <c r="Q3741" s="22" t="n">
        <v>143181605</v>
      </c>
      <c r="R3741" s="42">
        <f>+L3741+N3741-P3741</f>
        <v/>
      </c>
      <c r="S3741" s="42">
        <f>+M3741+O3741-Q3741</f>
        <v/>
      </c>
    </row>
    <row r="3742" ht="30" customHeight="1">
      <c r="A3742" s="16" t="n">
        <v>45967</v>
      </c>
      <c r="B3742" s="17" t="inlineStr">
        <is>
          <t>MH2511-11</t>
        </is>
      </c>
      <c r="C3742" s="16" t="n">
        <v>45967</v>
      </c>
      <c r="D3742" s="17" t="inlineStr">
        <is>
          <t>00004404</t>
        </is>
      </c>
      <c r="E3742" s="16" t="n">
        <v>45967</v>
      </c>
      <c r="F3742" s="66" t="inlineStr">
        <is>
          <t>XK2511-08</t>
        </is>
      </c>
      <c r="G3742" s="16" t="n">
        <v>45967</v>
      </c>
      <c r="H3742" s="17" t="inlineStr">
        <is>
          <t>CÔNG TY CỔ PHẦN CÔNG NGHIỆP VÀ THƯƠNG MẠI CƯỜNG THỊNH</t>
        </is>
      </c>
      <c r="I3742" s="17" t="inlineStr">
        <is>
          <t>Bulong Din 933 8.8 ZP M20x60</t>
        </is>
      </c>
      <c r="J3742" s="17" t="inlineStr">
        <is>
          <t>Cái</t>
        </is>
      </c>
      <c r="K3742" s="19" t="n">
        <v>6360</v>
      </c>
      <c r="L3742" s="21" t="n"/>
      <c r="M3742" s="22" t="n"/>
      <c r="N3742" s="22" t="n">
        <v>6353</v>
      </c>
      <c r="O3742" s="22" t="n">
        <v>40405080</v>
      </c>
      <c r="P3742" s="22" t="n">
        <v>6353</v>
      </c>
      <c r="Q3742" s="22" t="n">
        <v>40405080</v>
      </c>
      <c r="R3742" s="42">
        <f>+L3742+N3742-P3742</f>
        <v/>
      </c>
      <c r="S3742" s="42">
        <f>+M3742+O3742-Q3742</f>
        <v/>
      </c>
    </row>
    <row r="3743" ht="30" customHeight="1">
      <c r="A3743" s="16" t="n">
        <v>45967</v>
      </c>
      <c r="B3743" s="17" t="inlineStr">
        <is>
          <t>MH2511-11</t>
        </is>
      </c>
      <c r="C3743" s="16" t="n">
        <v>45967</v>
      </c>
      <c r="D3743" s="17" t="inlineStr">
        <is>
          <t>00004404</t>
        </is>
      </c>
      <c r="E3743" s="16" t="n">
        <v>45967</v>
      </c>
      <c r="F3743" s="66" t="inlineStr">
        <is>
          <t>XK2511-08</t>
        </is>
      </c>
      <c r="G3743" s="16" t="n">
        <v>45967</v>
      </c>
      <c r="H3743" s="17" t="inlineStr">
        <is>
          <t>CÔNG TY CỔ PHẦN CÔNG NGHIỆP VÀ THƯƠNG MẠI CƯỜNG THỊNH</t>
        </is>
      </c>
      <c r="I3743" s="17" t="inlineStr">
        <is>
          <t>Đai ốc Din 934 8 ZP M20</t>
        </is>
      </c>
      <c r="J3743" s="17" t="inlineStr">
        <is>
          <t>Cái</t>
        </is>
      </c>
      <c r="K3743" s="19" t="n">
        <v>2030</v>
      </c>
      <c r="L3743" s="21" t="n"/>
      <c r="M3743" s="22" t="n"/>
      <c r="N3743" s="22" t="n">
        <v>6353</v>
      </c>
      <c r="O3743" s="22" t="n">
        <v>12896590</v>
      </c>
      <c r="P3743" s="22" t="n">
        <v>6353</v>
      </c>
      <c r="Q3743" s="22" t="n">
        <v>12896590</v>
      </c>
      <c r="R3743" s="42">
        <f>+L3743+N3743-P3743</f>
        <v/>
      </c>
      <c r="S3743" s="42">
        <f>+M3743+O3743-Q3743</f>
        <v/>
      </c>
    </row>
    <row r="3744" ht="30" customHeight="1">
      <c r="A3744" s="16" t="n">
        <v>45967</v>
      </c>
      <c r="B3744" s="17" t="inlineStr">
        <is>
          <t>MH2511-11</t>
        </is>
      </c>
      <c r="C3744" s="16" t="n">
        <v>45967</v>
      </c>
      <c r="D3744" s="17" t="inlineStr">
        <is>
          <t>00004404</t>
        </is>
      </c>
      <c r="E3744" s="16" t="n">
        <v>45967</v>
      </c>
      <c r="F3744" s="66" t="inlineStr">
        <is>
          <t>XK2511-08</t>
        </is>
      </c>
      <c r="G3744" s="16" t="n">
        <v>45967</v>
      </c>
      <c r="H3744" s="17" t="inlineStr">
        <is>
          <t>CÔNG TY CỔ PHẦN CÔNG NGHIỆP VÀ THƯƠNG MẠI CƯỜNG THỊNH</t>
        </is>
      </c>
      <c r="I3744" s="17" t="inlineStr">
        <is>
          <t>Long đền thường ZP M20B35D2</t>
        </is>
      </c>
      <c r="J3744" s="17" t="inlineStr">
        <is>
          <t>Cái</t>
        </is>
      </c>
      <c r="K3744" s="19" t="n">
        <v>350</v>
      </c>
      <c r="L3744" s="21" t="n"/>
      <c r="M3744" s="22" t="n"/>
      <c r="N3744" s="22" t="n">
        <v>6353</v>
      </c>
      <c r="O3744" s="22" t="n">
        <v>2223550</v>
      </c>
      <c r="P3744" s="22" t="n">
        <v>6353</v>
      </c>
      <c r="Q3744" s="22" t="n">
        <v>2223550</v>
      </c>
      <c r="R3744" s="42">
        <f>+L3744+N3744-P3744</f>
        <v/>
      </c>
      <c r="S3744" s="42">
        <f>+M3744+O3744-Q3744</f>
        <v/>
      </c>
    </row>
    <row r="3745" ht="30" customHeight="1">
      <c r="A3745" s="16" t="n">
        <v>45967</v>
      </c>
      <c r="B3745" s="17" t="inlineStr">
        <is>
          <t>MH2511-11</t>
        </is>
      </c>
      <c r="C3745" s="16" t="n">
        <v>45967</v>
      </c>
      <c r="D3745" s="17" t="inlineStr">
        <is>
          <t>00004404</t>
        </is>
      </c>
      <c r="E3745" s="16" t="n">
        <v>45967</v>
      </c>
      <c r="F3745" s="66" t="inlineStr">
        <is>
          <t>XK2511-08</t>
        </is>
      </c>
      <c r="G3745" s="16" t="n">
        <v>45967</v>
      </c>
      <c r="H3745" s="17" t="inlineStr">
        <is>
          <t>CÔNG TY CỔ PHẦN CÔNG NGHIỆP VÀ THƯƠNG MẠI CƯỜNG THỊNH</t>
        </is>
      </c>
      <c r="I3745" s="17" t="inlineStr">
        <is>
          <t>Bulong Din 933 8.8 ZP M24x70</t>
        </is>
      </c>
      <c r="J3745" s="17" t="inlineStr">
        <is>
          <t>Cái</t>
        </is>
      </c>
      <c r="K3745" s="19" t="n">
        <v>11010</v>
      </c>
      <c r="L3745" s="21" t="n"/>
      <c r="M3745" s="22" t="n"/>
      <c r="N3745" s="22" t="n">
        <v>461</v>
      </c>
      <c r="O3745" s="22" t="n">
        <v>5075610</v>
      </c>
      <c r="P3745" s="22" t="n">
        <v>461</v>
      </c>
      <c r="Q3745" s="22" t="n">
        <v>5075610</v>
      </c>
      <c r="R3745" s="42">
        <f>+L3745+N3745-P3745</f>
        <v/>
      </c>
      <c r="S3745" s="42">
        <f>+M3745+O3745-Q3745</f>
        <v/>
      </c>
    </row>
    <row r="3746" ht="30" customHeight="1">
      <c r="A3746" s="16" t="n">
        <v>45967</v>
      </c>
      <c r="B3746" s="17" t="inlineStr">
        <is>
          <t>MH2511-11</t>
        </is>
      </c>
      <c r="C3746" s="16" t="n">
        <v>45967</v>
      </c>
      <c r="D3746" s="17" t="inlineStr">
        <is>
          <t>00004404</t>
        </is>
      </c>
      <c r="E3746" s="16" t="n">
        <v>45967</v>
      </c>
      <c r="F3746" s="66" t="inlineStr">
        <is>
          <t>XK2511-08</t>
        </is>
      </c>
      <c r="G3746" s="16" t="n">
        <v>45967</v>
      </c>
      <c r="H3746" s="17" t="inlineStr">
        <is>
          <t>CÔNG TY CỔ PHẦN CÔNG NGHIỆP VÀ THƯƠNG MẠI CƯỜNG THỊNH</t>
        </is>
      </c>
      <c r="I3746" s="17" t="inlineStr">
        <is>
          <t>Đai ốc Din 934 8 ZP M24</t>
        </is>
      </c>
      <c r="J3746" s="17" t="inlineStr">
        <is>
          <t>Cái</t>
        </is>
      </c>
      <c r="K3746" s="19" t="n">
        <v>3500</v>
      </c>
      <c r="L3746" s="21" t="n"/>
      <c r="M3746" s="22" t="n"/>
      <c r="N3746" s="22" t="n">
        <v>461</v>
      </c>
      <c r="O3746" s="22" t="n">
        <v>1613500</v>
      </c>
      <c r="P3746" s="22" t="n">
        <v>461</v>
      </c>
      <c r="Q3746" s="22" t="n">
        <v>1613500</v>
      </c>
      <c r="R3746" s="42">
        <f>+L3746+N3746-P3746</f>
        <v/>
      </c>
      <c r="S3746" s="42">
        <f>+M3746+O3746-Q3746</f>
        <v/>
      </c>
    </row>
    <row r="3747" ht="30" customHeight="1">
      <c r="A3747" s="16" t="n">
        <v>45967</v>
      </c>
      <c r="B3747" s="17" t="inlineStr">
        <is>
          <t>MH2511-11</t>
        </is>
      </c>
      <c r="C3747" s="16" t="n">
        <v>45967</v>
      </c>
      <c r="D3747" s="17" t="inlineStr">
        <is>
          <t>00004404</t>
        </is>
      </c>
      <c r="E3747" s="16" t="n">
        <v>45967</v>
      </c>
      <c r="F3747" s="66" t="inlineStr">
        <is>
          <t>XK2511-08</t>
        </is>
      </c>
      <c r="G3747" s="16" t="n">
        <v>45967</v>
      </c>
      <c r="H3747" s="17" t="inlineStr">
        <is>
          <t>CÔNG TY CỔ PHẦN CÔNG NGHIỆP VÀ THƯƠNG MẠI CƯỜNG THỊNH</t>
        </is>
      </c>
      <c r="I3747" s="17" t="inlineStr">
        <is>
          <t>Long đền thường ZP M24B40-42D2</t>
        </is>
      </c>
      <c r="J3747" s="17" t="inlineStr">
        <is>
          <t>Cái</t>
        </is>
      </c>
      <c r="K3747" s="19" t="n">
        <v>660</v>
      </c>
      <c r="L3747" s="21" t="n"/>
      <c r="M3747" s="22" t="n"/>
      <c r="N3747" s="22" t="n">
        <v>461</v>
      </c>
      <c r="O3747" s="22" t="n">
        <v>304260</v>
      </c>
      <c r="P3747" s="22" t="n">
        <v>461</v>
      </c>
      <c r="Q3747" s="22" t="n">
        <v>304260</v>
      </c>
      <c r="R3747" s="42">
        <f>+L3747+N3747-P3747</f>
        <v/>
      </c>
      <c r="S3747" s="42">
        <f>+M3747+O3747-Q3747</f>
        <v/>
      </c>
    </row>
    <row r="3748" ht="30" customHeight="1">
      <c r="A3748" s="16" t="n">
        <v>45967</v>
      </c>
      <c r="B3748" s="17" t="inlineStr">
        <is>
          <t>MH2511-11</t>
        </is>
      </c>
      <c r="C3748" s="16" t="n">
        <v>45967</v>
      </c>
      <c r="D3748" s="17" t="inlineStr">
        <is>
          <t>00004404</t>
        </is>
      </c>
      <c r="E3748" s="16" t="n">
        <v>45967</v>
      </c>
      <c r="F3748" s="66" t="inlineStr">
        <is>
          <t>XK2511-08</t>
        </is>
      </c>
      <c r="G3748" s="16" t="n">
        <v>45967</v>
      </c>
      <c r="H3748" s="17" t="inlineStr">
        <is>
          <t>CÔNG TY CỔ PHẦN CÔNG NGHIỆP VÀ THƯƠNG MẠI CƯỜNG THỊNH</t>
        </is>
      </c>
      <c r="I3748" s="17" t="inlineStr">
        <is>
          <t>Bulong Din 933 8.8 ZP M20x50</t>
        </is>
      </c>
      <c r="J3748" s="17" t="inlineStr">
        <is>
          <t>Cái</t>
        </is>
      </c>
      <c r="K3748" s="19" t="n">
        <v>5760</v>
      </c>
      <c r="L3748" s="21" t="n"/>
      <c r="M3748" s="22" t="n"/>
      <c r="N3748" s="22" t="n">
        <v>4384</v>
      </c>
      <c r="O3748" s="22" t="n">
        <v>25251840</v>
      </c>
      <c r="P3748" s="22" t="n">
        <v>4384</v>
      </c>
      <c r="Q3748" s="22" t="n">
        <v>25251840</v>
      </c>
      <c r="R3748" s="42">
        <f>+L3748+N3748-P3748</f>
        <v/>
      </c>
      <c r="S3748" s="42">
        <f>+M3748+O3748-Q3748</f>
        <v/>
      </c>
    </row>
    <row r="3749" ht="30" customHeight="1">
      <c r="A3749" s="16" t="n">
        <v>45967</v>
      </c>
      <c r="B3749" s="17" t="inlineStr">
        <is>
          <t>MH2511-11</t>
        </is>
      </c>
      <c r="C3749" s="16" t="n">
        <v>45967</v>
      </c>
      <c r="D3749" s="17" t="inlineStr">
        <is>
          <t>00004404</t>
        </is>
      </c>
      <c r="E3749" s="16" t="n">
        <v>45967</v>
      </c>
      <c r="F3749" s="66" t="inlineStr">
        <is>
          <t>XK2511-08</t>
        </is>
      </c>
      <c r="G3749" s="16" t="n">
        <v>45967</v>
      </c>
      <c r="H3749" s="17" t="inlineStr">
        <is>
          <t>CÔNG TY CỔ PHẦN CÔNG NGHIỆP VÀ THƯƠNG MẠI CƯỜNG THỊNH</t>
        </is>
      </c>
      <c r="I3749" s="17" t="inlineStr">
        <is>
          <t>Đai ốc Din 934 8 ZP M20</t>
        </is>
      </c>
      <c r="J3749" s="17" t="inlineStr">
        <is>
          <t>Cái</t>
        </is>
      </c>
      <c r="K3749" s="19" t="n">
        <v>2030</v>
      </c>
      <c r="L3749" s="21" t="n"/>
      <c r="M3749" s="22" t="n"/>
      <c r="N3749" s="22" t="n">
        <v>4384</v>
      </c>
      <c r="O3749" s="22" t="n">
        <v>8899520</v>
      </c>
      <c r="P3749" s="22" t="n">
        <v>4384</v>
      </c>
      <c r="Q3749" s="22" t="n">
        <v>8899520</v>
      </c>
      <c r="R3749" s="42">
        <f>+L3749+N3749-P3749</f>
        <v/>
      </c>
      <c r="S3749" s="42">
        <f>+M3749+O3749-Q3749</f>
        <v/>
      </c>
    </row>
    <row r="3750" ht="30" customHeight="1">
      <c r="A3750" s="16" t="n">
        <v>45967</v>
      </c>
      <c r="B3750" s="17" t="inlineStr">
        <is>
          <t>MH2511-11</t>
        </is>
      </c>
      <c r="C3750" s="16" t="n">
        <v>45967</v>
      </c>
      <c r="D3750" s="17" t="inlineStr">
        <is>
          <t>00004404</t>
        </is>
      </c>
      <c r="E3750" s="16" t="n">
        <v>45967</v>
      </c>
      <c r="F3750" s="66" t="inlineStr">
        <is>
          <t>XK2511-08</t>
        </is>
      </c>
      <c r="G3750" s="16" t="n">
        <v>45967</v>
      </c>
      <c r="H3750" s="17" t="inlineStr">
        <is>
          <t>CÔNG TY CỔ PHẦN CÔNG NGHIỆP VÀ THƯƠNG MẠI CƯỜNG THỊNH</t>
        </is>
      </c>
      <c r="I3750" s="17" t="inlineStr">
        <is>
          <t>Long đền thường ZP M20B35D2</t>
        </is>
      </c>
      <c r="J3750" s="17" t="inlineStr">
        <is>
          <t>Cái</t>
        </is>
      </c>
      <c r="K3750" s="19" t="n">
        <v>350</v>
      </c>
      <c r="L3750" s="21" t="n"/>
      <c r="M3750" s="22" t="n"/>
      <c r="N3750" s="22" t="n">
        <v>4384</v>
      </c>
      <c r="O3750" s="22" t="n">
        <v>1534400</v>
      </c>
      <c r="P3750" s="22" t="n">
        <v>4384</v>
      </c>
      <c r="Q3750" s="22" t="n">
        <v>1534400</v>
      </c>
      <c r="R3750" s="42">
        <f>+L3750+N3750-P3750</f>
        <v/>
      </c>
      <c r="S3750" s="42">
        <f>+M3750+O3750-Q3750</f>
        <v/>
      </c>
    </row>
    <row r="3751" ht="30" customHeight="1">
      <c r="A3751" s="16" t="n">
        <v>45967</v>
      </c>
      <c r="B3751" s="17" t="inlineStr">
        <is>
          <t>MH2511-11</t>
        </is>
      </c>
      <c r="C3751" s="16" t="n">
        <v>45967</v>
      </c>
      <c r="D3751" s="17" t="inlineStr">
        <is>
          <t>00004404</t>
        </is>
      </c>
      <c r="E3751" s="16" t="n">
        <v>45967</v>
      </c>
      <c r="F3751" s="66" t="inlineStr">
        <is>
          <t>XK2511-08</t>
        </is>
      </c>
      <c r="G3751" s="16" t="n">
        <v>45967</v>
      </c>
      <c r="H3751" s="17" t="inlineStr">
        <is>
          <t>CÔNG TY CỔ PHẦN CÔNG NGHIỆP VÀ THƯƠNG MẠI CƯỜNG THỊNH</t>
        </is>
      </c>
      <c r="I3751" s="17" t="inlineStr">
        <is>
          <t>Bulong Din 933 8.8 ZP M20x70</t>
        </is>
      </c>
      <c r="J3751" s="17" t="inlineStr">
        <is>
          <t>Cái</t>
        </is>
      </c>
      <c r="K3751" s="19" t="n">
        <v>7070</v>
      </c>
      <c r="L3751" s="21" t="n"/>
      <c r="M3751" s="22" t="n"/>
      <c r="N3751" s="22" t="n">
        <v>5488</v>
      </c>
      <c r="O3751" s="22" t="n">
        <v>38800160</v>
      </c>
      <c r="P3751" s="22" t="n">
        <v>5488</v>
      </c>
      <c r="Q3751" s="22" t="n">
        <v>38800160</v>
      </c>
      <c r="R3751" s="42">
        <f>+L3751+N3751-P3751</f>
        <v/>
      </c>
      <c r="S3751" s="42">
        <f>+M3751+O3751-Q3751</f>
        <v/>
      </c>
    </row>
    <row r="3752" ht="30" customHeight="1">
      <c r="A3752" s="16" t="n">
        <v>45967</v>
      </c>
      <c r="B3752" s="17" t="inlineStr">
        <is>
          <t>MH2511-11</t>
        </is>
      </c>
      <c r="C3752" s="16" t="n">
        <v>45967</v>
      </c>
      <c r="D3752" s="17" t="inlineStr">
        <is>
          <t>00004404</t>
        </is>
      </c>
      <c r="E3752" s="16" t="n">
        <v>45967</v>
      </c>
      <c r="F3752" s="66" t="inlineStr">
        <is>
          <t>XK2511-08</t>
        </is>
      </c>
      <c r="G3752" s="16" t="n">
        <v>45967</v>
      </c>
      <c r="H3752" s="17" t="inlineStr">
        <is>
          <t>CÔNG TY CỔ PHẦN CÔNG NGHIỆP VÀ THƯƠNG MẠI CƯỜNG THỊNH</t>
        </is>
      </c>
      <c r="I3752" s="17" t="inlineStr">
        <is>
          <t>Đai ốc Din 934 8 ZP M20</t>
        </is>
      </c>
      <c r="J3752" s="17" t="inlineStr">
        <is>
          <t>Cái</t>
        </is>
      </c>
      <c r="K3752" s="19" t="n">
        <v>2030</v>
      </c>
      <c r="L3752" s="21" t="n"/>
      <c r="M3752" s="22" t="n"/>
      <c r="N3752" s="22" t="n">
        <v>5488</v>
      </c>
      <c r="O3752" s="22" t="n">
        <v>11140640</v>
      </c>
      <c r="P3752" s="22" t="n">
        <v>5488</v>
      </c>
      <c r="Q3752" s="22" t="n">
        <v>11140640</v>
      </c>
      <c r="R3752" s="42">
        <f>+L3752+N3752-P3752</f>
        <v/>
      </c>
      <c r="S3752" s="42">
        <f>+M3752+O3752-Q3752</f>
        <v/>
      </c>
    </row>
    <row r="3753" ht="30" customHeight="1">
      <c r="A3753" s="16" t="n">
        <v>45967</v>
      </c>
      <c r="B3753" s="17" t="inlineStr">
        <is>
          <t>MH2511-11</t>
        </is>
      </c>
      <c r="C3753" s="16" t="n">
        <v>45967</v>
      </c>
      <c r="D3753" s="17" t="inlineStr">
        <is>
          <t>00004404</t>
        </is>
      </c>
      <c r="E3753" s="16" t="n">
        <v>45967</v>
      </c>
      <c r="F3753" s="66" t="inlineStr">
        <is>
          <t>XK2511-08</t>
        </is>
      </c>
      <c r="G3753" s="16" t="n">
        <v>45967</v>
      </c>
      <c r="H3753" s="17" t="inlineStr">
        <is>
          <t>CÔNG TY CỔ PHẦN CÔNG NGHIỆP VÀ THƯƠNG MẠI CƯỜNG THỊNH</t>
        </is>
      </c>
      <c r="I3753" s="17" t="inlineStr">
        <is>
          <t>Long đền thường ZP M20B35D2</t>
        </is>
      </c>
      <c r="J3753" s="17" t="inlineStr">
        <is>
          <t>Cái</t>
        </is>
      </c>
      <c r="K3753" s="19" t="n">
        <v>350</v>
      </c>
      <c r="L3753" s="21" t="n"/>
      <c r="M3753" s="22" t="n"/>
      <c r="N3753" s="22" t="n">
        <v>5488</v>
      </c>
      <c r="O3753" s="22" t="n">
        <v>1920800</v>
      </c>
      <c r="P3753" s="22" t="n">
        <v>5488</v>
      </c>
      <c r="Q3753" s="22" t="n">
        <v>1920800</v>
      </c>
      <c r="R3753" s="42">
        <f>+L3753+N3753-P3753</f>
        <v/>
      </c>
      <c r="S3753" s="42">
        <f>+M3753+O3753-Q3753</f>
        <v/>
      </c>
    </row>
    <row r="3754" ht="30" customHeight="1">
      <c r="A3754" s="16" t="n">
        <v>45967</v>
      </c>
      <c r="B3754" s="17" t="inlineStr">
        <is>
          <t>MH2511-11</t>
        </is>
      </c>
      <c r="C3754" s="16" t="n">
        <v>45967</v>
      </c>
      <c r="D3754" s="17" t="inlineStr">
        <is>
          <t>00004404</t>
        </is>
      </c>
      <c r="E3754" s="16" t="n">
        <v>45967</v>
      </c>
      <c r="F3754" s="66" t="inlineStr">
        <is>
          <t>XK2511-08</t>
        </is>
      </c>
      <c r="G3754" s="16" t="n">
        <v>45967</v>
      </c>
      <c r="H3754" s="17" t="inlineStr">
        <is>
          <t>CÔNG TY CỔ PHẦN CÔNG NGHIỆP VÀ THƯƠNG MẠI CƯỜNG THỊNH</t>
        </is>
      </c>
      <c r="I3754" s="17" t="inlineStr">
        <is>
          <t>Bulong Din 933 8.8 ZP M24x60</t>
        </is>
      </c>
      <c r="J3754" s="17" t="inlineStr">
        <is>
          <t>Cái</t>
        </is>
      </c>
      <c r="K3754" s="19" t="n">
        <v>10030</v>
      </c>
      <c r="L3754" s="21" t="n"/>
      <c r="M3754" s="22" t="n"/>
      <c r="N3754" s="22" t="n">
        <v>173</v>
      </c>
      <c r="O3754" s="22" t="n">
        <v>1735190</v>
      </c>
      <c r="P3754" s="22" t="n">
        <v>173</v>
      </c>
      <c r="Q3754" s="22" t="n">
        <v>1735190</v>
      </c>
      <c r="R3754" s="42">
        <f>+L3754+N3754-P3754</f>
        <v/>
      </c>
      <c r="S3754" s="42">
        <f>+M3754+O3754-Q3754</f>
        <v/>
      </c>
    </row>
    <row r="3755" ht="30" customHeight="1">
      <c r="A3755" s="16" t="n">
        <v>45967</v>
      </c>
      <c r="B3755" s="17" t="inlineStr">
        <is>
          <t>MH2511-11</t>
        </is>
      </c>
      <c r="C3755" s="16" t="n">
        <v>45967</v>
      </c>
      <c r="D3755" s="17" t="inlineStr">
        <is>
          <t>00004404</t>
        </is>
      </c>
      <c r="E3755" s="16" t="n">
        <v>45967</v>
      </c>
      <c r="F3755" s="66" t="inlineStr">
        <is>
          <t>XK2511-08</t>
        </is>
      </c>
      <c r="G3755" s="16" t="n">
        <v>45967</v>
      </c>
      <c r="H3755" s="17" t="inlineStr">
        <is>
          <t>CÔNG TY CỔ PHẦN CÔNG NGHIỆP VÀ THƯƠNG MẠI CƯỜNG THỊNH</t>
        </is>
      </c>
      <c r="I3755" s="17" t="inlineStr">
        <is>
          <t>Đai ốc Din 934 8 ZP M24</t>
        </is>
      </c>
      <c r="J3755" s="17" t="inlineStr">
        <is>
          <t>Cái</t>
        </is>
      </c>
      <c r="K3755" s="19" t="n">
        <v>3500</v>
      </c>
      <c r="L3755" s="21" t="n"/>
      <c r="M3755" s="22" t="n"/>
      <c r="N3755" s="22" t="n">
        <v>173</v>
      </c>
      <c r="O3755" s="22" t="n">
        <v>605500</v>
      </c>
      <c r="P3755" s="22" t="n">
        <v>173</v>
      </c>
      <c r="Q3755" s="22" t="n">
        <v>605500</v>
      </c>
      <c r="R3755" s="42">
        <f>+L3755+N3755-P3755</f>
        <v/>
      </c>
      <c r="S3755" s="42">
        <f>+M3755+O3755-Q3755</f>
        <v/>
      </c>
    </row>
    <row r="3756" ht="30" customHeight="1">
      <c r="A3756" s="16" t="n">
        <v>45967</v>
      </c>
      <c r="B3756" s="17" t="inlineStr">
        <is>
          <t>MH2511-11</t>
        </is>
      </c>
      <c r="C3756" s="16" t="n">
        <v>45967</v>
      </c>
      <c r="D3756" s="17" t="inlineStr">
        <is>
          <t>00004404</t>
        </is>
      </c>
      <c r="E3756" s="16" t="n">
        <v>45967</v>
      </c>
      <c r="F3756" s="66" t="inlineStr">
        <is>
          <t>XK2511-08</t>
        </is>
      </c>
      <c r="G3756" s="16" t="n">
        <v>45967</v>
      </c>
      <c r="H3756" s="17" t="inlineStr">
        <is>
          <t>CÔNG TY CỔ PHẦN CÔNG NGHIỆP VÀ THƯƠNG MẠI CƯỜNG THỊNH</t>
        </is>
      </c>
      <c r="I3756" s="17" t="inlineStr">
        <is>
          <t>Long đền thường ZP M24B40-42D2</t>
        </is>
      </c>
      <c r="J3756" s="17" t="inlineStr">
        <is>
          <t>Cái</t>
        </is>
      </c>
      <c r="K3756" s="19" t="n">
        <v>660</v>
      </c>
      <c r="L3756" s="21" t="n"/>
      <c r="M3756" s="22" t="n"/>
      <c r="N3756" s="22" t="n">
        <v>173</v>
      </c>
      <c r="O3756" s="22" t="n">
        <v>114180</v>
      </c>
      <c r="P3756" s="22" t="n">
        <v>173</v>
      </c>
      <c r="Q3756" s="22" t="n">
        <v>114180</v>
      </c>
      <c r="R3756" s="42">
        <f>+L3756+N3756-P3756</f>
        <v/>
      </c>
      <c r="S3756" s="42">
        <f>+M3756+O3756-Q3756</f>
        <v/>
      </c>
    </row>
    <row r="3757" ht="30" customHeight="1">
      <c r="A3757" s="16" t="n">
        <v>45967</v>
      </c>
      <c r="B3757" s="17" t="inlineStr">
        <is>
          <t>MH2511-11</t>
        </is>
      </c>
      <c r="C3757" s="16" t="n">
        <v>45967</v>
      </c>
      <c r="D3757" s="17" t="inlineStr">
        <is>
          <t>00004404</t>
        </is>
      </c>
      <c r="E3757" s="16" t="n">
        <v>45967</v>
      </c>
      <c r="F3757" s="66" t="inlineStr">
        <is>
          <t>XK2511-08</t>
        </is>
      </c>
      <c r="G3757" s="16" t="n">
        <v>45967</v>
      </c>
      <c r="H3757" s="17" t="inlineStr">
        <is>
          <t>CÔNG TY CỔ PHẦN CÔNG NGHIỆP VÀ THƯƠNG MẠI CƯỜNG THỊNH</t>
        </is>
      </c>
      <c r="I3757" s="17" t="inlineStr">
        <is>
          <t>Bulong Din 933 8.8 ZP M24x80</t>
        </is>
      </c>
      <c r="J3757" s="17" t="inlineStr">
        <is>
          <t>Cái</t>
        </is>
      </c>
      <c r="K3757" s="19" t="n">
        <v>12010</v>
      </c>
      <c r="L3757" s="21" t="n"/>
      <c r="M3757" s="22" t="n"/>
      <c r="N3757" s="22" t="n">
        <v>1928</v>
      </c>
      <c r="O3757" s="22" t="n">
        <v>23155280</v>
      </c>
      <c r="P3757" s="22" t="n">
        <v>1928</v>
      </c>
      <c r="Q3757" s="22" t="n">
        <v>23155280</v>
      </c>
      <c r="R3757" s="42">
        <f>+L3757+N3757-P3757</f>
        <v/>
      </c>
      <c r="S3757" s="42">
        <f>+M3757+O3757-Q3757</f>
        <v/>
      </c>
    </row>
    <row r="3758" ht="30" customHeight="1">
      <c r="A3758" s="16" t="n">
        <v>45967</v>
      </c>
      <c r="B3758" s="17" t="inlineStr">
        <is>
          <t>MH2511-11</t>
        </is>
      </c>
      <c r="C3758" s="16" t="n">
        <v>45967</v>
      </c>
      <c r="D3758" s="17" t="inlineStr">
        <is>
          <t>00004404</t>
        </is>
      </c>
      <c r="E3758" s="16" t="n">
        <v>45967</v>
      </c>
      <c r="F3758" s="66" t="inlineStr">
        <is>
          <t>XK2511-08</t>
        </is>
      </c>
      <c r="G3758" s="16" t="n">
        <v>45967</v>
      </c>
      <c r="H3758" s="17" t="inlineStr">
        <is>
          <t>CÔNG TY CỔ PHẦN CÔNG NGHIỆP VÀ THƯƠNG MẠI CƯỜNG THỊNH</t>
        </is>
      </c>
      <c r="I3758" s="17" t="inlineStr">
        <is>
          <t>Đai ốc Din 934 8 ZP M24</t>
        </is>
      </c>
      <c r="J3758" s="17" t="inlineStr">
        <is>
          <t>Cái</t>
        </is>
      </c>
      <c r="K3758" s="19" t="n">
        <v>3500</v>
      </c>
      <c r="L3758" s="21" t="n"/>
      <c r="M3758" s="22" t="n"/>
      <c r="N3758" s="22" t="n">
        <v>1928</v>
      </c>
      <c r="O3758" s="22" t="n">
        <v>6748000</v>
      </c>
      <c r="P3758" s="22" t="n">
        <v>1928</v>
      </c>
      <c r="Q3758" s="22" t="n">
        <v>6748000</v>
      </c>
      <c r="R3758" s="42">
        <f>+L3758+N3758-P3758</f>
        <v/>
      </c>
      <c r="S3758" s="42">
        <f>+M3758+O3758-Q3758</f>
        <v/>
      </c>
    </row>
    <row r="3759" ht="30" customHeight="1">
      <c r="A3759" s="16" t="n">
        <v>45967</v>
      </c>
      <c r="B3759" s="17" t="inlineStr">
        <is>
          <t>MH2511-11</t>
        </is>
      </c>
      <c r="C3759" s="16" t="n">
        <v>45967</v>
      </c>
      <c r="D3759" s="17" t="inlineStr">
        <is>
          <t>00004404</t>
        </is>
      </c>
      <c r="E3759" s="16" t="n">
        <v>45967</v>
      </c>
      <c r="F3759" s="66" t="inlineStr">
        <is>
          <t>XK2511-08</t>
        </is>
      </c>
      <c r="G3759" s="16" t="n">
        <v>45967</v>
      </c>
      <c r="H3759" s="17" t="inlineStr">
        <is>
          <t>CÔNG TY CỔ PHẦN CÔNG NGHIỆP VÀ THƯƠNG MẠI CƯỜNG THỊNH</t>
        </is>
      </c>
      <c r="I3759" s="17" t="inlineStr">
        <is>
          <t>Long đền thường ZP M24B40-42D2</t>
        </is>
      </c>
      <c r="J3759" s="17" t="inlineStr">
        <is>
          <t>Cái</t>
        </is>
      </c>
      <c r="K3759" s="19" t="n">
        <v>660</v>
      </c>
      <c r="L3759" s="21" t="n"/>
      <c r="M3759" s="22" t="n"/>
      <c r="N3759" s="22" t="n">
        <v>1928</v>
      </c>
      <c r="O3759" s="22" t="n">
        <v>1272480</v>
      </c>
      <c r="P3759" s="22" t="n">
        <v>1928</v>
      </c>
      <c r="Q3759" s="22" t="n">
        <v>1272480</v>
      </c>
      <c r="R3759" s="42">
        <f>+L3759+N3759-P3759</f>
        <v/>
      </c>
      <c r="S3759" s="42">
        <f>+M3759+O3759-Q3759</f>
        <v/>
      </c>
    </row>
    <row r="3760" ht="30" customHeight="1">
      <c r="A3760" s="16" t="n">
        <v>45967</v>
      </c>
      <c r="B3760" s="17" t="inlineStr">
        <is>
          <t>MH2511-11</t>
        </is>
      </c>
      <c r="C3760" s="16" t="n">
        <v>45967</v>
      </c>
      <c r="D3760" s="17" t="inlineStr">
        <is>
          <t>00004404</t>
        </is>
      </c>
      <c r="E3760" s="16" t="n">
        <v>45967</v>
      </c>
      <c r="F3760" s="66" t="inlineStr">
        <is>
          <t>XK2511-08</t>
        </is>
      </c>
      <c r="G3760" s="16" t="n">
        <v>45967</v>
      </c>
      <c r="H3760" s="17" t="inlineStr">
        <is>
          <t>CÔNG TY CỔ PHẦN CÔNG NGHIỆP VÀ THƯƠNG MẠI CƯỜNG THỊNH</t>
        </is>
      </c>
      <c r="I3760" s="17" t="inlineStr">
        <is>
          <t>Bulong Din 933 8.8 ZP M30x90</t>
        </is>
      </c>
      <c r="J3760" s="17" t="inlineStr">
        <is>
          <t>Cái</t>
        </is>
      </c>
      <c r="K3760" s="19" t="n">
        <v>23590</v>
      </c>
      <c r="L3760" s="21" t="n"/>
      <c r="M3760" s="22" t="n"/>
      <c r="N3760" s="22" t="n">
        <v>222</v>
      </c>
      <c r="O3760" s="22" t="n">
        <v>5236980</v>
      </c>
      <c r="P3760" s="22" t="n">
        <v>222</v>
      </c>
      <c r="Q3760" s="22" t="n">
        <v>5236980</v>
      </c>
      <c r="R3760" s="42">
        <f>+L3760+N3760-P3760</f>
        <v/>
      </c>
      <c r="S3760" s="42">
        <f>+M3760+O3760-Q3760</f>
        <v/>
      </c>
    </row>
    <row r="3761" ht="30" customHeight="1">
      <c r="A3761" s="16" t="n">
        <v>45967</v>
      </c>
      <c r="B3761" s="17" t="inlineStr">
        <is>
          <t>MH2511-11</t>
        </is>
      </c>
      <c r="C3761" s="16" t="n">
        <v>45967</v>
      </c>
      <c r="D3761" s="17" t="inlineStr">
        <is>
          <t>00004404</t>
        </is>
      </c>
      <c r="E3761" s="16" t="n">
        <v>45967</v>
      </c>
      <c r="F3761" s="66" t="inlineStr">
        <is>
          <t>XK2511-08</t>
        </is>
      </c>
      <c r="G3761" s="16" t="n">
        <v>45967</v>
      </c>
      <c r="H3761" s="17" t="inlineStr">
        <is>
          <t>CÔNG TY CỔ PHẦN CÔNG NGHIỆP VÀ THƯƠNG MẠI CƯỜNG THỊNH</t>
        </is>
      </c>
      <c r="I3761" s="17" t="inlineStr">
        <is>
          <t>Đai ốc Din 934 8 ZP M30</t>
        </is>
      </c>
      <c r="J3761" s="17" t="inlineStr">
        <is>
          <t>Cái</t>
        </is>
      </c>
      <c r="K3761" s="19" t="n">
        <v>7750</v>
      </c>
      <c r="L3761" s="21" t="n"/>
      <c r="M3761" s="22" t="n"/>
      <c r="N3761" s="22" t="n">
        <v>222</v>
      </c>
      <c r="O3761" s="22" t="n">
        <v>1720500</v>
      </c>
      <c r="P3761" s="22" t="n">
        <v>222</v>
      </c>
      <c r="Q3761" s="22" t="n">
        <v>1720500</v>
      </c>
      <c r="R3761" s="42">
        <f>+L3761+N3761-P3761</f>
        <v/>
      </c>
      <c r="S3761" s="42">
        <f>+M3761+O3761-Q3761</f>
        <v/>
      </c>
    </row>
    <row r="3762" ht="30" customHeight="1">
      <c r="A3762" s="16" t="n">
        <v>45967</v>
      </c>
      <c r="B3762" s="17" t="inlineStr">
        <is>
          <t>MH2511-11</t>
        </is>
      </c>
      <c r="C3762" s="16" t="n">
        <v>45967</v>
      </c>
      <c r="D3762" s="17" t="inlineStr">
        <is>
          <t>00004404</t>
        </is>
      </c>
      <c r="E3762" s="16" t="n">
        <v>45967</v>
      </c>
      <c r="F3762" s="66" t="inlineStr">
        <is>
          <t>XK2511-08</t>
        </is>
      </c>
      <c r="G3762" s="16" t="n">
        <v>45967</v>
      </c>
      <c r="H3762" s="17" t="inlineStr">
        <is>
          <t>CÔNG TY CỔ PHẦN CÔNG NGHIỆP VÀ THƯƠNG MẠI CƯỜNG THỊNH</t>
        </is>
      </c>
      <c r="I3762" s="17" t="inlineStr">
        <is>
          <t>Long đền thường ZP M30B50D2</t>
        </is>
      </c>
      <c r="J3762" s="17" t="inlineStr">
        <is>
          <t>Cái</t>
        </is>
      </c>
      <c r="K3762" s="19" t="n">
        <v>890</v>
      </c>
      <c r="L3762" s="21" t="n"/>
      <c r="M3762" s="22" t="n"/>
      <c r="N3762" s="22" t="n">
        <v>222</v>
      </c>
      <c r="O3762" s="22" t="n">
        <v>197580</v>
      </c>
      <c r="P3762" s="22" t="n">
        <v>222</v>
      </c>
      <c r="Q3762" s="22" t="n">
        <v>197580</v>
      </c>
      <c r="R3762" s="42">
        <f>+L3762+N3762-P3762</f>
        <v/>
      </c>
      <c r="S3762" s="42">
        <f>+M3762+O3762-Q3762</f>
        <v/>
      </c>
    </row>
    <row r="3763" ht="15" customHeight="1">
      <c r="A3763" s="16" t="n">
        <v>45967</v>
      </c>
      <c r="B3763" s="17" t="inlineStr">
        <is>
          <t>MH2511-13A</t>
        </is>
      </c>
      <c r="C3763" s="16" t="n">
        <v>45967</v>
      </c>
      <c r="D3763" s="17" t="inlineStr">
        <is>
          <t>00010482</t>
        </is>
      </c>
      <c r="E3763" s="16" t="n">
        <v>45967</v>
      </c>
      <c r="F3763" s="66" t="inlineStr">
        <is>
          <t>XK2511-09</t>
        </is>
      </c>
      <c r="G3763" s="16" t="n">
        <v>45967</v>
      </c>
      <c r="H3763" s="17" t="inlineStr">
        <is>
          <t>CÔNG TY TNHH SƠN JOTUN VIỆT NAM</t>
        </is>
      </c>
      <c r="I3763" s="17" t="inlineStr">
        <is>
          <t>SƠN JOTAMASTIC 70 RED 18L</t>
        </is>
      </c>
      <c r="J3763" s="17" t="inlineStr">
        <is>
          <t>Lít</t>
        </is>
      </c>
      <c r="K3763" s="19" t="n">
        <v>90000</v>
      </c>
      <c r="L3763" s="21" t="n"/>
      <c r="M3763" s="22" t="n"/>
      <c r="N3763" s="22" t="n">
        <v>270</v>
      </c>
      <c r="O3763" s="22" t="n">
        <v>24300000</v>
      </c>
      <c r="P3763" s="22" t="n">
        <v>270</v>
      </c>
      <c r="Q3763" s="22" t="n">
        <v>24300000</v>
      </c>
      <c r="R3763" s="42">
        <f>+L3763+N3763-P3763</f>
        <v/>
      </c>
      <c r="S3763" s="42">
        <f>+M3763+O3763-Q3763</f>
        <v/>
      </c>
    </row>
    <row r="3764" ht="15" customHeight="1">
      <c r="A3764" s="16" t="n">
        <v>45967</v>
      </c>
      <c r="B3764" s="17" t="inlineStr">
        <is>
          <t>MH2511-13A</t>
        </is>
      </c>
      <c r="C3764" s="16" t="n">
        <v>45967</v>
      </c>
      <c r="D3764" s="17" t="inlineStr">
        <is>
          <t>00010482</t>
        </is>
      </c>
      <c r="E3764" s="16" t="n">
        <v>45967</v>
      </c>
      <c r="F3764" s="66" t="inlineStr">
        <is>
          <t>XK2511-09</t>
        </is>
      </c>
      <c r="G3764" s="16" t="n">
        <v>45967</v>
      </c>
      <c r="H3764" s="17" t="inlineStr">
        <is>
          <t>CÔNG TY TNHH SƠN JOTUN VIỆT NAM</t>
        </is>
      </c>
      <c r="I3764" s="17" t="inlineStr">
        <is>
          <t>DUNG MÔI JOTUN THINNER NO. 17 20L</t>
        </is>
      </c>
      <c r="J3764" s="17" t="inlineStr">
        <is>
          <t>Lít</t>
        </is>
      </c>
      <c r="K3764" s="19" t="n">
        <v>60000</v>
      </c>
      <c r="L3764" s="21" t="n"/>
      <c r="M3764" s="22" t="n"/>
      <c r="N3764" s="22" t="n">
        <v>40</v>
      </c>
      <c r="O3764" s="22" t="n">
        <v>2400000</v>
      </c>
      <c r="P3764" s="22" t="n">
        <v>40</v>
      </c>
      <c r="Q3764" s="22" t="n">
        <v>2400000</v>
      </c>
      <c r="R3764" s="42">
        <f>+L3764+N3764-P3764</f>
        <v/>
      </c>
      <c r="S3764" s="42">
        <f>+M3764+O3764-Q3764</f>
        <v/>
      </c>
    </row>
    <row r="3765" ht="30" customHeight="1">
      <c r="A3765" s="16" t="n">
        <v>45968</v>
      </c>
      <c r="B3765" s="17" t="inlineStr">
        <is>
          <t>MH2511-14</t>
        </is>
      </c>
      <c r="C3765" s="16" t="n">
        <v>45968</v>
      </c>
      <c r="D3765" s="17" t="inlineStr">
        <is>
          <t>00004413</t>
        </is>
      </c>
      <c r="E3765" s="16" t="n">
        <v>45968</v>
      </c>
      <c r="F3765" s="66" t="inlineStr">
        <is>
          <t>XK2511-10</t>
        </is>
      </c>
      <c r="G3765" s="16" t="n">
        <v>45968</v>
      </c>
      <c r="H3765" s="17" t="inlineStr">
        <is>
          <t>CÔNG TY CỔ PHẦN CÔNG NGHIỆP VÀ THƯƠNG MẠI CƯỜNG THỊNH</t>
        </is>
      </c>
      <c r="I3765" s="17" t="inlineStr">
        <is>
          <t>Vít B2 Dacromet 10-24x22 WAF (bake)</t>
        </is>
      </c>
      <c r="J3765" s="17" t="inlineStr">
        <is>
          <t>Cái</t>
        </is>
      </c>
      <c r="K3765" s="19" t="n">
        <v>380</v>
      </c>
      <c r="L3765" s="21" t="n"/>
      <c r="M3765" s="22" t="n"/>
      <c r="N3765" s="22" t="n">
        <v>1400</v>
      </c>
      <c r="O3765" s="22" t="n">
        <v>532000</v>
      </c>
      <c r="P3765" s="22" t="n">
        <v>1400</v>
      </c>
      <c r="Q3765" s="22" t="n">
        <v>532000</v>
      </c>
      <c r="R3765" s="42">
        <f>+L3765+N3765-P3765</f>
        <v/>
      </c>
      <c r="S3765" s="42">
        <f>+M3765+O3765-Q3765</f>
        <v/>
      </c>
    </row>
    <row r="3766" ht="30" customHeight="1">
      <c r="A3766" s="16" t="n">
        <v>45968</v>
      </c>
      <c r="B3766" s="17" t="inlineStr">
        <is>
          <t>MH2511-14</t>
        </is>
      </c>
      <c r="C3766" s="16" t="n">
        <v>45968</v>
      </c>
      <c r="D3766" s="17" t="inlineStr">
        <is>
          <t>00004413</t>
        </is>
      </c>
      <c r="E3766" s="16" t="n">
        <v>45968</v>
      </c>
      <c r="F3766" s="66" t="inlineStr">
        <is>
          <t>XK2511-10</t>
        </is>
      </c>
      <c r="G3766" s="16" t="n">
        <v>45968</v>
      </c>
      <c r="H3766" s="17" t="inlineStr">
        <is>
          <t>CÔNG TY CỔ PHẦN CÔNG NGHIỆP VÀ THƯƠNG MẠI CƯỜNG THỊNH</t>
        </is>
      </c>
      <c r="I3766" s="17" t="inlineStr">
        <is>
          <t>Vít B2 Dacromet 12-24x38 HWFS (lục giác)</t>
        </is>
      </c>
      <c r="J3766" s="17" t="inlineStr">
        <is>
          <t>Cái</t>
        </is>
      </c>
      <c r="K3766" s="19" t="n">
        <v>1920</v>
      </c>
      <c r="L3766" s="21" t="n"/>
      <c r="M3766" s="22" t="n"/>
      <c r="N3766" s="22" t="n">
        <v>4600</v>
      </c>
      <c r="O3766" s="22" t="n">
        <v>8832000</v>
      </c>
      <c r="P3766" s="22" t="n">
        <v>4600</v>
      </c>
      <c r="Q3766" s="22" t="n">
        <v>8832000</v>
      </c>
      <c r="R3766" s="42">
        <f>+L3766+N3766-P3766</f>
        <v/>
      </c>
      <c r="S3766" s="42">
        <f>+M3766+O3766-Q3766</f>
        <v/>
      </c>
    </row>
    <row r="3767" ht="30" customHeight="1">
      <c r="A3767" s="16" t="n">
        <v>45968</v>
      </c>
      <c r="B3767" s="17" t="inlineStr">
        <is>
          <t>MH2511-14</t>
        </is>
      </c>
      <c r="C3767" s="16" t="n">
        <v>45968</v>
      </c>
      <c r="D3767" s="17" t="inlineStr">
        <is>
          <t>00004413</t>
        </is>
      </c>
      <c r="E3767" s="16" t="n">
        <v>45968</v>
      </c>
      <c r="F3767" s="66" t="inlineStr">
        <is>
          <t>XK2511-10</t>
        </is>
      </c>
      <c r="G3767" s="16" t="n">
        <v>45968</v>
      </c>
      <c r="H3767" s="17" t="inlineStr">
        <is>
          <t>CÔNG TY CỔ PHẦN CÔNG NGHIỆP VÀ THƯƠNG MẠI CƯỜNG THỊNH</t>
        </is>
      </c>
      <c r="I3767" s="17" t="inlineStr">
        <is>
          <t>Vít B2 Dacromet 15-15x20</t>
        </is>
      </c>
      <c r="J3767" s="17" t="inlineStr">
        <is>
          <t>Cái</t>
        </is>
      </c>
      <c r="K3767" s="19" t="n">
        <v>860</v>
      </c>
      <c r="L3767" s="21" t="n"/>
      <c r="M3767" s="22" t="n"/>
      <c r="N3767" s="22" t="n">
        <v>1000</v>
      </c>
      <c r="O3767" s="22" t="n">
        <v>860000</v>
      </c>
      <c r="P3767" s="22" t="n">
        <v>1000</v>
      </c>
      <c r="Q3767" s="22" t="n">
        <v>860000</v>
      </c>
      <c r="R3767" s="42">
        <f>+L3767+N3767-P3767</f>
        <v/>
      </c>
      <c r="S3767" s="42">
        <f>+M3767+O3767-Q3767</f>
        <v/>
      </c>
    </row>
    <row r="3768" ht="30" customHeight="1">
      <c r="A3768" s="16" t="n">
        <v>45968</v>
      </c>
      <c r="B3768" s="17" t="inlineStr">
        <is>
          <t>MH2511-14</t>
        </is>
      </c>
      <c r="C3768" s="16" t="n">
        <v>45968</v>
      </c>
      <c r="D3768" s="17" t="inlineStr">
        <is>
          <t>00004413</t>
        </is>
      </c>
      <c r="E3768" s="16" t="n">
        <v>45968</v>
      </c>
      <c r="F3768" s="66" t="inlineStr">
        <is>
          <t>XK2511-10</t>
        </is>
      </c>
      <c r="G3768" s="16" t="n">
        <v>45968</v>
      </c>
      <c r="H3768" s="17" t="inlineStr">
        <is>
          <t>CÔNG TY CỔ PHẦN CÔNG NGHIỆP VÀ THƯƠNG MẠI CƯỜNG THỊNH</t>
        </is>
      </c>
      <c r="I3768" s="17" t="inlineStr">
        <is>
          <t>Đinh hàn 4.8 M16x100</t>
        </is>
      </c>
      <c r="J3768" s="17" t="inlineStr">
        <is>
          <t>Bộ</t>
        </is>
      </c>
      <c r="K3768" s="19" t="n">
        <v>5800</v>
      </c>
      <c r="L3768" s="21" t="n"/>
      <c r="M3768" s="22" t="n"/>
      <c r="N3768" s="22" t="n">
        <v>4429</v>
      </c>
      <c r="O3768" s="22" t="n">
        <v>25688200</v>
      </c>
      <c r="P3768" s="22" t="n">
        <v>4429</v>
      </c>
      <c r="Q3768" s="22" t="n">
        <v>25688200</v>
      </c>
      <c r="R3768" s="42">
        <f>+L3768+N3768-P3768</f>
        <v/>
      </c>
      <c r="S3768" s="42">
        <f>+M3768+O3768-Q3768</f>
        <v/>
      </c>
    </row>
    <row r="3769" ht="15" customHeight="1">
      <c r="A3769" s="16" t="n">
        <v>45971</v>
      </c>
      <c r="B3769" s="17" t="inlineStr">
        <is>
          <t>MH2511-15</t>
        </is>
      </c>
      <c r="C3769" s="16" t="n">
        <v>45971</v>
      </c>
      <c r="D3769" s="17" t="inlineStr">
        <is>
          <t>00001792</t>
        </is>
      </c>
      <c r="E3769" s="16" t="n">
        <v>45971</v>
      </c>
      <c r="F3769" s="66" t="inlineStr">
        <is>
          <t>XK2511-11</t>
        </is>
      </c>
      <c r="G3769" s="16" t="n">
        <v>45971</v>
      </c>
      <c r="H3769" s="17" t="inlineStr">
        <is>
          <t>CÔNG TY TNHH TÂN MỸ HẠNH</t>
        </is>
      </c>
      <c r="I3769" s="17" t="inlineStr">
        <is>
          <t>Thép dày mạ kẽm</t>
        </is>
      </c>
      <c r="J3769" s="17" t="inlineStr">
        <is>
          <t>kg</t>
        </is>
      </c>
      <c r="K3769" s="19" t="n">
        <v>22696</v>
      </c>
      <c r="L3769" s="21" t="n"/>
      <c r="M3769" s="22" t="n"/>
      <c r="N3769" s="22" t="n">
        <v>1307.9437</v>
      </c>
      <c r="O3769" s="22" t="n">
        <v>29685090</v>
      </c>
      <c r="P3769" s="22" t="n">
        <v>1307.9437</v>
      </c>
      <c r="Q3769" s="22" t="n">
        <v>29685090</v>
      </c>
      <c r="R3769" s="42">
        <f>+L3769+N3769-P3769</f>
        <v/>
      </c>
      <c r="S3769" s="42">
        <f>+M3769+O3769-Q3769</f>
        <v/>
      </c>
    </row>
    <row r="3770" ht="15" customHeight="1">
      <c r="A3770" s="16" t="n">
        <v>45971</v>
      </c>
      <c r="B3770" s="17" t="inlineStr">
        <is>
          <t>MH2511-15</t>
        </is>
      </c>
      <c r="C3770" s="16" t="n">
        <v>45971</v>
      </c>
      <c r="D3770" s="17" t="inlineStr">
        <is>
          <t>00001792</t>
        </is>
      </c>
      <c r="E3770" s="16" t="n">
        <v>45971</v>
      </c>
      <c r="F3770" s="66" t="inlineStr">
        <is>
          <t>XK2511-11</t>
        </is>
      </c>
      <c r="G3770" s="16" t="n">
        <v>45971</v>
      </c>
      <c r="H3770" s="17" t="inlineStr">
        <is>
          <t>CÔNG TY TNHH TÂN MỸ HẠNH</t>
        </is>
      </c>
      <c r="I3770" s="17" t="inlineStr">
        <is>
          <t>Tôn mạ kẽm</t>
        </is>
      </c>
      <c r="J3770" s="17" t="inlineStr">
        <is>
          <t>kg</t>
        </is>
      </c>
      <c r="K3770" s="19" t="n">
        <v>17445</v>
      </c>
      <c r="L3770" s="21" t="n"/>
      <c r="M3770" s="22" t="n"/>
      <c r="N3770" s="22" t="n">
        <v>14551.6616</v>
      </c>
      <c r="O3770" s="22" t="n">
        <v>253853737</v>
      </c>
      <c r="P3770" s="22" t="n">
        <v>14551.6616</v>
      </c>
      <c r="Q3770" s="22" t="n">
        <v>253853737</v>
      </c>
      <c r="R3770" s="42">
        <f>+L3770+N3770-P3770</f>
        <v/>
      </c>
      <c r="S3770" s="42">
        <f>+M3770+O3770-Q3770</f>
        <v/>
      </c>
    </row>
    <row r="3771" ht="30" customHeight="1">
      <c r="A3771" s="16" t="n">
        <v>45972</v>
      </c>
      <c r="B3771" s="17" t="inlineStr">
        <is>
          <t>MH2511-18</t>
        </is>
      </c>
      <c r="C3771" s="16" t="n">
        <v>45972</v>
      </c>
      <c r="D3771" s="17" t="inlineStr">
        <is>
          <t>00002606</t>
        </is>
      </c>
      <c r="E3771" s="16" t="n">
        <v>45972</v>
      </c>
      <c r="F3771" s="66" t="inlineStr">
        <is>
          <t>XK2511-24</t>
        </is>
      </c>
      <c r="G3771" s="16" t="n">
        <v>45991</v>
      </c>
      <c r="H3771" s="17" t="inlineStr">
        <is>
          <t>CÔNG TY TNHH DỊCH VỤ - THƯƠNG MẠI THÉP THIÊN LONG</t>
        </is>
      </c>
      <c r="I3771" s="17" t="inlineStr">
        <is>
          <t>Thép tấm gân 3ly</t>
        </is>
      </c>
      <c r="J3771" s="17" t="inlineStr">
        <is>
          <t>kg</t>
        </is>
      </c>
      <c r="K3771" s="19" t="n">
        <v>12545.45</v>
      </c>
      <c r="L3771" s="21" t="n"/>
      <c r="M3771" s="22" t="n"/>
      <c r="N3771" s="22" t="n">
        <v>31063.5</v>
      </c>
      <c r="O3771" s="22" t="n">
        <v>389705586</v>
      </c>
      <c r="P3771" s="22" t="n">
        <v>31063.5</v>
      </c>
      <c r="Q3771" s="22" t="n">
        <v>389705586</v>
      </c>
      <c r="R3771" s="42">
        <f>+L3771+N3771-P3771</f>
        <v/>
      </c>
      <c r="S3771" s="42">
        <f>+M3771+O3771-Q3771</f>
        <v/>
      </c>
    </row>
    <row r="3772" ht="15" customHeight="1">
      <c r="A3772" s="16" t="n">
        <v>45975</v>
      </c>
      <c r="B3772" s="17" t="inlineStr">
        <is>
          <t>MH2511-20</t>
        </is>
      </c>
      <c r="C3772" s="16" t="n">
        <v>45975</v>
      </c>
      <c r="D3772" s="17" t="inlineStr">
        <is>
          <t>00010736</t>
        </is>
      </c>
      <c r="E3772" s="16" t="n">
        <v>45975</v>
      </c>
      <c r="F3772" s="66" t="inlineStr">
        <is>
          <t>XK2511-12</t>
        </is>
      </c>
      <c r="G3772" s="16" t="n">
        <v>45975</v>
      </c>
      <c r="H3772" s="17" t="inlineStr">
        <is>
          <t>CÔNG TY TNHH SƠN JOTUN VIỆT NAM</t>
        </is>
      </c>
      <c r="I3772" s="17" t="inlineStr">
        <is>
          <t>SƠN JOTAMASTIC 70 GREY 18L</t>
        </is>
      </c>
      <c r="J3772" s="17" t="inlineStr">
        <is>
          <t>Lít</t>
        </is>
      </c>
      <c r="K3772" s="19" t="n">
        <v>90000</v>
      </c>
      <c r="L3772" s="21" t="n"/>
      <c r="M3772" s="22" t="n"/>
      <c r="N3772" s="22" t="n">
        <v>612</v>
      </c>
      <c r="O3772" s="22" t="n">
        <v>55080000</v>
      </c>
      <c r="P3772" s="22" t="n">
        <v>612</v>
      </c>
      <c r="Q3772" s="22" t="n">
        <v>55080000</v>
      </c>
      <c r="R3772" s="42">
        <f>+L3772+N3772-P3772</f>
        <v/>
      </c>
      <c r="S3772" s="42">
        <f>+M3772+O3772-Q3772</f>
        <v/>
      </c>
    </row>
    <row r="3773" ht="15" customHeight="1">
      <c r="A3773" s="16" t="n">
        <v>45975</v>
      </c>
      <c r="B3773" s="17" t="inlineStr">
        <is>
          <t>MH2511-20</t>
        </is>
      </c>
      <c r="C3773" s="16" t="n">
        <v>45975</v>
      </c>
      <c r="D3773" s="17" t="inlineStr">
        <is>
          <t>00010736</t>
        </is>
      </c>
      <c r="E3773" s="16" t="n">
        <v>45975</v>
      </c>
      <c r="F3773" s="66" t="inlineStr">
        <is>
          <t>XK2511-12</t>
        </is>
      </c>
      <c r="G3773" s="16" t="n">
        <v>45975</v>
      </c>
      <c r="H3773" s="17" t="inlineStr">
        <is>
          <t>CÔNG TY TNHH SƠN JOTUN VIỆT NAM</t>
        </is>
      </c>
      <c r="I3773" s="17" t="inlineStr">
        <is>
          <t>SƠN FUTURA CLASSIC RAL 9005 19.06L</t>
        </is>
      </c>
      <c r="J3773" s="17" t="inlineStr">
        <is>
          <t>Lít</t>
        </is>
      </c>
      <c r="K3773" s="19" t="n">
        <v>155000</v>
      </c>
      <c r="L3773" s="21" t="n"/>
      <c r="M3773" s="22" t="n"/>
      <c r="N3773" s="22" t="n">
        <v>95.3</v>
      </c>
      <c r="O3773" s="22" t="n">
        <v>14771500</v>
      </c>
      <c r="P3773" s="22" t="n">
        <v>95.3</v>
      </c>
      <c r="Q3773" s="22" t="n">
        <v>14771500</v>
      </c>
      <c r="R3773" s="42">
        <f>+L3773+N3773-P3773</f>
        <v/>
      </c>
      <c r="S3773" s="42">
        <f>+M3773+O3773-Q3773</f>
        <v/>
      </c>
    </row>
    <row r="3774" ht="15" customHeight="1">
      <c r="A3774" s="16" t="n">
        <v>45975</v>
      </c>
      <c r="B3774" s="17" t="inlineStr">
        <is>
          <t>MH2511-20</t>
        </is>
      </c>
      <c r="C3774" s="16" t="n">
        <v>45975</v>
      </c>
      <c r="D3774" s="17" t="inlineStr">
        <is>
          <t>00010736</t>
        </is>
      </c>
      <c r="E3774" s="16" t="n">
        <v>45975</v>
      </c>
      <c r="F3774" s="66" t="inlineStr">
        <is>
          <t>XK2511-12</t>
        </is>
      </c>
      <c r="G3774" s="16" t="n">
        <v>45975</v>
      </c>
      <c r="H3774" s="17" t="inlineStr">
        <is>
          <t>CÔNG TY TNHH SƠN JOTUN VIỆT NAM</t>
        </is>
      </c>
      <c r="I3774" s="17" t="inlineStr">
        <is>
          <t>SƠN FUTURA CLASSIC RAL 9005 4.77L</t>
        </is>
      </c>
      <c r="J3774" s="17" t="inlineStr">
        <is>
          <t>Lít</t>
        </is>
      </c>
      <c r="K3774" s="19" t="n">
        <v>155000</v>
      </c>
      <c r="L3774" s="21" t="n"/>
      <c r="M3774" s="22" t="n"/>
      <c r="N3774" s="22" t="n">
        <v>4.77</v>
      </c>
      <c r="O3774" s="22" t="n">
        <v>739350</v>
      </c>
      <c r="P3774" s="22" t="n">
        <v>4.77</v>
      </c>
      <c r="Q3774" s="22" t="n">
        <v>739350</v>
      </c>
      <c r="R3774" s="42">
        <f>+L3774+N3774-P3774</f>
        <v/>
      </c>
      <c r="S3774" s="42">
        <f>+M3774+O3774-Q3774</f>
        <v/>
      </c>
    </row>
    <row r="3775" ht="15" customHeight="1">
      <c r="A3775" s="16" t="n">
        <v>45975</v>
      </c>
      <c r="B3775" s="17" t="inlineStr">
        <is>
          <t>MH2511-20</t>
        </is>
      </c>
      <c r="C3775" s="16" t="n">
        <v>45975</v>
      </c>
      <c r="D3775" s="17" t="inlineStr">
        <is>
          <t>00010736</t>
        </is>
      </c>
      <c r="E3775" s="16" t="n">
        <v>45975</v>
      </c>
      <c r="F3775" s="66" t="inlineStr">
        <is>
          <t>XK2511-12</t>
        </is>
      </c>
      <c r="G3775" s="16" t="n">
        <v>45975</v>
      </c>
      <c r="H3775" s="17" t="inlineStr">
        <is>
          <t>CÔNG TY TNHH SƠN JOTUN VIỆT NAM</t>
        </is>
      </c>
      <c r="I3775" s="17" t="inlineStr">
        <is>
          <t>DUNG MÔI JOTUN THINNER NO. 10 20L</t>
        </is>
      </c>
      <c r="J3775" s="17" t="inlineStr">
        <is>
          <t>Lít</t>
        </is>
      </c>
      <c r="K3775" s="19" t="n">
        <v>60000</v>
      </c>
      <c r="L3775" s="21" t="n"/>
      <c r="M3775" s="22" t="n"/>
      <c r="N3775" s="22" t="n">
        <v>20</v>
      </c>
      <c r="O3775" s="22" t="n">
        <v>1200000</v>
      </c>
      <c r="P3775" s="22" t="n">
        <v>20</v>
      </c>
      <c r="Q3775" s="22" t="n">
        <v>1200000</v>
      </c>
      <c r="R3775" s="42">
        <f>+L3775+N3775-P3775</f>
        <v/>
      </c>
      <c r="S3775" s="42">
        <f>+M3775+O3775-Q3775</f>
        <v/>
      </c>
    </row>
    <row r="3776" ht="15" customHeight="1">
      <c r="A3776" s="16" t="n">
        <v>45975</v>
      </c>
      <c r="B3776" s="17" t="inlineStr">
        <is>
          <t>MH2511-20</t>
        </is>
      </c>
      <c r="C3776" s="16" t="n">
        <v>45975</v>
      </c>
      <c r="D3776" s="17" t="inlineStr">
        <is>
          <t>00010736</t>
        </is>
      </c>
      <c r="E3776" s="16" t="n">
        <v>45975</v>
      </c>
      <c r="F3776" s="66" t="inlineStr">
        <is>
          <t>XK2511-12</t>
        </is>
      </c>
      <c r="G3776" s="16" t="n">
        <v>45975</v>
      </c>
      <c r="H3776" s="17" t="inlineStr">
        <is>
          <t>CÔNG TY TNHH SƠN JOTUN VIỆT NAM</t>
        </is>
      </c>
      <c r="I3776" s="17" t="inlineStr">
        <is>
          <t>DUNG MÔI JOTUN THINNER NO. 17 20L</t>
        </is>
      </c>
      <c r="J3776" s="17" t="inlineStr">
        <is>
          <t>Lít</t>
        </is>
      </c>
      <c r="K3776" s="19" t="n">
        <v>60000</v>
      </c>
      <c r="L3776" s="21" t="n"/>
      <c r="M3776" s="22" t="n"/>
      <c r="N3776" s="22" t="n">
        <v>80</v>
      </c>
      <c r="O3776" s="22" t="n">
        <v>4800000</v>
      </c>
      <c r="P3776" s="22" t="n">
        <v>80</v>
      </c>
      <c r="Q3776" s="22" t="n">
        <v>4800000</v>
      </c>
      <c r="R3776" s="42">
        <f>+L3776+N3776-P3776</f>
        <v/>
      </c>
      <c r="S3776" s="42">
        <f>+M3776+O3776-Q3776</f>
        <v/>
      </c>
    </row>
    <row r="3777" ht="15" customHeight="1">
      <c r="A3777" s="16" t="n">
        <v>45975</v>
      </c>
      <c r="B3777" s="17" t="inlineStr">
        <is>
          <t>MH2511-20</t>
        </is>
      </c>
      <c r="C3777" s="16" t="n">
        <v>45975</v>
      </c>
      <c r="D3777" s="17" t="inlineStr">
        <is>
          <t>00010736</t>
        </is>
      </c>
      <c r="E3777" s="16" t="n">
        <v>45975</v>
      </c>
      <c r="F3777" s="66" t="inlineStr">
        <is>
          <t>XK2511-12</t>
        </is>
      </c>
      <c r="G3777" s="16" t="n">
        <v>45975</v>
      </c>
      <c r="H3777" s="17" t="inlineStr">
        <is>
          <t>CÔNG TY TNHH SƠN JOTUN VIỆT NAM</t>
        </is>
      </c>
      <c r="I3777" s="17" t="inlineStr">
        <is>
          <t>DUNG MÔI JOTUN THINNER NO. 17 5L</t>
        </is>
      </c>
      <c r="J3777" s="17" t="inlineStr">
        <is>
          <t>Lít</t>
        </is>
      </c>
      <c r="K3777" s="19" t="n">
        <v>60000</v>
      </c>
      <c r="L3777" s="21" t="n"/>
      <c r="M3777" s="22" t="n"/>
      <c r="N3777" s="22" t="n">
        <v>10</v>
      </c>
      <c r="O3777" s="22" t="n">
        <v>600000</v>
      </c>
      <c r="P3777" s="22" t="n">
        <v>10</v>
      </c>
      <c r="Q3777" s="22" t="n">
        <v>600000</v>
      </c>
      <c r="R3777" s="42">
        <f>+L3777+N3777-P3777</f>
        <v/>
      </c>
      <c r="S3777" s="42">
        <f>+M3777+O3777-Q3777</f>
        <v/>
      </c>
    </row>
    <row r="3778" ht="30" customHeight="1">
      <c r="A3778" s="16" t="n">
        <v>45979</v>
      </c>
      <c r="B3778" s="17" t="inlineStr">
        <is>
          <t>MH2511-23</t>
        </is>
      </c>
      <c r="C3778" s="16" t="n">
        <v>45979</v>
      </c>
      <c r="D3778" s="17" t="inlineStr">
        <is>
          <t>00004569</t>
        </is>
      </c>
      <c r="E3778" s="16" t="n">
        <v>45979</v>
      </c>
      <c r="F3778" s="66" t="inlineStr">
        <is>
          <t>XK2511-13</t>
        </is>
      </c>
      <c r="G3778" s="16" t="n">
        <v>45979</v>
      </c>
      <c r="H3778" s="17" t="inlineStr">
        <is>
          <t>CÔNG TY CỔ PHẦN CÔNG NGHIỆP VÀ THƯƠNG MẠI CƯỜNG THỊNH</t>
        </is>
      </c>
      <c r="I3778" s="17" t="inlineStr">
        <is>
          <t>Bulong neo I 8.8 ZP M24x530</t>
        </is>
      </c>
      <c r="J3778" s="17" t="inlineStr">
        <is>
          <t>Cái</t>
        </is>
      </c>
      <c r="K3778" s="19" t="n">
        <v>84380</v>
      </c>
      <c r="L3778" s="21" t="n"/>
      <c r="M3778" s="22" t="n"/>
      <c r="N3778" s="22" t="n">
        <v>3</v>
      </c>
      <c r="O3778" s="22" t="n">
        <v>253140</v>
      </c>
      <c r="P3778" s="22" t="n">
        <v>3</v>
      </c>
      <c r="Q3778" s="22" t="n">
        <v>253140</v>
      </c>
      <c r="R3778" s="42">
        <f>+L3778+N3778-P3778</f>
        <v/>
      </c>
      <c r="S3778" s="42">
        <f>+M3778+O3778-Q3778</f>
        <v/>
      </c>
    </row>
    <row r="3779" ht="30" customHeight="1">
      <c r="A3779" s="16" t="n">
        <v>45979</v>
      </c>
      <c r="B3779" s="17" t="inlineStr">
        <is>
          <t>MH2511-23</t>
        </is>
      </c>
      <c r="C3779" s="16" t="n">
        <v>45979</v>
      </c>
      <c r="D3779" s="17" t="inlineStr">
        <is>
          <t>00004569</t>
        </is>
      </c>
      <c r="E3779" s="16" t="n">
        <v>45979</v>
      </c>
      <c r="F3779" s="66" t="inlineStr">
        <is>
          <t>XK2511-13</t>
        </is>
      </c>
      <c r="G3779" s="16" t="n">
        <v>45979</v>
      </c>
      <c r="H3779" s="17" t="inlineStr">
        <is>
          <t>CÔNG TY CỔ PHẦN CÔNG NGHIỆP VÀ THƯƠNG MẠI CƯỜNG THỊNH</t>
        </is>
      </c>
      <c r="I3779" s="17" t="inlineStr">
        <is>
          <t>Đai ốc Din 934 8 ZP M24</t>
        </is>
      </c>
      <c r="J3779" s="17" t="inlineStr">
        <is>
          <t>Cái</t>
        </is>
      </c>
      <c r="K3779" s="19" t="n">
        <v>3670</v>
      </c>
      <c r="L3779" s="21" t="n"/>
      <c r="M3779" s="22" t="n"/>
      <c r="N3779" s="22" t="n">
        <v>12</v>
      </c>
      <c r="O3779" s="22" t="n">
        <v>44040</v>
      </c>
      <c r="P3779" s="22" t="n">
        <v>12</v>
      </c>
      <c r="Q3779" s="22" t="n">
        <v>44040</v>
      </c>
      <c r="R3779" s="42">
        <f>+L3779+N3779-P3779</f>
        <v/>
      </c>
      <c r="S3779" s="42">
        <f>+M3779+O3779-Q3779</f>
        <v/>
      </c>
    </row>
    <row r="3780" ht="30" customHeight="1">
      <c r="A3780" s="16" t="n">
        <v>45979</v>
      </c>
      <c r="B3780" s="17" t="inlineStr">
        <is>
          <t>MH2511-23</t>
        </is>
      </c>
      <c r="C3780" s="16" t="n">
        <v>45979</v>
      </c>
      <c r="D3780" s="17" t="inlineStr">
        <is>
          <t>00004569</t>
        </is>
      </c>
      <c r="E3780" s="16" t="n">
        <v>45979</v>
      </c>
      <c r="F3780" s="66" t="inlineStr">
        <is>
          <t>XK2511-13</t>
        </is>
      </c>
      <c r="G3780" s="16" t="n">
        <v>45979</v>
      </c>
      <c r="H3780" s="17" t="inlineStr">
        <is>
          <t>CÔNG TY CỔ PHẦN CÔNG NGHIỆP VÀ THƯƠNG MẠI CƯỜNG THỊNH</t>
        </is>
      </c>
      <c r="I3780" s="17" t="inlineStr">
        <is>
          <t>Long đền thường ZP M24B45D2</t>
        </is>
      </c>
      <c r="J3780" s="17" t="inlineStr">
        <is>
          <t>Cái</t>
        </is>
      </c>
      <c r="K3780" s="19" t="n">
        <v>820</v>
      </c>
      <c r="L3780" s="21" t="n"/>
      <c r="M3780" s="22" t="n"/>
      <c r="N3780" s="22" t="n">
        <v>3</v>
      </c>
      <c r="O3780" s="22" t="n">
        <v>2460</v>
      </c>
      <c r="P3780" s="22" t="n">
        <v>3</v>
      </c>
      <c r="Q3780" s="22" t="n">
        <v>2460</v>
      </c>
      <c r="R3780" s="42">
        <f>+L3780+N3780-P3780</f>
        <v/>
      </c>
      <c r="S3780" s="42">
        <f>+M3780+O3780-Q3780</f>
        <v/>
      </c>
    </row>
    <row r="3781" ht="30" customHeight="1">
      <c r="A3781" s="16" t="n">
        <v>45979</v>
      </c>
      <c r="B3781" s="17" t="inlineStr">
        <is>
          <t>MH2511-23</t>
        </is>
      </c>
      <c r="C3781" s="16" t="n">
        <v>45979</v>
      </c>
      <c r="D3781" s="17" t="inlineStr">
        <is>
          <t>00004569</t>
        </is>
      </c>
      <c r="E3781" s="16" t="n">
        <v>45979</v>
      </c>
      <c r="F3781" s="66" t="inlineStr">
        <is>
          <t>XK2511-13</t>
        </is>
      </c>
      <c r="G3781" s="16" t="n">
        <v>45979</v>
      </c>
      <c r="H3781" s="17" t="inlineStr">
        <is>
          <t>CÔNG TY CỔ PHẦN CÔNG NGHIỆP VÀ THƯƠNG MẠI CƯỜNG THỊNH</t>
        </is>
      </c>
      <c r="I3781" s="17" t="inlineStr">
        <is>
          <t>Bulong Din 933 8.8 M14x35</t>
        </is>
      </c>
      <c r="J3781" s="17" t="inlineStr">
        <is>
          <t>Cái</t>
        </is>
      </c>
      <c r="K3781" s="19" t="n">
        <v>1612.9</v>
      </c>
      <c r="L3781" s="21" t="n"/>
      <c r="M3781" s="22" t="n"/>
      <c r="N3781" s="22" t="n">
        <v>310</v>
      </c>
      <c r="O3781" s="22" t="n">
        <v>500000</v>
      </c>
      <c r="P3781" s="22" t="n">
        <v>310</v>
      </c>
      <c r="Q3781" s="22" t="n">
        <v>500000</v>
      </c>
      <c r="R3781" s="42">
        <f>+L3781+N3781-P3781</f>
        <v/>
      </c>
      <c r="S3781" s="42">
        <f>+M3781+O3781-Q3781</f>
        <v/>
      </c>
    </row>
    <row r="3782" ht="30" customHeight="1">
      <c r="A3782" s="16" t="n">
        <v>45980</v>
      </c>
      <c r="B3782" s="17" t="inlineStr">
        <is>
          <t>MH2511-24</t>
        </is>
      </c>
      <c r="C3782" s="16" t="n">
        <v>45980</v>
      </c>
      <c r="D3782" s="17" t="inlineStr">
        <is>
          <t>00004594</t>
        </is>
      </c>
      <c r="E3782" s="16" t="n">
        <v>45980</v>
      </c>
      <c r="F3782" s="66" t="inlineStr">
        <is>
          <t>XK2511-14</t>
        </is>
      </c>
      <c r="G3782" s="16" t="n">
        <v>45980</v>
      </c>
      <c r="H3782" s="17" t="inlineStr">
        <is>
          <t>CÔNG TY CỔ PHẦN CÔNG NGHIỆP VÀ THƯƠNG MẠI CƯỜNG THỊNH</t>
        </is>
      </c>
      <c r="I3782" s="17" t="inlineStr">
        <is>
          <t>Bulong Din 933 8.8 ZP M20x60</t>
        </is>
      </c>
      <c r="J3782" s="17" t="inlineStr">
        <is>
          <t>Cái</t>
        </is>
      </c>
      <c r="K3782" s="19" t="n">
        <v>6360</v>
      </c>
      <c r="L3782" s="21" t="n"/>
      <c r="M3782" s="22" t="n"/>
      <c r="N3782" s="22" t="n">
        <v>2076</v>
      </c>
      <c r="O3782" s="22" t="n">
        <v>13203360</v>
      </c>
      <c r="P3782" s="22" t="n">
        <v>2076</v>
      </c>
      <c r="Q3782" s="22" t="n">
        <v>13203360</v>
      </c>
      <c r="R3782" s="42">
        <f>+L3782+N3782-P3782</f>
        <v/>
      </c>
      <c r="S3782" s="42">
        <f>+M3782+O3782-Q3782</f>
        <v/>
      </c>
    </row>
    <row r="3783" ht="30" customHeight="1">
      <c r="A3783" s="16" t="n">
        <v>45980</v>
      </c>
      <c r="B3783" s="17" t="inlineStr">
        <is>
          <t>MH2511-24</t>
        </is>
      </c>
      <c r="C3783" s="16" t="n">
        <v>45980</v>
      </c>
      <c r="D3783" s="17" t="inlineStr">
        <is>
          <t>00004594</t>
        </is>
      </c>
      <c r="E3783" s="16" t="n">
        <v>45980</v>
      </c>
      <c r="F3783" s="66" t="inlineStr">
        <is>
          <t>XK2511-14</t>
        </is>
      </c>
      <c r="G3783" s="16" t="n">
        <v>45980</v>
      </c>
      <c r="H3783" s="17" t="inlineStr">
        <is>
          <t>CÔNG TY CỔ PHẦN CÔNG NGHIỆP VÀ THƯƠNG MẠI CƯỜNG THỊNH</t>
        </is>
      </c>
      <c r="I3783" s="17" t="inlineStr">
        <is>
          <t>Đai ốc Din 934 8 ZP M20</t>
        </is>
      </c>
      <c r="J3783" s="17" t="inlineStr">
        <is>
          <t>Cái</t>
        </is>
      </c>
      <c r="K3783" s="19" t="n">
        <v>2030</v>
      </c>
      <c r="L3783" s="21" t="n"/>
      <c r="M3783" s="22" t="n"/>
      <c r="N3783" s="22" t="n">
        <v>2076</v>
      </c>
      <c r="O3783" s="22" t="n">
        <v>4214280</v>
      </c>
      <c r="P3783" s="22" t="n">
        <v>2076</v>
      </c>
      <c r="Q3783" s="22" t="n">
        <v>4214280</v>
      </c>
      <c r="R3783" s="42">
        <f>+L3783+N3783-P3783</f>
        <v/>
      </c>
      <c r="S3783" s="42">
        <f>+M3783+O3783-Q3783</f>
        <v/>
      </c>
    </row>
    <row r="3784" ht="30" customHeight="1">
      <c r="A3784" s="16" t="n">
        <v>45980</v>
      </c>
      <c r="B3784" s="17" t="inlineStr">
        <is>
          <t>MH2511-24</t>
        </is>
      </c>
      <c r="C3784" s="16" t="n">
        <v>45980</v>
      </c>
      <c r="D3784" s="17" t="inlineStr">
        <is>
          <t>00004594</t>
        </is>
      </c>
      <c r="E3784" s="16" t="n">
        <v>45980</v>
      </c>
      <c r="F3784" s="66" t="inlineStr">
        <is>
          <t>XK2511-14</t>
        </is>
      </c>
      <c r="G3784" s="16" t="n">
        <v>45980</v>
      </c>
      <c r="H3784" s="17" t="inlineStr">
        <is>
          <t>CÔNG TY CỔ PHẦN CÔNG NGHIỆP VÀ THƯƠNG MẠI CƯỜNG THỊNH</t>
        </is>
      </c>
      <c r="I3784" s="17" t="inlineStr">
        <is>
          <t>Long đền thường ZP M20B35D2</t>
        </is>
      </c>
      <c r="J3784" s="17" t="inlineStr">
        <is>
          <t>Cái</t>
        </is>
      </c>
      <c r="K3784" s="19" t="n">
        <v>350</v>
      </c>
      <c r="L3784" s="21" t="n"/>
      <c r="M3784" s="22" t="n"/>
      <c r="N3784" s="22" t="n">
        <v>2076</v>
      </c>
      <c r="O3784" s="22" t="n">
        <v>726600</v>
      </c>
      <c r="P3784" s="22" t="n">
        <v>2076</v>
      </c>
      <c r="Q3784" s="22" t="n">
        <v>726600</v>
      </c>
      <c r="R3784" s="42">
        <f>+L3784+N3784-P3784</f>
        <v/>
      </c>
      <c r="S3784" s="42">
        <f>+M3784+O3784-Q3784</f>
        <v/>
      </c>
    </row>
    <row r="3785" ht="30" customHeight="1">
      <c r="A3785" s="16" t="n">
        <v>45980</v>
      </c>
      <c r="B3785" s="17" t="inlineStr">
        <is>
          <t>MH2511-24</t>
        </is>
      </c>
      <c r="C3785" s="16" t="n">
        <v>45980</v>
      </c>
      <c r="D3785" s="17" t="inlineStr">
        <is>
          <t>00004594</t>
        </is>
      </c>
      <c r="E3785" s="16" t="n">
        <v>45980</v>
      </c>
      <c r="F3785" s="66" t="inlineStr">
        <is>
          <t>XK2511-14</t>
        </is>
      </c>
      <c r="G3785" s="16" t="n">
        <v>45980</v>
      </c>
      <c r="H3785" s="17" t="inlineStr">
        <is>
          <t>CÔNG TY CỔ PHẦN CÔNG NGHIỆP VÀ THƯƠNG MẠI CƯỜNG THỊNH</t>
        </is>
      </c>
      <c r="I3785" s="17" t="inlineStr">
        <is>
          <t>Bulong Din 933 8.8 ZP M24x70</t>
        </is>
      </c>
      <c r="J3785" s="17" t="inlineStr">
        <is>
          <t>Cái</t>
        </is>
      </c>
      <c r="K3785" s="19" t="n">
        <v>11010</v>
      </c>
      <c r="L3785" s="21" t="n"/>
      <c r="M3785" s="22" t="n"/>
      <c r="N3785" s="22" t="n">
        <v>111</v>
      </c>
      <c r="O3785" s="22" t="n">
        <v>1222110</v>
      </c>
      <c r="P3785" s="22" t="n">
        <v>111</v>
      </c>
      <c r="Q3785" s="22" t="n">
        <v>1222110</v>
      </c>
      <c r="R3785" s="42">
        <f>+L3785+N3785-P3785</f>
        <v/>
      </c>
      <c r="S3785" s="42">
        <f>+M3785+O3785-Q3785</f>
        <v/>
      </c>
    </row>
    <row r="3786" ht="30" customHeight="1">
      <c r="A3786" s="16" t="n">
        <v>45980</v>
      </c>
      <c r="B3786" s="17" t="inlineStr">
        <is>
          <t>MH2511-24</t>
        </is>
      </c>
      <c r="C3786" s="16" t="n">
        <v>45980</v>
      </c>
      <c r="D3786" s="17" t="inlineStr">
        <is>
          <t>00004594</t>
        </is>
      </c>
      <c r="E3786" s="16" t="n">
        <v>45980</v>
      </c>
      <c r="F3786" s="66" t="inlineStr">
        <is>
          <t>XK2511-14</t>
        </is>
      </c>
      <c r="G3786" s="16" t="n">
        <v>45980</v>
      </c>
      <c r="H3786" s="17" t="inlineStr">
        <is>
          <t>CÔNG TY CỔ PHẦN CÔNG NGHIỆP VÀ THƯƠNG MẠI CƯỜNG THỊNH</t>
        </is>
      </c>
      <c r="I3786" s="17" t="inlineStr">
        <is>
          <t>Bulong Din 933 8.8 ZP M20x40</t>
        </is>
      </c>
      <c r="J3786" s="17" t="inlineStr">
        <is>
          <t>Cái</t>
        </is>
      </c>
      <c r="K3786" s="19" t="n">
        <v>5050</v>
      </c>
      <c r="L3786" s="21" t="n"/>
      <c r="M3786" s="22" t="n"/>
      <c r="N3786" s="22" t="n">
        <v>1391</v>
      </c>
      <c r="O3786" s="22" t="n">
        <v>7024550</v>
      </c>
      <c r="P3786" s="22" t="n">
        <v>1391</v>
      </c>
      <c r="Q3786" s="22" t="n">
        <v>7024550</v>
      </c>
      <c r="R3786" s="42">
        <f>+L3786+N3786-P3786</f>
        <v/>
      </c>
      <c r="S3786" s="42">
        <f>+M3786+O3786-Q3786</f>
        <v/>
      </c>
    </row>
    <row r="3787" ht="30" customHeight="1">
      <c r="A3787" s="16" t="n">
        <v>45980</v>
      </c>
      <c r="B3787" s="17" t="inlineStr">
        <is>
          <t>MH2511-24</t>
        </is>
      </c>
      <c r="C3787" s="16" t="n">
        <v>45980</v>
      </c>
      <c r="D3787" s="17" t="inlineStr">
        <is>
          <t>00004594</t>
        </is>
      </c>
      <c r="E3787" s="16" t="n">
        <v>45980</v>
      </c>
      <c r="F3787" s="66" t="inlineStr">
        <is>
          <t>XK2511-14</t>
        </is>
      </c>
      <c r="G3787" s="16" t="n">
        <v>45980</v>
      </c>
      <c r="H3787" s="17" t="inlineStr">
        <is>
          <t>CÔNG TY CỔ PHẦN CÔNG NGHIỆP VÀ THƯƠNG MẠI CƯỜNG THỊNH</t>
        </is>
      </c>
      <c r="I3787" s="17" t="inlineStr">
        <is>
          <t>Đai ốc Din 934 8 ZP M20</t>
        </is>
      </c>
      <c r="J3787" s="17" t="inlineStr">
        <is>
          <t>Cái</t>
        </is>
      </c>
      <c r="K3787" s="19" t="n">
        <v>2030</v>
      </c>
      <c r="L3787" s="21" t="n"/>
      <c r="M3787" s="22" t="n"/>
      <c r="N3787" s="22" t="n">
        <v>1391</v>
      </c>
      <c r="O3787" s="22" t="n">
        <v>2823730</v>
      </c>
      <c r="P3787" s="22" t="n">
        <v>1391</v>
      </c>
      <c r="Q3787" s="22" t="n">
        <v>2823730</v>
      </c>
      <c r="R3787" s="42">
        <f>+L3787+N3787-P3787</f>
        <v/>
      </c>
      <c r="S3787" s="42">
        <f>+M3787+O3787-Q3787</f>
        <v/>
      </c>
    </row>
    <row r="3788" ht="30" customHeight="1">
      <c r="A3788" s="16" t="n">
        <v>45980</v>
      </c>
      <c r="B3788" s="17" t="inlineStr">
        <is>
          <t>MH2511-24</t>
        </is>
      </c>
      <c r="C3788" s="16" t="n">
        <v>45980</v>
      </c>
      <c r="D3788" s="17" t="inlineStr">
        <is>
          <t>00004594</t>
        </is>
      </c>
      <c r="E3788" s="16" t="n">
        <v>45980</v>
      </c>
      <c r="F3788" s="66" t="inlineStr">
        <is>
          <t>XK2511-14</t>
        </is>
      </c>
      <c r="G3788" s="16" t="n">
        <v>45980</v>
      </c>
      <c r="H3788" s="17" t="inlineStr">
        <is>
          <t>CÔNG TY CỔ PHẦN CÔNG NGHIỆP VÀ THƯƠNG MẠI CƯỜNG THỊNH</t>
        </is>
      </c>
      <c r="I3788" s="17" t="inlineStr">
        <is>
          <t>Long đền thường ZP M20B35D2</t>
        </is>
      </c>
      <c r="J3788" s="17" t="inlineStr">
        <is>
          <t>Cái</t>
        </is>
      </c>
      <c r="K3788" s="19" t="n">
        <v>350</v>
      </c>
      <c r="L3788" s="21" t="n"/>
      <c r="M3788" s="22" t="n"/>
      <c r="N3788" s="22" t="n">
        <v>1391</v>
      </c>
      <c r="O3788" s="22" t="n">
        <v>486850</v>
      </c>
      <c r="P3788" s="22" t="n">
        <v>1391</v>
      </c>
      <c r="Q3788" s="22" t="n">
        <v>486850</v>
      </c>
      <c r="R3788" s="42">
        <f>+L3788+N3788-P3788</f>
        <v/>
      </c>
      <c r="S3788" s="42">
        <f>+M3788+O3788-Q3788</f>
        <v/>
      </c>
    </row>
    <row r="3789" ht="30" customHeight="1">
      <c r="A3789" s="16" t="n">
        <v>45980</v>
      </c>
      <c r="B3789" s="17" t="inlineStr">
        <is>
          <t>MH2511-24</t>
        </is>
      </c>
      <c r="C3789" s="16" t="n">
        <v>45980</v>
      </c>
      <c r="D3789" s="17" t="inlineStr">
        <is>
          <t>00004594</t>
        </is>
      </c>
      <c r="E3789" s="16" t="n">
        <v>45980</v>
      </c>
      <c r="F3789" s="66" t="inlineStr">
        <is>
          <t>XK2511-14</t>
        </is>
      </c>
      <c r="G3789" s="16" t="n">
        <v>45980</v>
      </c>
      <c r="H3789" s="17" t="inlineStr">
        <is>
          <t>CÔNG TY CỔ PHẦN CÔNG NGHIỆP VÀ THƯƠNG MẠI CƯỜNG THỊNH</t>
        </is>
      </c>
      <c r="I3789" s="17" t="inlineStr">
        <is>
          <t>Bulong Din 933 8.8 ZP M20x50</t>
        </is>
      </c>
      <c r="J3789" s="17" t="inlineStr">
        <is>
          <t>Cái</t>
        </is>
      </c>
      <c r="K3789" s="19" t="n">
        <v>5760</v>
      </c>
      <c r="L3789" s="21" t="n"/>
      <c r="M3789" s="22" t="n"/>
      <c r="N3789" s="22" t="n">
        <v>799</v>
      </c>
      <c r="O3789" s="22" t="n">
        <v>4602240</v>
      </c>
      <c r="P3789" s="22" t="n">
        <v>799</v>
      </c>
      <c r="Q3789" s="22" t="n">
        <v>4602240</v>
      </c>
      <c r="R3789" s="42">
        <f>+L3789+N3789-P3789</f>
        <v/>
      </c>
      <c r="S3789" s="42">
        <f>+M3789+O3789-Q3789</f>
        <v/>
      </c>
    </row>
    <row r="3790" ht="30" customHeight="1">
      <c r="A3790" s="16" t="n">
        <v>45980</v>
      </c>
      <c r="B3790" s="17" t="inlineStr">
        <is>
          <t>MH2511-24</t>
        </is>
      </c>
      <c r="C3790" s="16" t="n">
        <v>45980</v>
      </c>
      <c r="D3790" s="17" t="inlineStr">
        <is>
          <t>00004594</t>
        </is>
      </c>
      <c r="E3790" s="16" t="n">
        <v>45980</v>
      </c>
      <c r="F3790" s="66" t="inlineStr">
        <is>
          <t>XK2511-14</t>
        </is>
      </c>
      <c r="G3790" s="16" t="n">
        <v>45980</v>
      </c>
      <c r="H3790" s="17" t="inlineStr">
        <is>
          <t>CÔNG TY CỔ PHẦN CÔNG NGHIỆP VÀ THƯƠNG MẠI CƯỜNG THỊNH</t>
        </is>
      </c>
      <c r="I3790" s="17" t="inlineStr">
        <is>
          <t>Đai ốc Din 934 8 ZP M20</t>
        </is>
      </c>
      <c r="J3790" s="17" t="inlineStr">
        <is>
          <t>Cái</t>
        </is>
      </c>
      <c r="K3790" s="19" t="n">
        <v>2030</v>
      </c>
      <c r="L3790" s="21" t="n"/>
      <c r="M3790" s="22" t="n"/>
      <c r="N3790" s="22" t="n">
        <v>799</v>
      </c>
      <c r="O3790" s="22" t="n">
        <v>1621970</v>
      </c>
      <c r="P3790" s="22" t="n">
        <v>799</v>
      </c>
      <c r="Q3790" s="22" t="n">
        <v>1621970</v>
      </c>
      <c r="R3790" s="42">
        <f>+L3790+N3790-P3790</f>
        <v/>
      </c>
      <c r="S3790" s="42">
        <f>+M3790+O3790-Q3790</f>
        <v/>
      </c>
    </row>
    <row r="3791" ht="30" customHeight="1">
      <c r="A3791" s="16" t="n">
        <v>45980</v>
      </c>
      <c r="B3791" s="17" t="inlineStr">
        <is>
          <t>MH2511-24</t>
        </is>
      </c>
      <c r="C3791" s="16" t="n">
        <v>45980</v>
      </c>
      <c r="D3791" s="17" t="inlineStr">
        <is>
          <t>00004594</t>
        </is>
      </c>
      <c r="E3791" s="16" t="n">
        <v>45980</v>
      </c>
      <c r="F3791" s="66" t="inlineStr">
        <is>
          <t>XK2511-14</t>
        </is>
      </c>
      <c r="G3791" s="16" t="n">
        <v>45980</v>
      </c>
      <c r="H3791" s="17" t="inlineStr">
        <is>
          <t>CÔNG TY CỔ PHẦN CÔNG NGHIỆP VÀ THƯƠNG MẠI CƯỜNG THỊNH</t>
        </is>
      </c>
      <c r="I3791" s="17" t="inlineStr">
        <is>
          <t>Long đền thường ZP M20B35D2</t>
        </is>
      </c>
      <c r="J3791" s="17" t="inlineStr">
        <is>
          <t>Cái</t>
        </is>
      </c>
      <c r="K3791" s="19" t="n">
        <v>350</v>
      </c>
      <c r="L3791" s="21" t="n"/>
      <c r="M3791" s="22" t="n"/>
      <c r="N3791" s="22" t="n">
        <v>799</v>
      </c>
      <c r="O3791" s="22" t="n">
        <v>279650</v>
      </c>
      <c r="P3791" s="22" t="n">
        <v>799</v>
      </c>
      <c r="Q3791" s="22" t="n">
        <v>279650</v>
      </c>
      <c r="R3791" s="42">
        <f>+L3791+N3791-P3791</f>
        <v/>
      </c>
      <c r="S3791" s="42">
        <f>+M3791+O3791-Q3791</f>
        <v/>
      </c>
    </row>
    <row r="3792" ht="30" customHeight="1">
      <c r="A3792" s="16" t="n">
        <v>45980</v>
      </c>
      <c r="B3792" s="17" t="inlineStr">
        <is>
          <t>MH2511-24</t>
        </is>
      </c>
      <c r="C3792" s="16" t="n">
        <v>45980</v>
      </c>
      <c r="D3792" s="17" t="inlineStr">
        <is>
          <t>00004594</t>
        </is>
      </c>
      <c r="E3792" s="16" t="n">
        <v>45980</v>
      </c>
      <c r="F3792" s="66" t="inlineStr">
        <is>
          <t>XK2511-14</t>
        </is>
      </c>
      <c r="G3792" s="16" t="n">
        <v>45980</v>
      </c>
      <c r="H3792" s="17" t="inlineStr">
        <is>
          <t>CÔNG TY CỔ PHẦN CÔNG NGHIỆP VÀ THƯƠNG MẠI CƯỜNG THỊNH</t>
        </is>
      </c>
      <c r="I3792" s="17" t="inlineStr">
        <is>
          <t>Bulong Din 933 8.8 ZP M24x60</t>
        </is>
      </c>
      <c r="J3792" s="17" t="inlineStr">
        <is>
          <t>Cái</t>
        </is>
      </c>
      <c r="K3792" s="19" t="n">
        <v>10030</v>
      </c>
      <c r="L3792" s="21" t="n"/>
      <c r="M3792" s="22" t="n"/>
      <c r="N3792" s="22" t="n">
        <v>19</v>
      </c>
      <c r="O3792" s="22" t="n">
        <v>190570</v>
      </c>
      <c r="P3792" s="22" t="n">
        <v>19</v>
      </c>
      <c r="Q3792" s="22" t="n">
        <v>190570</v>
      </c>
      <c r="R3792" s="42">
        <f>+L3792+N3792-P3792</f>
        <v/>
      </c>
      <c r="S3792" s="42">
        <f>+M3792+O3792-Q3792</f>
        <v/>
      </c>
    </row>
    <row r="3793" ht="30" customHeight="1">
      <c r="A3793" s="28" t="n">
        <v>45980</v>
      </c>
      <c r="B3793" s="29" t="inlineStr">
        <is>
          <t>MH2511-24</t>
        </is>
      </c>
      <c r="C3793" s="28" t="n">
        <v>45980</v>
      </c>
      <c r="D3793" s="29" t="inlineStr">
        <is>
          <t>00004594</t>
        </is>
      </c>
      <c r="E3793" s="28" t="n">
        <v>45980</v>
      </c>
      <c r="F3793" s="66" t="inlineStr">
        <is>
          <t>XK2511-14</t>
        </is>
      </c>
      <c r="G3793" s="16" t="n">
        <v>45980</v>
      </c>
      <c r="H3793" s="29" t="inlineStr">
        <is>
          <t>CÔNG TY CỔ PHẦN CÔNG NGHIỆP VÀ THƯƠNG MẠI CƯỜNG THỊNH</t>
        </is>
      </c>
      <c r="I3793" s="29" t="inlineStr">
        <is>
          <t>Đai ốc Din 934 8 ZP M24</t>
        </is>
      </c>
      <c r="J3793" s="29" t="inlineStr">
        <is>
          <t>Cái</t>
        </is>
      </c>
      <c r="K3793" s="30" t="n">
        <v>3500</v>
      </c>
      <c r="L3793" s="31" t="n"/>
      <c r="M3793" s="32" t="n"/>
      <c r="N3793" s="32" t="n">
        <v>19</v>
      </c>
      <c r="O3793" s="32" t="n">
        <v>66500</v>
      </c>
      <c r="P3793" s="32" t="n">
        <v>19</v>
      </c>
      <c r="Q3793" s="32" t="n">
        <v>66500</v>
      </c>
      <c r="R3793" s="42">
        <f>+L3793+N3793-P3793</f>
        <v/>
      </c>
      <c r="S3793" s="42">
        <f>+M3793+O3793-Q3793</f>
        <v/>
      </c>
    </row>
    <row r="3794" ht="30.75" customHeight="1">
      <c r="A3794" s="16" t="n">
        <v>45980</v>
      </c>
      <c r="B3794" s="17" t="inlineStr">
        <is>
          <t>MH2511-24</t>
        </is>
      </c>
      <c r="C3794" s="16" t="n">
        <v>45980</v>
      </c>
      <c r="D3794" s="17" t="inlineStr">
        <is>
          <t>00004594</t>
        </is>
      </c>
      <c r="E3794" s="16" t="n">
        <v>45980</v>
      </c>
      <c r="F3794" s="66" t="inlineStr">
        <is>
          <t>XK2511-14</t>
        </is>
      </c>
      <c r="G3794" s="16" t="n">
        <v>45980</v>
      </c>
      <c r="H3794" s="17" t="inlineStr">
        <is>
          <t>CÔNG TY CỔ PHẦN CÔNG NGHIỆP VÀ THƯƠNG MẠI CƯỜNG THỊNH</t>
        </is>
      </c>
      <c r="I3794" s="17" t="inlineStr">
        <is>
          <t>Long đền thường ZP M24B40-42D2</t>
        </is>
      </c>
      <c r="J3794" s="17" t="inlineStr">
        <is>
          <t>Cái</t>
        </is>
      </c>
      <c r="K3794" s="21" t="n">
        <v>660</v>
      </c>
      <c r="L3794" s="20" t="n"/>
      <c r="M3794" s="27" t="n"/>
      <c r="N3794" s="43" t="n">
        <v>19</v>
      </c>
      <c r="O3794" s="27" t="n">
        <v>12540</v>
      </c>
      <c r="P3794" s="43" t="n">
        <v>19</v>
      </c>
      <c r="Q3794" s="27" t="n">
        <v>12540</v>
      </c>
      <c r="R3794" s="42">
        <f>+L3794+N3794-P3794</f>
        <v/>
      </c>
      <c r="S3794" s="42">
        <f>+M3794+O3794-Q3794</f>
        <v/>
      </c>
    </row>
    <row r="3795" ht="30" customHeight="1">
      <c r="A3795" s="16" t="n">
        <v>45980</v>
      </c>
      <c r="B3795" s="17" t="inlineStr">
        <is>
          <t>MH2511-24</t>
        </is>
      </c>
      <c r="C3795" s="16" t="n">
        <v>45980</v>
      </c>
      <c r="D3795" s="17" t="inlineStr">
        <is>
          <t>00004594</t>
        </is>
      </c>
      <c r="E3795" s="16" t="n">
        <v>45980</v>
      </c>
      <c r="F3795" s="66" t="inlineStr">
        <is>
          <t>XK2511-14</t>
        </is>
      </c>
      <c r="G3795" s="16" t="n">
        <v>45980</v>
      </c>
      <c r="H3795" s="17" t="inlineStr">
        <is>
          <t>CÔNG TY CỔ PHẦN CÔNG NGHIỆP VÀ THƯƠNG MẠI CƯỜNG THỊNH</t>
        </is>
      </c>
      <c r="I3795" s="17" t="inlineStr">
        <is>
          <t>Đai ốc Din 934 8 ZP M24</t>
        </is>
      </c>
      <c r="J3795" s="17" t="inlineStr">
        <is>
          <t>Cái</t>
        </is>
      </c>
      <c r="K3795" s="21" t="n">
        <v>3500</v>
      </c>
      <c r="L3795" s="20" t="n"/>
      <c r="M3795" s="20" t="n"/>
      <c r="N3795" s="43" t="n">
        <v>111</v>
      </c>
      <c r="O3795" s="20" t="n">
        <v>388500</v>
      </c>
      <c r="P3795" s="43" t="n">
        <v>111</v>
      </c>
      <c r="Q3795" s="20" t="n">
        <v>388500</v>
      </c>
      <c r="R3795" s="42">
        <f>+L3795+N3795-P3795</f>
        <v/>
      </c>
      <c r="S3795" s="42">
        <f>+M3795+O3795-Q3795</f>
        <v/>
      </c>
    </row>
    <row r="3796" ht="30" customHeight="1">
      <c r="A3796" s="16" t="n">
        <v>45980</v>
      </c>
      <c r="B3796" s="17" t="inlineStr">
        <is>
          <t>MH2511-24</t>
        </is>
      </c>
      <c r="C3796" s="16" t="n">
        <v>45980</v>
      </c>
      <c r="D3796" s="17" t="inlineStr">
        <is>
          <t>00004594</t>
        </is>
      </c>
      <c r="E3796" s="16" t="n">
        <v>45980</v>
      </c>
      <c r="F3796" s="66" t="inlineStr">
        <is>
          <t>XK2511-14</t>
        </is>
      </c>
      <c r="G3796" s="16" t="n">
        <v>45980</v>
      </c>
      <c r="H3796" s="17" t="inlineStr">
        <is>
          <t>CÔNG TY CỔ PHẦN CÔNG NGHIỆP VÀ THƯƠNG MẠI CƯỜNG THỊNH</t>
        </is>
      </c>
      <c r="I3796" s="17" t="inlineStr">
        <is>
          <t>Long đền thường ZP M24B40-42D2</t>
        </is>
      </c>
      <c r="J3796" s="17" t="inlineStr">
        <is>
          <t>Cái</t>
        </is>
      </c>
      <c r="K3796" s="21" t="n">
        <v>660</v>
      </c>
      <c r="L3796" s="20" t="n"/>
      <c r="M3796" s="20" t="n"/>
      <c r="N3796" s="43" t="n">
        <v>111</v>
      </c>
      <c r="O3796" s="20" t="n">
        <v>73260</v>
      </c>
      <c r="P3796" s="43" t="n">
        <v>111</v>
      </c>
      <c r="Q3796" s="20" t="n">
        <v>73260</v>
      </c>
      <c r="R3796" s="42">
        <f>+L3796+N3796-P3796</f>
        <v/>
      </c>
      <c r="S3796" s="42">
        <f>+M3796+O3796-Q3796</f>
        <v/>
      </c>
    </row>
    <row r="3797" ht="30" customHeight="1">
      <c r="A3797" s="16" t="n">
        <v>45980</v>
      </c>
      <c r="B3797" s="17" t="inlineStr">
        <is>
          <t>MH2511-24</t>
        </is>
      </c>
      <c r="C3797" s="16" t="n">
        <v>45980</v>
      </c>
      <c r="D3797" s="17" t="inlineStr">
        <is>
          <t>00004594</t>
        </is>
      </c>
      <c r="E3797" s="16" t="n">
        <v>45980</v>
      </c>
      <c r="F3797" s="66" t="inlineStr">
        <is>
          <t>XK2511-14</t>
        </is>
      </c>
      <c r="G3797" s="16" t="n">
        <v>45980</v>
      </c>
      <c r="H3797" s="17" t="inlineStr">
        <is>
          <t>CÔNG TY CỔ PHẦN CÔNG NGHIỆP VÀ THƯƠNG MẠI CƯỜNG THỊNH</t>
        </is>
      </c>
      <c r="I3797" s="17" t="inlineStr">
        <is>
          <t>Bulong Din 933 8.8 ZP M24x80</t>
        </is>
      </c>
      <c r="J3797" s="17" t="inlineStr">
        <is>
          <t>Cái</t>
        </is>
      </c>
      <c r="K3797" s="21" t="n">
        <v>12010</v>
      </c>
      <c r="L3797" s="20" t="n"/>
      <c r="M3797" s="20" t="n"/>
      <c r="N3797" s="43" t="n">
        <v>2367</v>
      </c>
      <c r="O3797" s="20" t="n">
        <v>28427670</v>
      </c>
      <c r="P3797" s="43" t="n">
        <v>2367</v>
      </c>
      <c r="Q3797" s="20" t="n">
        <v>28427670</v>
      </c>
      <c r="R3797" s="42">
        <f>+L3797+N3797-P3797</f>
        <v/>
      </c>
      <c r="S3797" s="42">
        <f>+M3797+O3797-Q3797</f>
        <v/>
      </c>
    </row>
    <row r="3798" ht="30" customHeight="1">
      <c r="A3798" s="16" t="n">
        <v>45980</v>
      </c>
      <c r="B3798" s="17" t="inlineStr">
        <is>
          <t>MH2511-24</t>
        </is>
      </c>
      <c r="C3798" s="16" t="n">
        <v>45980</v>
      </c>
      <c r="D3798" s="17" t="inlineStr">
        <is>
          <t>00004594</t>
        </is>
      </c>
      <c r="E3798" s="16" t="n">
        <v>45980</v>
      </c>
      <c r="F3798" s="66" t="inlineStr">
        <is>
          <t>XK2511-14</t>
        </is>
      </c>
      <c r="G3798" s="16" t="n">
        <v>45980</v>
      </c>
      <c r="H3798" s="17" t="inlineStr">
        <is>
          <t>CÔNG TY CỔ PHẦN CÔNG NGHIỆP VÀ THƯƠNG MẠI CƯỜNG THỊNH</t>
        </is>
      </c>
      <c r="I3798" s="17" t="inlineStr">
        <is>
          <t>Đai ốc Din 934 8 ZP M24</t>
        </is>
      </c>
      <c r="J3798" s="17" t="inlineStr">
        <is>
          <t>Cái</t>
        </is>
      </c>
      <c r="K3798" s="21" t="n">
        <v>3500</v>
      </c>
      <c r="L3798" s="20" t="n"/>
      <c r="M3798" s="20" t="n"/>
      <c r="N3798" s="43" t="n">
        <v>2367</v>
      </c>
      <c r="O3798" s="20" t="n">
        <v>8284500</v>
      </c>
      <c r="P3798" s="43" t="n">
        <v>2367</v>
      </c>
      <c r="Q3798" s="20" t="n">
        <v>8284500</v>
      </c>
      <c r="R3798" s="42">
        <f>+L3798+N3798-P3798</f>
        <v/>
      </c>
      <c r="S3798" s="42">
        <f>+M3798+O3798-Q3798</f>
        <v/>
      </c>
    </row>
    <row r="3799" ht="30" customHeight="1">
      <c r="A3799" s="16" t="n">
        <v>45980</v>
      </c>
      <c r="B3799" s="17" t="inlineStr">
        <is>
          <t>MH2511-24</t>
        </is>
      </c>
      <c r="C3799" s="16" t="n">
        <v>45980</v>
      </c>
      <c r="D3799" s="17" t="inlineStr">
        <is>
          <t>00004594</t>
        </is>
      </c>
      <c r="E3799" s="16" t="n">
        <v>45980</v>
      </c>
      <c r="F3799" s="66" t="inlineStr">
        <is>
          <t>XK2511-14</t>
        </is>
      </c>
      <c r="G3799" s="16" t="n">
        <v>45980</v>
      </c>
      <c r="H3799" s="17" t="inlineStr">
        <is>
          <t>CÔNG TY CỔ PHẦN CÔNG NGHIỆP VÀ THƯƠNG MẠI CƯỜNG THỊNH</t>
        </is>
      </c>
      <c r="I3799" s="17" t="inlineStr">
        <is>
          <t>Long đền thường ZP M24B40-42D2</t>
        </is>
      </c>
      <c r="J3799" s="17" t="inlineStr">
        <is>
          <t>Cái</t>
        </is>
      </c>
      <c r="K3799" s="21" t="n">
        <v>660</v>
      </c>
      <c r="L3799" s="20" t="n"/>
      <c r="M3799" s="20" t="n"/>
      <c r="N3799" s="43" t="n">
        <v>2367</v>
      </c>
      <c r="O3799" s="20" t="n">
        <v>1562220</v>
      </c>
      <c r="P3799" s="43" t="n">
        <v>2367</v>
      </c>
      <c r="Q3799" s="20" t="n">
        <v>1562220</v>
      </c>
      <c r="R3799" s="42">
        <f>+L3799+N3799-P3799</f>
        <v/>
      </c>
      <c r="S3799" s="42">
        <f>+M3799+O3799-Q3799</f>
        <v/>
      </c>
    </row>
    <row r="3800" ht="15" customHeight="1">
      <c r="A3800" s="16" t="n">
        <v>45982</v>
      </c>
      <c r="B3800" s="17" t="inlineStr">
        <is>
          <t>MH2511-27</t>
        </is>
      </c>
      <c r="C3800" s="16" t="n">
        <v>45982</v>
      </c>
      <c r="D3800" s="17" t="inlineStr">
        <is>
          <t>00011043</t>
        </is>
      </c>
      <c r="E3800" s="16" t="n">
        <v>45982</v>
      </c>
      <c r="F3800" s="66" t="inlineStr">
        <is>
          <t>XK2511-15</t>
        </is>
      </c>
      <c r="G3800" s="16" t="n">
        <v>45982</v>
      </c>
      <c r="H3800" s="17" t="inlineStr">
        <is>
          <t>CÔNG TY TNHH SƠN JOTUN VIỆT NAM</t>
        </is>
      </c>
      <c r="I3800" s="17" t="inlineStr">
        <is>
          <t>SƠN JOTAMASTIC 70 GREY 18L</t>
        </is>
      </c>
      <c r="J3800" s="17" t="inlineStr">
        <is>
          <t>Lít</t>
        </is>
      </c>
      <c r="K3800" s="21" t="n">
        <v>90000</v>
      </c>
      <c r="L3800" s="20" t="n"/>
      <c r="M3800" s="20" t="n"/>
      <c r="N3800" s="43" t="n">
        <v>720</v>
      </c>
      <c r="O3800" s="20" t="n">
        <v>64800000</v>
      </c>
      <c r="P3800" s="43" t="n">
        <v>720</v>
      </c>
      <c r="Q3800" s="20" t="n">
        <v>64800000</v>
      </c>
      <c r="R3800" s="42">
        <f>+L3800+N3800-P3800</f>
        <v/>
      </c>
      <c r="S3800" s="42">
        <f>+M3800+O3800-Q3800</f>
        <v/>
      </c>
    </row>
    <row r="3801" ht="15" customHeight="1">
      <c r="A3801" s="16" t="n">
        <v>45982</v>
      </c>
      <c r="B3801" s="17" t="inlineStr">
        <is>
          <t>MH2511-27</t>
        </is>
      </c>
      <c r="C3801" s="16" t="n">
        <v>45982</v>
      </c>
      <c r="D3801" s="17" t="inlineStr">
        <is>
          <t>00011043</t>
        </is>
      </c>
      <c r="E3801" s="16" t="n">
        <v>45982</v>
      </c>
      <c r="F3801" s="66" t="inlineStr">
        <is>
          <t>XK2511-15</t>
        </is>
      </c>
      <c r="G3801" s="16" t="n">
        <v>45982</v>
      </c>
      <c r="H3801" s="17" t="inlineStr">
        <is>
          <t>CÔNG TY TNHH SƠN JOTUN VIỆT NAM</t>
        </is>
      </c>
      <c r="I3801" s="17" t="inlineStr">
        <is>
          <t>DUNG MÔI JOTUN THINNER NO. 17 20L</t>
        </is>
      </c>
      <c r="J3801" s="17" t="inlineStr">
        <is>
          <t>Lít</t>
        </is>
      </c>
      <c r="K3801" s="21" t="n">
        <v>60000</v>
      </c>
      <c r="L3801" s="20" t="n"/>
      <c r="M3801" s="20" t="n"/>
      <c r="N3801" s="43" t="n">
        <v>100</v>
      </c>
      <c r="O3801" s="20" t="n">
        <v>6000000</v>
      </c>
      <c r="P3801" s="43" t="n">
        <v>100</v>
      </c>
      <c r="Q3801" s="20" t="n">
        <v>6000000</v>
      </c>
      <c r="R3801" s="42">
        <f>+L3801+N3801-P3801</f>
        <v/>
      </c>
      <c r="S3801" s="42">
        <f>+M3801+O3801-Q3801</f>
        <v/>
      </c>
    </row>
    <row r="3802" ht="15" customHeight="1">
      <c r="A3802" s="16" t="n">
        <v>45982</v>
      </c>
      <c r="B3802" s="17" t="inlineStr">
        <is>
          <t>MH2511-27</t>
        </is>
      </c>
      <c r="C3802" s="16" t="n">
        <v>45982</v>
      </c>
      <c r="D3802" s="17" t="inlineStr">
        <is>
          <t>00011043</t>
        </is>
      </c>
      <c r="E3802" s="16" t="n">
        <v>45982</v>
      </c>
      <c r="F3802" s="66" t="inlineStr">
        <is>
          <t>XK2511-15</t>
        </is>
      </c>
      <c r="G3802" s="16" t="n">
        <v>45982</v>
      </c>
      <c r="H3802" s="17" t="inlineStr">
        <is>
          <t>CÔNG TY TNHH SƠN JOTUN VIỆT NAM</t>
        </is>
      </c>
      <c r="I3802" s="17" t="inlineStr">
        <is>
          <t>DUNG MÔI JOTUN THINNER NO. 17 5L</t>
        </is>
      </c>
      <c r="J3802" s="17" t="inlineStr">
        <is>
          <t>Lít</t>
        </is>
      </c>
      <c r="K3802" s="21" t="n">
        <v>60000</v>
      </c>
      <c r="L3802" s="20" t="n"/>
      <c r="M3802" s="20" t="n"/>
      <c r="N3802" s="43" t="n">
        <v>10</v>
      </c>
      <c r="O3802" s="20" t="n">
        <v>600000</v>
      </c>
      <c r="P3802" s="43" t="n">
        <v>10</v>
      </c>
      <c r="Q3802" s="20" t="n">
        <v>600000</v>
      </c>
      <c r="R3802" s="42">
        <f>+L3802+N3802-P3802</f>
        <v/>
      </c>
      <c r="S3802" s="42">
        <f>+M3802+O3802-Q3802</f>
        <v/>
      </c>
    </row>
    <row r="3803" ht="15" customHeight="1">
      <c r="A3803" s="16" t="n">
        <v>45982</v>
      </c>
      <c r="B3803" s="17" t="inlineStr">
        <is>
          <t>MH2511-28</t>
        </is>
      </c>
      <c r="C3803" s="16" t="n">
        <v>45982</v>
      </c>
      <c r="D3803" s="17" t="inlineStr">
        <is>
          <t>00011044</t>
        </is>
      </c>
      <c r="E3803" s="16" t="n">
        <v>45982</v>
      </c>
      <c r="F3803" s="66" t="inlineStr">
        <is>
          <t>XK2511-16</t>
        </is>
      </c>
      <c r="G3803" s="16" t="n">
        <v>45982</v>
      </c>
      <c r="H3803" s="17" t="inlineStr">
        <is>
          <t>CÔNG TY TNHH SƠN JOTUN VIỆT NAM</t>
        </is>
      </c>
      <c r="I3803" s="17" t="inlineStr">
        <is>
          <t>SƠN JOTAMASTIC 70 GREY 18L</t>
        </is>
      </c>
      <c r="J3803" s="17" t="inlineStr">
        <is>
          <t>Lít</t>
        </is>
      </c>
      <c r="K3803" s="21" t="n">
        <v>90000</v>
      </c>
      <c r="L3803" s="20" t="n"/>
      <c r="M3803" s="20" t="n"/>
      <c r="N3803" s="43" t="n">
        <v>1116</v>
      </c>
      <c r="O3803" s="20" t="n">
        <v>100440000</v>
      </c>
      <c r="P3803" s="43" t="n">
        <v>1116</v>
      </c>
      <c r="Q3803" s="20" t="n">
        <v>100440000</v>
      </c>
      <c r="R3803" s="42">
        <f>+L3803+N3803-P3803</f>
        <v/>
      </c>
      <c r="S3803" s="42">
        <f>+M3803+O3803-Q3803</f>
        <v/>
      </c>
    </row>
    <row r="3804" ht="15" customHeight="1">
      <c r="A3804" s="16" t="n">
        <v>45982</v>
      </c>
      <c r="B3804" s="17" t="inlineStr">
        <is>
          <t>MH2511-28</t>
        </is>
      </c>
      <c r="C3804" s="16" t="n">
        <v>45982</v>
      </c>
      <c r="D3804" s="17" t="inlineStr">
        <is>
          <t>00011044</t>
        </is>
      </c>
      <c r="E3804" s="16" t="n">
        <v>45982</v>
      </c>
      <c r="F3804" s="66" t="inlineStr">
        <is>
          <t>XK2511-16</t>
        </is>
      </c>
      <c r="G3804" s="16" t="n">
        <v>45982</v>
      </c>
      <c r="H3804" s="17" t="inlineStr">
        <is>
          <t>CÔNG TY TNHH SƠN JOTUN VIỆT NAM</t>
        </is>
      </c>
      <c r="I3804" s="17" t="inlineStr">
        <is>
          <t>SƠN FUTURA CLASSIC RAL 7037 20L</t>
        </is>
      </c>
      <c r="J3804" s="17" t="inlineStr">
        <is>
          <t>Lít</t>
        </is>
      </c>
      <c r="K3804" s="21" t="n">
        <v>155000</v>
      </c>
      <c r="L3804" s="20" t="n"/>
      <c r="M3804" s="20" t="n"/>
      <c r="N3804" s="43" t="n">
        <v>680</v>
      </c>
      <c r="O3804" s="20" t="n">
        <v>105400000</v>
      </c>
      <c r="P3804" s="43" t="n">
        <v>680</v>
      </c>
      <c r="Q3804" s="20" t="n">
        <v>105400000</v>
      </c>
      <c r="R3804" s="42">
        <f>+L3804+N3804-P3804</f>
        <v/>
      </c>
      <c r="S3804" s="42">
        <f>+M3804+O3804-Q3804</f>
        <v/>
      </c>
    </row>
    <row r="3805" ht="15" customHeight="1">
      <c r="A3805" s="16" t="n">
        <v>45982</v>
      </c>
      <c r="B3805" s="17" t="inlineStr">
        <is>
          <t>MH2511-28</t>
        </is>
      </c>
      <c r="C3805" s="16" t="n">
        <v>45982</v>
      </c>
      <c r="D3805" s="17" t="inlineStr">
        <is>
          <t>00011044</t>
        </is>
      </c>
      <c r="E3805" s="16" t="n">
        <v>45982</v>
      </c>
      <c r="F3805" s="66" t="inlineStr">
        <is>
          <t>XK2511-16</t>
        </is>
      </c>
      <c r="G3805" s="16" t="n">
        <v>45982</v>
      </c>
      <c r="H3805" s="17" t="inlineStr">
        <is>
          <t>CÔNG TY TNHH SƠN JOTUN VIỆT NAM</t>
        </is>
      </c>
      <c r="I3805" s="17" t="inlineStr">
        <is>
          <t>DUNG MÔI JOTUN THINNER NO. 10 20L</t>
        </is>
      </c>
      <c r="J3805" s="17" t="inlineStr">
        <is>
          <t>Lít</t>
        </is>
      </c>
      <c r="K3805" s="21" t="n">
        <v>60000</v>
      </c>
      <c r="L3805" s="20" t="n"/>
      <c r="M3805" s="20" t="n"/>
      <c r="N3805" s="43" t="n">
        <v>100</v>
      </c>
      <c r="O3805" s="20" t="n">
        <v>6000000</v>
      </c>
      <c r="P3805" s="43" t="n">
        <v>100</v>
      </c>
      <c r="Q3805" s="20" t="n">
        <v>6000000</v>
      </c>
      <c r="R3805" s="42">
        <f>+L3805+N3805-P3805</f>
        <v/>
      </c>
      <c r="S3805" s="42">
        <f>+M3805+O3805-Q3805</f>
        <v/>
      </c>
    </row>
    <row r="3806" ht="15" customHeight="1">
      <c r="A3806" s="16" t="n">
        <v>45982</v>
      </c>
      <c r="B3806" s="17" t="inlineStr">
        <is>
          <t>MH2511-28</t>
        </is>
      </c>
      <c r="C3806" s="16" t="n">
        <v>45982</v>
      </c>
      <c r="D3806" s="17" t="inlineStr">
        <is>
          <t>00011044</t>
        </is>
      </c>
      <c r="E3806" s="16" t="n">
        <v>45982</v>
      </c>
      <c r="F3806" s="66" t="inlineStr">
        <is>
          <t>XK2511-16</t>
        </is>
      </c>
      <c r="G3806" s="16" t="n">
        <v>45982</v>
      </c>
      <c r="H3806" s="17" t="inlineStr">
        <is>
          <t>CÔNG TY TNHH SƠN JOTUN VIỆT NAM</t>
        </is>
      </c>
      <c r="I3806" s="17" t="inlineStr">
        <is>
          <t>DUNG MÔI JOTUN THINNER NO. 17 20L</t>
        </is>
      </c>
      <c r="J3806" s="17" t="inlineStr">
        <is>
          <t>Lít</t>
        </is>
      </c>
      <c r="K3806" s="21" t="n">
        <v>60000</v>
      </c>
      <c r="L3806" s="20" t="n"/>
      <c r="M3806" s="20" t="n"/>
      <c r="N3806" s="43" t="n">
        <v>160</v>
      </c>
      <c r="O3806" s="20" t="n">
        <v>9600000</v>
      </c>
      <c r="P3806" s="43" t="n">
        <v>160</v>
      </c>
      <c r="Q3806" s="20" t="n">
        <v>9600000</v>
      </c>
      <c r="R3806" s="42">
        <f>+L3806+N3806-P3806</f>
        <v/>
      </c>
      <c r="S3806" s="42">
        <f>+M3806+O3806-Q3806</f>
        <v/>
      </c>
    </row>
    <row r="3807" ht="15" customHeight="1">
      <c r="A3807" s="16" t="n">
        <v>45982</v>
      </c>
      <c r="B3807" s="17" t="inlineStr">
        <is>
          <t>MH2511-28</t>
        </is>
      </c>
      <c r="C3807" s="16" t="n">
        <v>45982</v>
      </c>
      <c r="D3807" s="17" t="inlineStr">
        <is>
          <t>00011044</t>
        </is>
      </c>
      <c r="E3807" s="16" t="n">
        <v>45982</v>
      </c>
      <c r="F3807" s="66" t="inlineStr">
        <is>
          <t>XK2511-16</t>
        </is>
      </c>
      <c r="G3807" s="16" t="n">
        <v>45982</v>
      </c>
      <c r="H3807" s="17" t="inlineStr">
        <is>
          <t>CÔNG TY TNHH SƠN JOTUN VIỆT NAM</t>
        </is>
      </c>
      <c r="I3807" s="17" t="inlineStr">
        <is>
          <t>DUNG MÔI JOTUN THINNER NO. 17 5L</t>
        </is>
      </c>
      <c r="J3807" s="17" t="inlineStr">
        <is>
          <t>Lít</t>
        </is>
      </c>
      <c r="K3807" s="21" t="n">
        <v>60000</v>
      </c>
      <c r="L3807" s="20" t="n"/>
      <c r="M3807" s="20" t="n"/>
      <c r="N3807" s="43" t="n">
        <v>10</v>
      </c>
      <c r="O3807" s="20" t="n">
        <v>600000</v>
      </c>
      <c r="P3807" s="43" t="n">
        <v>10</v>
      </c>
      <c r="Q3807" s="20" t="n">
        <v>600000</v>
      </c>
      <c r="R3807" s="42">
        <f>+L3807+N3807-P3807</f>
        <v/>
      </c>
      <c r="S3807" s="42">
        <f>+M3807+O3807-Q3807</f>
        <v/>
      </c>
    </row>
    <row r="3808" ht="30" customHeight="1">
      <c r="A3808" s="16" t="n">
        <v>45983</v>
      </c>
      <c r="B3808" s="17" t="inlineStr">
        <is>
          <t>MH2511-29</t>
        </is>
      </c>
      <c r="C3808" s="16" t="n">
        <v>45983</v>
      </c>
      <c r="D3808" s="17" t="inlineStr">
        <is>
          <t>00006555</t>
        </is>
      </c>
      <c r="E3808" s="16" t="n">
        <v>45983</v>
      </c>
      <c r="F3808" s="66" t="inlineStr">
        <is>
          <t>XK2511-17</t>
        </is>
      </c>
      <c r="G3808" s="16" t="n">
        <v>45983</v>
      </c>
      <c r="H3808" s="17" t="inlineStr">
        <is>
          <t>Công Ty TNHH Đầu Tư Thương Mại Dịch Vụ Việt Tiến Phát</t>
        </is>
      </c>
      <c r="I3808" s="17" t="inlineStr">
        <is>
          <t>Thép ống 114.3x3.96x6m</t>
        </is>
      </c>
      <c r="J3808" s="17" t="inlineStr">
        <is>
          <t>kg</t>
        </is>
      </c>
      <c r="K3808" s="21" t="n">
        <v>16303.74</v>
      </c>
      <c r="L3808" s="20" t="n"/>
      <c r="M3808" s="20" t="n"/>
      <c r="N3808" s="43" t="n">
        <v>3363.36</v>
      </c>
      <c r="O3808" s="20" t="n">
        <v>54835347</v>
      </c>
      <c r="P3808" s="43" t="n">
        <v>3363.36</v>
      </c>
      <c r="Q3808" s="20" t="n">
        <v>54835347</v>
      </c>
      <c r="R3808" s="42">
        <f>+L3808+N3808-P3808</f>
        <v/>
      </c>
      <c r="S3808" s="42">
        <f>+M3808+O3808-Q3808</f>
        <v/>
      </c>
    </row>
    <row r="3809" ht="30" customHeight="1">
      <c r="A3809" s="16" t="n">
        <v>45983</v>
      </c>
      <c r="B3809" s="17" t="inlineStr">
        <is>
          <t>MH2511-29</t>
        </is>
      </c>
      <c r="C3809" s="16" t="n">
        <v>45983</v>
      </c>
      <c r="D3809" s="17" t="inlineStr">
        <is>
          <t>00006555</t>
        </is>
      </c>
      <c r="E3809" s="16" t="n">
        <v>45983</v>
      </c>
      <c r="F3809" s="66" t="inlineStr">
        <is>
          <t>XK2511-17</t>
        </is>
      </c>
      <c r="G3809" s="16" t="n">
        <v>45983</v>
      </c>
      <c r="H3809" s="17" t="inlineStr">
        <is>
          <t>Công Ty TNHH Đầu Tư Thương Mại Dịch Vụ Việt Tiến Phát</t>
        </is>
      </c>
      <c r="I3809" s="17" t="inlineStr">
        <is>
          <t>Thép ống 141.3x5.16x6m</t>
        </is>
      </c>
      <c r="J3809" s="17" t="inlineStr">
        <is>
          <t>kg</t>
        </is>
      </c>
      <c r="K3809" s="21" t="n">
        <v>16303.74</v>
      </c>
      <c r="L3809" s="20" t="n"/>
      <c r="M3809" s="20" t="n"/>
      <c r="N3809" s="43" t="n">
        <v>1247.4</v>
      </c>
      <c r="O3809" s="20" t="n">
        <v>20337285</v>
      </c>
      <c r="P3809" s="43" t="n">
        <v>1247.4</v>
      </c>
      <c r="Q3809" s="20" t="n">
        <v>20337285</v>
      </c>
      <c r="R3809" s="42">
        <f>+L3809+N3809-P3809</f>
        <v/>
      </c>
      <c r="S3809" s="42">
        <f>+M3809+O3809-Q3809</f>
        <v/>
      </c>
    </row>
    <row r="3810" ht="30" customHeight="1">
      <c r="A3810" s="16" t="n">
        <v>45983</v>
      </c>
      <c r="B3810" s="17" t="inlineStr">
        <is>
          <t>MH2511-29</t>
        </is>
      </c>
      <c r="C3810" s="16" t="n">
        <v>45983</v>
      </c>
      <c r="D3810" s="17" t="inlineStr">
        <is>
          <t>00006555</t>
        </is>
      </c>
      <c r="E3810" s="16" t="n">
        <v>45983</v>
      </c>
      <c r="F3810" s="66" t="inlineStr">
        <is>
          <t>XK2511-17</t>
        </is>
      </c>
      <c r="G3810" s="16" t="n">
        <v>45983</v>
      </c>
      <c r="H3810" s="17" t="inlineStr">
        <is>
          <t>Công Ty TNHH Đầu Tư Thương Mại Dịch Vụ Việt Tiến Phát</t>
        </is>
      </c>
      <c r="I3810" s="17" t="inlineStr">
        <is>
          <t>Thép ống 168.3x5.56x6m</t>
        </is>
      </c>
      <c r="J3810" s="17" t="inlineStr">
        <is>
          <t>kg</t>
        </is>
      </c>
      <c r="K3810" s="21" t="n">
        <v>16303.74</v>
      </c>
      <c r="L3810" s="20" t="n"/>
      <c r="M3810" s="20" t="n"/>
      <c r="N3810" s="43" t="n">
        <v>1204.74</v>
      </c>
      <c r="O3810" s="20" t="n">
        <v>19641768</v>
      </c>
      <c r="P3810" s="43" t="n">
        <v>1204.74</v>
      </c>
      <c r="Q3810" s="20" t="n">
        <v>19641768</v>
      </c>
      <c r="R3810" s="42">
        <f>+L3810+N3810-P3810</f>
        <v/>
      </c>
      <c r="S3810" s="42">
        <f>+M3810+O3810-Q3810</f>
        <v/>
      </c>
    </row>
    <row r="3811" ht="30" customHeight="1">
      <c r="A3811" s="16" t="n">
        <v>45983</v>
      </c>
      <c r="B3811" s="17" t="inlineStr">
        <is>
          <t>MH2511-29</t>
        </is>
      </c>
      <c r="C3811" s="16" t="n">
        <v>45983</v>
      </c>
      <c r="D3811" s="17" t="inlineStr">
        <is>
          <t>00006555</t>
        </is>
      </c>
      <c r="E3811" s="16" t="n">
        <v>45983</v>
      </c>
      <c r="F3811" s="66" t="inlineStr">
        <is>
          <t>XK2511-17</t>
        </is>
      </c>
      <c r="G3811" s="16" t="n">
        <v>45983</v>
      </c>
      <c r="H3811" s="17" t="inlineStr">
        <is>
          <t>Công Ty TNHH Đầu Tư Thương Mại Dịch Vụ Việt Tiến Phát</t>
        </is>
      </c>
      <c r="I3811" s="17" t="inlineStr">
        <is>
          <t>Thép ống 88.3x3.0x6m</t>
        </is>
      </c>
      <c r="J3811" s="17" t="inlineStr">
        <is>
          <t>kg</t>
        </is>
      </c>
      <c r="K3811" s="21" t="n">
        <v>16031.01</v>
      </c>
      <c r="L3811" s="20" t="n"/>
      <c r="M3811" s="20" t="n"/>
      <c r="N3811" s="43" t="n">
        <v>1552.67</v>
      </c>
      <c r="O3811" s="20" t="n">
        <v>24890868</v>
      </c>
      <c r="P3811" s="43" t="n">
        <v>1552.67</v>
      </c>
      <c r="Q3811" s="20" t="n">
        <v>24890868</v>
      </c>
      <c r="R3811" s="42">
        <f>+L3811+N3811-P3811</f>
        <v/>
      </c>
      <c r="S3811" s="42">
        <f>+M3811+O3811-Q3811</f>
        <v/>
      </c>
    </row>
    <row r="3812" ht="30" customHeight="1">
      <c r="A3812" s="16" t="n">
        <v>45983</v>
      </c>
      <c r="B3812" s="17" t="inlineStr">
        <is>
          <t>MH2511-29</t>
        </is>
      </c>
      <c r="C3812" s="16" t="n">
        <v>45983</v>
      </c>
      <c r="D3812" s="17" t="inlineStr">
        <is>
          <t>00006555</t>
        </is>
      </c>
      <c r="E3812" s="16" t="n">
        <v>45983</v>
      </c>
      <c r="F3812" s="66" t="inlineStr">
        <is>
          <t>XK2511-17</t>
        </is>
      </c>
      <c r="G3812" s="16" t="n">
        <v>45983</v>
      </c>
      <c r="H3812" s="17" t="inlineStr">
        <is>
          <t>Công Ty TNHH Đầu Tư Thương Mại Dịch Vụ Việt Tiến Phát</t>
        </is>
      </c>
      <c r="I3812" s="17" t="inlineStr">
        <is>
          <t>Thép hộp 150x150x4.5x6m</t>
        </is>
      </c>
      <c r="J3812" s="17" t="inlineStr">
        <is>
          <t>kg</t>
        </is>
      </c>
      <c r="K3812" s="21" t="n">
        <v>16303.74</v>
      </c>
      <c r="L3812" s="20" t="n"/>
      <c r="M3812" s="20" t="n"/>
      <c r="N3812" s="43" t="n">
        <v>1839.3</v>
      </c>
      <c r="O3812" s="20" t="n">
        <v>29987469</v>
      </c>
      <c r="P3812" s="43" t="n">
        <v>1839.3</v>
      </c>
      <c r="Q3812" s="20" t="n">
        <v>29987469</v>
      </c>
      <c r="R3812" s="42">
        <f>+L3812+N3812-P3812</f>
        <v/>
      </c>
      <c r="S3812" s="42">
        <f>+M3812+O3812-Q3812</f>
        <v/>
      </c>
    </row>
    <row r="3813" ht="30" customHeight="1">
      <c r="A3813" s="16" t="n">
        <v>45983</v>
      </c>
      <c r="B3813" s="17" t="inlineStr">
        <is>
          <t>MH2511-29</t>
        </is>
      </c>
      <c r="C3813" s="16" t="n">
        <v>45983</v>
      </c>
      <c r="D3813" s="17" t="inlineStr">
        <is>
          <t>00006555</t>
        </is>
      </c>
      <c r="E3813" s="16" t="n">
        <v>45983</v>
      </c>
      <c r="F3813" s="66" t="inlineStr">
        <is>
          <t>XK2511-17</t>
        </is>
      </c>
      <c r="G3813" s="16" t="n">
        <v>45983</v>
      </c>
      <c r="H3813" s="17" t="inlineStr">
        <is>
          <t>Công Ty TNHH Đầu Tư Thương Mại Dịch Vụ Việt Tiến Phát</t>
        </is>
      </c>
      <c r="I3813" s="17" t="inlineStr">
        <is>
          <t>Thép hộp 200x200x4.0x6m</t>
        </is>
      </c>
      <c r="J3813" s="17" t="inlineStr">
        <is>
          <t>kg</t>
        </is>
      </c>
      <c r="K3813" s="21" t="n">
        <v>16303.74</v>
      </c>
      <c r="L3813" s="21" t="n"/>
      <c r="M3813" s="22" t="n"/>
      <c r="N3813" s="22" t="n">
        <v>1471</v>
      </c>
      <c r="O3813" s="22" t="n">
        <v>23982802</v>
      </c>
      <c r="P3813" s="22" t="n">
        <v>1471</v>
      </c>
      <c r="Q3813" s="22" t="n">
        <v>23982802</v>
      </c>
      <c r="R3813" s="42">
        <f>+L3813+N3813-P3813</f>
        <v/>
      </c>
      <c r="S3813" s="42">
        <f>+M3813+O3813-Q3813</f>
        <v/>
      </c>
    </row>
    <row r="3814" ht="30" customHeight="1">
      <c r="A3814" s="16" t="n">
        <v>45983</v>
      </c>
      <c r="B3814" s="17" t="inlineStr">
        <is>
          <t>MH2511-30</t>
        </is>
      </c>
      <c r="C3814" s="16" t="n">
        <v>45983</v>
      </c>
      <c r="D3814" s="17" t="inlineStr">
        <is>
          <t>00002718</t>
        </is>
      </c>
      <c r="E3814" s="16" t="n">
        <v>45983</v>
      </c>
      <c r="F3814" s="66" t="inlineStr">
        <is>
          <t>XK2511-25</t>
        </is>
      </c>
      <c r="G3814" s="16" t="n">
        <v>45991</v>
      </c>
      <c r="H3814" s="17" t="inlineStr">
        <is>
          <t>CÔNG TY TNHH DỊCH VỤ - THƯƠNG MẠI THÉP THIÊN LONG</t>
        </is>
      </c>
      <c r="I3814" s="17" t="inlineStr">
        <is>
          <t>Thép hình I250</t>
        </is>
      </c>
      <c r="J3814" s="17" t="inlineStr">
        <is>
          <t>kg</t>
        </is>
      </c>
      <c r="K3814" s="21" t="n">
        <v>19100</v>
      </c>
      <c r="L3814" s="21" t="n"/>
      <c r="M3814" s="22" t="n"/>
      <c r="N3814" s="22" t="n">
        <v>9945.6</v>
      </c>
      <c r="O3814" s="22" t="n">
        <v>189960960</v>
      </c>
      <c r="P3814" s="22" t="n">
        <v>9945.6</v>
      </c>
      <c r="Q3814" s="22" t="n">
        <v>189960960</v>
      </c>
      <c r="R3814" s="42">
        <f>+L3814+N3814-P3814</f>
        <v/>
      </c>
      <c r="S3814" s="42">
        <f>+M3814+O3814-Q3814</f>
        <v/>
      </c>
    </row>
    <row r="3815" ht="30" customHeight="1">
      <c r="A3815" s="16" t="n">
        <v>45983</v>
      </c>
      <c r="B3815" s="17" t="inlineStr">
        <is>
          <t>MH2511-30</t>
        </is>
      </c>
      <c r="C3815" s="16" t="n">
        <v>45983</v>
      </c>
      <c r="D3815" s="17" t="inlineStr">
        <is>
          <t>00002718</t>
        </is>
      </c>
      <c r="E3815" s="16" t="n">
        <v>45983</v>
      </c>
      <c r="F3815" s="66" t="inlineStr">
        <is>
          <t>XK2511-25</t>
        </is>
      </c>
      <c r="G3815" s="16" t="n">
        <v>45991</v>
      </c>
      <c r="H3815" s="17" t="inlineStr">
        <is>
          <t>CÔNG TY TNHH DỊCH VỤ - THƯƠNG MẠI THÉP THIÊN LONG</t>
        </is>
      </c>
      <c r="I3815" s="17" t="inlineStr">
        <is>
          <t>Thép hình I298</t>
        </is>
      </c>
      <c r="J3815" s="17" t="inlineStr">
        <is>
          <t>kg</t>
        </is>
      </c>
      <c r="K3815" s="21" t="n">
        <v>17100</v>
      </c>
      <c r="L3815" s="21" t="n"/>
      <c r="M3815" s="22" t="n"/>
      <c r="N3815" s="22" t="n">
        <v>11136</v>
      </c>
      <c r="O3815" s="22" t="n">
        <v>190425600</v>
      </c>
      <c r="P3815" s="22" t="n">
        <v>11136</v>
      </c>
      <c r="Q3815" s="22" t="n">
        <v>190425600</v>
      </c>
      <c r="R3815" s="42">
        <f>+L3815+N3815-P3815</f>
        <v/>
      </c>
      <c r="S3815" s="42">
        <f>+M3815+O3815-Q3815</f>
        <v/>
      </c>
    </row>
    <row r="3816" ht="30" customHeight="1">
      <c r="A3816" s="16" t="n">
        <v>45983</v>
      </c>
      <c r="B3816" s="17" t="inlineStr">
        <is>
          <t>MH2511-30</t>
        </is>
      </c>
      <c r="C3816" s="16" t="n">
        <v>45983</v>
      </c>
      <c r="D3816" s="17" t="inlineStr">
        <is>
          <t>00002718</t>
        </is>
      </c>
      <c r="E3816" s="16" t="n">
        <v>45983</v>
      </c>
      <c r="F3816" s="66" t="inlineStr">
        <is>
          <t>XK2511-25</t>
        </is>
      </c>
      <c r="G3816" s="16" t="n">
        <v>45991</v>
      </c>
      <c r="H3816" s="17" t="inlineStr">
        <is>
          <t>CÔNG TY TNHH DỊCH VỤ - THƯƠNG MẠI THÉP THIÊN LONG</t>
        </is>
      </c>
      <c r="I3816" s="17" t="inlineStr">
        <is>
          <t>Thép hình I300</t>
        </is>
      </c>
      <c r="J3816" s="17" t="inlineStr">
        <is>
          <t>kg</t>
        </is>
      </c>
      <c r="K3816" s="21" t="n">
        <v>17300</v>
      </c>
      <c r="L3816" s="21" t="n"/>
      <c r="M3816" s="22" t="n"/>
      <c r="N3816" s="22" t="n">
        <v>5284.8</v>
      </c>
      <c r="O3816" s="22" t="n">
        <v>91427040</v>
      </c>
      <c r="P3816" s="22" t="n">
        <v>5284.8</v>
      </c>
      <c r="Q3816" s="22" t="n">
        <v>91427040</v>
      </c>
      <c r="R3816" s="42">
        <f>+L3816+N3816-P3816</f>
        <v/>
      </c>
      <c r="S3816" s="42">
        <f>+M3816+O3816-Q3816</f>
        <v/>
      </c>
    </row>
    <row r="3817" ht="30" customHeight="1">
      <c r="A3817" s="16" t="n">
        <v>45983</v>
      </c>
      <c r="B3817" s="17" t="inlineStr">
        <is>
          <t>MH2511-30</t>
        </is>
      </c>
      <c r="C3817" s="16" t="n">
        <v>45983</v>
      </c>
      <c r="D3817" s="17" t="inlineStr">
        <is>
          <t>00002718</t>
        </is>
      </c>
      <c r="E3817" s="16" t="n">
        <v>45983</v>
      </c>
      <c r="F3817" s="66" t="inlineStr">
        <is>
          <t>XK2511-25</t>
        </is>
      </c>
      <c r="G3817" s="16" t="n">
        <v>45991</v>
      </c>
      <c r="H3817" s="17" t="inlineStr">
        <is>
          <t>CÔNG TY TNHH DỊCH VỤ - THƯƠNG MẠI THÉP THIÊN LONG</t>
        </is>
      </c>
      <c r="I3817" s="17" t="inlineStr">
        <is>
          <t>Thép hình I350</t>
        </is>
      </c>
      <c r="J3817" s="17" t="inlineStr">
        <is>
          <t>kg</t>
        </is>
      </c>
      <c r="K3817" s="21" t="n">
        <v>17100</v>
      </c>
      <c r="L3817" s="21" t="n"/>
      <c r="M3817" s="22" t="n"/>
      <c r="N3817" s="22" t="n">
        <v>5952</v>
      </c>
      <c r="O3817" s="22" t="n">
        <v>101779200</v>
      </c>
      <c r="P3817" s="22" t="n">
        <v>5952</v>
      </c>
      <c r="Q3817" s="22" t="n">
        <v>101779200</v>
      </c>
      <c r="R3817" s="42">
        <f>+L3817+N3817-P3817</f>
        <v/>
      </c>
      <c r="S3817" s="42">
        <f>+M3817+O3817-Q3817</f>
        <v/>
      </c>
    </row>
    <row r="3818" ht="30" customHeight="1">
      <c r="A3818" s="16" t="n">
        <v>45983</v>
      </c>
      <c r="B3818" s="17" t="inlineStr">
        <is>
          <t>MH2511-30</t>
        </is>
      </c>
      <c r="C3818" s="16" t="n">
        <v>45983</v>
      </c>
      <c r="D3818" s="17" t="inlineStr">
        <is>
          <t>00002718</t>
        </is>
      </c>
      <c r="E3818" s="16" t="n">
        <v>45983</v>
      </c>
      <c r="F3818" s="66" t="inlineStr">
        <is>
          <t>XK2511-25</t>
        </is>
      </c>
      <c r="G3818" s="16" t="n">
        <v>45991</v>
      </c>
      <c r="H3818" s="17" t="inlineStr">
        <is>
          <t>CÔNG TY TNHH DỊCH VỤ - THƯƠNG MẠI THÉP THIÊN LONG</t>
        </is>
      </c>
      <c r="I3818" s="17" t="inlineStr">
        <is>
          <t>Thép hình I396</t>
        </is>
      </c>
      <c r="J3818" s="17" t="inlineStr">
        <is>
          <t>kg</t>
        </is>
      </c>
      <c r="K3818" s="21" t="n">
        <v>17100</v>
      </c>
      <c r="L3818" s="21" t="n"/>
      <c r="M3818" s="22" t="n"/>
      <c r="N3818" s="22" t="n">
        <v>3396</v>
      </c>
      <c r="O3818" s="22" t="n">
        <v>58071600</v>
      </c>
      <c r="P3818" s="22" t="n">
        <v>3396</v>
      </c>
      <c r="Q3818" s="22" t="n">
        <v>58071600</v>
      </c>
      <c r="R3818" s="42">
        <f>+L3818+N3818-P3818</f>
        <v/>
      </c>
      <c r="S3818" s="42">
        <f>+M3818+O3818-Q3818</f>
        <v/>
      </c>
    </row>
    <row r="3819" ht="30" customHeight="1">
      <c r="A3819" s="16" t="n">
        <v>45983</v>
      </c>
      <c r="B3819" s="17" t="inlineStr">
        <is>
          <t>MH2511-30</t>
        </is>
      </c>
      <c r="C3819" s="16" t="n">
        <v>45983</v>
      </c>
      <c r="D3819" s="17" t="inlineStr">
        <is>
          <t>00002718</t>
        </is>
      </c>
      <c r="E3819" s="16" t="n">
        <v>45983</v>
      </c>
      <c r="F3819" s="66" t="inlineStr">
        <is>
          <t>XK2511-25</t>
        </is>
      </c>
      <c r="G3819" s="16" t="n">
        <v>45991</v>
      </c>
      <c r="H3819" s="17" t="inlineStr">
        <is>
          <t>CÔNG TY TNHH DỊCH VỤ - THƯƠNG MẠI THÉP THIÊN LONG</t>
        </is>
      </c>
      <c r="I3819" s="17" t="inlineStr">
        <is>
          <t>Thép hình I450</t>
        </is>
      </c>
      <c r="J3819" s="17" t="inlineStr">
        <is>
          <t>kg</t>
        </is>
      </c>
      <c r="K3819" s="21" t="n">
        <v>17100</v>
      </c>
      <c r="L3819" s="21" t="n"/>
      <c r="M3819" s="22" t="n"/>
      <c r="N3819" s="22" t="n">
        <v>912</v>
      </c>
      <c r="O3819" s="22" t="n">
        <v>15595200</v>
      </c>
      <c r="P3819" s="22" t="n">
        <v>912</v>
      </c>
      <c r="Q3819" s="22" t="n">
        <v>15595200</v>
      </c>
      <c r="R3819" s="42">
        <f>+L3819+N3819-P3819</f>
        <v/>
      </c>
      <c r="S3819" s="42">
        <f>+M3819+O3819-Q3819</f>
        <v/>
      </c>
    </row>
    <row r="3820" ht="30" customHeight="1">
      <c r="A3820" s="16" t="n">
        <v>45983</v>
      </c>
      <c r="B3820" s="17" t="inlineStr">
        <is>
          <t>MH2511-30</t>
        </is>
      </c>
      <c r="C3820" s="16" t="n">
        <v>45983</v>
      </c>
      <c r="D3820" s="17" t="inlineStr">
        <is>
          <t>00002718</t>
        </is>
      </c>
      <c r="E3820" s="16" t="n">
        <v>45983</v>
      </c>
      <c r="F3820" s="66" t="inlineStr">
        <is>
          <t>XK2511-25</t>
        </is>
      </c>
      <c r="G3820" s="16" t="n">
        <v>45991</v>
      </c>
      <c r="H3820" s="17" t="inlineStr">
        <is>
          <t>CÔNG TY TNHH DỊCH VỤ - THƯƠNG MẠI THÉP THIÊN LONG</t>
        </is>
      </c>
      <c r="I3820" s="17" t="inlineStr">
        <is>
          <t>Thép hình I500</t>
        </is>
      </c>
      <c r="J3820" s="17" t="inlineStr">
        <is>
          <t>kg</t>
        </is>
      </c>
      <c r="K3820" s="21" t="n">
        <v>17100</v>
      </c>
      <c r="L3820" s="21" t="n"/>
      <c r="M3820" s="22" t="n"/>
      <c r="N3820" s="22" t="n">
        <v>4300.8</v>
      </c>
      <c r="O3820" s="22" t="n">
        <v>73543680</v>
      </c>
      <c r="P3820" s="22" t="n">
        <v>4300.8</v>
      </c>
      <c r="Q3820" s="22" t="n">
        <v>73543680</v>
      </c>
      <c r="R3820" s="42">
        <f>+L3820+N3820-P3820</f>
        <v/>
      </c>
      <c r="S3820" s="42">
        <f>+M3820+O3820-Q3820</f>
        <v/>
      </c>
    </row>
    <row r="3821" ht="30" customHeight="1">
      <c r="A3821" s="16" t="n">
        <v>45983</v>
      </c>
      <c r="B3821" s="17" t="inlineStr">
        <is>
          <t>MH2511-30</t>
        </is>
      </c>
      <c r="C3821" s="16" t="n">
        <v>45983</v>
      </c>
      <c r="D3821" s="17" t="inlineStr">
        <is>
          <t>00002718</t>
        </is>
      </c>
      <c r="E3821" s="16" t="n">
        <v>45983</v>
      </c>
      <c r="F3821" s="66" t="inlineStr">
        <is>
          <t>XK2511-25</t>
        </is>
      </c>
      <c r="G3821" s="16" t="n">
        <v>45991</v>
      </c>
      <c r="H3821" s="17" t="inlineStr">
        <is>
          <t>CÔNG TY TNHH DỊCH VỤ - THƯƠNG MẠI THÉP THIÊN LONG</t>
        </is>
      </c>
      <c r="I3821" s="17" t="inlineStr">
        <is>
          <t>Thép hình I150</t>
        </is>
      </c>
      <c r="J3821" s="17" t="inlineStr">
        <is>
          <t>kg</t>
        </is>
      </c>
      <c r="K3821" s="21" t="n">
        <v>17300</v>
      </c>
      <c r="L3821" s="21" t="n"/>
      <c r="M3821" s="22" t="n"/>
      <c r="N3821" s="22" t="n">
        <v>9072</v>
      </c>
      <c r="O3821" s="22" t="n">
        <v>156945600</v>
      </c>
      <c r="P3821" s="22" t="n">
        <v>9072</v>
      </c>
      <c r="Q3821" s="22" t="n">
        <v>156945600</v>
      </c>
      <c r="R3821" s="42">
        <f>+L3821+N3821-P3821</f>
        <v/>
      </c>
      <c r="S3821" s="42">
        <f>+M3821+O3821-Q3821</f>
        <v/>
      </c>
    </row>
    <row r="3822" ht="30" customHeight="1">
      <c r="A3822" s="16" t="n">
        <v>45983</v>
      </c>
      <c r="B3822" s="17" t="inlineStr">
        <is>
          <t>MH2511-30</t>
        </is>
      </c>
      <c r="C3822" s="16" t="n">
        <v>45983</v>
      </c>
      <c r="D3822" s="17" t="inlineStr">
        <is>
          <t>00002718</t>
        </is>
      </c>
      <c r="E3822" s="16" t="n">
        <v>45983</v>
      </c>
      <c r="F3822" s="66" t="inlineStr">
        <is>
          <t>XK2511-25</t>
        </is>
      </c>
      <c r="G3822" s="16" t="n">
        <v>45991</v>
      </c>
      <c r="H3822" s="17" t="inlineStr">
        <is>
          <t>CÔNG TY TNHH DỊCH VỤ - THƯƠNG MẠI THÉP THIÊN LONG</t>
        </is>
      </c>
      <c r="I3822" s="17" t="inlineStr">
        <is>
          <t>Thép tấm 10ly</t>
        </is>
      </c>
      <c r="J3822" s="17" t="inlineStr">
        <is>
          <t>kg</t>
        </is>
      </c>
      <c r="K3822" s="21" t="n">
        <v>13636.36</v>
      </c>
      <c r="L3822" s="21" t="n"/>
      <c r="M3822" s="22" t="n"/>
      <c r="N3822" s="22" t="n">
        <v>43803</v>
      </c>
      <c r="O3822" s="22" t="n">
        <v>597313477</v>
      </c>
      <c r="P3822" s="22" t="n">
        <v>43803</v>
      </c>
      <c r="Q3822" s="22" t="n">
        <v>597313477</v>
      </c>
      <c r="R3822" s="42">
        <f>+L3822+N3822-P3822</f>
        <v/>
      </c>
      <c r="S3822" s="42">
        <f>+M3822+O3822-Q3822</f>
        <v/>
      </c>
    </row>
    <row r="3823" ht="30" customHeight="1">
      <c r="A3823" s="16" t="n">
        <v>45983</v>
      </c>
      <c r="B3823" s="17" t="inlineStr">
        <is>
          <t>MH2511-30</t>
        </is>
      </c>
      <c r="C3823" s="16" t="n">
        <v>45983</v>
      </c>
      <c r="D3823" s="17" t="inlineStr">
        <is>
          <t>00002718</t>
        </is>
      </c>
      <c r="E3823" s="16" t="n">
        <v>45983</v>
      </c>
      <c r="F3823" s="66" t="inlineStr">
        <is>
          <t>XK2511-25</t>
        </is>
      </c>
      <c r="G3823" s="16" t="n">
        <v>45991</v>
      </c>
      <c r="H3823" s="17" t="inlineStr">
        <is>
          <t>CÔNG TY TNHH DỊCH VỤ - THƯƠNG MẠI THÉP THIÊN LONG</t>
        </is>
      </c>
      <c r="I3823" s="17" t="inlineStr">
        <is>
          <t>Thép tấm 12ly</t>
        </is>
      </c>
      <c r="J3823" s="17" t="inlineStr">
        <is>
          <t>kg</t>
        </is>
      </c>
      <c r="K3823" s="21" t="n">
        <v>13636.36</v>
      </c>
      <c r="L3823" s="21" t="n"/>
      <c r="M3823" s="22" t="n"/>
      <c r="N3823" s="22" t="n">
        <v>11021.4</v>
      </c>
      <c r="O3823" s="22" t="n">
        <v>150291778</v>
      </c>
      <c r="P3823" s="22" t="n">
        <v>11021.4</v>
      </c>
      <c r="Q3823" s="22" t="n">
        <v>150291778</v>
      </c>
      <c r="R3823" s="42">
        <f>+L3823+N3823-P3823</f>
        <v/>
      </c>
      <c r="S3823" s="42">
        <f>+M3823+O3823-Q3823</f>
        <v/>
      </c>
    </row>
    <row r="3824" ht="30" customHeight="1">
      <c r="A3824" s="16" t="n">
        <v>45983</v>
      </c>
      <c r="B3824" s="17" t="inlineStr">
        <is>
          <t>MH2511-30</t>
        </is>
      </c>
      <c r="C3824" s="16" t="n">
        <v>45983</v>
      </c>
      <c r="D3824" s="17" t="inlineStr">
        <is>
          <t>00002718</t>
        </is>
      </c>
      <c r="E3824" s="16" t="n">
        <v>45983</v>
      </c>
      <c r="F3824" s="66" t="inlineStr">
        <is>
          <t>XK2511-25</t>
        </is>
      </c>
      <c r="G3824" s="16" t="n">
        <v>45991</v>
      </c>
      <c r="H3824" s="17" t="inlineStr">
        <is>
          <t>CÔNG TY TNHH DỊCH VỤ - THƯƠNG MẠI THÉP THIÊN LONG</t>
        </is>
      </c>
      <c r="I3824" s="17" t="inlineStr">
        <is>
          <t>Thép tấm 8ly</t>
        </is>
      </c>
      <c r="J3824" s="17" t="inlineStr">
        <is>
          <t>kg</t>
        </is>
      </c>
      <c r="K3824" s="21" t="n">
        <v>13636.36</v>
      </c>
      <c r="L3824" s="21" t="n"/>
      <c r="M3824" s="22" t="n"/>
      <c r="N3824" s="22" t="n">
        <v>29202</v>
      </c>
      <c r="O3824" s="22" t="n">
        <v>398208985</v>
      </c>
      <c r="P3824" s="22" t="n">
        <v>29202</v>
      </c>
      <c r="Q3824" s="22" t="n">
        <v>398208985</v>
      </c>
      <c r="R3824" s="42">
        <f>+L3824+N3824-P3824</f>
        <v/>
      </c>
      <c r="S3824" s="42">
        <f>+M3824+O3824-Q3824</f>
        <v/>
      </c>
    </row>
    <row r="3825" ht="30" customHeight="1">
      <c r="A3825" s="16" t="n">
        <v>45983</v>
      </c>
      <c r="B3825" s="17" t="inlineStr">
        <is>
          <t>MH2511-30</t>
        </is>
      </c>
      <c r="C3825" s="16" t="n">
        <v>45983</v>
      </c>
      <c r="D3825" s="17" t="inlineStr">
        <is>
          <t>00002718</t>
        </is>
      </c>
      <c r="E3825" s="16" t="n">
        <v>45983</v>
      </c>
      <c r="F3825" s="66" t="inlineStr">
        <is>
          <t>XK2511-25</t>
        </is>
      </c>
      <c r="G3825" s="16" t="n">
        <v>45991</v>
      </c>
      <c r="H3825" s="17" t="inlineStr">
        <is>
          <t>CÔNG TY TNHH DỊCH VỤ - THƯƠNG MẠI THÉP THIÊN LONG</t>
        </is>
      </c>
      <c r="I3825" s="17" t="inlineStr">
        <is>
          <t>Thép tấm 5ly</t>
        </is>
      </c>
      <c r="J3825" s="17" t="inlineStr">
        <is>
          <t>kg</t>
        </is>
      </c>
      <c r="K3825" s="21" t="n">
        <v>13636.36</v>
      </c>
      <c r="L3825" s="21" t="n"/>
      <c r="M3825" s="22" t="n"/>
      <c r="N3825" s="22" t="n">
        <v>22058.5</v>
      </c>
      <c r="O3825" s="22" t="n">
        <v>300797647</v>
      </c>
      <c r="P3825" s="22" t="n">
        <v>22058.5</v>
      </c>
      <c r="Q3825" s="22" t="n">
        <v>300797647</v>
      </c>
      <c r="R3825" s="42">
        <f>+L3825+N3825-P3825</f>
        <v/>
      </c>
      <c r="S3825" s="42">
        <f>+M3825+O3825-Q3825</f>
        <v/>
      </c>
    </row>
    <row r="3826" ht="30" customHeight="1">
      <c r="A3826" s="16" t="n">
        <v>45985</v>
      </c>
      <c r="B3826" s="17" t="inlineStr">
        <is>
          <t>MH2511-31</t>
        </is>
      </c>
      <c r="C3826" s="16" t="n">
        <v>45985</v>
      </c>
      <c r="D3826" s="17" t="inlineStr">
        <is>
          <t>00004641</t>
        </is>
      </c>
      <c r="E3826" s="16" t="n">
        <v>45985</v>
      </c>
      <c r="F3826" s="66" t="inlineStr">
        <is>
          <t>XK2511-18</t>
        </is>
      </c>
      <c r="G3826" s="16" t="n">
        <v>45985</v>
      </c>
      <c r="H3826" s="17" t="inlineStr">
        <is>
          <t>CÔNG TY CỔ PHẦN CÔNG NGHIỆP VÀ THƯƠNG MẠI CƯỜNG THỊNH</t>
        </is>
      </c>
      <c r="I3826" s="17" t="inlineStr">
        <is>
          <t>Bulong A325M Type 1 ZP M16x60(60)</t>
        </is>
      </c>
      <c r="J3826" s="17" t="inlineStr">
        <is>
          <t>Cái</t>
        </is>
      </c>
      <c r="K3826" s="21" t="n">
        <v>45190</v>
      </c>
      <c r="L3826" s="21" t="n"/>
      <c r="M3826" s="22" t="n"/>
      <c r="N3826" s="22" t="n">
        <v>100</v>
      </c>
      <c r="O3826" s="22" t="n">
        <v>4519000</v>
      </c>
      <c r="P3826" s="22" t="n">
        <v>100</v>
      </c>
      <c r="Q3826" s="22" t="n">
        <v>4519000</v>
      </c>
      <c r="R3826" s="42">
        <f>+L3826+N3826-P3826</f>
        <v/>
      </c>
      <c r="S3826" s="42">
        <f>+M3826+O3826-Q3826</f>
        <v/>
      </c>
    </row>
    <row r="3827" ht="30" customHeight="1">
      <c r="A3827" s="16" t="n">
        <v>45985</v>
      </c>
      <c r="B3827" s="17" t="inlineStr">
        <is>
          <t>MH2511-31</t>
        </is>
      </c>
      <c r="C3827" s="16" t="n">
        <v>45985</v>
      </c>
      <c r="D3827" s="17" t="inlineStr">
        <is>
          <t>00004641</t>
        </is>
      </c>
      <c r="E3827" s="16" t="n">
        <v>45985</v>
      </c>
      <c r="F3827" s="66" t="inlineStr">
        <is>
          <t>XK2511-18</t>
        </is>
      </c>
      <c r="G3827" s="16" t="n">
        <v>45985</v>
      </c>
      <c r="H3827" s="17" t="inlineStr">
        <is>
          <t>CÔNG TY CỔ PHẦN CÔNG NGHIỆP VÀ THƯƠNG MẠI CƯỜNG THỊNH</t>
        </is>
      </c>
      <c r="I3827" s="17" t="inlineStr">
        <is>
          <t>Đai ốc A563M 10 ZP M16</t>
        </is>
      </c>
      <c r="J3827" s="17" t="inlineStr">
        <is>
          <t>Cái</t>
        </is>
      </c>
      <c r="K3827" s="21" t="n">
        <v>2420</v>
      </c>
      <c r="L3827" s="21" t="n"/>
      <c r="M3827" s="22" t="n"/>
      <c r="N3827" s="22" t="n">
        <v>100</v>
      </c>
      <c r="O3827" s="22" t="n">
        <v>242000</v>
      </c>
      <c r="P3827" s="22" t="n">
        <v>100</v>
      </c>
      <c r="Q3827" s="22" t="n">
        <v>242000</v>
      </c>
      <c r="R3827" s="42">
        <f>+L3827+N3827-P3827</f>
        <v/>
      </c>
      <c r="S3827" s="42">
        <f>+M3827+O3827-Q3827</f>
        <v/>
      </c>
    </row>
    <row r="3828" ht="30" customHeight="1">
      <c r="A3828" s="16" t="n">
        <v>45985</v>
      </c>
      <c r="B3828" s="17" t="inlineStr">
        <is>
          <t>MH2511-31</t>
        </is>
      </c>
      <c r="C3828" s="16" t="n">
        <v>45985</v>
      </c>
      <c r="D3828" s="17" t="inlineStr">
        <is>
          <t>00004641</t>
        </is>
      </c>
      <c r="E3828" s="16" t="n">
        <v>45985</v>
      </c>
      <c r="F3828" s="66" t="inlineStr">
        <is>
          <t>XK2511-18</t>
        </is>
      </c>
      <c r="G3828" s="16" t="n">
        <v>45985</v>
      </c>
      <c r="H3828" s="17" t="inlineStr">
        <is>
          <t>CÔNG TY CỔ PHẦN CÔNG NGHIỆP VÀ THƯƠNG MẠI CƯỜNG THỊNH</t>
        </is>
      </c>
      <c r="I3828" s="17" t="inlineStr">
        <is>
          <t>Long đền F436M Type 1 ZP M16</t>
        </is>
      </c>
      <c r="J3828" s="17" t="inlineStr">
        <is>
          <t>Cái</t>
        </is>
      </c>
      <c r="K3828" s="21" t="n">
        <v>830</v>
      </c>
      <c r="L3828" s="21" t="n"/>
      <c r="M3828" s="22" t="n"/>
      <c r="N3828" s="22" t="n">
        <v>100</v>
      </c>
      <c r="O3828" s="22" t="n">
        <v>83000</v>
      </c>
      <c r="P3828" s="22" t="n">
        <v>100</v>
      </c>
      <c r="Q3828" s="22" t="n">
        <v>83000</v>
      </c>
      <c r="R3828" s="42">
        <f>+L3828+N3828-P3828</f>
        <v/>
      </c>
      <c r="S3828" s="42">
        <f>+M3828+O3828-Q3828</f>
        <v/>
      </c>
    </row>
    <row r="3829" ht="30" customHeight="1">
      <c r="A3829" s="16" t="n">
        <v>45985</v>
      </c>
      <c r="B3829" s="17" t="inlineStr">
        <is>
          <t>MH2511-31</t>
        </is>
      </c>
      <c r="C3829" s="16" t="n">
        <v>45985</v>
      </c>
      <c r="D3829" s="17" t="inlineStr">
        <is>
          <t>00004641</t>
        </is>
      </c>
      <c r="E3829" s="16" t="n">
        <v>45985</v>
      </c>
      <c r="F3829" s="66" t="inlineStr">
        <is>
          <t>XK2511-18</t>
        </is>
      </c>
      <c r="G3829" s="16" t="n">
        <v>45985</v>
      </c>
      <c r="H3829" s="17" t="inlineStr">
        <is>
          <t>CÔNG TY CỔ PHẦN CÔNG NGHIỆP VÀ THƯƠNG MẠI CƯỜNG THỊNH</t>
        </is>
      </c>
      <c r="I3829" s="17" t="inlineStr">
        <is>
          <t>Bulong A325M Type 1 ZP M16x200(200)</t>
        </is>
      </c>
      <c r="J3829" s="17" t="inlineStr">
        <is>
          <t>Cái</t>
        </is>
      </c>
      <c r="K3829" s="21" t="n">
        <v>139400</v>
      </c>
      <c r="L3829" s="21" t="n"/>
      <c r="M3829" s="22" t="n"/>
      <c r="N3829" s="22" t="n">
        <v>10</v>
      </c>
      <c r="O3829" s="22" t="n">
        <v>1394000</v>
      </c>
      <c r="P3829" s="22" t="n">
        <v>10</v>
      </c>
      <c r="Q3829" s="22" t="n">
        <v>1394000</v>
      </c>
      <c r="R3829" s="42">
        <f>+L3829+N3829-P3829</f>
        <v/>
      </c>
      <c r="S3829" s="42">
        <f>+M3829+O3829-Q3829</f>
        <v/>
      </c>
    </row>
    <row r="3830" ht="30" customHeight="1">
      <c r="A3830" s="16" t="n">
        <v>45985</v>
      </c>
      <c r="B3830" s="17" t="inlineStr">
        <is>
          <t>MH2511-31</t>
        </is>
      </c>
      <c r="C3830" s="16" t="n">
        <v>45985</v>
      </c>
      <c r="D3830" s="17" t="inlineStr">
        <is>
          <t>00004641</t>
        </is>
      </c>
      <c r="E3830" s="16" t="n">
        <v>45985</v>
      </c>
      <c r="F3830" s="66" t="inlineStr">
        <is>
          <t>XK2511-18</t>
        </is>
      </c>
      <c r="G3830" s="16" t="n">
        <v>45985</v>
      </c>
      <c r="H3830" s="17" t="inlineStr">
        <is>
          <t>CÔNG TY CỔ PHẦN CÔNG NGHIỆP VÀ THƯƠNG MẠI CƯỜNG THỊNH</t>
        </is>
      </c>
      <c r="I3830" s="17" t="inlineStr">
        <is>
          <t>Đai ốc A563M 10 ZP M16</t>
        </is>
      </c>
      <c r="J3830" s="17" t="inlineStr">
        <is>
          <t>Cái</t>
        </is>
      </c>
      <c r="K3830" s="21" t="n">
        <v>2420</v>
      </c>
      <c r="L3830" s="21" t="n"/>
      <c r="M3830" s="22" t="n"/>
      <c r="N3830" s="22" t="n">
        <v>10</v>
      </c>
      <c r="O3830" s="22" t="n">
        <v>24200</v>
      </c>
      <c r="P3830" s="22" t="n">
        <v>10</v>
      </c>
      <c r="Q3830" s="22" t="n">
        <v>24200</v>
      </c>
      <c r="R3830" s="42">
        <f>+L3830+N3830-P3830</f>
        <v/>
      </c>
      <c r="S3830" s="42">
        <f>+M3830+O3830-Q3830</f>
        <v/>
      </c>
    </row>
    <row r="3831" ht="30" customHeight="1">
      <c r="A3831" s="16" t="n">
        <v>45985</v>
      </c>
      <c r="B3831" s="17" t="inlineStr">
        <is>
          <t>MH2511-31</t>
        </is>
      </c>
      <c r="C3831" s="16" t="n">
        <v>45985</v>
      </c>
      <c r="D3831" s="17" t="inlineStr">
        <is>
          <t>00004641</t>
        </is>
      </c>
      <c r="E3831" s="16" t="n">
        <v>45985</v>
      </c>
      <c r="F3831" s="66" t="inlineStr">
        <is>
          <t>XK2511-18</t>
        </is>
      </c>
      <c r="G3831" s="16" t="n">
        <v>45985</v>
      </c>
      <c r="H3831" s="17" t="inlineStr">
        <is>
          <t>CÔNG TY CỔ PHẦN CÔNG NGHIỆP VÀ THƯƠNG MẠI CƯỜNG THỊNH</t>
        </is>
      </c>
      <c r="I3831" s="17" t="inlineStr">
        <is>
          <t>Long đền F436M Type 1 ZP M16</t>
        </is>
      </c>
      <c r="J3831" s="17" t="inlineStr">
        <is>
          <t>Cái</t>
        </is>
      </c>
      <c r="K3831" s="21" t="n">
        <v>830</v>
      </c>
      <c r="L3831" s="21" t="n"/>
      <c r="M3831" s="22" t="n"/>
      <c r="N3831" s="22" t="n">
        <v>10</v>
      </c>
      <c r="O3831" s="22" t="n">
        <v>8300</v>
      </c>
      <c r="P3831" s="22" t="n">
        <v>10</v>
      </c>
      <c r="Q3831" s="22" t="n">
        <v>8300</v>
      </c>
      <c r="R3831" s="42">
        <f>+L3831+N3831-P3831</f>
        <v/>
      </c>
      <c r="S3831" s="42">
        <f>+M3831+O3831-Q3831</f>
        <v/>
      </c>
    </row>
    <row r="3832" ht="30" customHeight="1">
      <c r="A3832" s="16" t="n">
        <v>45985</v>
      </c>
      <c r="B3832" s="17" t="inlineStr">
        <is>
          <t>MH2511-31</t>
        </is>
      </c>
      <c r="C3832" s="16" t="n">
        <v>45985</v>
      </c>
      <c r="D3832" s="17" t="inlineStr">
        <is>
          <t>00004641</t>
        </is>
      </c>
      <c r="E3832" s="16" t="n">
        <v>45985</v>
      </c>
      <c r="F3832" s="66" t="inlineStr">
        <is>
          <t>XK2511-18</t>
        </is>
      </c>
      <c r="G3832" s="16" t="n">
        <v>45985</v>
      </c>
      <c r="H3832" s="17" t="inlineStr">
        <is>
          <t>CÔNG TY CỔ PHẦN CÔNG NGHIỆP VÀ THƯƠNG MẠI CƯỜNG THỊNH</t>
        </is>
      </c>
      <c r="I3832" s="17" t="inlineStr">
        <is>
          <t>Bulong A325M Type 1 ZP M24x80(80)</t>
        </is>
      </c>
      <c r="J3832" s="17" t="inlineStr">
        <is>
          <t>Cái</t>
        </is>
      </c>
      <c r="K3832" s="21" t="n">
        <v>21780</v>
      </c>
      <c r="L3832" s="21" t="n"/>
      <c r="M3832" s="22" t="n"/>
      <c r="N3832" s="22" t="n">
        <v>48</v>
      </c>
      <c r="O3832" s="22" t="n">
        <v>1045440</v>
      </c>
      <c r="P3832" s="22" t="n">
        <v>48</v>
      </c>
      <c r="Q3832" s="22" t="n">
        <v>1045440</v>
      </c>
      <c r="R3832" s="42">
        <f>+L3832+N3832-P3832</f>
        <v/>
      </c>
      <c r="S3832" s="42">
        <f>+M3832+O3832-Q3832</f>
        <v/>
      </c>
    </row>
    <row r="3833" ht="30" customHeight="1">
      <c r="A3833" s="16" t="n">
        <v>45985</v>
      </c>
      <c r="B3833" s="17" t="inlineStr">
        <is>
          <t>MH2511-31</t>
        </is>
      </c>
      <c r="C3833" s="16" t="n">
        <v>45985</v>
      </c>
      <c r="D3833" s="17" t="inlineStr">
        <is>
          <t>00004641</t>
        </is>
      </c>
      <c r="E3833" s="16" t="n">
        <v>45985</v>
      </c>
      <c r="F3833" s="66" t="inlineStr">
        <is>
          <t>XK2511-18</t>
        </is>
      </c>
      <c r="G3833" s="16" t="n">
        <v>45985</v>
      </c>
      <c r="H3833" s="17" t="inlineStr">
        <is>
          <t>CÔNG TY CỔ PHẦN CÔNG NGHIỆP VÀ THƯƠNG MẠI CƯỜNG THỊNH</t>
        </is>
      </c>
      <c r="I3833" s="17" t="inlineStr">
        <is>
          <t>Đai ốc A563M 10 ZP M24</t>
        </is>
      </c>
      <c r="J3833" s="17" t="inlineStr">
        <is>
          <t>Cái</t>
        </is>
      </c>
      <c r="K3833" s="21" t="n">
        <v>8540</v>
      </c>
      <c r="L3833" s="21" t="n"/>
      <c r="M3833" s="22" t="n"/>
      <c r="N3833" s="22" t="n">
        <v>48</v>
      </c>
      <c r="O3833" s="22" t="n">
        <v>409920</v>
      </c>
      <c r="P3833" s="22" t="n">
        <v>48</v>
      </c>
      <c r="Q3833" s="22" t="n">
        <v>409920</v>
      </c>
      <c r="R3833" s="42">
        <f>+L3833+N3833-P3833</f>
        <v/>
      </c>
      <c r="S3833" s="42">
        <f>+M3833+O3833-Q3833</f>
        <v/>
      </c>
    </row>
    <row r="3834" ht="30" customHeight="1">
      <c r="A3834" s="16" t="n">
        <v>45985</v>
      </c>
      <c r="B3834" s="17" t="inlineStr">
        <is>
          <t>MH2511-31</t>
        </is>
      </c>
      <c r="C3834" s="16" t="n">
        <v>45985</v>
      </c>
      <c r="D3834" s="17" t="inlineStr">
        <is>
          <t>00004641</t>
        </is>
      </c>
      <c r="E3834" s="16" t="n">
        <v>45985</v>
      </c>
      <c r="F3834" s="66" t="inlineStr">
        <is>
          <t>XK2511-18</t>
        </is>
      </c>
      <c r="G3834" s="16" t="n">
        <v>45985</v>
      </c>
      <c r="H3834" s="17" t="inlineStr">
        <is>
          <t>CÔNG TY CỔ PHẦN CÔNG NGHIỆP VÀ THƯƠNG MẠI CƯỜNG THỊNH</t>
        </is>
      </c>
      <c r="I3834" s="17" t="inlineStr">
        <is>
          <t>Long đền F436M Type 1 ZP M24</t>
        </is>
      </c>
      <c r="J3834" s="17" t="inlineStr">
        <is>
          <t>Cái</t>
        </is>
      </c>
      <c r="K3834" s="21" t="n">
        <v>1910</v>
      </c>
      <c r="L3834" s="21" t="n"/>
      <c r="M3834" s="22" t="n"/>
      <c r="N3834" s="22" t="n">
        <v>48</v>
      </c>
      <c r="O3834" s="22" t="n">
        <v>91680</v>
      </c>
      <c r="P3834" s="22" t="n">
        <v>48</v>
      </c>
      <c r="Q3834" s="22" t="n">
        <v>91680</v>
      </c>
      <c r="R3834" s="42">
        <f>+L3834+N3834-P3834</f>
        <v/>
      </c>
      <c r="S3834" s="42">
        <f>+M3834+O3834-Q3834</f>
        <v/>
      </c>
    </row>
    <row r="3835" ht="30" customHeight="1">
      <c r="A3835" s="16" t="n">
        <v>45985</v>
      </c>
      <c r="B3835" s="17" t="inlineStr">
        <is>
          <t>MH2511-31</t>
        </is>
      </c>
      <c r="C3835" s="16" t="n">
        <v>45985</v>
      </c>
      <c r="D3835" s="17" t="inlineStr">
        <is>
          <t>00004641</t>
        </is>
      </c>
      <c r="E3835" s="16" t="n">
        <v>45985</v>
      </c>
      <c r="F3835" s="66" t="inlineStr">
        <is>
          <t>XK2511-18</t>
        </is>
      </c>
      <c r="G3835" s="16" t="n">
        <v>45985</v>
      </c>
      <c r="H3835" s="17" t="inlineStr">
        <is>
          <t>CÔNG TY CỔ PHẦN CÔNG NGHIỆP VÀ THƯƠNG MẠI CƯỜNG THỊNH</t>
        </is>
      </c>
      <c r="I3835" s="17" t="inlineStr">
        <is>
          <t>Đai ốc A563M 10 ZP M16</t>
        </is>
      </c>
      <c r="J3835" s="17" t="inlineStr">
        <is>
          <t>Cái</t>
        </is>
      </c>
      <c r="K3835" s="21" t="n">
        <v>2420</v>
      </c>
      <c r="L3835" s="21" t="n"/>
      <c r="M3835" s="22" t="n"/>
      <c r="N3835" s="22" t="n">
        <v>50</v>
      </c>
      <c r="O3835" s="22" t="n">
        <v>121000</v>
      </c>
      <c r="P3835" s="22" t="n">
        <v>50</v>
      </c>
      <c r="Q3835" s="22" t="n">
        <v>121000</v>
      </c>
      <c r="R3835" s="42">
        <f>+L3835+N3835-P3835</f>
        <v/>
      </c>
      <c r="S3835" s="42">
        <f>+M3835+O3835-Q3835</f>
        <v/>
      </c>
    </row>
    <row r="3836" ht="30" customHeight="1">
      <c r="A3836" s="16" t="n">
        <v>45985</v>
      </c>
      <c r="B3836" s="17" t="inlineStr">
        <is>
          <t>MH2511-31</t>
        </is>
      </c>
      <c r="C3836" s="16" t="n">
        <v>45985</v>
      </c>
      <c r="D3836" s="17" t="inlineStr">
        <is>
          <t>00004641</t>
        </is>
      </c>
      <c r="E3836" s="16" t="n">
        <v>45985</v>
      </c>
      <c r="F3836" s="66" t="inlineStr">
        <is>
          <t>XK2511-18</t>
        </is>
      </c>
      <c r="G3836" s="16" t="n">
        <v>45985</v>
      </c>
      <c r="H3836" s="17" t="inlineStr">
        <is>
          <t>CÔNG TY CỔ PHẦN CÔNG NGHIỆP VÀ THƯƠNG MẠI CƯỜNG THỊNH</t>
        </is>
      </c>
      <c r="I3836" s="17" t="inlineStr">
        <is>
          <t>Long đền F436M Type 1 ZP M16</t>
        </is>
      </c>
      <c r="J3836" s="17" t="inlineStr">
        <is>
          <t>Cái</t>
        </is>
      </c>
      <c r="K3836" s="21" t="n">
        <v>830</v>
      </c>
      <c r="L3836" s="21" t="n"/>
      <c r="M3836" s="22" t="n"/>
      <c r="N3836" s="22" t="n">
        <v>50</v>
      </c>
      <c r="O3836" s="22" t="n">
        <v>41500</v>
      </c>
      <c r="P3836" s="22" t="n">
        <v>50</v>
      </c>
      <c r="Q3836" s="22" t="n">
        <v>41500</v>
      </c>
      <c r="R3836" s="42">
        <f>+L3836+N3836-P3836</f>
        <v/>
      </c>
      <c r="S3836" s="42">
        <f>+M3836+O3836-Q3836</f>
        <v/>
      </c>
    </row>
    <row r="3837" ht="30" customHeight="1">
      <c r="A3837" s="16" t="n">
        <v>45985</v>
      </c>
      <c r="B3837" s="17" t="inlineStr">
        <is>
          <t>MH2511-31</t>
        </is>
      </c>
      <c r="C3837" s="16" t="n">
        <v>45985</v>
      </c>
      <c r="D3837" s="17" t="inlineStr">
        <is>
          <t>00004641</t>
        </is>
      </c>
      <c r="E3837" s="16" t="n">
        <v>45985</v>
      </c>
      <c r="F3837" s="66" t="inlineStr">
        <is>
          <t>XK2511-18</t>
        </is>
      </c>
      <c r="G3837" s="16" t="n">
        <v>45985</v>
      </c>
      <c r="H3837" s="17" t="inlineStr">
        <is>
          <t>CÔNG TY CỔ PHẦN CÔNG NGHIỆP VÀ THƯƠNG MẠI CƯỜNG THỊNH</t>
        </is>
      </c>
      <c r="I3837" s="17" t="inlineStr">
        <is>
          <t>Bulong A325M Type 1 ZP M16x80(80)</t>
        </is>
      </c>
      <c r="J3837" s="17" t="inlineStr">
        <is>
          <t>Cái</t>
        </is>
      </c>
      <c r="K3837" s="21" t="n">
        <v>56120</v>
      </c>
      <c r="L3837" s="21" t="n"/>
      <c r="M3837" s="22" t="n"/>
      <c r="N3837" s="22" t="n">
        <v>50</v>
      </c>
      <c r="O3837" s="22" t="n">
        <v>2806000</v>
      </c>
      <c r="P3837" s="22" t="n">
        <v>50</v>
      </c>
      <c r="Q3837" s="22" t="n">
        <v>2806000</v>
      </c>
      <c r="R3837" s="42">
        <f>+L3837+N3837-P3837</f>
        <v/>
      </c>
      <c r="S3837" s="42">
        <f>+M3837+O3837-Q3837</f>
        <v/>
      </c>
    </row>
    <row r="3838" ht="30" customHeight="1">
      <c r="A3838" s="16" t="n">
        <v>45985</v>
      </c>
      <c r="B3838" s="17" t="inlineStr">
        <is>
          <t>MH2511-31</t>
        </is>
      </c>
      <c r="C3838" s="16" t="n">
        <v>45985</v>
      </c>
      <c r="D3838" s="17" t="inlineStr">
        <is>
          <t>00004641</t>
        </is>
      </c>
      <c r="E3838" s="16" t="n">
        <v>45985</v>
      </c>
      <c r="F3838" s="66" t="inlineStr">
        <is>
          <t>XK2511-18</t>
        </is>
      </c>
      <c r="G3838" s="16" t="n">
        <v>45985</v>
      </c>
      <c r="H3838" s="17" t="inlineStr">
        <is>
          <t>CÔNG TY CỔ PHẦN CÔNG NGHIỆP VÀ THƯƠNG MẠI CƯỜNG THỊNH</t>
        </is>
      </c>
      <c r="I3838" s="17" t="inlineStr">
        <is>
          <t>Bulong Din 933 8.8 ZP M12x40</t>
        </is>
      </c>
      <c r="J3838" s="17" t="inlineStr">
        <is>
          <t>Cái</t>
        </is>
      </c>
      <c r="K3838" s="21" t="n">
        <v>1570</v>
      </c>
      <c r="L3838" s="21" t="n"/>
      <c r="M3838" s="22" t="n"/>
      <c r="N3838" s="22" t="n">
        <v>100</v>
      </c>
      <c r="O3838" s="22" t="n">
        <v>157000</v>
      </c>
      <c r="P3838" s="22" t="n">
        <v>100</v>
      </c>
      <c r="Q3838" s="22" t="n">
        <v>157000</v>
      </c>
      <c r="R3838" s="42">
        <f>+L3838+N3838-P3838</f>
        <v/>
      </c>
      <c r="S3838" s="42">
        <f>+M3838+O3838-Q3838</f>
        <v/>
      </c>
    </row>
    <row r="3839" ht="30" customHeight="1">
      <c r="A3839" s="16" t="n">
        <v>45985</v>
      </c>
      <c r="B3839" s="17" t="inlineStr">
        <is>
          <t>MH2511-31</t>
        </is>
      </c>
      <c r="C3839" s="16" t="n">
        <v>45985</v>
      </c>
      <c r="D3839" s="17" t="inlineStr">
        <is>
          <t>00004641</t>
        </is>
      </c>
      <c r="E3839" s="16" t="n">
        <v>45985</v>
      </c>
      <c r="F3839" s="66" t="inlineStr">
        <is>
          <t>XK2511-18</t>
        </is>
      </c>
      <c r="G3839" s="16" t="n">
        <v>45985</v>
      </c>
      <c r="H3839" s="17" t="inlineStr">
        <is>
          <t>CÔNG TY CỔ PHẦN CÔNG NGHIỆP VÀ THƯƠNG MẠI CƯỜNG THỊNH</t>
        </is>
      </c>
      <c r="I3839" s="17" t="inlineStr">
        <is>
          <t>Đai ốc Din 934 8 ZP M12</t>
        </is>
      </c>
      <c r="J3839" s="17" t="inlineStr">
        <is>
          <t>Cái</t>
        </is>
      </c>
      <c r="K3839" s="21" t="n">
        <v>570</v>
      </c>
      <c r="L3839" s="21" t="n"/>
      <c r="M3839" s="22" t="n"/>
      <c r="N3839" s="22" t="n">
        <v>100</v>
      </c>
      <c r="O3839" s="22" t="n">
        <v>57000</v>
      </c>
      <c r="P3839" s="22" t="n">
        <v>100</v>
      </c>
      <c r="Q3839" s="22" t="n">
        <v>57000</v>
      </c>
      <c r="R3839" s="42">
        <f>+L3839+N3839-P3839</f>
        <v/>
      </c>
      <c r="S3839" s="42">
        <f>+M3839+O3839-Q3839</f>
        <v/>
      </c>
    </row>
    <row r="3840" ht="30" customHeight="1">
      <c r="A3840" s="16" t="n">
        <v>45985</v>
      </c>
      <c r="B3840" s="17" t="inlineStr">
        <is>
          <t>MH2511-31</t>
        </is>
      </c>
      <c r="C3840" s="16" t="n">
        <v>45985</v>
      </c>
      <c r="D3840" s="17" t="inlineStr">
        <is>
          <t>00004641</t>
        </is>
      </c>
      <c r="E3840" s="16" t="n">
        <v>45985</v>
      </c>
      <c r="F3840" s="66" t="inlineStr">
        <is>
          <t>XK2511-18</t>
        </is>
      </c>
      <c r="G3840" s="16" t="n">
        <v>45985</v>
      </c>
      <c r="H3840" s="17" t="inlineStr">
        <is>
          <t>CÔNG TY CỔ PHẦN CÔNG NGHIỆP VÀ THƯƠNG MẠI CƯỜNG THỊNH</t>
        </is>
      </c>
      <c r="I3840" s="17" t="inlineStr">
        <is>
          <t>Long đền thường ZP M12B23D1</t>
        </is>
      </c>
      <c r="J3840" s="17" t="inlineStr">
        <is>
          <t>Cái</t>
        </is>
      </c>
      <c r="K3840" s="21" t="n">
        <v>100</v>
      </c>
      <c r="L3840" s="21" t="n"/>
      <c r="M3840" s="22" t="n"/>
      <c r="N3840" s="22" t="n">
        <v>200</v>
      </c>
      <c r="O3840" s="22" t="n">
        <v>20000</v>
      </c>
      <c r="P3840" s="22" t="n">
        <v>200</v>
      </c>
      <c r="Q3840" s="22" t="n">
        <v>20000</v>
      </c>
      <c r="R3840" s="42">
        <f>+L3840+N3840-P3840</f>
        <v/>
      </c>
      <c r="S3840" s="42">
        <f>+M3840+O3840-Q3840</f>
        <v/>
      </c>
    </row>
    <row r="3841" ht="30" customHeight="1">
      <c r="A3841" s="16" t="n">
        <v>45985</v>
      </c>
      <c r="B3841" s="17" t="inlineStr">
        <is>
          <t>MH2511-31</t>
        </is>
      </c>
      <c r="C3841" s="16" t="n">
        <v>45985</v>
      </c>
      <c r="D3841" s="17" t="inlineStr">
        <is>
          <t>00004641</t>
        </is>
      </c>
      <c r="E3841" s="16" t="n">
        <v>45985</v>
      </c>
      <c r="F3841" s="66" t="inlineStr">
        <is>
          <t>XK2511-18</t>
        </is>
      </c>
      <c r="G3841" s="16" t="n">
        <v>45985</v>
      </c>
      <c r="H3841" s="17" t="inlineStr">
        <is>
          <t>CÔNG TY CỔ PHẦN CÔNG NGHIỆP VÀ THƯƠNG MẠI CƯỜNG THỊNH</t>
        </is>
      </c>
      <c r="I3841" s="17" t="inlineStr">
        <is>
          <t>Bulong Din 931 8.8 M20x150</t>
        </is>
      </c>
      <c r="J3841" s="17" t="inlineStr">
        <is>
          <t>Cái</t>
        </is>
      </c>
      <c r="K3841" s="21" t="n">
        <v>10101.01</v>
      </c>
      <c r="L3841" s="21" t="n"/>
      <c r="M3841" s="22" t="n"/>
      <c r="N3841" s="22" t="n">
        <v>99</v>
      </c>
      <c r="O3841" s="22" t="n">
        <v>1000000</v>
      </c>
      <c r="P3841" s="22" t="n">
        <v>99</v>
      </c>
      <c r="Q3841" s="22" t="n">
        <v>1000000</v>
      </c>
      <c r="R3841" s="42">
        <f>+L3841+N3841-P3841</f>
        <v/>
      </c>
      <c r="S3841" s="42">
        <f>+M3841+O3841-Q3841</f>
        <v/>
      </c>
    </row>
    <row r="3842" ht="30" customHeight="1">
      <c r="A3842" s="16" t="n">
        <v>45985</v>
      </c>
      <c r="B3842" s="17" t="inlineStr">
        <is>
          <t>MH2511-32</t>
        </is>
      </c>
      <c r="C3842" s="16" t="n">
        <v>45985</v>
      </c>
      <c r="D3842" s="17" t="inlineStr">
        <is>
          <t>00004642</t>
        </is>
      </c>
      <c r="E3842" s="16" t="n">
        <v>45985</v>
      </c>
      <c r="F3842" s="66" t="inlineStr">
        <is>
          <t>XK2511-19</t>
        </is>
      </c>
      <c r="G3842" s="16" t="n">
        <v>45985</v>
      </c>
      <c r="H3842" s="17" t="inlineStr">
        <is>
          <t>CÔNG TY CỔ PHẦN CÔNG NGHIỆP VÀ THƯƠNG MẠI CƯỜNG THỊNH</t>
        </is>
      </c>
      <c r="I3842" s="17" t="inlineStr">
        <is>
          <t>Ty ren suốt 5.8 (đầu vát-đầu lục giác) ZP M24x300</t>
        </is>
      </c>
      <c r="J3842" s="17" t="inlineStr">
        <is>
          <t>Cái</t>
        </is>
      </c>
      <c r="K3842" s="21" t="n">
        <v>77210</v>
      </c>
      <c r="L3842" s="21" t="n"/>
      <c r="M3842" s="22" t="n"/>
      <c r="N3842" s="22" t="n">
        <v>6</v>
      </c>
      <c r="O3842" s="22" t="n">
        <v>463260</v>
      </c>
      <c r="P3842" s="22" t="n">
        <v>6</v>
      </c>
      <c r="Q3842" s="22" t="n">
        <v>463260</v>
      </c>
      <c r="R3842" s="42">
        <f>+L3842+N3842-P3842</f>
        <v/>
      </c>
      <c r="S3842" s="42">
        <f>+M3842+O3842-Q3842</f>
        <v/>
      </c>
    </row>
    <row r="3843" ht="30" customHeight="1">
      <c r="A3843" s="16" t="n">
        <v>45985</v>
      </c>
      <c r="B3843" s="17" t="inlineStr">
        <is>
          <t>MH2511-32</t>
        </is>
      </c>
      <c r="C3843" s="16" t="n">
        <v>45985</v>
      </c>
      <c r="D3843" s="17" t="inlineStr">
        <is>
          <t>00004642</t>
        </is>
      </c>
      <c r="E3843" s="16" t="n">
        <v>45985</v>
      </c>
      <c r="F3843" s="66" t="inlineStr">
        <is>
          <t>XK2511-19</t>
        </is>
      </c>
      <c r="G3843" s="16" t="n">
        <v>45985</v>
      </c>
      <c r="H3843" s="17" t="inlineStr">
        <is>
          <t>CÔNG TY CỔ PHẦN CÔNG NGHIỆP VÀ THƯƠNG MẠI CƯỜNG THỊNH</t>
        </is>
      </c>
      <c r="I3843" s="17" t="inlineStr">
        <is>
          <t>Đai ốc Din 934 8 ZP M24</t>
        </is>
      </c>
      <c r="J3843" s="17" t="inlineStr">
        <is>
          <t>Cái</t>
        </is>
      </c>
      <c r="K3843" s="21" t="n">
        <v>3670</v>
      </c>
      <c r="L3843" s="21" t="n"/>
      <c r="M3843" s="22" t="n"/>
      <c r="N3843" s="22" t="n">
        <v>6</v>
      </c>
      <c r="O3843" s="22" t="n">
        <v>22020</v>
      </c>
      <c r="P3843" s="22" t="n">
        <v>6</v>
      </c>
      <c r="Q3843" s="22" t="n">
        <v>22020</v>
      </c>
      <c r="R3843" s="42">
        <f>+L3843+N3843-P3843</f>
        <v/>
      </c>
      <c r="S3843" s="42">
        <f>+M3843+O3843-Q3843</f>
        <v/>
      </c>
    </row>
    <row r="3844" ht="30" customHeight="1">
      <c r="A3844" s="16" t="n">
        <v>45985</v>
      </c>
      <c r="B3844" s="17" t="inlineStr">
        <is>
          <t>MH2511-32</t>
        </is>
      </c>
      <c r="C3844" s="16" t="n">
        <v>45985</v>
      </c>
      <c r="D3844" s="17" t="inlineStr">
        <is>
          <t>00004642</t>
        </is>
      </c>
      <c r="E3844" s="16" t="n">
        <v>45985</v>
      </c>
      <c r="F3844" s="66" t="inlineStr">
        <is>
          <t>XK2511-19</t>
        </is>
      </c>
      <c r="G3844" s="16" t="n">
        <v>45985</v>
      </c>
      <c r="H3844" s="17" t="inlineStr">
        <is>
          <t>CÔNG TY CỔ PHẦN CÔNG NGHIỆP VÀ THƯƠNG MẠI CƯỜNG THỊNH</t>
        </is>
      </c>
      <c r="I3844" s="17" t="inlineStr">
        <is>
          <t>Đai ốc Din 934 8 ZP M30</t>
        </is>
      </c>
      <c r="J3844" s="17" t="inlineStr">
        <is>
          <t>Cái</t>
        </is>
      </c>
      <c r="K3844" s="21" t="n">
        <v>7750</v>
      </c>
      <c r="L3844" s="21" t="n"/>
      <c r="M3844" s="22" t="n"/>
      <c r="N3844" s="22" t="n">
        <v>6</v>
      </c>
      <c r="O3844" s="22" t="n">
        <v>46500</v>
      </c>
      <c r="P3844" s="22" t="n">
        <v>6</v>
      </c>
      <c r="Q3844" s="22" t="n">
        <v>46500</v>
      </c>
      <c r="R3844" s="42">
        <f>+L3844+N3844-P3844</f>
        <v/>
      </c>
      <c r="S3844" s="42">
        <f>+M3844+O3844-Q3844</f>
        <v/>
      </c>
    </row>
    <row r="3845" ht="30" customHeight="1">
      <c r="A3845" s="16" t="n">
        <v>45985</v>
      </c>
      <c r="B3845" s="17" t="inlineStr">
        <is>
          <t>MH2511-32</t>
        </is>
      </c>
      <c r="C3845" s="16" t="n">
        <v>45985</v>
      </c>
      <c r="D3845" s="17" t="inlineStr">
        <is>
          <t>00004642</t>
        </is>
      </c>
      <c r="E3845" s="16" t="n">
        <v>45985</v>
      </c>
      <c r="F3845" s="66" t="inlineStr">
        <is>
          <t>XK2511-19</t>
        </is>
      </c>
      <c r="G3845" s="16" t="n">
        <v>45985</v>
      </c>
      <c r="H3845" s="17" t="inlineStr">
        <is>
          <t>CÔNG TY CỔ PHẦN CÔNG NGHIỆP VÀ THƯƠNG MẠI CƯỜNG THỊNH</t>
        </is>
      </c>
      <c r="I3845" s="17" t="inlineStr">
        <is>
          <t>Long đền thường ZP M24B40-42D2</t>
        </is>
      </c>
      <c r="J3845" s="17" t="inlineStr">
        <is>
          <t>Cái</t>
        </is>
      </c>
      <c r="K3845" s="21" t="n">
        <v>660</v>
      </c>
      <c r="L3845" s="21" t="n"/>
      <c r="M3845" s="22" t="n"/>
      <c r="N3845" s="22" t="n">
        <v>6</v>
      </c>
      <c r="O3845" s="22" t="n">
        <v>3960</v>
      </c>
      <c r="P3845" s="22" t="n">
        <v>6</v>
      </c>
      <c r="Q3845" s="22" t="n">
        <v>3960</v>
      </c>
      <c r="R3845" s="42">
        <f>+L3845+N3845-P3845</f>
        <v/>
      </c>
      <c r="S3845" s="42">
        <f>+M3845+O3845-Q3845</f>
        <v/>
      </c>
    </row>
    <row r="3846" ht="30" customHeight="1">
      <c r="A3846" s="16" t="n">
        <v>45985</v>
      </c>
      <c r="B3846" s="17" t="inlineStr">
        <is>
          <t>MH2511-32</t>
        </is>
      </c>
      <c r="C3846" s="16" t="n">
        <v>45985</v>
      </c>
      <c r="D3846" s="17" t="inlineStr">
        <is>
          <t>00004642</t>
        </is>
      </c>
      <c r="E3846" s="16" t="n">
        <v>45985</v>
      </c>
      <c r="F3846" s="66" t="inlineStr">
        <is>
          <t>XK2511-19</t>
        </is>
      </c>
      <c r="G3846" s="16" t="n">
        <v>45985</v>
      </c>
      <c r="H3846" s="17" t="inlineStr">
        <is>
          <t>CÔNG TY CỔ PHẦN CÔNG NGHIỆP VÀ THƯƠNG MẠI CƯỜNG THỊNH</t>
        </is>
      </c>
      <c r="I3846" s="17" t="inlineStr">
        <is>
          <t>Long đền thường ZP M30B50D2</t>
        </is>
      </c>
      <c r="J3846" s="17" t="inlineStr">
        <is>
          <t>Cái</t>
        </is>
      </c>
      <c r="K3846" s="21" t="n">
        <v>890</v>
      </c>
      <c r="L3846" s="21" t="n"/>
      <c r="M3846" s="22" t="n"/>
      <c r="N3846" s="22" t="n">
        <v>6</v>
      </c>
      <c r="O3846" s="22" t="n">
        <v>5340</v>
      </c>
      <c r="P3846" s="22" t="n">
        <v>6</v>
      </c>
      <c r="Q3846" s="22" t="n">
        <v>5340</v>
      </c>
      <c r="R3846" s="42">
        <f>+L3846+N3846-P3846</f>
        <v/>
      </c>
      <c r="S3846" s="42">
        <f>+M3846+O3846-Q3846</f>
        <v/>
      </c>
    </row>
    <row r="3847" ht="30" customHeight="1">
      <c r="A3847" s="16" t="n">
        <v>45985</v>
      </c>
      <c r="B3847" s="17" t="inlineStr">
        <is>
          <t>MH2511-32</t>
        </is>
      </c>
      <c r="C3847" s="16" t="n">
        <v>45985</v>
      </c>
      <c r="D3847" s="17" t="inlineStr">
        <is>
          <t>00004642</t>
        </is>
      </c>
      <c r="E3847" s="16" t="n">
        <v>45985</v>
      </c>
      <c r="F3847" s="66" t="inlineStr">
        <is>
          <t>XK2511-19</t>
        </is>
      </c>
      <c r="G3847" s="16" t="n">
        <v>45985</v>
      </c>
      <c r="H3847" s="17" t="inlineStr">
        <is>
          <t>CÔNG TY CỔ PHẦN CÔNG NGHIỆP VÀ THƯƠNG MẠI CƯỜNG THỊNH</t>
        </is>
      </c>
      <c r="I3847" s="17" t="inlineStr">
        <is>
          <t>Ty ren suốt 5.8 (đầu vát-đầu lục giác) ZP M30x380</t>
        </is>
      </c>
      <c r="J3847" s="17" t="inlineStr">
        <is>
          <t>Cái</t>
        </is>
      </c>
      <c r="K3847" s="21" t="n">
        <v>176380</v>
      </c>
      <c r="L3847" s="21" t="n"/>
      <c r="M3847" s="22" t="n"/>
      <c r="N3847" s="22" t="n">
        <v>6</v>
      </c>
      <c r="O3847" s="22" t="n">
        <v>1058280</v>
      </c>
      <c r="P3847" s="22" t="n">
        <v>6</v>
      </c>
      <c r="Q3847" s="22" t="n">
        <v>1058280</v>
      </c>
      <c r="R3847" s="42">
        <f>+L3847+N3847-P3847</f>
        <v/>
      </c>
      <c r="S3847" s="42">
        <f>+M3847+O3847-Q3847</f>
        <v/>
      </c>
    </row>
    <row r="3848" ht="30" customHeight="1">
      <c r="A3848" s="16" t="n">
        <v>45985</v>
      </c>
      <c r="B3848" s="17" t="inlineStr">
        <is>
          <t>MH2511-34</t>
        </is>
      </c>
      <c r="C3848" s="16" t="n">
        <v>45985</v>
      </c>
      <c r="D3848" s="17" t="inlineStr">
        <is>
          <t>00000931</t>
        </is>
      </c>
      <c r="E3848" s="16" t="n">
        <v>45985</v>
      </c>
      <c r="F3848" s="66" t="inlineStr">
        <is>
          <t>XK2511-20</t>
        </is>
      </c>
      <c r="G3848" s="16" t="n">
        <v>45985</v>
      </c>
      <c r="H3848" s="17" t="inlineStr">
        <is>
          <t>CÔNG TY CỔ PHẦN XÂY DỰNG VÀ DỊCH VỤ DHD VIỆT NAM</t>
        </is>
      </c>
      <c r="I3848" s="17" t="inlineStr">
        <is>
          <t>Súng bơm SG600</t>
        </is>
      </c>
      <c r="J3848" s="17" t="inlineStr">
        <is>
          <t>Cái</t>
        </is>
      </c>
      <c r="K3848" s="21" t="n">
        <v>750000</v>
      </c>
      <c r="L3848" s="21" t="n"/>
      <c r="M3848" s="22" t="n"/>
      <c r="N3848" s="22" t="n">
        <v>1</v>
      </c>
      <c r="O3848" s="22" t="n">
        <v>750000</v>
      </c>
      <c r="P3848" s="22" t="n">
        <v>1</v>
      </c>
      <c r="Q3848" s="22" t="n">
        <v>750000</v>
      </c>
      <c r="R3848" s="42">
        <f>+L3848+N3848-P3848</f>
        <v/>
      </c>
      <c r="S3848" s="42">
        <f>+M3848+O3848-Q3848</f>
        <v/>
      </c>
    </row>
    <row r="3849" ht="15" customHeight="1">
      <c r="A3849" s="16" t="n">
        <v>45989</v>
      </c>
      <c r="B3849" s="17" t="inlineStr">
        <is>
          <t>MH2511-40</t>
        </is>
      </c>
      <c r="C3849" s="16" t="n">
        <v>45989</v>
      </c>
      <c r="D3849" s="17" t="inlineStr">
        <is>
          <t>00011297</t>
        </is>
      </c>
      <c r="E3849" s="16" t="n">
        <v>45989</v>
      </c>
      <c r="F3849" s="66" t="inlineStr">
        <is>
          <t>XK2511-21</t>
        </is>
      </c>
      <c r="G3849" s="16" t="n">
        <v>45989</v>
      </c>
      <c r="H3849" s="17" t="inlineStr">
        <is>
          <t>CÔNG TY TNHH SƠN JOTUN VIỆT NAM</t>
        </is>
      </c>
      <c r="I3849" s="17" t="inlineStr">
        <is>
          <t>SƠN FUTURA CLASSIC STD 0403 GREY 18.32L</t>
        </is>
      </c>
      <c r="J3849" s="17" t="inlineStr">
        <is>
          <t>Lít</t>
        </is>
      </c>
      <c r="K3849" s="21" t="n">
        <v>155000</v>
      </c>
      <c r="L3849" s="21" t="n"/>
      <c r="M3849" s="22" t="n"/>
      <c r="N3849" s="22" t="n">
        <v>54.96</v>
      </c>
      <c r="O3849" s="22" t="n">
        <v>8518800</v>
      </c>
      <c r="P3849" s="22" t="n">
        <v>54.96</v>
      </c>
      <c r="Q3849" s="22" t="n">
        <v>8518800</v>
      </c>
      <c r="R3849" s="42">
        <f>+L3849+N3849-P3849</f>
        <v/>
      </c>
      <c r="S3849" s="42">
        <f>+M3849+O3849-Q3849</f>
        <v/>
      </c>
    </row>
    <row r="3850" ht="30" customHeight="1">
      <c r="A3850" s="16" t="n">
        <v>45990</v>
      </c>
      <c r="B3850" s="17" t="inlineStr">
        <is>
          <t>MH2511-41</t>
        </is>
      </c>
      <c r="C3850" s="16" t="n">
        <v>45990</v>
      </c>
      <c r="D3850" s="17" t="inlineStr">
        <is>
          <t>00002787</t>
        </is>
      </c>
      <c r="E3850" s="16" t="n">
        <v>45990</v>
      </c>
      <c r="F3850" s="66" t="inlineStr">
        <is>
          <t>XK2511-22</t>
        </is>
      </c>
      <c r="G3850" s="16" t="n">
        <v>45991</v>
      </c>
      <c r="H3850" s="17" t="inlineStr">
        <is>
          <t>CÔNG TY TNHH DỊCH VỤ - THƯƠNG MẠI THÉP THIÊN LONG</t>
        </is>
      </c>
      <c r="I3850" s="17" t="inlineStr">
        <is>
          <t>Thép vuông 150x150x3x6m</t>
        </is>
      </c>
      <c r="J3850" s="17" t="inlineStr">
        <is>
          <t>kg</t>
        </is>
      </c>
      <c r="K3850" s="21" t="n">
        <v>16181.81</v>
      </c>
      <c r="L3850" s="21" t="n"/>
      <c r="M3850" s="22" t="n"/>
      <c r="N3850" s="22" t="n">
        <v>3558.25</v>
      </c>
      <c r="O3850" s="22" t="n">
        <v>57578925</v>
      </c>
      <c r="P3850" s="22" t="n">
        <v>3558.25</v>
      </c>
      <c r="Q3850" s="22" t="n">
        <v>57578925</v>
      </c>
      <c r="R3850" s="42">
        <f>+L3850+N3850-P3850</f>
        <v/>
      </c>
      <c r="S3850" s="42">
        <f>+M3850+O3850-Q3850</f>
        <v/>
      </c>
    </row>
    <row r="3851" ht="30" customHeight="1">
      <c r="A3851" s="16" t="n">
        <v>45990</v>
      </c>
      <c r="B3851" s="17" t="inlineStr">
        <is>
          <t>MH2511-41</t>
        </is>
      </c>
      <c r="C3851" s="16" t="n">
        <v>45990</v>
      </c>
      <c r="D3851" s="17" t="inlineStr">
        <is>
          <t>00002787</t>
        </is>
      </c>
      <c r="E3851" s="16" t="n">
        <v>45990</v>
      </c>
      <c r="F3851" s="66" t="inlineStr">
        <is>
          <t>XK2511-22</t>
        </is>
      </c>
      <c r="G3851" s="16" t="n">
        <v>45991</v>
      </c>
      <c r="H3851" s="17" t="inlineStr">
        <is>
          <t>CÔNG TY TNHH DỊCH VỤ - THƯƠNG MẠI THÉP THIÊN LONG</t>
        </is>
      </c>
      <c r="I3851" s="17" t="inlineStr">
        <is>
          <t>Thép vuông 200x200x4x6m</t>
        </is>
      </c>
      <c r="J3851" s="17" t="inlineStr">
        <is>
          <t>kg</t>
        </is>
      </c>
      <c r="K3851" s="21" t="n">
        <v>16181.81</v>
      </c>
      <c r="L3851" s="21" t="n"/>
      <c r="M3851" s="22" t="n"/>
      <c r="N3851" s="22" t="n">
        <v>3988.17</v>
      </c>
      <c r="O3851" s="22" t="n">
        <v>64535809</v>
      </c>
      <c r="P3851" s="22" t="n">
        <v>3988.17</v>
      </c>
      <c r="Q3851" s="22" t="n">
        <v>64535809</v>
      </c>
      <c r="R3851" s="42">
        <f>+L3851+N3851-P3851</f>
        <v/>
      </c>
      <c r="S3851" s="42">
        <f>+M3851+O3851-Q3851</f>
        <v/>
      </c>
    </row>
    <row r="3852" ht="30" customHeight="1">
      <c r="A3852" s="16" t="n">
        <v>45990</v>
      </c>
      <c r="B3852" s="17" t="inlineStr">
        <is>
          <t>MH2511-41</t>
        </is>
      </c>
      <c r="C3852" s="16" t="n">
        <v>45990</v>
      </c>
      <c r="D3852" s="17" t="inlineStr">
        <is>
          <t>00002787</t>
        </is>
      </c>
      <c r="E3852" s="16" t="n">
        <v>45990</v>
      </c>
      <c r="F3852" s="66" t="inlineStr">
        <is>
          <t>XK2511-22</t>
        </is>
      </c>
      <c r="G3852" s="16" t="n">
        <v>45991</v>
      </c>
      <c r="H3852" s="17" t="inlineStr">
        <is>
          <t>CÔNG TY TNHH DỊCH VỤ - THƯƠNG MẠI THÉP THIÊN LONG</t>
        </is>
      </c>
      <c r="I3852" s="17" t="inlineStr">
        <is>
          <t>Thép vuông 150x150x3.5x6m</t>
        </is>
      </c>
      <c r="J3852" s="17" t="inlineStr">
        <is>
          <t>kg</t>
        </is>
      </c>
      <c r="K3852" s="21" t="n">
        <v>16181.81</v>
      </c>
      <c r="L3852" s="21" t="n"/>
      <c r="M3852" s="22" t="n"/>
      <c r="N3852" s="22" t="n">
        <v>865.26</v>
      </c>
      <c r="O3852" s="22" t="n">
        <v>14001473</v>
      </c>
      <c r="P3852" s="22" t="n">
        <v>865.26</v>
      </c>
      <c r="Q3852" s="22" t="n">
        <v>14001473</v>
      </c>
      <c r="R3852" s="42">
        <f>+L3852+N3852-P3852</f>
        <v/>
      </c>
      <c r="S3852" s="42">
        <f>+M3852+O3852-Q3852</f>
        <v/>
      </c>
    </row>
    <row r="3853" ht="30" customHeight="1">
      <c r="A3853" s="16" t="n">
        <v>45990</v>
      </c>
      <c r="B3853" s="17" t="inlineStr">
        <is>
          <t>MH2511-41</t>
        </is>
      </c>
      <c r="C3853" s="16" t="n">
        <v>45990</v>
      </c>
      <c r="D3853" s="17" t="inlineStr">
        <is>
          <t>00002787</t>
        </is>
      </c>
      <c r="E3853" s="16" t="n">
        <v>45990</v>
      </c>
      <c r="F3853" s="66" t="inlineStr">
        <is>
          <t>XK2511-22</t>
        </is>
      </c>
      <c r="G3853" s="16" t="n">
        <v>45991</v>
      </c>
      <c r="H3853" s="17" t="inlineStr">
        <is>
          <t>CÔNG TY TNHH DỊCH VỤ - THƯƠNG MẠI THÉP THIÊN LONG</t>
        </is>
      </c>
      <c r="I3853" s="17" t="inlineStr">
        <is>
          <t>Thép vuông 150x150x4x6m</t>
        </is>
      </c>
      <c r="J3853" s="17" t="inlineStr">
        <is>
          <t>kg</t>
        </is>
      </c>
      <c r="K3853" s="21" t="n">
        <v>16181.81</v>
      </c>
      <c r="L3853" s="21" t="n"/>
      <c r="M3853" s="22" t="n"/>
      <c r="N3853" s="22" t="n">
        <v>437.68</v>
      </c>
      <c r="O3853" s="22" t="n">
        <v>7082455</v>
      </c>
      <c r="P3853" s="22" t="n">
        <v>437.68</v>
      </c>
      <c r="Q3853" s="22" t="n">
        <v>7082455</v>
      </c>
      <c r="R3853" s="42">
        <f>+L3853+N3853-P3853</f>
        <v/>
      </c>
      <c r="S3853" s="42">
        <f>+M3853+O3853-Q3853</f>
        <v/>
      </c>
    </row>
    <row r="3854" ht="30" customHeight="1">
      <c r="A3854" s="16" t="n">
        <v>45990</v>
      </c>
      <c r="B3854" s="17" t="inlineStr">
        <is>
          <t>MH2511-41</t>
        </is>
      </c>
      <c r="C3854" s="16" t="n">
        <v>45990</v>
      </c>
      <c r="D3854" s="17" t="inlineStr">
        <is>
          <t>00002787</t>
        </is>
      </c>
      <c r="E3854" s="16" t="n">
        <v>45990</v>
      </c>
      <c r="F3854" s="66" t="inlineStr">
        <is>
          <t>XK2511-22</t>
        </is>
      </c>
      <c r="G3854" s="16" t="n">
        <v>45991</v>
      </c>
      <c r="H3854" s="17" t="inlineStr">
        <is>
          <t>CÔNG TY TNHH DỊCH VỤ - THƯƠNG MẠI THÉP THIÊN LONG</t>
        </is>
      </c>
      <c r="I3854" s="17" t="inlineStr">
        <is>
          <t>Thép vuông 200x200x5x6m</t>
        </is>
      </c>
      <c r="J3854" s="17" t="inlineStr">
        <is>
          <t>kg</t>
        </is>
      </c>
      <c r="K3854" s="21" t="n">
        <v>16181.81</v>
      </c>
      <c r="L3854" s="21" t="n"/>
      <c r="M3854" s="22" t="n"/>
      <c r="N3854" s="22" t="n">
        <v>2571.66</v>
      </c>
      <c r="O3854" s="22" t="n">
        <v>41614114</v>
      </c>
      <c r="P3854" s="22" t="n">
        <v>2571.66</v>
      </c>
      <c r="Q3854" s="22" t="n">
        <v>41614114</v>
      </c>
      <c r="R3854" s="42">
        <f>+L3854+N3854-P3854</f>
        <v/>
      </c>
      <c r="S3854" s="42">
        <f>+M3854+O3854-Q3854</f>
        <v/>
      </c>
    </row>
    <row r="3855" ht="30" customHeight="1">
      <c r="A3855" s="16" t="n">
        <v>45990</v>
      </c>
      <c r="B3855" s="17" t="inlineStr">
        <is>
          <t>MH2511-41</t>
        </is>
      </c>
      <c r="C3855" s="16" t="n">
        <v>45990</v>
      </c>
      <c r="D3855" s="17" t="inlineStr">
        <is>
          <t>00002787</t>
        </is>
      </c>
      <c r="E3855" s="16" t="n">
        <v>45990</v>
      </c>
      <c r="F3855" s="66" t="inlineStr">
        <is>
          <t>XK2511-22</t>
        </is>
      </c>
      <c r="G3855" s="16" t="n">
        <v>45991</v>
      </c>
      <c r="H3855" s="17" t="inlineStr">
        <is>
          <t>CÔNG TY TNHH DỊCH VỤ - THƯƠNG MẠI THÉP THIÊN LONG</t>
        </is>
      </c>
      <c r="I3855" s="17" t="inlineStr">
        <is>
          <t>Thép vuông 200x200x6x6m</t>
        </is>
      </c>
      <c r="J3855" s="17" t="inlineStr">
        <is>
          <t>kg</t>
        </is>
      </c>
      <c r="K3855" s="21" t="n">
        <v>16181.81</v>
      </c>
      <c r="L3855" s="21" t="n"/>
      <c r="M3855" s="22" t="n"/>
      <c r="N3855" s="22" t="n">
        <v>219.3</v>
      </c>
      <c r="O3855" s="22" t="n">
        <v>3548671</v>
      </c>
      <c r="P3855" s="22" t="n">
        <v>219.3</v>
      </c>
      <c r="Q3855" s="22" t="n">
        <v>3548671</v>
      </c>
      <c r="R3855" s="42">
        <f>+L3855+N3855-P3855</f>
        <v/>
      </c>
      <c r="S3855" s="42">
        <f>+M3855+O3855-Q3855</f>
        <v/>
      </c>
    </row>
    <row r="3856" ht="30" customHeight="1">
      <c r="A3856" s="16" t="n">
        <v>45990</v>
      </c>
      <c r="B3856" s="17" t="inlineStr">
        <is>
          <t>MH2511-41</t>
        </is>
      </c>
      <c r="C3856" s="16" t="n">
        <v>45990</v>
      </c>
      <c r="D3856" s="17" t="inlineStr">
        <is>
          <t>00002787</t>
        </is>
      </c>
      <c r="E3856" s="16" t="n">
        <v>45990</v>
      </c>
      <c r="F3856" s="66" t="inlineStr">
        <is>
          <t>XK2511-22</t>
        </is>
      </c>
      <c r="G3856" s="16" t="n">
        <v>45991</v>
      </c>
      <c r="H3856" s="17" t="inlineStr">
        <is>
          <t>CÔNG TY TNHH DỊCH VỤ - THƯƠNG MẠI THÉP THIÊN LONG</t>
        </is>
      </c>
      <c r="I3856" s="17" t="inlineStr">
        <is>
          <t>Thép góc V63</t>
        </is>
      </c>
      <c r="J3856" s="17" t="inlineStr">
        <is>
          <t>kg</t>
        </is>
      </c>
      <c r="K3856" s="21" t="n">
        <v>14454.54</v>
      </c>
      <c r="L3856" s="21" t="n"/>
      <c r="M3856" s="22" t="n"/>
      <c r="N3856" s="22" t="n">
        <v>2850</v>
      </c>
      <c r="O3856" s="22" t="n">
        <v>41195439</v>
      </c>
      <c r="P3856" s="22" t="n">
        <v>2850</v>
      </c>
      <c r="Q3856" s="22" t="n">
        <v>41195439</v>
      </c>
      <c r="R3856" s="42">
        <f>+L3856+N3856-P3856</f>
        <v/>
      </c>
      <c r="S3856" s="42">
        <f>+M3856+O3856-Q3856</f>
        <v/>
      </c>
    </row>
    <row r="3857" ht="30" customHeight="1">
      <c r="A3857" s="16" t="n">
        <v>45990</v>
      </c>
      <c r="B3857" s="17" t="inlineStr">
        <is>
          <t>MH2511-41</t>
        </is>
      </c>
      <c r="C3857" s="16" t="n">
        <v>45990</v>
      </c>
      <c r="D3857" s="17" t="inlineStr">
        <is>
          <t>00002787</t>
        </is>
      </c>
      <c r="E3857" s="16" t="n">
        <v>45990</v>
      </c>
      <c r="F3857" s="66" t="inlineStr">
        <is>
          <t>XK2511-22</t>
        </is>
      </c>
      <c r="G3857" s="16" t="n">
        <v>45991</v>
      </c>
      <c r="H3857" s="17" t="inlineStr">
        <is>
          <t>CÔNG TY TNHH DỊCH VỤ - THƯƠNG MẠI THÉP THIÊN LONG</t>
        </is>
      </c>
      <c r="I3857" s="17" t="inlineStr">
        <is>
          <t>Thép tấm gân 5ly</t>
        </is>
      </c>
      <c r="J3857" s="17" t="inlineStr">
        <is>
          <t>kg</t>
        </is>
      </c>
      <c r="K3857" s="21" t="n">
        <v>12454.54</v>
      </c>
      <c r="L3857" s="21" t="n"/>
      <c r="M3857" s="22" t="n"/>
      <c r="N3857" s="22" t="n">
        <v>1521</v>
      </c>
      <c r="O3857" s="22" t="n">
        <v>18943355</v>
      </c>
      <c r="P3857" s="22" t="n">
        <v>1521</v>
      </c>
      <c r="Q3857" s="22" t="n">
        <v>18943355</v>
      </c>
      <c r="R3857" s="42">
        <f>+L3857+N3857-P3857</f>
        <v/>
      </c>
      <c r="S3857" s="42">
        <f>+M3857+O3857-Q3857</f>
        <v/>
      </c>
    </row>
    <row r="3858" ht="30" customHeight="1">
      <c r="A3858" s="16" t="n">
        <v>45990</v>
      </c>
      <c r="B3858" s="17" t="inlineStr">
        <is>
          <t>MH2511-41</t>
        </is>
      </c>
      <c r="C3858" s="16" t="n">
        <v>45990</v>
      </c>
      <c r="D3858" s="17" t="inlineStr">
        <is>
          <t>00002787</t>
        </is>
      </c>
      <c r="E3858" s="16" t="n">
        <v>45990</v>
      </c>
      <c r="F3858" s="66" t="inlineStr">
        <is>
          <t>XK2511-22</t>
        </is>
      </c>
      <c r="G3858" s="16" t="n">
        <v>45991</v>
      </c>
      <c r="H3858" s="17" t="inlineStr">
        <is>
          <t>CÔNG TY TNHH DỊCH VỤ - THƯƠNG MẠI THÉP THIÊN LONG</t>
        </is>
      </c>
      <c r="I3858" s="17" t="inlineStr">
        <is>
          <t>Thép tấm 18ly</t>
        </is>
      </c>
      <c r="J3858" s="17" t="inlineStr">
        <is>
          <t>kg</t>
        </is>
      </c>
      <c r="K3858" s="21" t="n">
        <v>14727.27</v>
      </c>
      <c r="L3858" s="21" t="n"/>
      <c r="M3858" s="22" t="n"/>
      <c r="N3858" s="22" t="n">
        <v>6782.4</v>
      </c>
      <c r="O3858" s="22" t="n">
        <v>99886236</v>
      </c>
      <c r="P3858" s="22" t="n">
        <v>6782.4</v>
      </c>
      <c r="Q3858" s="22" t="n">
        <v>99886236</v>
      </c>
      <c r="R3858" s="42">
        <f>+L3858+N3858-P3858</f>
        <v/>
      </c>
      <c r="S3858" s="42">
        <f>+M3858+O3858-Q3858</f>
        <v/>
      </c>
    </row>
    <row r="3859" ht="30" customHeight="1">
      <c r="A3859" s="16" t="n">
        <v>45990</v>
      </c>
      <c r="B3859" s="17" t="inlineStr">
        <is>
          <t>MH2511-41</t>
        </is>
      </c>
      <c r="C3859" s="16" t="n">
        <v>45990</v>
      </c>
      <c r="D3859" s="17" t="inlineStr">
        <is>
          <t>00002787</t>
        </is>
      </c>
      <c r="E3859" s="16" t="n">
        <v>45990</v>
      </c>
      <c r="F3859" s="66" t="inlineStr">
        <is>
          <t>XK2511-22</t>
        </is>
      </c>
      <c r="G3859" s="16" t="n">
        <v>45991</v>
      </c>
      <c r="H3859" s="17" t="inlineStr">
        <is>
          <t>CÔNG TY TNHH DỊCH VỤ - THƯƠNG MẠI THÉP THIÊN LONG</t>
        </is>
      </c>
      <c r="I3859" s="17" t="inlineStr">
        <is>
          <t>Thép tấm 22ly</t>
        </is>
      </c>
      <c r="J3859" s="17" t="inlineStr">
        <is>
          <t>kg</t>
        </is>
      </c>
      <c r="K3859" s="21" t="n">
        <v>14727.27</v>
      </c>
      <c r="L3859" s="21" t="n"/>
      <c r="M3859" s="22" t="n"/>
      <c r="N3859" s="22" t="n">
        <v>4144.8</v>
      </c>
      <c r="O3859" s="22" t="n">
        <v>61041589</v>
      </c>
      <c r="P3859" s="22" t="n">
        <v>4144.8</v>
      </c>
      <c r="Q3859" s="22" t="n">
        <v>61041589</v>
      </c>
      <c r="R3859" s="42">
        <f>+L3859+N3859-P3859</f>
        <v/>
      </c>
      <c r="S3859" s="42">
        <f>+M3859+O3859-Q3859</f>
        <v/>
      </c>
    </row>
    <row r="3860" ht="30" customHeight="1">
      <c r="A3860" s="16" t="n">
        <v>45990</v>
      </c>
      <c r="B3860" s="17" t="inlineStr">
        <is>
          <t>MH2511-41</t>
        </is>
      </c>
      <c r="C3860" s="16" t="n">
        <v>45990</v>
      </c>
      <c r="D3860" s="17" t="inlineStr">
        <is>
          <t>00002787</t>
        </is>
      </c>
      <c r="E3860" s="16" t="n">
        <v>45990</v>
      </c>
      <c r="F3860" s="66" t="inlineStr">
        <is>
          <t>XK2511-22</t>
        </is>
      </c>
      <c r="G3860" s="16" t="n">
        <v>45991</v>
      </c>
      <c r="H3860" s="17" t="inlineStr">
        <is>
          <t>CÔNG TY TNHH DỊCH VỤ - THƯƠNG MẠI THÉP THIÊN LONG</t>
        </is>
      </c>
      <c r="I3860" s="17" t="inlineStr">
        <is>
          <t>Thép góc V63</t>
        </is>
      </c>
      <c r="J3860" s="17" t="inlineStr">
        <is>
          <t>kg</t>
        </is>
      </c>
      <c r="K3860" s="21" t="n">
        <v>14454.54</v>
      </c>
      <c r="L3860" s="21" t="n"/>
      <c r="M3860" s="22" t="n"/>
      <c r="N3860" s="22" t="n">
        <v>5700</v>
      </c>
      <c r="O3860" s="22" t="n">
        <v>82390878</v>
      </c>
      <c r="P3860" s="22" t="n">
        <v>5700</v>
      </c>
      <c r="Q3860" s="22" t="n">
        <v>82390878</v>
      </c>
      <c r="R3860" s="42">
        <f>+L3860+N3860-P3860</f>
        <v/>
      </c>
      <c r="S3860" s="42">
        <f>+M3860+O3860-Q3860</f>
        <v/>
      </c>
    </row>
    <row r="3861" ht="30" customHeight="1">
      <c r="A3861" s="16" t="n">
        <v>45993</v>
      </c>
      <c r="B3861" s="17" t="inlineStr">
        <is>
          <t>MH2512-01</t>
        </is>
      </c>
      <c r="C3861" s="16" t="n">
        <v>45993</v>
      </c>
      <c r="D3861" s="17" t="inlineStr">
        <is>
          <t>39</t>
        </is>
      </c>
      <c r="E3861" s="16" t="n">
        <v>45993</v>
      </c>
      <c r="F3861" s="16" t="inlineStr">
        <is>
          <t>XK2512-03</t>
        </is>
      </c>
      <c r="G3861" s="16" t="n">
        <v>45993</v>
      </c>
      <c r="H3861" s="17" t="inlineStr">
        <is>
          <t>CÔNG TY TNHH TƯ VẤN THIẾT KẾ VÀ XÂY DỰNG HẢI PHONG</t>
        </is>
      </c>
      <c r="I3861" s="17" t="inlineStr">
        <is>
          <t>Cọc cứu sinh</t>
        </is>
      </c>
      <c r="J3861" s="17" t="inlineStr">
        <is>
          <t>đợt</t>
        </is>
      </c>
      <c r="K3861" s="21" t="n">
        <v>56000000</v>
      </c>
      <c r="L3861" s="21" t="n"/>
      <c r="M3861" s="22" t="n"/>
      <c r="N3861" s="22" t="n">
        <v>1</v>
      </c>
      <c r="O3861" s="22" t="n">
        <v>56000000</v>
      </c>
      <c r="P3861" s="22" t="n">
        <v>1</v>
      </c>
      <c r="Q3861" s="22" t="n">
        <v>56000000</v>
      </c>
      <c r="R3861" s="42">
        <f>+L3861+N3861-P3861</f>
        <v/>
      </c>
      <c r="S3861" s="42">
        <f>+M3861+O3861-Q3861</f>
        <v/>
      </c>
    </row>
    <row r="3862" ht="15" customHeight="1">
      <c r="A3862" s="16" t="n">
        <v>45994</v>
      </c>
      <c r="B3862" s="17" t="inlineStr">
        <is>
          <t>MH2512-02</t>
        </is>
      </c>
      <c r="C3862" s="16" t="n">
        <v>45994</v>
      </c>
      <c r="D3862" s="17" t="inlineStr">
        <is>
          <t>00011428</t>
        </is>
      </c>
      <c r="E3862" s="16" t="n">
        <v>45994</v>
      </c>
      <c r="F3862" s="16" t="inlineStr">
        <is>
          <t>XK2512-04</t>
        </is>
      </c>
      <c r="G3862" s="16" t="n">
        <v>45994</v>
      </c>
      <c r="H3862" s="17" t="inlineStr">
        <is>
          <t>CÔNG TY TNHH SƠN JOTUN VIỆT NAM</t>
        </is>
      </c>
      <c r="I3862" s="17" t="inlineStr">
        <is>
          <t>SƠN JOTAMASTIC 70 GREY 18L</t>
        </is>
      </c>
      <c r="J3862" s="17" t="inlineStr">
        <is>
          <t>Lít</t>
        </is>
      </c>
      <c r="K3862" s="21" t="n">
        <v>90000</v>
      </c>
      <c r="L3862" s="21" t="n"/>
      <c r="M3862" s="22" t="n"/>
      <c r="N3862" s="22" t="n">
        <v>2106</v>
      </c>
      <c r="O3862" s="22" t="n">
        <v>189540000</v>
      </c>
      <c r="P3862" s="22" t="n">
        <v>2106</v>
      </c>
      <c r="Q3862" s="22" t="n">
        <v>189540000</v>
      </c>
      <c r="R3862" s="42">
        <f>+L3862+N3862-P3862</f>
        <v/>
      </c>
      <c r="S3862" s="42">
        <f>+M3862+O3862-Q3862</f>
        <v/>
      </c>
    </row>
    <row r="3863" ht="15" customHeight="1">
      <c r="A3863" s="16" t="n">
        <v>45994</v>
      </c>
      <c r="B3863" s="17" t="inlineStr">
        <is>
          <t>MH2512-02</t>
        </is>
      </c>
      <c r="C3863" s="16" t="n">
        <v>45994</v>
      </c>
      <c r="D3863" s="17" t="inlineStr">
        <is>
          <t>00011428</t>
        </is>
      </c>
      <c r="E3863" s="16" t="n">
        <v>45994</v>
      </c>
      <c r="F3863" s="16" t="inlineStr">
        <is>
          <t>XK2512-04</t>
        </is>
      </c>
      <c r="G3863" s="16" t="n">
        <v>45994</v>
      </c>
      <c r="H3863" s="17" t="inlineStr">
        <is>
          <t>CÔNG TY TNHH SƠN JOTUN VIỆT NAM</t>
        </is>
      </c>
      <c r="I3863" s="17" t="inlineStr">
        <is>
          <t>DUNG MÔI JOTUN THINNER NO. 17 20L</t>
        </is>
      </c>
      <c r="J3863" s="17" t="inlineStr">
        <is>
          <t>Lít</t>
        </is>
      </c>
      <c r="K3863" s="21" t="n">
        <v>60000</v>
      </c>
      <c r="L3863" s="21" t="n"/>
      <c r="M3863" s="22" t="n"/>
      <c r="N3863" s="22" t="n">
        <v>260</v>
      </c>
      <c r="O3863" s="22" t="n">
        <v>15600000</v>
      </c>
      <c r="P3863" s="22" t="n">
        <v>260</v>
      </c>
      <c r="Q3863" s="22" t="n">
        <v>15600000</v>
      </c>
      <c r="R3863" s="42">
        <f>+L3863+N3863-P3863</f>
        <v/>
      </c>
      <c r="S3863" s="42">
        <f>+M3863+O3863-Q3863</f>
        <v/>
      </c>
    </row>
    <row r="3864" ht="15" customHeight="1">
      <c r="A3864" s="16" t="n">
        <v>45994</v>
      </c>
      <c r="B3864" s="17" t="inlineStr">
        <is>
          <t>MH2512-02</t>
        </is>
      </c>
      <c r="C3864" s="16" t="n">
        <v>45994</v>
      </c>
      <c r="D3864" s="17" t="inlineStr">
        <is>
          <t>00011428</t>
        </is>
      </c>
      <c r="E3864" s="16" t="n">
        <v>45994</v>
      </c>
      <c r="F3864" s="16" t="inlineStr">
        <is>
          <t>XK2512-04</t>
        </is>
      </c>
      <c r="G3864" s="16" t="n">
        <v>45994</v>
      </c>
      <c r="H3864" s="17" t="inlineStr">
        <is>
          <t>CÔNG TY TNHH SƠN JOTUN VIỆT NAM</t>
        </is>
      </c>
      <c r="I3864" s="17" t="inlineStr">
        <is>
          <t>DUNG MÔI JOTUN THINNER NO. 17 5L</t>
        </is>
      </c>
      <c r="J3864" s="17" t="inlineStr">
        <is>
          <t>Lít</t>
        </is>
      </c>
      <c r="K3864" s="21" t="n">
        <v>60000</v>
      </c>
      <c r="L3864" s="21" t="n"/>
      <c r="M3864" s="22" t="n"/>
      <c r="N3864" s="22" t="n">
        <v>15</v>
      </c>
      <c r="O3864" s="22" t="n">
        <v>900000</v>
      </c>
      <c r="P3864" s="22" t="n">
        <v>15</v>
      </c>
      <c r="Q3864" s="22" t="n">
        <v>900000</v>
      </c>
      <c r="R3864" s="42">
        <f>+L3864+N3864-P3864</f>
        <v/>
      </c>
      <c r="S3864" s="42">
        <f>+M3864+O3864-Q3864</f>
        <v/>
      </c>
    </row>
    <row r="3865" ht="15" customHeight="1">
      <c r="A3865" s="16" t="n">
        <v>45994</v>
      </c>
      <c r="B3865" s="17" t="inlineStr">
        <is>
          <t>MH2512-02</t>
        </is>
      </c>
      <c r="C3865" s="16" t="n">
        <v>45994</v>
      </c>
      <c r="D3865" s="17" t="inlineStr">
        <is>
          <t>00011428</t>
        </is>
      </c>
      <c r="E3865" s="16" t="n">
        <v>45994</v>
      </c>
      <c r="F3865" s="16" t="inlineStr">
        <is>
          <t>XK2512-04</t>
        </is>
      </c>
      <c r="G3865" s="16" t="n">
        <v>45994</v>
      </c>
      <c r="H3865" s="17" t="inlineStr">
        <is>
          <t>CÔNG TY TNHH SƠN JOTUN VIỆT NAM</t>
        </is>
      </c>
      <c r="I3865" s="17" t="inlineStr">
        <is>
          <t>DUNG MÔI JOTUN THINNER NO. 10 20L</t>
        </is>
      </c>
      <c r="J3865" s="17" t="inlineStr">
        <is>
          <t>Lít</t>
        </is>
      </c>
      <c r="K3865" s="21" t="n">
        <v>60000</v>
      </c>
      <c r="L3865" s="21" t="n"/>
      <c r="M3865" s="22" t="n"/>
      <c r="N3865" s="22" t="n">
        <v>260</v>
      </c>
      <c r="O3865" s="22" t="n">
        <v>15600000</v>
      </c>
      <c r="P3865" s="22" t="n">
        <v>260</v>
      </c>
      <c r="Q3865" s="22" t="n">
        <v>15600000</v>
      </c>
      <c r="R3865" s="42">
        <f>+L3865+N3865-P3865</f>
        <v/>
      </c>
      <c r="S3865" s="42">
        <f>+M3865+O3865-Q3865</f>
        <v/>
      </c>
    </row>
    <row r="3866" ht="15" customHeight="1">
      <c r="A3866" s="16" t="n">
        <v>45994</v>
      </c>
      <c r="B3866" s="17" t="inlineStr">
        <is>
          <t>MH2512-02</t>
        </is>
      </c>
      <c r="C3866" s="16" t="n">
        <v>45994</v>
      </c>
      <c r="D3866" s="17" t="inlineStr">
        <is>
          <t>00011428</t>
        </is>
      </c>
      <c r="E3866" s="16" t="n">
        <v>45994</v>
      </c>
      <c r="F3866" s="16" t="inlineStr">
        <is>
          <t>XK2512-04</t>
        </is>
      </c>
      <c r="G3866" s="16" t="n">
        <v>45994</v>
      </c>
      <c r="H3866" s="17" t="inlineStr">
        <is>
          <t>CÔNG TY TNHH SƠN JOTUN VIỆT NAM</t>
        </is>
      </c>
      <c r="I3866" s="17" t="inlineStr">
        <is>
          <t>DUNG MÔI JOTUN THINNER NO. 10 5L</t>
        </is>
      </c>
      <c r="J3866" s="17" t="inlineStr">
        <is>
          <t>Lít</t>
        </is>
      </c>
      <c r="K3866" s="21" t="n">
        <v>60000</v>
      </c>
      <c r="L3866" s="21" t="n"/>
      <c r="M3866" s="22" t="n"/>
      <c r="N3866" s="22" t="n">
        <v>20</v>
      </c>
      <c r="O3866" s="22" t="n">
        <v>1200000</v>
      </c>
      <c r="P3866" s="22" t="n">
        <v>20</v>
      </c>
      <c r="Q3866" s="22" t="n">
        <v>1200000</v>
      </c>
      <c r="R3866" s="42">
        <f>+L3866+N3866-P3866</f>
        <v/>
      </c>
      <c r="S3866" s="42">
        <f>+M3866+O3866-Q3866</f>
        <v/>
      </c>
    </row>
    <row r="3867" ht="15" customHeight="1">
      <c r="A3867" s="16" t="n">
        <v>45994</v>
      </c>
      <c r="B3867" s="17" t="inlineStr">
        <is>
          <t>MH2512-03</t>
        </is>
      </c>
      <c r="C3867" s="16" t="n">
        <v>45994</v>
      </c>
      <c r="D3867" s="17" t="inlineStr">
        <is>
          <t>00011427</t>
        </is>
      </c>
      <c r="E3867" s="16" t="n">
        <v>45994</v>
      </c>
      <c r="F3867" s="16" t="inlineStr">
        <is>
          <t>XK2512-05</t>
        </is>
      </c>
      <c r="G3867" s="16" t="n">
        <v>45994</v>
      </c>
      <c r="H3867" s="17" t="inlineStr">
        <is>
          <t>CÔNG TY TNHH SƠN JOTUN VIỆT NAM</t>
        </is>
      </c>
      <c r="I3867" s="17" t="inlineStr">
        <is>
          <t>SƠN JOTAMASTIC 70 GREY 18L</t>
        </is>
      </c>
      <c r="J3867" s="17" t="inlineStr">
        <is>
          <t>Lít</t>
        </is>
      </c>
      <c r="K3867" s="21" t="n">
        <v>90000</v>
      </c>
      <c r="L3867" s="21" t="n"/>
      <c r="M3867" s="22" t="n"/>
      <c r="N3867" s="22" t="n">
        <v>1080</v>
      </c>
      <c r="O3867" s="22" t="n">
        <v>97200000</v>
      </c>
      <c r="P3867" s="22" t="n">
        <v>1080</v>
      </c>
      <c r="Q3867" s="22" t="n">
        <v>97200000</v>
      </c>
      <c r="R3867" s="42">
        <f>+L3867+N3867-P3867</f>
        <v/>
      </c>
      <c r="S3867" s="42">
        <f>+M3867+O3867-Q3867</f>
        <v/>
      </c>
    </row>
    <row r="3868" ht="15" customHeight="1">
      <c r="A3868" s="16" t="n">
        <v>45994</v>
      </c>
      <c r="B3868" s="17" t="inlineStr">
        <is>
          <t>MH2512-03</t>
        </is>
      </c>
      <c r="C3868" s="16" t="n">
        <v>45994</v>
      </c>
      <c r="D3868" s="17" t="inlineStr">
        <is>
          <t>00011427</t>
        </is>
      </c>
      <c r="E3868" s="16" t="n">
        <v>45994</v>
      </c>
      <c r="F3868" s="16" t="inlineStr">
        <is>
          <t>XK2512-05</t>
        </is>
      </c>
      <c r="G3868" s="16" t="n">
        <v>45994</v>
      </c>
      <c r="H3868" s="17" t="inlineStr">
        <is>
          <t>CÔNG TY TNHH SƠN JOTUN VIỆT NAM</t>
        </is>
      </c>
      <c r="I3868" s="17" t="inlineStr">
        <is>
          <t>DUNG MÔI JOTUN THINNER NO. 17 20L</t>
        </is>
      </c>
      <c r="J3868" s="17" t="inlineStr">
        <is>
          <t>Lít</t>
        </is>
      </c>
      <c r="K3868" s="21" t="n">
        <v>60000</v>
      </c>
      <c r="L3868" s="21" t="n"/>
      <c r="M3868" s="22" t="n"/>
      <c r="N3868" s="22" t="n">
        <v>200</v>
      </c>
      <c r="O3868" s="22" t="n">
        <v>12000000</v>
      </c>
      <c r="P3868" s="22" t="n">
        <v>200</v>
      </c>
      <c r="Q3868" s="22" t="n">
        <v>12000000</v>
      </c>
      <c r="R3868" s="42">
        <f>+L3868+N3868-P3868</f>
        <v/>
      </c>
      <c r="S3868" s="42">
        <f>+M3868+O3868-Q3868</f>
        <v/>
      </c>
    </row>
    <row r="3869" ht="15" customHeight="1">
      <c r="A3869" s="16" t="n">
        <v>45994</v>
      </c>
      <c r="B3869" s="17" t="inlineStr">
        <is>
          <t>MH2512-03</t>
        </is>
      </c>
      <c r="C3869" s="16" t="n">
        <v>45994</v>
      </c>
      <c r="D3869" s="17" t="inlineStr">
        <is>
          <t>00011427</t>
        </is>
      </c>
      <c r="E3869" s="16" t="n">
        <v>45994</v>
      </c>
      <c r="F3869" s="16" t="inlineStr">
        <is>
          <t>XK2512-05</t>
        </is>
      </c>
      <c r="G3869" s="16" t="n">
        <v>45994</v>
      </c>
      <c r="H3869" s="17" t="inlineStr">
        <is>
          <t>CÔNG TY TNHH SƠN JOTUN VIỆT NAM</t>
        </is>
      </c>
      <c r="I3869" s="17" t="inlineStr">
        <is>
          <t>DUNG MÔI JOTUN THINNER NO. 10 20L</t>
        </is>
      </c>
      <c r="J3869" s="17" t="inlineStr">
        <is>
          <t>Lít</t>
        </is>
      </c>
      <c r="K3869" s="21" t="n">
        <v>60000</v>
      </c>
      <c r="L3869" s="21" t="n"/>
      <c r="M3869" s="22" t="n"/>
      <c r="N3869" s="22" t="n">
        <v>200</v>
      </c>
      <c r="O3869" s="22" t="n">
        <v>12000000</v>
      </c>
      <c r="P3869" s="22" t="n">
        <v>200</v>
      </c>
      <c r="Q3869" s="22" t="n">
        <v>12000000</v>
      </c>
      <c r="R3869" s="42">
        <f>+L3869+N3869-P3869</f>
        <v/>
      </c>
      <c r="S3869" s="42">
        <f>+M3869+O3869-Q3869</f>
        <v/>
      </c>
    </row>
    <row r="3870" ht="15" customHeight="1">
      <c r="A3870" s="16" t="n">
        <v>45995</v>
      </c>
      <c r="B3870" s="17" t="inlineStr">
        <is>
          <t>MH2512-05</t>
        </is>
      </c>
      <c r="C3870" s="16" t="n">
        <v>45995</v>
      </c>
      <c r="D3870" s="17" t="inlineStr">
        <is>
          <t>00011479</t>
        </is>
      </c>
      <c r="E3870" s="16" t="n">
        <v>45995</v>
      </c>
      <c r="F3870" s="16" t="inlineStr">
        <is>
          <t>XK2512-06</t>
        </is>
      </c>
      <c r="G3870" s="16" t="n">
        <v>45995</v>
      </c>
      <c r="H3870" s="17" t="inlineStr">
        <is>
          <t>CÔNG TY TNHH SƠN JOTUN VIỆT NAM</t>
        </is>
      </c>
      <c r="I3870" s="17" t="inlineStr">
        <is>
          <t>SƠN HARDTOP XPL STD 4056 18.98L</t>
        </is>
      </c>
      <c r="J3870" s="17" t="inlineStr">
        <is>
          <t>Lít</t>
        </is>
      </c>
      <c r="K3870" s="21" t="n">
        <v>170000</v>
      </c>
      <c r="L3870" s="21" t="n"/>
      <c r="M3870" s="22" t="n"/>
      <c r="N3870" s="22" t="n">
        <v>759.2</v>
      </c>
      <c r="O3870" s="22" t="n">
        <v>129064000</v>
      </c>
      <c r="P3870" s="22" t="n">
        <v>759.2</v>
      </c>
      <c r="Q3870" s="22" t="n">
        <v>129064000</v>
      </c>
      <c r="R3870" s="42">
        <f>+L3870+N3870-P3870</f>
        <v/>
      </c>
      <c r="S3870" s="42">
        <f>+M3870+O3870-Q3870</f>
        <v/>
      </c>
    </row>
    <row r="3871" ht="30" customHeight="1">
      <c r="A3871" s="16" t="n">
        <v>45999</v>
      </c>
      <c r="B3871" s="17" t="inlineStr">
        <is>
          <t>MH2512-08</t>
        </is>
      </c>
      <c r="C3871" s="16" t="n">
        <v>45999</v>
      </c>
      <c r="D3871" s="17" t="inlineStr">
        <is>
          <t>00004868</t>
        </is>
      </c>
      <c r="E3871" s="16" t="n">
        <v>45999</v>
      </c>
      <c r="F3871" s="16" t="inlineStr">
        <is>
          <t>XK2512-07</t>
        </is>
      </c>
      <c r="G3871" s="16" t="n">
        <v>45999</v>
      </c>
      <c r="H3871" s="17" t="inlineStr">
        <is>
          <t>CÔNG TY CỔ PHẦN CÔNG NGHIỆP VÀ THƯƠNG MẠI CƯỜNG THỊNH</t>
        </is>
      </c>
      <c r="I3871" s="17" t="inlineStr">
        <is>
          <t>Bulong thường 4.6 ZP M12x30</t>
        </is>
      </c>
      <c r="J3871" s="17" t="inlineStr">
        <is>
          <t>Cái</t>
        </is>
      </c>
      <c r="K3871" s="21" t="n">
        <v>950</v>
      </c>
      <c r="L3871" s="21" t="n"/>
      <c r="M3871" s="22" t="n"/>
      <c r="N3871" s="22" t="n">
        <v>14045</v>
      </c>
      <c r="O3871" s="22" t="n">
        <v>13342750</v>
      </c>
      <c r="P3871" s="22" t="n">
        <v>14045</v>
      </c>
      <c r="Q3871" s="22" t="n">
        <v>13342750</v>
      </c>
      <c r="R3871" s="42">
        <f>+L3871+N3871-P3871</f>
        <v/>
      </c>
      <c r="S3871" s="42">
        <f>+M3871+O3871-Q3871</f>
        <v/>
      </c>
    </row>
    <row r="3872" ht="30" customHeight="1">
      <c r="A3872" s="16" t="n">
        <v>45999</v>
      </c>
      <c r="B3872" s="17" t="inlineStr">
        <is>
          <t>MH2512-08</t>
        </is>
      </c>
      <c r="C3872" s="16" t="n">
        <v>45999</v>
      </c>
      <c r="D3872" s="17" t="inlineStr">
        <is>
          <t>00004868</t>
        </is>
      </c>
      <c r="E3872" s="16" t="n">
        <v>45999</v>
      </c>
      <c r="F3872" s="16" t="inlineStr">
        <is>
          <t>XK2512-07</t>
        </is>
      </c>
      <c r="G3872" s="16" t="n">
        <v>45999</v>
      </c>
      <c r="H3872" s="17" t="inlineStr">
        <is>
          <t>CÔNG TY CỔ PHẦN CÔNG NGHIỆP VÀ THƯƠNG MẠI CƯỜNG THỊNH</t>
        </is>
      </c>
      <c r="I3872" s="17" t="inlineStr">
        <is>
          <t>Đai ốc thường 4 ZP M12 (8mm)</t>
        </is>
      </c>
      <c r="J3872" s="17" t="inlineStr">
        <is>
          <t>Cái</t>
        </is>
      </c>
      <c r="K3872" s="21" t="n">
        <v>360</v>
      </c>
      <c r="L3872" s="21" t="n"/>
      <c r="M3872" s="22" t="n"/>
      <c r="N3872" s="22" t="n">
        <v>14045</v>
      </c>
      <c r="O3872" s="22" t="n">
        <v>5056200</v>
      </c>
      <c r="P3872" s="22" t="n">
        <v>14045</v>
      </c>
      <c r="Q3872" s="22" t="n">
        <v>5056200</v>
      </c>
      <c r="R3872" s="42">
        <f>+L3872+N3872-P3872</f>
        <v/>
      </c>
      <c r="S3872" s="42">
        <f>+M3872+O3872-Q3872</f>
        <v/>
      </c>
    </row>
    <row r="3873" ht="30" customHeight="1">
      <c r="A3873" s="16" t="n">
        <v>45999</v>
      </c>
      <c r="B3873" s="17" t="inlineStr">
        <is>
          <t>MH2512-08</t>
        </is>
      </c>
      <c r="C3873" s="16" t="n">
        <v>45999</v>
      </c>
      <c r="D3873" s="17" t="inlineStr">
        <is>
          <t>00004868</t>
        </is>
      </c>
      <c r="E3873" s="16" t="n">
        <v>45999</v>
      </c>
      <c r="F3873" s="16" t="inlineStr">
        <is>
          <t>XK2512-07</t>
        </is>
      </c>
      <c r="G3873" s="16" t="n">
        <v>45999</v>
      </c>
      <c r="H3873" s="17" t="inlineStr">
        <is>
          <t>CÔNG TY CỔ PHẦN CÔNG NGHIỆP VÀ THƯƠNG MẠI CƯỜNG THỊNH</t>
        </is>
      </c>
      <c r="I3873" s="17" t="inlineStr">
        <is>
          <t>Long đền thường ZP M12B23D1</t>
        </is>
      </c>
      <c r="J3873" s="17" t="inlineStr">
        <is>
          <t>Cái</t>
        </is>
      </c>
      <c r="K3873" s="21" t="n">
        <v>100</v>
      </c>
      <c r="L3873" s="21" t="n"/>
      <c r="M3873" s="22" t="n"/>
      <c r="N3873" s="22" t="n">
        <v>28090</v>
      </c>
      <c r="O3873" s="22" t="n">
        <v>2809000</v>
      </c>
      <c r="P3873" s="22" t="n">
        <v>28090</v>
      </c>
      <c r="Q3873" s="22" t="n">
        <v>2809000</v>
      </c>
      <c r="R3873" s="42">
        <f>+L3873+N3873-P3873</f>
        <v/>
      </c>
      <c r="S3873" s="42">
        <f>+M3873+O3873-Q3873</f>
        <v/>
      </c>
    </row>
    <row r="3874" ht="30" customHeight="1">
      <c r="A3874" s="16" t="n">
        <v>45999</v>
      </c>
      <c r="B3874" s="17" t="inlineStr">
        <is>
          <t>MH2512-08</t>
        </is>
      </c>
      <c r="C3874" s="16" t="n">
        <v>45999</v>
      </c>
      <c r="D3874" s="17" t="inlineStr">
        <is>
          <t>00004868</t>
        </is>
      </c>
      <c r="E3874" s="16" t="n">
        <v>45999</v>
      </c>
      <c r="F3874" s="16" t="inlineStr">
        <is>
          <t>XK2512-07</t>
        </is>
      </c>
      <c r="G3874" s="16" t="n">
        <v>45999</v>
      </c>
      <c r="H3874" s="17" t="inlineStr">
        <is>
          <t>CÔNG TY CỔ PHẦN CÔNG NGHIỆP VÀ THƯƠNG MẠI CƯỜNG THỊNH</t>
        </is>
      </c>
      <c r="I3874" s="17" t="inlineStr">
        <is>
          <t>Bulong thường 4.6 ZP M12x50</t>
        </is>
      </c>
      <c r="J3874" s="17" t="inlineStr">
        <is>
          <t>Cái</t>
        </is>
      </c>
      <c r="K3874" s="21" t="n">
        <v>1300</v>
      </c>
      <c r="L3874" s="21" t="n"/>
      <c r="M3874" s="22" t="n"/>
      <c r="N3874" s="22" t="n">
        <v>3317</v>
      </c>
      <c r="O3874" s="22" t="n">
        <v>4312100</v>
      </c>
      <c r="P3874" s="22" t="n">
        <v>3317</v>
      </c>
      <c r="Q3874" s="22" t="n">
        <v>4312100</v>
      </c>
      <c r="R3874" s="42">
        <f>+L3874+N3874-P3874</f>
        <v/>
      </c>
      <c r="S3874" s="42">
        <f>+M3874+O3874-Q3874</f>
        <v/>
      </c>
    </row>
    <row r="3875" ht="30" customHeight="1">
      <c r="A3875" s="16" t="n">
        <v>45999</v>
      </c>
      <c r="B3875" s="17" t="inlineStr">
        <is>
          <t>MH2512-08</t>
        </is>
      </c>
      <c r="C3875" s="16" t="n">
        <v>45999</v>
      </c>
      <c r="D3875" s="17" t="inlineStr">
        <is>
          <t>00004868</t>
        </is>
      </c>
      <c r="E3875" s="16" t="n">
        <v>45999</v>
      </c>
      <c r="F3875" s="16" t="inlineStr">
        <is>
          <t>XK2512-07</t>
        </is>
      </c>
      <c r="G3875" s="16" t="n">
        <v>45999</v>
      </c>
      <c r="H3875" s="17" t="inlineStr">
        <is>
          <t>CÔNG TY CỔ PHẦN CÔNG NGHIỆP VÀ THƯƠNG MẠI CƯỜNG THỊNH</t>
        </is>
      </c>
      <c r="I3875" s="17" t="inlineStr">
        <is>
          <t>Đai ốc thường 4 ZP M12 (8mm)</t>
        </is>
      </c>
      <c r="J3875" s="17" t="inlineStr">
        <is>
          <t>Cái</t>
        </is>
      </c>
      <c r="K3875" s="21" t="n">
        <v>360</v>
      </c>
      <c r="L3875" s="21" t="n"/>
      <c r="M3875" s="22" t="n"/>
      <c r="N3875" s="22" t="n">
        <v>3317</v>
      </c>
      <c r="O3875" s="22" t="n">
        <v>1194120</v>
      </c>
      <c r="P3875" s="22" t="n">
        <v>3317</v>
      </c>
      <c r="Q3875" s="22" t="n">
        <v>1194120</v>
      </c>
      <c r="R3875" s="42">
        <f>+L3875+N3875-P3875</f>
        <v/>
      </c>
      <c r="S3875" s="42">
        <f>+M3875+O3875-Q3875</f>
        <v/>
      </c>
    </row>
    <row r="3876" ht="30" customHeight="1">
      <c r="A3876" s="16" t="n">
        <v>45999</v>
      </c>
      <c r="B3876" s="17" t="inlineStr">
        <is>
          <t>MH2512-08</t>
        </is>
      </c>
      <c r="C3876" s="16" t="n">
        <v>45999</v>
      </c>
      <c r="D3876" s="17" t="inlineStr">
        <is>
          <t>00004868</t>
        </is>
      </c>
      <c r="E3876" s="16" t="n">
        <v>45999</v>
      </c>
      <c r="F3876" s="16" t="inlineStr">
        <is>
          <t>XK2512-07</t>
        </is>
      </c>
      <c r="G3876" s="16" t="n">
        <v>45999</v>
      </c>
      <c r="H3876" s="17" t="inlineStr">
        <is>
          <t>CÔNG TY CỔ PHẦN CÔNG NGHIỆP VÀ THƯƠNG MẠI CƯỜNG THỊNH</t>
        </is>
      </c>
      <c r="I3876" s="17" t="inlineStr">
        <is>
          <t>Long đền thường ZP M12B23D1</t>
        </is>
      </c>
      <c r="J3876" s="17" t="inlineStr">
        <is>
          <t>Cái</t>
        </is>
      </c>
      <c r="K3876" s="21" t="n">
        <v>100</v>
      </c>
      <c r="L3876" s="21" t="n"/>
      <c r="M3876" s="22" t="n"/>
      <c r="N3876" s="22" t="n">
        <v>6634</v>
      </c>
      <c r="O3876" s="22" t="n">
        <v>663400</v>
      </c>
      <c r="P3876" s="22" t="n">
        <v>6634</v>
      </c>
      <c r="Q3876" s="22" t="n">
        <v>663400</v>
      </c>
      <c r="R3876" s="42">
        <f>+L3876+N3876-P3876</f>
        <v/>
      </c>
      <c r="S3876" s="42">
        <f>+M3876+O3876-Q3876</f>
        <v/>
      </c>
    </row>
    <row r="3877" ht="30" customHeight="1">
      <c r="A3877" s="16" t="n">
        <v>45999</v>
      </c>
      <c r="B3877" s="17" t="inlineStr">
        <is>
          <t>MH2512-08</t>
        </is>
      </c>
      <c r="C3877" s="16" t="n">
        <v>45999</v>
      </c>
      <c r="D3877" s="17" t="inlineStr">
        <is>
          <t>00004868</t>
        </is>
      </c>
      <c r="E3877" s="16" t="n">
        <v>45999</v>
      </c>
      <c r="F3877" s="16" t="inlineStr">
        <is>
          <t>XK2512-07</t>
        </is>
      </c>
      <c r="G3877" s="16" t="n">
        <v>45999</v>
      </c>
      <c r="H3877" s="17" t="inlineStr">
        <is>
          <t>CÔNG TY CỔ PHẦN CÔNG NGHIỆP VÀ THƯƠNG MẠI CƯỜNG THỊNH</t>
        </is>
      </c>
      <c r="I3877" s="17" t="inlineStr">
        <is>
          <t>Bulong Din 933 8.8 ZP M16x50</t>
        </is>
      </c>
      <c r="J3877" s="17" t="inlineStr">
        <is>
          <t>Cái</t>
        </is>
      </c>
      <c r="K3877" s="21" t="n">
        <v>3470</v>
      </c>
      <c r="L3877" s="21" t="n"/>
      <c r="M3877" s="22" t="n"/>
      <c r="N3877" s="22" t="n">
        <v>135</v>
      </c>
      <c r="O3877" s="22" t="n">
        <v>468450</v>
      </c>
      <c r="P3877" s="22" t="n">
        <v>135</v>
      </c>
      <c r="Q3877" s="22" t="n">
        <v>468450</v>
      </c>
      <c r="R3877" s="42">
        <f>+L3877+N3877-P3877</f>
        <v/>
      </c>
      <c r="S3877" s="42">
        <f>+M3877+O3877-Q3877</f>
        <v/>
      </c>
    </row>
    <row r="3878" ht="30" customHeight="1">
      <c r="A3878" s="16" t="n">
        <v>45999</v>
      </c>
      <c r="B3878" s="17" t="inlineStr">
        <is>
          <t>MH2512-08</t>
        </is>
      </c>
      <c r="C3878" s="16" t="n">
        <v>45999</v>
      </c>
      <c r="D3878" s="17" t="inlineStr">
        <is>
          <t>00004868</t>
        </is>
      </c>
      <c r="E3878" s="16" t="n">
        <v>45999</v>
      </c>
      <c r="F3878" s="16" t="inlineStr">
        <is>
          <t>XK2512-07</t>
        </is>
      </c>
      <c r="G3878" s="16" t="n">
        <v>45999</v>
      </c>
      <c r="H3878" s="17" t="inlineStr">
        <is>
          <t>CÔNG TY CỔ PHẦN CÔNG NGHIỆP VÀ THƯƠNG MẠI CƯỜNG THỊNH</t>
        </is>
      </c>
      <c r="I3878" s="17" t="inlineStr">
        <is>
          <t>Đai ốc Din 934 8 ZP M16</t>
        </is>
      </c>
      <c r="J3878" s="17" t="inlineStr">
        <is>
          <t>Cái</t>
        </is>
      </c>
      <c r="K3878" s="21" t="n">
        <v>1080</v>
      </c>
      <c r="L3878" s="21" t="n"/>
      <c r="M3878" s="22" t="n"/>
      <c r="N3878" s="22" t="n">
        <v>135</v>
      </c>
      <c r="O3878" s="22" t="n">
        <v>145800</v>
      </c>
      <c r="P3878" s="22" t="n">
        <v>135</v>
      </c>
      <c r="Q3878" s="22" t="n">
        <v>145800</v>
      </c>
      <c r="R3878" s="42">
        <f>+L3878+N3878-P3878</f>
        <v/>
      </c>
      <c r="S3878" s="42">
        <f>+M3878+O3878-Q3878</f>
        <v/>
      </c>
    </row>
    <row r="3879" ht="30" customHeight="1">
      <c r="A3879" s="16" t="n">
        <v>45999</v>
      </c>
      <c r="B3879" s="17" t="inlineStr">
        <is>
          <t>MH2512-08</t>
        </is>
      </c>
      <c r="C3879" s="16" t="n">
        <v>45999</v>
      </c>
      <c r="D3879" s="17" t="inlineStr">
        <is>
          <t>00004868</t>
        </is>
      </c>
      <c r="E3879" s="16" t="n">
        <v>45999</v>
      </c>
      <c r="F3879" s="16" t="inlineStr">
        <is>
          <t>XK2512-07</t>
        </is>
      </c>
      <c r="G3879" s="16" t="n">
        <v>45999</v>
      </c>
      <c r="H3879" s="17" t="inlineStr">
        <is>
          <t>CÔNG TY CỔ PHẦN CÔNG NGHIỆP VÀ THƯƠNG MẠI CƯỜNG THỊNH</t>
        </is>
      </c>
      <c r="I3879" s="17" t="inlineStr">
        <is>
          <t>Long đền thường ZP M16B30D2</t>
        </is>
      </c>
      <c r="J3879" s="17" t="inlineStr">
        <is>
          <t>Cái</t>
        </is>
      </c>
      <c r="K3879" s="21" t="n">
        <v>340</v>
      </c>
      <c r="L3879" s="21" t="n"/>
      <c r="M3879" s="22" t="n"/>
      <c r="N3879" s="22" t="n">
        <v>135</v>
      </c>
      <c r="O3879" s="22" t="n">
        <v>45900</v>
      </c>
      <c r="P3879" s="22" t="n">
        <v>135</v>
      </c>
      <c r="Q3879" s="22" t="n">
        <v>45900</v>
      </c>
      <c r="R3879" s="42">
        <f>+L3879+N3879-P3879</f>
        <v/>
      </c>
      <c r="S3879" s="42">
        <f>+M3879+O3879-Q3879</f>
        <v/>
      </c>
    </row>
    <row r="3880" ht="30" customHeight="1">
      <c r="A3880" s="16" t="n">
        <v>45999</v>
      </c>
      <c r="B3880" s="17" t="inlineStr">
        <is>
          <t>MH2512-08</t>
        </is>
      </c>
      <c r="C3880" s="16" t="n">
        <v>45999</v>
      </c>
      <c r="D3880" s="17" t="inlineStr">
        <is>
          <t>00004868</t>
        </is>
      </c>
      <c r="E3880" s="16" t="n">
        <v>45999</v>
      </c>
      <c r="F3880" s="16" t="inlineStr">
        <is>
          <t>XK2512-07</t>
        </is>
      </c>
      <c r="G3880" s="16" t="n">
        <v>45999</v>
      </c>
      <c r="H3880" s="17" t="inlineStr">
        <is>
          <t>CÔNG TY CỔ PHẦN CÔNG NGHIỆP VÀ THƯƠNG MẠI CƯỜNG THỊNH</t>
        </is>
      </c>
      <c r="I3880" s="17" t="inlineStr">
        <is>
          <t>Bulong Din 933 8.8 ZP M16x70</t>
        </is>
      </c>
      <c r="J3880" s="17" t="inlineStr">
        <is>
          <t>Cái</t>
        </is>
      </c>
      <c r="K3880" s="21" t="n">
        <v>4340</v>
      </c>
      <c r="L3880" s="21" t="n"/>
      <c r="M3880" s="22" t="n"/>
      <c r="N3880" s="22" t="n">
        <v>282</v>
      </c>
      <c r="O3880" s="22" t="n">
        <v>1223880</v>
      </c>
      <c r="P3880" s="22" t="n">
        <v>282</v>
      </c>
      <c r="Q3880" s="22" t="n">
        <v>1223880</v>
      </c>
      <c r="R3880" s="42">
        <f>+L3880+N3880-P3880</f>
        <v/>
      </c>
      <c r="S3880" s="42">
        <f>+M3880+O3880-Q3880</f>
        <v/>
      </c>
    </row>
    <row r="3881" ht="30" customHeight="1">
      <c r="A3881" s="16" t="n">
        <v>45999</v>
      </c>
      <c r="B3881" s="17" t="inlineStr">
        <is>
          <t>MH2512-08</t>
        </is>
      </c>
      <c r="C3881" s="16" t="n">
        <v>45999</v>
      </c>
      <c r="D3881" s="17" t="inlineStr">
        <is>
          <t>00004868</t>
        </is>
      </c>
      <c r="E3881" s="16" t="n">
        <v>45999</v>
      </c>
      <c r="F3881" s="16" t="inlineStr">
        <is>
          <t>XK2512-07</t>
        </is>
      </c>
      <c r="G3881" s="16" t="n">
        <v>45999</v>
      </c>
      <c r="H3881" s="17" t="inlineStr">
        <is>
          <t>CÔNG TY CỔ PHẦN CÔNG NGHIỆP VÀ THƯƠNG MẠI CƯỜNG THỊNH</t>
        </is>
      </c>
      <c r="I3881" s="17" t="inlineStr">
        <is>
          <t>Đai ốc Din 934 8 ZP M16</t>
        </is>
      </c>
      <c r="J3881" s="17" t="inlineStr">
        <is>
          <t>Cái</t>
        </is>
      </c>
      <c r="K3881" s="21" t="n">
        <v>1080</v>
      </c>
      <c r="L3881" s="21" t="n"/>
      <c r="M3881" s="22" t="n"/>
      <c r="N3881" s="22" t="n">
        <v>282</v>
      </c>
      <c r="O3881" s="22" t="n">
        <v>304560</v>
      </c>
      <c r="P3881" s="22" t="n">
        <v>282</v>
      </c>
      <c r="Q3881" s="22" t="n">
        <v>304560</v>
      </c>
      <c r="R3881" s="42">
        <f>+L3881+N3881-P3881</f>
        <v/>
      </c>
      <c r="S3881" s="42">
        <f>+M3881+O3881-Q3881</f>
        <v/>
      </c>
    </row>
    <row r="3882" ht="30" customHeight="1">
      <c r="A3882" s="16" t="n">
        <v>45999</v>
      </c>
      <c r="B3882" s="17" t="inlineStr">
        <is>
          <t>MH2512-08</t>
        </is>
      </c>
      <c r="C3882" s="16" t="n">
        <v>45999</v>
      </c>
      <c r="D3882" s="17" t="inlineStr">
        <is>
          <t>00004868</t>
        </is>
      </c>
      <c r="E3882" s="16" t="n">
        <v>45999</v>
      </c>
      <c r="F3882" s="16" t="inlineStr">
        <is>
          <t>XK2512-07</t>
        </is>
      </c>
      <c r="G3882" s="16" t="n">
        <v>45999</v>
      </c>
      <c r="H3882" s="17" t="inlineStr">
        <is>
          <t>CÔNG TY CỔ PHẦN CÔNG NGHIỆP VÀ THƯƠNG MẠI CƯỜNG THỊNH</t>
        </is>
      </c>
      <c r="I3882" s="17" t="inlineStr">
        <is>
          <t>Long đền thường ZP M16B30D2</t>
        </is>
      </c>
      <c r="J3882" s="17" t="inlineStr">
        <is>
          <t>Cái</t>
        </is>
      </c>
      <c r="K3882" s="21" t="n">
        <v>340</v>
      </c>
      <c r="L3882" s="21" t="n"/>
      <c r="M3882" s="22" t="n"/>
      <c r="N3882" s="22" t="n">
        <v>282</v>
      </c>
      <c r="O3882" s="22" t="n">
        <v>95880</v>
      </c>
      <c r="P3882" s="22" t="n">
        <v>282</v>
      </c>
      <c r="Q3882" s="22" t="n">
        <v>95880</v>
      </c>
      <c r="R3882" s="42">
        <f>+L3882+N3882-P3882</f>
        <v/>
      </c>
      <c r="S3882" s="42">
        <f>+M3882+O3882-Q3882</f>
        <v/>
      </c>
    </row>
    <row r="3883" ht="30" customHeight="1">
      <c r="A3883" s="16" t="n">
        <v>45999</v>
      </c>
      <c r="B3883" s="17" t="inlineStr">
        <is>
          <t>MH2512-08</t>
        </is>
      </c>
      <c r="C3883" s="16" t="n">
        <v>45999</v>
      </c>
      <c r="D3883" s="17" t="inlineStr">
        <is>
          <t>00004868</t>
        </is>
      </c>
      <c r="E3883" s="16" t="n">
        <v>45999</v>
      </c>
      <c r="F3883" s="16" t="inlineStr">
        <is>
          <t>XK2512-07</t>
        </is>
      </c>
      <c r="G3883" s="16" t="n">
        <v>45999</v>
      </c>
      <c r="H3883" s="17" t="inlineStr">
        <is>
          <t>CÔNG TY CỔ PHẦN CÔNG NGHIỆP VÀ THƯƠNG MẠI CƯỜNG THỊNH</t>
        </is>
      </c>
      <c r="I3883" s="17" t="inlineStr">
        <is>
          <t>Bulong Din 933 8.8 ZP M20x60</t>
        </is>
      </c>
      <c r="J3883" s="17" t="inlineStr">
        <is>
          <t>Cái</t>
        </is>
      </c>
      <c r="K3883" s="21" t="n">
        <v>6360</v>
      </c>
      <c r="L3883" s="21" t="n"/>
      <c r="M3883" s="22" t="n"/>
      <c r="N3883" s="22" t="n">
        <v>9303</v>
      </c>
      <c r="O3883" s="22" t="n">
        <v>59167080</v>
      </c>
      <c r="P3883" s="22" t="n">
        <v>9303</v>
      </c>
      <c r="Q3883" s="22" t="n">
        <v>59167080</v>
      </c>
      <c r="R3883" s="42">
        <f>+L3883+N3883-P3883</f>
        <v/>
      </c>
      <c r="S3883" s="42">
        <f>+M3883+O3883-Q3883</f>
        <v/>
      </c>
    </row>
    <row r="3884" ht="30" customHeight="1">
      <c r="A3884" s="16" t="n">
        <v>45999</v>
      </c>
      <c r="B3884" s="17" t="inlineStr">
        <is>
          <t>MH2512-08</t>
        </is>
      </c>
      <c r="C3884" s="16" t="n">
        <v>45999</v>
      </c>
      <c r="D3884" s="17" t="inlineStr">
        <is>
          <t>00004868</t>
        </is>
      </c>
      <c r="E3884" s="16" t="n">
        <v>45999</v>
      </c>
      <c r="F3884" s="16" t="inlineStr">
        <is>
          <t>XK2512-07</t>
        </is>
      </c>
      <c r="G3884" s="16" t="n">
        <v>45999</v>
      </c>
      <c r="H3884" s="17" t="inlineStr">
        <is>
          <t>CÔNG TY CỔ PHẦN CÔNG NGHIỆP VÀ THƯƠNG MẠI CƯỜNG THỊNH</t>
        </is>
      </c>
      <c r="I3884" s="17" t="inlineStr">
        <is>
          <t>Đai ốc Din 934 8 ZP M20</t>
        </is>
      </c>
      <c r="J3884" s="17" t="inlineStr">
        <is>
          <t>Cái</t>
        </is>
      </c>
      <c r="K3884" s="21" t="n">
        <v>2030</v>
      </c>
      <c r="L3884" s="21" t="n"/>
      <c r="M3884" s="22" t="n"/>
      <c r="N3884" s="22" t="n">
        <v>9303</v>
      </c>
      <c r="O3884" s="22" t="n">
        <v>18885090</v>
      </c>
      <c r="P3884" s="22" t="n">
        <v>9303</v>
      </c>
      <c r="Q3884" s="22" t="n">
        <v>18885090</v>
      </c>
      <c r="R3884" s="42">
        <f>+L3884+N3884-P3884</f>
        <v/>
      </c>
      <c r="S3884" s="42">
        <f>+M3884+O3884-Q3884</f>
        <v/>
      </c>
    </row>
    <row r="3885" ht="30" customHeight="1">
      <c r="A3885" s="16" t="n">
        <v>45999</v>
      </c>
      <c r="B3885" s="17" t="inlineStr">
        <is>
          <t>MH2512-08</t>
        </is>
      </c>
      <c r="C3885" s="16" t="n">
        <v>45999</v>
      </c>
      <c r="D3885" s="17" t="inlineStr">
        <is>
          <t>00004868</t>
        </is>
      </c>
      <c r="E3885" s="16" t="n">
        <v>45999</v>
      </c>
      <c r="F3885" s="16" t="inlineStr">
        <is>
          <t>XK2512-07</t>
        </is>
      </c>
      <c r="G3885" s="16" t="n">
        <v>45999</v>
      </c>
      <c r="H3885" s="17" t="inlineStr">
        <is>
          <t>CÔNG TY CỔ PHẦN CÔNG NGHIỆP VÀ THƯƠNG MẠI CƯỜNG THỊNH</t>
        </is>
      </c>
      <c r="I3885" s="17" t="inlineStr">
        <is>
          <t>Long đền thường ZP M20B35D2</t>
        </is>
      </c>
      <c r="J3885" s="17" t="inlineStr">
        <is>
          <t>Cái</t>
        </is>
      </c>
      <c r="K3885" s="21" t="n">
        <v>350</v>
      </c>
      <c r="L3885" s="21" t="n"/>
      <c r="M3885" s="22" t="n"/>
      <c r="N3885" s="22" t="n">
        <v>9303</v>
      </c>
      <c r="O3885" s="22" t="n">
        <v>3256050</v>
      </c>
      <c r="P3885" s="22" t="n">
        <v>9303</v>
      </c>
      <c r="Q3885" s="22" t="n">
        <v>3256050</v>
      </c>
      <c r="R3885" s="42">
        <f>+L3885+N3885-P3885</f>
        <v/>
      </c>
      <c r="S3885" s="42">
        <f>+M3885+O3885-Q3885</f>
        <v/>
      </c>
    </row>
    <row r="3886" ht="30" customHeight="1">
      <c r="A3886" s="16" t="n">
        <v>45999</v>
      </c>
      <c r="B3886" s="17" t="inlineStr">
        <is>
          <t>MH2512-08</t>
        </is>
      </c>
      <c r="C3886" s="16" t="n">
        <v>45999</v>
      </c>
      <c r="D3886" s="17" t="inlineStr">
        <is>
          <t>00004868</t>
        </is>
      </c>
      <c r="E3886" s="16" t="n">
        <v>45999</v>
      </c>
      <c r="F3886" s="16" t="inlineStr">
        <is>
          <t>XK2512-07</t>
        </is>
      </c>
      <c r="G3886" s="16" t="n">
        <v>45999</v>
      </c>
      <c r="H3886" s="17" t="inlineStr">
        <is>
          <t>CÔNG TY CỔ PHẦN CÔNG NGHIỆP VÀ THƯƠNG MẠI CƯỜNG THỊNH</t>
        </is>
      </c>
      <c r="I3886" s="17" t="inlineStr">
        <is>
          <t>Bulong Din 933 8.8 ZP M20x80</t>
        </is>
      </c>
      <c r="J3886" s="17" t="inlineStr">
        <is>
          <t>Cái</t>
        </is>
      </c>
      <c r="K3886" s="21" t="n">
        <v>7630</v>
      </c>
      <c r="L3886" s="21" t="n"/>
      <c r="M3886" s="22" t="n"/>
      <c r="N3886" s="22" t="n">
        <v>1660</v>
      </c>
      <c r="O3886" s="22" t="n">
        <v>12665800</v>
      </c>
      <c r="P3886" s="22" t="n">
        <v>1660</v>
      </c>
      <c r="Q3886" s="22" t="n">
        <v>12665800</v>
      </c>
      <c r="R3886" s="42">
        <f>+L3886+N3886-P3886</f>
        <v/>
      </c>
      <c r="S3886" s="42">
        <f>+M3886+O3886-Q3886</f>
        <v/>
      </c>
    </row>
    <row r="3887" ht="30" customHeight="1">
      <c r="A3887" s="16" t="n">
        <v>45999</v>
      </c>
      <c r="B3887" s="17" t="inlineStr">
        <is>
          <t>MH2512-08</t>
        </is>
      </c>
      <c r="C3887" s="16" t="n">
        <v>45999</v>
      </c>
      <c r="D3887" s="17" t="inlineStr">
        <is>
          <t>00004868</t>
        </is>
      </c>
      <c r="E3887" s="16" t="n">
        <v>45999</v>
      </c>
      <c r="F3887" s="16" t="inlineStr">
        <is>
          <t>XK2512-07</t>
        </is>
      </c>
      <c r="G3887" s="16" t="n">
        <v>45999</v>
      </c>
      <c r="H3887" s="17" t="inlineStr">
        <is>
          <t>CÔNG TY CỔ PHẦN CÔNG NGHIỆP VÀ THƯƠNG MẠI CƯỜNG THỊNH</t>
        </is>
      </c>
      <c r="I3887" s="17" t="inlineStr">
        <is>
          <t>Đai ốc Din 934 8 ZP M20</t>
        </is>
      </c>
      <c r="J3887" s="17" t="inlineStr">
        <is>
          <t>Cái</t>
        </is>
      </c>
      <c r="K3887" s="21" t="n">
        <v>2030</v>
      </c>
      <c r="L3887" s="21" t="n"/>
      <c r="M3887" s="22" t="n"/>
      <c r="N3887" s="22" t="n">
        <v>1660</v>
      </c>
      <c r="O3887" s="22" t="n">
        <v>3369800</v>
      </c>
      <c r="P3887" s="22" t="n">
        <v>1660</v>
      </c>
      <c r="Q3887" s="22" t="n">
        <v>3369800</v>
      </c>
      <c r="R3887" s="42">
        <f>+L3887+N3887-P3887</f>
        <v/>
      </c>
      <c r="S3887" s="42">
        <f>+M3887+O3887-Q3887</f>
        <v/>
      </c>
    </row>
    <row r="3888" ht="30" customHeight="1">
      <c r="A3888" s="16" t="n">
        <v>45999</v>
      </c>
      <c r="B3888" s="17" t="inlineStr">
        <is>
          <t>MH2512-08</t>
        </is>
      </c>
      <c r="C3888" s="16" t="n">
        <v>45999</v>
      </c>
      <c r="D3888" s="17" t="inlineStr">
        <is>
          <t>00004868</t>
        </is>
      </c>
      <c r="E3888" s="16" t="n">
        <v>45999</v>
      </c>
      <c r="F3888" s="16" t="inlineStr">
        <is>
          <t>XK2512-07</t>
        </is>
      </c>
      <c r="G3888" s="16" t="n">
        <v>45999</v>
      </c>
      <c r="H3888" s="17" t="inlineStr">
        <is>
          <t>CÔNG TY CỔ PHẦN CÔNG NGHIỆP VÀ THƯƠNG MẠI CƯỜNG THỊNH</t>
        </is>
      </c>
      <c r="I3888" s="17" t="inlineStr">
        <is>
          <t>Long đền thường ZP M20B35D2</t>
        </is>
      </c>
      <c r="J3888" s="17" t="inlineStr">
        <is>
          <t>Cái</t>
        </is>
      </c>
      <c r="K3888" s="21" t="n">
        <v>350</v>
      </c>
      <c r="L3888" s="21" t="n"/>
      <c r="M3888" s="22" t="n"/>
      <c r="N3888" s="22" t="n">
        <v>1660</v>
      </c>
      <c r="O3888" s="22" t="n">
        <v>581000</v>
      </c>
      <c r="P3888" s="22" t="n">
        <v>1660</v>
      </c>
      <c r="Q3888" s="22" t="n">
        <v>581000</v>
      </c>
      <c r="R3888" s="42">
        <f>+L3888+N3888-P3888</f>
        <v/>
      </c>
      <c r="S3888" s="42">
        <f>+M3888+O3888-Q3888</f>
        <v/>
      </c>
    </row>
    <row r="3889" ht="30" customHeight="1">
      <c r="A3889" s="16" t="n">
        <v>45999</v>
      </c>
      <c r="B3889" s="17" t="inlineStr">
        <is>
          <t>MH2512-08</t>
        </is>
      </c>
      <c r="C3889" s="16" t="n">
        <v>45999</v>
      </c>
      <c r="D3889" s="17" t="inlineStr">
        <is>
          <t>00004868</t>
        </is>
      </c>
      <c r="E3889" s="16" t="n">
        <v>45999</v>
      </c>
      <c r="F3889" s="16" t="inlineStr">
        <is>
          <t>XK2512-07</t>
        </is>
      </c>
      <c r="G3889" s="16" t="n">
        <v>45999</v>
      </c>
      <c r="H3889" s="17" t="inlineStr">
        <is>
          <t>CÔNG TY CỔ PHẦN CÔNG NGHIỆP VÀ THƯƠNG MẠI CƯỜNG THỊNH</t>
        </is>
      </c>
      <c r="I3889" s="17" t="inlineStr">
        <is>
          <t>Bulong Din 933 8.8 ZP M24x70</t>
        </is>
      </c>
      <c r="J3889" s="17" t="inlineStr">
        <is>
          <t>Cái</t>
        </is>
      </c>
      <c r="K3889" s="21" t="n">
        <v>11010</v>
      </c>
      <c r="L3889" s="21" t="n"/>
      <c r="M3889" s="22" t="n"/>
      <c r="N3889" s="22" t="n">
        <v>4862</v>
      </c>
      <c r="O3889" s="22" t="n">
        <v>53530620</v>
      </c>
      <c r="P3889" s="22" t="n">
        <v>4862</v>
      </c>
      <c r="Q3889" s="22" t="n">
        <v>53530620</v>
      </c>
      <c r="R3889" s="42">
        <f>+L3889+N3889-P3889</f>
        <v/>
      </c>
      <c r="S3889" s="42">
        <f>+M3889+O3889-Q3889</f>
        <v/>
      </c>
    </row>
    <row r="3890" ht="30" customHeight="1">
      <c r="A3890" s="16" t="n">
        <v>45999</v>
      </c>
      <c r="B3890" s="17" t="inlineStr">
        <is>
          <t>MH2512-08</t>
        </is>
      </c>
      <c r="C3890" s="16" t="n">
        <v>45999</v>
      </c>
      <c r="D3890" s="17" t="inlineStr">
        <is>
          <t>00004868</t>
        </is>
      </c>
      <c r="E3890" s="16" t="n">
        <v>45999</v>
      </c>
      <c r="F3890" s="16" t="inlineStr">
        <is>
          <t>XK2512-07</t>
        </is>
      </c>
      <c r="G3890" s="16" t="n">
        <v>45999</v>
      </c>
      <c r="H3890" s="17" t="inlineStr">
        <is>
          <t>CÔNG TY CỔ PHẦN CÔNG NGHIỆP VÀ THƯƠNG MẠI CƯỜNG THỊNH</t>
        </is>
      </c>
      <c r="I3890" s="17" t="inlineStr">
        <is>
          <t>Đai ốc Din 934 8 ZP M24</t>
        </is>
      </c>
      <c r="J3890" s="17" t="inlineStr">
        <is>
          <t>Cái</t>
        </is>
      </c>
      <c r="K3890" s="21" t="n">
        <v>3500</v>
      </c>
      <c r="L3890" s="21" t="n"/>
      <c r="M3890" s="22" t="n"/>
      <c r="N3890" s="22" t="n">
        <v>4862</v>
      </c>
      <c r="O3890" s="22" t="n">
        <v>17017000</v>
      </c>
      <c r="P3890" s="22" t="n">
        <v>4862</v>
      </c>
      <c r="Q3890" s="22" t="n">
        <v>17017000</v>
      </c>
      <c r="R3890" s="42">
        <f>+L3890+N3890-P3890</f>
        <v/>
      </c>
      <c r="S3890" s="42">
        <f>+M3890+O3890-Q3890</f>
        <v/>
      </c>
    </row>
    <row r="3891" ht="30" customHeight="1">
      <c r="A3891" s="16" t="n">
        <v>45999</v>
      </c>
      <c r="B3891" s="17" t="inlineStr">
        <is>
          <t>MH2512-08</t>
        </is>
      </c>
      <c r="C3891" s="16" t="n">
        <v>45999</v>
      </c>
      <c r="D3891" s="17" t="inlineStr">
        <is>
          <t>00004868</t>
        </is>
      </c>
      <c r="E3891" s="16" t="n">
        <v>45999</v>
      </c>
      <c r="F3891" s="16" t="inlineStr">
        <is>
          <t>XK2512-07</t>
        </is>
      </c>
      <c r="G3891" s="16" t="n">
        <v>45999</v>
      </c>
      <c r="H3891" s="17" t="inlineStr">
        <is>
          <t>CÔNG TY CỔ PHẦN CÔNG NGHIỆP VÀ THƯƠNG MẠI CƯỜNG THỊNH</t>
        </is>
      </c>
      <c r="I3891" s="17" t="inlineStr">
        <is>
          <t>Long đền thường ZP M24B40-42D2</t>
        </is>
      </c>
      <c r="J3891" s="17" t="inlineStr">
        <is>
          <t>Cái</t>
        </is>
      </c>
      <c r="K3891" s="21" t="n">
        <v>660</v>
      </c>
      <c r="L3891" s="21" t="n"/>
      <c r="M3891" s="22" t="n"/>
      <c r="N3891" s="22" t="n">
        <v>4862</v>
      </c>
      <c r="O3891" s="22" t="n">
        <v>3208920</v>
      </c>
      <c r="P3891" s="22" t="n">
        <v>4862</v>
      </c>
      <c r="Q3891" s="22" t="n">
        <v>3208920</v>
      </c>
      <c r="R3891" s="42">
        <f>+L3891+N3891-P3891</f>
        <v/>
      </c>
      <c r="S3891" s="42">
        <f>+M3891+O3891-Q3891</f>
        <v/>
      </c>
    </row>
    <row r="3892" ht="30" customHeight="1">
      <c r="A3892" s="16" t="n">
        <v>45999</v>
      </c>
      <c r="B3892" s="17" t="inlineStr">
        <is>
          <t>MH2512-08</t>
        </is>
      </c>
      <c r="C3892" s="16" t="n">
        <v>45999</v>
      </c>
      <c r="D3892" s="17" t="inlineStr">
        <is>
          <t>00004868</t>
        </is>
      </c>
      <c r="E3892" s="16" t="n">
        <v>45999</v>
      </c>
      <c r="F3892" s="16" t="inlineStr">
        <is>
          <t>XK2512-07</t>
        </is>
      </c>
      <c r="G3892" s="16" t="n">
        <v>45999</v>
      </c>
      <c r="H3892" s="17" t="inlineStr">
        <is>
          <t>CÔNG TY CỔ PHẦN CÔNG NGHIỆP VÀ THƯƠNG MẠI CƯỜNG THỊNH</t>
        </is>
      </c>
      <c r="I3892" s="17" t="inlineStr">
        <is>
          <t>Bulong Din 933 8.8 ZP M24x90</t>
        </is>
      </c>
      <c r="J3892" s="17" t="inlineStr">
        <is>
          <t>Cái</t>
        </is>
      </c>
      <c r="K3892" s="21" t="n">
        <v>12950</v>
      </c>
      <c r="L3892" s="21" t="n"/>
      <c r="M3892" s="22" t="n"/>
      <c r="N3892" s="22" t="n">
        <v>5272</v>
      </c>
      <c r="O3892" s="22" t="n">
        <v>68272400</v>
      </c>
      <c r="P3892" s="22" t="n">
        <v>5272</v>
      </c>
      <c r="Q3892" s="22" t="n">
        <v>68272400</v>
      </c>
      <c r="R3892" s="42">
        <f>+L3892+N3892-P3892</f>
        <v/>
      </c>
      <c r="S3892" s="42">
        <f>+M3892+O3892-Q3892</f>
        <v/>
      </c>
    </row>
    <row r="3893" ht="30" customHeight="1">
      <c r="A3893" s="16" t="n">
        <v>45999</v>
      </c>
      <c r="B3893" s="17" t="inlineStr">
        <is>
          <t>MH2512-08</t>
        </is>
      </c>
      <c r="C3893" s="16" t="n">
        <v>45999</v>
      </c>
      <c r="D3893" s="17" t="inlineStr">
        <is>
          <t>00004868</t>
        </is>
      </c>
      <c r="E3893" s="16" t="n">
        <v>45999</v>
      </c>
      <c r="F3893" s="16" t="inlineStr">
        <is>
          <t>XK2512-07</t>
        </is>
      </c>
      <c r="G3893" s="16" t="n">
        <v>45999</v>
      </c>
      <c r="H3893" s="17" t="inlineStr">
        <is>
          <t>CÔNG TY CỔ PHẦN CÔNG NGHIỆP VÀ THƯƠNG MẠI CƯỜNG THỊNH</t>
        </is>
      </c>
      <c r="I3893" s="17" t="inlineStr">
        <is>
          <t>Đai ốc Din 934 8 ZP M24</t>
        </is>
      </c>
      <c r="J3893" s="17" t="inlineStr">
        <is>
          <t>Cái</t>
        </is>
      </c>
      <c r="K3893" s="21" t="n">
        <v>3500</v>
      </c>
      <c r="L3893" s="21" t="n"/>
      <c r="M3893" s="22" t="n"/>
      <c r="N3893" s="22" t="n">
        <v>5272</v>
      </c>
      <c r="O3893" s="22" t="n">
        <v>18452000</v>
      </c>
      <c r="P3893" s="22" t="n">
        <v>5272</v>
      </c>
      <c r="Q3893" s="22" t="n">
        <v>18452000</v>
      </c>
      <c r="R3893" s="42">
        <f>+L3893+N3893-P3893</f>
        <v/>
      </c>
      <c r="S3893" s="42">
        <f>+M3893+O3893-Q3893</f>
        <v/>
      </c>
    </row>
    <row r="3894" ht="30" customHeight="1">
      <c r="A3894" s="16" t="n">
        <v>45999</v>
      </c>
      <c r="B3894" s="17" t="inlineStr">
        <is>
          <t>MH2512-08</t>
        </is>
      </c>
      <c r="C3894" s="16" t="n">
        <v>45999</v>
      </c>
      <c r="D3894" s="17" t="inlineStr">
        <is>
          <t>00004868</t>
        </is>
      </c>
      <c r="E3894" s="16" t="n">
        <v>45999</v>
      </c>
      <c r="F3894" s="16" t="inlineStr">
        <is>
          <t>XK2512-07</t>
        </is>
      </c>
      <c r="G3894" s="16" t="n">
        <v>45999</v>
      </c>
      <c r="H3894" s="17" t="inlineStr">
        <is>
          <t>CÔNG TY CỔ PHẦN CÔNG NGHIỆP VÀ THƯƠNG MẠI CƯỜNG THỊNH</t>
        </is>
      </c>
      <c r="I3894" s="17" t="inlineStr">
        <is>
          <t>Long đền thường ZP M24B40-42D2</t>
        </is>
      </c>
      <c r="J3894" s="17" t="inlineStr">
        <is>
          <t>Cái</t>
        </is>
      </c>
      <c r="K3894" s="21" t="n">
        <v>660</v>
      </c>
      <c r="L3894" s="21" t="n"/>
      <c r="M3894" s="22" t="n"/>
      <c r="N3894" s="22" t="n">
        <v>5272</v>
      </c>
      <c r="O3894" s="22" t="n">
        <v>3479520</v>
      </c>
      <c r="P3894" s="22" t="n">
        <v>5272</v>
      </c>
      <c r="Q3894" s="22" t="n">
        <v>3479520</v>
      </c>
      <c r="R3894" s="42">
        <f>+L3894+N3894-P3894</f>
        <v/>
      </c>
      <c r="S3894" s="42">
        <f>+M3894+O3894-Q3894</f>
        <v/>
      </c>
    </row>
    <row r="3895" ht="30" customHeight="1">
      <c r="A3895" s="16" t="n">
        <v>45999</v>
      </c>
      <c r="B3895" s="17" t="inlineStr">
        <is>
          <t>MH2512-08</t>
        </is>
      </c>
      <c r="C3895" s="16" t="n">
        <v>45999</v>
      </c>
      <c r="D3895" s="17" t="inlineStr">
        <is>
          <t>00004868</t>
        </is>
      </c>
      <c r="E3895" s="16" t="n">
        <v>45999</v>
      </c>
      <c r="F3895" s="16" t="inlineStr">
        <is>
          <t>XK2512-07</t>
        </is>
      </c>
      <c r="G3895" s="16" t="n">
        <v>45999</v>
      </c>
      <c r="H3895" s="17" t="inlineStr">
        <is>
          <t>CÔNG TY CỔ PHẦN CÔNG NGHIỆP VÀ THƯƠNG MẠI CƯỜNG THỊNH</t>
        </is>
      </c>
      <c r="I3895" s="17" t="inlineStr">
        <is>
          <t>Bulong Din 933 8.8 ZP M24x120</t>
        </is>
      </c>
      <c r="J3895" s="17" t="inlineStr">
        <is>
          <t>Cái</t>
        </is>
      </c>
      <c r="K3895" s="21" t="n">
        <v>15820</v>
      </c>
      <c r="L3895" s="21" t="n"/>
      <c r="M3895" s="22" t="n"/>
      <c r="N3895" s="22" t="n">
        <v>37</v>
      </c>
      <c r="O3895" s="22" t="n">
        <v>585340</v>
      </c>
      <c r="P3895" s="22" t="n">
        <v>37</v>
      </c>
      <c r="Q3895" s="22" t="n">
        <v>585340</v>
      </c>
      <c r="R3895" s="42">
        <f>+L3895+N3895-P3895</f>
        <v/>
      </c>
      <c r="S3895" s="42">
        <f>+M3895+O3895-Q3895</f>
        <v/>
      </c>
    </row>
    <row r="3896" ht="30" customHeight="1">
      <c r="A3896" s="16" t="n">
        <v>45999</v>
      </c>
      <c r="B3896" s="17" t="inlineStr">
        <is>
          <t>MH2512-08</t>
        </is>
      </c>
      <c r="C3896" s="16" t="n">
        <v>45999</v>
      </c>
      <c r="D3896" s="17" t="inlineStr">
        <is>
          <t>00004868</t>
        </is>
      </c>
      <c r="E3896" s="16" t="n">
        <v>45999</v>
      </c>
      <c r="F3896" s="16" t="inlineStr">
        <is>
          <t>XK2512-07</t>
        </is>
      </c>
      <c r="G3896" s="16" t="n">
        <v>45999</v>
      </c>
      <c r="H3896" s="17" t="inlineStr">
        <is>
          <t>CÔNG TY CỔ PHẦN CÔNG NGHIỆP VÀ THƯƠNG MẠI CƯỜNG THỊNH</t>
        </is>
      </c>
      <c r="I3896" s="17" t="inlineStr">
        <is>
          <t>Đai ốc Din 934 8 ZP M24</t>
        </is>
      </c>
      <c r="J3896" s="17" t="inlineStr">
        <is>
          <t>Cái</t>
        </is>
      </c>
      <c r="K3896" s="21" t="n">
        <v>3500</v>
      </c>
      <c r="L3896" s="21" t="n"/>
      <c r="M3896" s="22" t="n"/>
      <c r="N3896" s="22" t="n">
        <v>37</v>
      </c>
      <c r="O3896" s="22" t="n">
        <v>129500</v>
      </c>
      <c r="P3896" s="22" t="n">
        <v>37</v>
      </c>
      <c r="Q3896" s="22" t="n">
        <v>129500</v>
      </c>
      <c r="R3896" s="42">
        <f>+L3896+N3896-P3896</f>
        <v/>
      </c>
      <c r="S3896" s="42">
        <f>+M3896+O3896-Q3896</f>
        <v/>
      </c>
    </row>
    <row r="3897" ht="30" customHeight="1">
      <c r="A3897" s="16" t="n">
        <v>45999</v>
      </c>
      <c r="B3897" s="17" t="inlineStr">
        <is>
          <t>MH2512-08</t>
        </is>
      </c>
      <c r="C3897" s="16" t="n">
        <v>45999</v>
      </c>
      <c r="D3897" s="17" t="inlineStr">
        <is>
          <t>00004868</t>
        </is>
      </c>
      <c r="E3897" s="16" t="n">
        <v>45999</v>
      </c>
      <c r="F3897" s="16" t="inlineStr">
        <is>
          <t>XK2512-07</t>
        </is>
      </c>
      <c r="G3897" s="16" t="n">
        <v>45999</v>
      </c>
      <c r="H3897" s="17" t="inlineStr">
        <is>
          <t>CÔNG TY CỔ PHẦN CÔNG NGHIỆP VÀ THƯƠNG MẠI CƯỜNG THỊNH</t>
        </is>
      </c>
      <c r="I3897" s="17" t="inlineStr">
        <is>
          <t>Long đền thường ZP M24B40-42D2</t>
        </is>
      </c>
      <c r="J3897" s="17" t="inlineStr">
        <is>
          <t>Cái</t>
        </is>
      </c>
      <c r="K3897" s="21" t="n">
        <v>660</v>
      </c>
      <c r="L3897" s="21" t="n"/>
      <c r="M3897" s="22" t="n"/>
      <c r="N3897" s="22" t="n">
        <v>37</v>
      </c>
      <c r="O3897" s="22" t="n">
        <v>24420</v>
      </c>
      <c r="P3897" s="22" t="n">
        <v>37</v>
      </c>
      <c r="Q3897" s="22" t="n">
        <v>24420</v>
      </c>
      <c r="R3897" s="42">
        <f>+L3897+N3897-P3897</f>
        <v/>
      </c>
      <c r="S3897" s="42">
        <f>+M3897+O3897-Q3897</f>
        <v/>
      </c>
    </row>
    <row r="3898" ht="30" customHeight="1">
      <c r="A3898" s="16" t="n">
        <v>45999</v>
      </c>
      <c r="B3898" s="17" t="inlineStr">
        <is>
          <t>MH2512-08</t>
        </is>
      </c>
      <c r="C3898" s="16" t="n">
        <v>45999</v>
      </c>
      <c r="D3898" s="17" t="inlineStr">
        <is>
          <t>00004868</t>
        </is>
      </c>
      <c r="E3898" s="16" t="n">
        <v>45999</v>
      </c>
      <c r="F3898" s="16" t="inlineStr">
        <is>
          <t>XK2512-07</t>
        </is>
      </c>
      <c r="G3898" s="16" t="n">
        <v>45999</v>
      </c>
      <c r="H3898" s="17" t="inlineStr">
        <is>
          <t>CÔNG TY CỔ PHẦN CÔNG NGHIỆP VÀ THƯƠNG MẠI CƯỜNG THỊNH</t>
        </is>
      </c>
      <c r="I3898" s="17" t="inlineStr">
        <is>
          <t>Bulong Din 933 8.8 ZP M30x100</t>
        </is>
      </c>
      <c r="J3898" s="17" t="inlineStr">
        <is>
          <t>Cái</t>
        </is>
      </c>
      <c r="K3898" s="21" t="n">
        <v>25460</v>
      </c>
      <c r="L3898" s="21" t="n"/>
      <c r="M3898" s="22" t="n"/>
      <c r="N3898" s="22" t="n">
        <v>2802</v>
      </c>
      <c r="O3898" s="22" t="n">
        <v>71338920</v>
      </c>
      <c r="P3898" s="22" t="n">
        <v>2802</v>
      </c>
      <c r="Q3898" s="22" t="n">
        <v>71338920</v>
      </c>
      <c r="R3898" s="42">
        <f>+L3898+N3898-P3898</f>
        <v/>
      </c>
      <c r="S3898" s="42">
        <f>+M3898+O3898-Q3898</f>
        <v/>
      </c>
    </row>
    <row r="3899" ht="30" customHeight="1">
      <c r="A3899" s="16" t="n">
        <v>45999</v>
      </c>
      <c r="B3899" s="17" t="inlineStr">
        <is>
          <t>MH2512-08</t>
        </is>
      </c>
      <c r="C3899" s="16" t="n">
        <v>45999</v>
      </c>
      <c r="D3899" s="17" t="inlineStr">
        <is>
          <t>00004868</t>
        </is>
      </c>
      <c r="E3899" s="16" t="n">
        <v>45999</v>
      </c>
      <c r="F3899" s="16" t="inlineStr">
        <is>
          <t>XK2512-07</t>
        </is>
      </c>
      <c r="G3899" s="16" t="n">
        <v>45999</v>
      </c>
      <c r="H3899" s="17" t="inlineStr">
        <is>
          <t>CÔNG TY CỔ PHẦN CÔNG NGHIỆP VÀ THƯƠNG MẠI CƯỜNG THỊNH</t>
        </is>
      </c>
      <c r="I3899" s="17" t="inlineStr">
        <is>
          <t>Đai ốc Din 934 8 ZP M30</t>
        </is>
      </c>
      <c r="J3899" s="17" t="inlineStr">
        <is>
          <t>Cái</t>
        </is>
      </c>
      <c r="K3899" s="21" t="n">
        <v>7750</v>
      </c>
      <c r="L3899" s="21" t="n"/>
      <c r="M3899" s="22" t="n"/>
      <c r="N3899" s="22" t="n">
        <v>2802</v>
      </c>
      <c r="O3899" s="22" t="n">
        <v>21715500</v>
      </c>
      <c r="P3899" s="22" t="n">
        <v>2802</v>
      </c>
      <c r="Q3899" s="22" t="n">
        <v>21715500</v>
      </c>
      <c r="R3899" s="42">
        <f>+L3899+N3899-P3899</f>
        <v/>
      </c>
      <c r="S3899" s="42">
        <f>+M3899+O3899-Q3899</f>
        <v/>
      </c>
    </row>
    <row r="3900" ht="30" customHeight="1">
      <c r="A3900" s="16" t="n">
        <v>45999</v>
      </c>
      <c r="B3900" s="17" t="inlineStr">
        <is>
          <t>MH2512-08</t>
        </is>
      </c>
      <c r="C3900" s="16" t="n">
        <v>45999</v>
      </c>
      <c r="D3900" s="17" t="inlineStr">
        <is>
          <t>00004868</t>
        </is>
      </c>
      <c r="E3900" s="16" t="n">
        <v>45999</v>
      </c>
      <c r="F3900" s="16" t="inlineStr">
        <is>
          <t>XK2512-07</t>
        </is>
      </c>
      <c r="G3900" s="16" t="n">
        <v>45999</v>
      </c>
      <c r="H3900" s="17" t="inlineStr">
        <is>
          <t>CÔNG TY CỔ PHẦN CÔNG NGHIỆP VÀ THƯƠNG MẠI CƯỜNG THỊNH</t>
        </is>
      </c>
      <c r="I3900" s="17" t="inlineStr">
        <is>
          <t>Long đền thường ZP M30B50D2</t>
        </is>
      </c>
      <c r="J3900" s="17" t="inlineStr">
        <is>
          <t>Cái</t>
        </is>
      </c>
      <c r="K3900" s="21" t="n">
        <v>890</v>
      </c>
      <c r="L3900" s="21" t="n"/>
      <c r="M3900" s="22" t="n"/>
      <c r="N3900" s="22" t="n">
        <v>2802</v>
      </c>
      <c r="O3900" s="22" t="n">
        <v>2493780</v>
      </c>
      <c r="P3900" s="22" t="n">
        <v>2802</v>
      </c>
      <c r="Q3900" s="22" t="n">
        <v>2493780</v>
      </c>
      <c r="R3900" s="42">
        <f>+L3900+N3900-P3900</f>
        <v/>
      </c>
      <c r="S3900" s="42">
        <f>+M3900+O3900-Q3900</f>
        <v/>
      </c>
    </row>
    <row r="3901" ht="30" customHeight="1">
      <c r="A3901" s="16" t="n">
        <v>45999</v>
      </c>
      <c r="B3901" s="17" t="inlineStr">
        <is>
          <t>MH2512-08</t>
        </is>
      </c>
      <c r="C3901" s="16" t="n">
        <v>45999</v>
      </c>
      <c r="D3901" s="17" t="inlineStr">
        <is>
          <t>00004868</t>
        </is>
      </c>
      <c r="E3901" s="16" t="n">
        <v>45999</v>
      </c>
      <c r="F3901" s="16" t="inlineStr">
        <is>
          <t>XK2512-07</t>
        </is>
      </c>
      <c r="G3901" s="16" t="n">
        <v>45999</v>
      </c>
      <c r="H3901" s="17" t="inlineStr">
        <is>
          <t>CÔNG TY CỔ PHẦN CÔNG NGHIỆP VÀ THƯƠNG MẠI CƯỜNG THỊNH</t>
        </is>
      </c>
      <c r="I3901" s="17" t="inlineStr">
        <is>
          <t>Bulong Din 933 8.8 ZP M30x120</t>
        </is>
      </c>
      <c r="J3901" s="17" t="inlineStr">
        <is>
          <t>Cái</t>
        </is>
      </c>
      <c r="K3901" s="21" t="n">
        <v>28640</v>
      </c>
      <c r="L3901" s="21" t="n"/>
      <c r="M3901" s="22" t="n"/>
      <c r="N3901" s="22" t="n">
        <v>66</v>
      </c>
      <c r="O3901" s="22" t="n">
        <v>1890240</v>
      </c>
      <c r="P3901" s="22" t="n">
        <v>66</v>
      </c>
      <c r="Q3901" s="22" t="n">
        <v>1890240</v>
      </c>
      <c r="R3901" s="42">
        <f>+L3901+N3901-P3901</f>
        <v/>
      </c>
      <c r="S3901" s="42">
        <f>+M3901+O3901-Q3901</f>
        <v/>
      </c>
    </row>
    <row r="3902" ht="30" customHeight="1">
      <c r="A3902" s="16" t="n">
        <v>45999</v>
      </c>
      <c r="B3902" s="17" t="inlineStr">
        <is>
          <t>MH2512-08</t>
        </is>
      </c>
      <c r="C3902" s="16" t="n">
        <v>45999</v>
      </c>
      <c r="D3902" s="17" t="inlineStr">
        <is>
          <t>00004868</t>
        </is>
      </c>
      <c r="E3902" s="16" t="n">
        <v>45999</v>
      </c>
      <c r="F3902" s="16" t="inlineStr">
        <is>
          <t>XK2512-07</t>
        </is>
      </c>
      <c r="G3902" s="16" t="n">
        <v>45999</v>
      </c>
      <c r="H3902" s="17" t="inlineStr">
        <is>
          <t>CÔNG TY CỔ PHẦN CÔNG NGHIỆP VÀ THƯƠNG MẠI CƯỜNG THỊNH</t>
        </is>
      </c>
      <c r="I3902" s="17" t="inlineStr">
        <is>
          <t>Đai ốc Din 934 8 ZP M30</t>
        </is>
      </c>
      <c r="J3902" s="17" t="inlineStr">
        <is>
          <t>Cái</t>
        </is>
      </c>
      <c r="K3902" s="21" t="n">
        <v>7750</v>
      </c>
      <c r="L3902" s="21" t="n"/>
      <c r="M3902" s="22" t="n"/>
      <c r="N3902" s="22" t="n">
        <v>66</v>
      </c>
      <c r="O3902" s="22" t="n">
        <v>511500</v>
      </c>
      <c r="P3902" s="22" t="n">
        <v>66</v>
      </c>
      <c r="Q3902" s="22" t="n">
        <v>511500</v>
      </c>
      <c r="R3902" s="42">
        <f>+L3902+N3902-P3902</f>
        <v/>
      </c>
      <c r="S3902" s="42">
        <f>+M3902+O3902-Q3902</f>
        <v/>
      </c>
    </row>
    <row r="3903" ht="30" customHeight="1">
      <c r="A3903" s="16" t="n">
        <v>45999</v>
      </c>
      <c r="B3903" s="17" t="inlineStr">
        <is>
          <t>MH2512-08</t>
        </is>
      </c>
      <c r="C3903" s="16" t="n">
        <v>45999</v>
      </c>
      <c r="D3903" s="17" t="inlineStr">
        <is>
          <t>00004868</t>
        </is>
      </c>
      <c r="E3903" s="16" t="n">
        <v>45999</v>
      </c>
      <c r="F3903" s="16" t="inlineStr">
        <is>
          <t>XK2512-07</t>
        </is>
      </c>
      <c r="G3903" s="16" t="n">
        <v>45999</v>
      </c>
      <c r="H3903" s="17" t="inlineStr">
        <is>
          <t>CÔNG TY CỔ PHẦN CÔNG NGHIỆP VÀ THƯƠNG MẠI CƯỜNG THỊNH</t>
        </is>
      </c>
      <c r="I3903" s="17" t="inlineStr">
        <is>
          <t>Long đền thường ZP M30B50D2</t>
        </is>
      </c>
      <c r="J3903" s="17" t="inlineStr">
        <is>
          <t>Cái</t>
        </is>
      </c>
      <c r="K3903" s="21" t="n">
        <v>890</v>
      </c>
      <c r="L3903" s="21" t="n"/>
      <c r="M3903" s="22" t="n"/>
      <c r="N3903" s="22" t="n">
        <v>66</v>
      </c>
      <c r="O3903" s="22" t="n">
        <v>58740</v>
      </c>
      <c r="P3903" s="22" t="n">
        <v>66</v>
      </c>
      <c r="Q3903" s="22" t="n">
        <v>58740</v>
      </c>
      <c r="R3903" s="42">
        <f>+L3903+N3903-P3903</f>
        <v/>
      </c>
      <c r="S3903" s="42">
        <f>+M3903+O3903-Q3903</f>
        <v/>
      </c>
    </row>
    <row r="3904" ht="30" customHeight="1">
      <c r="A3904" s="16" t="n">
        <v>45999</v>
      </c>
      <c r="B3904" s="17" t="inlineStr">
        <is>
          <t>MH2512-08</t>
        </is>
      </c>
      <c r="C3904" s="16" t="n">
        <v>45999</v>
      </c>
      <c r="D3904" s="17" t="inlineStr">
        <is>
          <t>00004868</t>
        </is>
      </c>
      <c r="E3904" s="16" t="n">
        <v>45999</v>
      </c>
      <c r="F3904" s="16" t="inlineStr">
        <is>
          <t>XK2512-07</t>
        </is>
      </c>
      <c r="G3904" s="16" t="n">
        <v>45999</v>
      </c>
      <c r="H3904" s="17" t="inlineStr">
        <is>
          <t>CÔNG TY CỔ PHẦN CÔNG NGHIỆP VÀ THƯƠNG MẠI CƯỜNG THỊNH</t>
        </is>
      </c>
      <c r="I3904" s="17" t="inlineStr">
        <is>
          <t>Bulong Din 933 8.8 ZP M16x50</t>
        </is>
      </c>
      <c r="J3904" s="17" t="inlineStr">
        <is>
          <t>Cái</t>
        </is>
      </c>
      <c r="K3904" s="21" t="n">
        <v>3470</v>
      </c>
      <c r="L3904" s="21" t="n"/>
      <c r="M3904" s="22" t="n"/>
      <c r="N3904" s="22" t="n">
        <v>172</v>
      </c>
      <c r="O3904" s="22" t="n">
        <v>596840</v>
      </c>
      <c r="P3904" s="22" t="n">
        <v>172</v>
      </c>
      <c r="Q3904" s="22" t="n">
        <v>596840</v>
      </c>
      <c r="R3904" s="42">
        <f>+L3904+N3904-P3904</f>
        <v/>
      </c>
      <c r="S3904" s="42">
        <f>+M3904+O3904-Q3904</f>
        <v/>
      </c>
    </row>
    <row r="3905" ht="30" customHeight="1">
      <c r="A3905" s="16" t="n">
        <v>45999</v>
      </c>
      <c r="B3905" s="17" t="inlineStr">
        <is>
          <t>MH2512-08</t>
        </is>
      </c>
      <c r="C3905" s="16" t="n">
        <v>45999</v>
      </c>
      <c r="D3905" s="17" t="inlineStr">
        <is>
          <t>00004868</t>
        </is>
      </c>
      <c r="E3905" s="16" t="n">
        <v>45999</v>
      </c>
      <c r="F3905" s="16" t="inlineStr">
        <is>
          <t>XK2512-07</t>
        </is>
      </c>
      <c r="G3905" s="16" t="n">
        <v>45999</v>
      </c>
      <c r="H3905" s="17" t="inlineStr">
        <is>
          <t>CÔNG TY CỔ PHẦN CÔNG NGHIỆP VÀ THƯƠNG MẠI CƯỜNG THỊNH</t>
        </is>
      </c>
      <c r="I3905" s="17" t="inlineStr">
        <is>
          <t>Long đền thường ZP M16B30D2</t>
        </is>
      </c>
      <c r="J3905" s="17" t="inlineStr">
        <is>
          <t>Cái</t>
        </is>
      </c>
      <c r="K3905" s="21" t="n">
        <v>340</v>
      </c>
      <c r="L3905" s="21" t="n"/>
      <c r="M3905" s="22" t="n"/>
      <c r="N3905" s="22" t="n">
        <v>172</v>
      </c>
      <c r="O3905" s="22" t="n">
        <v>58480</v>
      </c>
      <c r="P3905" s="22" t="n">
        <v>172</v>
      </c>
      <c r="Q3905" s="22" t="n">
        <v>58480</v>
      </c>
      <c r="R3905" s="42">
        <f>+L3905+N3905-P3905</f>
        <v/>
      </c>
      <c r="S3905" s="42">
        <f>+M3905+O3905-Q3905</f>
        <v/>
      </c>
    </row>
    <row r="3906" ht="30" customHeight="1">
      <c r="A3906" s="16" t="n">
        <v>45999</v>
      </c>
      <c r="B3906" s="17" t="inlineStr">
        <is>
          <t>MH2512-08</t>
        </is>
      </c>
      <c r="C3906" s="16" t="n">
        <v>45999</v>
      </c>
      <c r="D3906" s="17" t="inlineStr">
        <is>
          <t>00004868</t>
        </is>
      </c>
      <c r="E3906" s="16" t="n">
        <v>45999</v>
      </c>
      <c r="F3906" s="16" t="inlineStr">
        <is>
          <t>XK2512-07</t>
        </is>
      </c>
      <c r="G3906" s="16" t="n">
        <v>45999</v>
      </c>
      <c r="H3906" s="17" t="inlineStr">
        <is>
          <t>CÔNG TY CỔ PHẦN CÔNG NGHIỆP VÀ THƯƠNG MẠI CƯỜNG THỊNH</t>
        </is>
      </c>
      <c r="I3906" s="17" t="inlineStr">
        <is>
          <t>Bulong Din 933 8.8 ZP M30x100</t>
        </is>
      </c>
      <c r="J3906" s="17" t="inlineStr">
        <is>
          <t>Cái</t>
        </is>
      </c>
      <c r="K3906" s="21" t="n">
        <v>25460</v>
      </c>
      <c r="L3906" s="21" t="n"/>
      <c r="M3906" s="22" t="n"/>
      <c r="N3906" s="22" t="n">
        <v>1320</v>
      </c>
      <c r="O3906" s="22" t="n">
        <v>33607200</v>
      </c>
      <c r="P3906" s="22" t="n">
        <v>1320</v>
      </c>
      <c r="Q3906" s="22" t="n">
        <v>33607200</v>
      </c>
      <c r="R3906" s="42">
        <f>+L3906+N3906-P3906</f>
        <v/>
      </c>
      <c r="S3906" s="42">
        <f>+M3906+O3906-Q3906</f>
        <v/>
      </c>
    </row>
    <row r="3907" ht="30" customHeight="1">
      <c r="A3907" s="16" t="n">
        <v>45999</v>
      </c>
      <c r="B3907" s="17" t="inlineStr">
        <is>
          <t>MH2512-08</t>
        </is>
      </c>
      <c r="C3907" s="16" t="n">
        <v>45999</v>
      </c>
      <c r="D3907" s="17" t="inlineStr">
        <is>
          <t>00004868</t>
        </is>
      </c>
      <c r="E3907" s="16" t="n">
        <v>45999</v>
      </c>
      <c r="F3907" s="16" t="inlineStr">
        <is>
          <t>XK2512-07</t>
        </is>
      </c>
      <c r="G3907" s="16" t="n">
        <v>45999</v>
      </c>
      <c r="H3907" s="17" t="inlineStr">
        <is>
          <t>CÔNG TY CỔ PHẦN CÔNG NGHIỆP VÀ THƯƠNG MẠI CƯỜNG THỊNH</t>
        </is>
      </c>
      <c r="I3907" s="17" t="inlineStr">
        <is>
          <t>Long đền thường ZP M30B50D2</t>
        </is>
      </c>
      <c r="J3907" s="17" t="inlineStr">
        <is>
          <t>Cái</t>
        </is>
      </c>
      <c r="K3907" s="21" t="n">
        <v>890</v>
      </c>
      <c r="L3907" s="21" t="n"/>
      <c r="M3907" s="22" t="n"/>
      <c r="N3907" s="22" t="n">
        <v>1320</v>
      </c>
      <c r="O3907" s="22" t="n">
        <v>1174800</v>
      </c>
      <c r="P3907" s="22" t="n">
        <v>1320</v>
      </c>
      <c r="Q3907" s="22" t="n">
        <v>1174800</v>
      </c>
      <c r="R3907" s="42">
        <f>+L3907+N3907-P3907</f>
        <v/>
      </c>
      <c r="S3907" s="42">
        <f>+M3907+O3907-Q3907</f>
        <v/>
      </c>
    </row>
    <row r="3908" ht="30" customHeight="1">
      <c r="A3908" s="16" t="n">
        <v>45999</v>
      </c>
      <c r="B3908" s="17" t="inlineStr">
        <is>
          <t>MH2512-08</t>
        </is>
      </c>
      <c r="C3908" s="16" t="n">
        <v>45999</v>
      </c>
      <c r="D3908" s="17" t="inlineStr">
        <is>
          <t>00004868</t>
        </is>
      </c>
      <c r="E3908" s="16" t="n">
        <v>45999</v>
      </c>
      <c r="F3908" s="16" t="inlineStr">
        <is>
          <t>XK2512-07</t>
        </is>
      </c>
      <c r="G3908" s="16" t="n">
        <v>45999</v>
      </c>
      <c r="H3908" s="17" t="inlineStr">
        <is>
          <t>CÔNG TY CỔ PHẦN CÔNG NGHIỆP VÀ THƯƠNG MẠI CƯỜNG THỊNH</t>
        </is>
      </c>
      <c r="I3908" s="17" t="inlineStr">
        <is>
          <t>Bulong thường ZP M6x50</t>
        </is>
      </c>
      <c r="J3908" s="17" t="inlineStr">
        <is>
          <t>Cái</t>
        </is>
      </c>
      <c r="K3908" s="21" t="n">
        <v>440</v>
      </c>
      <c r="L3908" s="21" t="n"/>
      <c r="M3908" s="22" t="n"/>
      <c r="N3908" s="22" t="n">
        <v>51</v>
      </c>
      <c r="O3908" s="22" t="n">
        <v>22440</v>
      </c>
      <c r="P3908" s="22" t="n">
        <v>51</v>
      </c>
      <c r="Q3908" s="22" t="n">
        <v>22440</v>
      </c>
      <c r="R3908" s="42">
        <f>+L3908+N3908-P3908</f>
        <v/>
      </c>
      <c r="S3908" s="42">
        <f>+M3908+O3908-Q3908</f>
        <v/>
      </c>
    </row>
    <row r="3909" ht="30" customHeight="1">
      <c r="A3909" s="16" t="n">
        <v>45999</v>
      </c>
      <c r="B3909" s="17" t="inlineStr">
        <is>
          <t>MH2512-08</t>
        </is>
      </c>
      <c r="C3909" s="16" t="n">
        <v>45999</v>
      </c>
      <c r="D3909" s="17" t="inlineStr">
        <is>
          <t>00004868</t>
        </is>
      </c>
      <c r="E3909" s="16" t="n">
        <v>45999</v>
      </c>
      <c r="F3909" s="16" t="inlineStr">
        <is>
          <t>XK2512-07</t>
        </is>
      </c>
      <c r="G3909" s="16" t="n">
        <v>45999</v>
      </c>
      <c r="H3909" s="17" t="inlineStr">
        <is>
          <t>CÔNG TY CỔ PHẦN CÔNG NGHIỆP VÀ THƯƠNG MẠI CƯỜNG THỊNH</t>
        </is>
      </c>
      <c r="I3909" s="17" t="inlineStr">
        <is>
          <t>Đai ốc thường ZP M6</t>
        </is>
      </c>
      <c r="J3909" s="17" t="inlineStr">
        <is>
          <t>Cái</t>
        </is>
      </c>
      <c r="K3909" s="21" t="n">
        <v>100</v>
      </c>
      <c r="L3909" s="21" t="n"/>
      <c r="M3909" s="22" t="n"/>
      <c r="N3909" s="22" t="n">
        <v>51</v>
      </c>
      <c r="O3909" s="22" t="n">
        <v>5100</v>
      </c>
      <c r="P3909" s="22" t="n">
        <v>51</v>
      </c>
      <c r="Q3909" s="22" t="n">
        <v>5100</v>
      </c>
      <c r="R3909" s="42">
        <f>+L3909+N3909-P3909</f>
        <v/>
      </c>
      <c r="S3909" s="42">
        <f>+M3909+O3909-Q3909</f>
        <v/>
      </c>
    </row>
    <row r="3910" ht="30" customHeight="1">
      <c r="A3910" s="16" t="n">
        <v>45999</v>
      </c>
      <c r="B3910" s="17" t="inlineStr">
        <is>
          <t>MH2512-08</t>
        </is>
      </c>
      <c r="C3910" s="16" t="n">
        <v>45999</v>
      </c>
      <c r="D3910" s="17" t="inlineStr">
        <is>
          <t>00004868</t>
        </is>
      </c>
      <c r="E3910" s="16" t="n">
        <v>45999</v>
      </c>
      <c r="F3910" s="16" t="inlineStr">
        <is>
          <t>XK2512-07</t>
        </is>
      </c>
      <c r="G3910" s="16" t="n">
        <v>45999</v>
      </c>
      <c r="H3910" s="17" t="inlineStr">
        <is>
          <t>CÔNG TY CỔ PHẦN CÔNG NGHIỆP VÀ THƯƠNG MẠI CƯỜNG THỊNH</t>
        </is>
      </c>
      <c r="I3910" s="17" t="inlineStr">
        <is>
          <t>Long đền thường ZP M6B17D1</t>
        </is>
      </c>
      <c r="J3910" s="17" t="inlineStr">
        <is>
          <t>Cái</t>
        </is>
      </c>
      <c r="K3910" s="21" t="n">
        <v>70</v>
      </c>
      <c r="L3910" s="21" t="n"/>
      <c r="M3910" s="22" t="n"/>
      <c r="N3910" s="22" t="n">
        <v>102</v>
      </c>
      <c r="O3910" s="22" t="n">
        <v>7140</v>
      </c>
      <c r="P3910" s="22" t="n">
        <v>102</v>
      </c>
      <c r="Q3910" s="22" t="n">
        <v>7140</v>
      </c>
      <c r="R3910" s="42">
        <f>+L3910+N3910-P3910</f>
        <v/>
      </c>
      <c r="S3910" s="42">
        <f>+M3910+O3910-Q3910</f>
        <v/>
      </c>
    </row>
    <row r="3911" ht="30" customHeight="1">
      <c r="A3911" s="16" t="n">
        <v>45999</v>
      </c>
      <c r="B3911" s="17" t="inlineStr">
        <is>
          <t>MH2512-08</t>
        </is>
      </c>
      <c r="C3911" s="16" t="n">
        <v>45999</v>
      </c>
      <c r="D3911" s="17" t="inlineStr">
        <is>
          <t>00004868</t>
        </is>
      </c>
      <c r="E3911" s="16" t="n">
        <v>45999</v>
      </c>
      <c r="F3911" s="16" t="inlineStr">
        <is>
          <t>XK2512-07</t>
        </is>
      </c>
      <c r="G3911" s="16" t="n">
        <v>45999</v>
      </c>
      <c r="H3911" s="17" t="inlineStr">
        <is>
          <t>CÔNG TY CỔ PHẦN CÔNG NGHIỆP VÀ THƯƠNG MẠI CƯỜNG THỊNH</t>
        </is>
      </c>
      <c r="I3911" s="17" t="inlineStr">
        <is>
          <t>Vít B2 Dacromet 10-24x22 WAF (bake)</t>
        </is>
      </c>
      <c r="J3911" s="17" t="inlineStr">
        <is>
          <t>Cái</t>
        </is>
      </c>
      <c r="K3911" s="21" t="n">
        <v>380</v>
      </c>
      <c r="L3911" s="21" t="n"/>
      <c r="M3911" s="22" t="n"/>
      <c r="N3911" s="22" t="n">
        <v>400</v>
      </c>
      <c r="O3911" s="22" t="n">
        <v>152000</v>
      </c>
      <c r="P3911" s="22" t="n">
        <v>400</v>
      </c>
      <c r="Q3911" s="22" t="n">
        <v>152000</v>
      </c>
      <c r="R3911" s="42">
        <f>+L3911+N3911-P3911</f>
        <v/>
      </c>
      <c r="S3911" s="42">
        <f>+M3911+O3911-Q3911</f>
        <v/>
      </c>
    </row>
    <row r="3912" ht="15" customHeight="1">
      <c r="A3912" s="16" t="n">
        <v>45999</v>
      </c>
      <c r="B3912" s="17" t="inlineStr">
        <is>
          <t>MH2512-09</t>
        </is>
      </c>
      <c r="C3912" s="16" t="n">
        <v>45999</v>
      </c>
      <c r="D3912" s="17" t="inlineStr">
        <is>
          <t>00011598</t>
        </is>
      </c>
      <c r="E3912" s="16" t="n">
        <v>45999</v>
      </c>
      <c r="F3912" s="16" t="inlineStr">
        <is>
          <t>XK2512-08</t>
        </is>
      </c>
      <c r="G3912" s="16" t="n">
        <v>45999</v>
      </c>
      <c r="H3912" s="17" t="inlineStr">
        <is>
          <t>CÔNG TY TNHH SƠN JOTUN VIỆT NAM</t>
        </is>
      </c>
      <c r="I3912" s="17" t="inlineStr">
        <is>
          <t>SƠN HARDTOP XPL STD 4056 18.98L</t>
        </is>
      </c>
      <c r="J3912" s="17" t="inlineStr">
        <is>
          <t>Lít</t>
        </is>
      </c>
      <c r="K3912" s="21" t="n">
        <v>170000</v>
      </c>
      <c r="L3912" s="21" t="n"/>
      <c r="M3912" s="22" t="n"/>
      <c r="N3912" s="22" t="n">
        <v>151.84</v>
      </c>
      <c r="O3912" s="22" t="n">
        <v>25812800</v>
      </c>
      <c r="P3912" s="22" t="n">
        <v>151.84</v>
      </c>
      <c r="Q3912" s="22" t="n">
        <v>25812800</v>
      </c>
      <c r="R3912" s="42">
        <f>+L3912+N3912-P3912</f>
        <v/>
      </c>
      <c r="S3912" s="42">
        <f>+M3912+O3912-Q3912</f>
        <v/>
      </c>
    </row>
    <row r="3913" ht="15" customHeight="1">
      <c r="A3913" s="16" t="n">
        <v>45999</v>
      </c>
      <c r="B3913" s="17" t="inlineStr">
        <is>
          <t>MH2512-10</t>
        </is>
      </c>
      <c r="C3913" s="16" t="n">
        <v>45999</v>
      </c>
      <c r="D3913" s="17" t="inlineStr">
        <is>
          <t>00011599</t>
        </is>
      </c>
      <c r="E3913" s="16" t="n">
        <v>45999</v>
      </c>
      <c r="F3913" s="16" t="inlineStr">
        <is>
          <t>XK2512-09</t>
        </is>
      </c>
      <c r="G3913" s="16" t="n">
        <v>45999</v>
      </c>
      <c r="H3913" s="17" t="inlineStr">
        <is>
          <t>CÔNG TY TNHH SƠN JOTUN VIỆT NAM</t>
        </is>
      </c>
      <c r="I3913" s="17" t="inlineStr">
        <is>
          <t>SƠN HARDTOP XPL STD 4056 18.98L</t>
        </is>
      </c>
      <c r="J3913" s="17" t="inlineStr">
        <is>
          <t>Lít</t>
        </is>
      </c>
      <c r="K3913" s="21" t="n">
        <v>170000</v>
      </c>
      <c r="L3913" s="21" t="n"/>
      <c r="M3913" s="22" t="n"/>
      <c r="N3913" s="22" t="n">
        <v>2258.62</v>
      </c>
      <c r="O3913" s="22" t="n">
        <v>383965400</v>
      </c>
      <c r="P3913" s="22" t="n">
        <v>2258.62</v>
      </c>
      <c r="Q3913" s="22" t="n">
        <v>383965400</v>
      </c>
      <c r="R3913" s="42">
        <f>+L3913+N3913-P3913</f>
        <v/>
      </c>
      <c r="S3913" s="42">
        <f>+M3913+O3913-Q3913</f>
        <v/>
      </c>
    </row>
    <row r="3914" ht="30" customHeight="1">
      <c r="A3914" s="16" t="n">
        <v>45999</v>
      </c>
      <c r="B3914" s="17" t="inlineStr">
        <is>
          <t>MH2512-11</t>
        </is>
      </c>
      <c r="C3914" s="16" t="n">
        <v>45999</v>
      </c>
      <c r="D3914" s="17" t="inlineStr">
        <is>
          <t>00000359</t>
        </is>
      </c>
      <c r="E3914" s="16" t="n">
        <v>45999</v>
      </c>
      <c r="F3914" s="16" t="inlineStr">
        <is>
          <t>XK2512-10</t>
        </is>
      </c>
      <c r="G3914" s="16" t="n">
        <v>45999</v>
      </c>
      <c r="H3914" s="17" t="inlineStr">
        <is>
          <t>CHI NHÁNH CÔNG TY TNHH NIPPOVINA TẠI TIỀN GIANG</t>
        </is>
      </c>
      <c r="I3914" s="17" t="inlineStr">
        <is>
          <t>Thép lá mạ nhôm kẽm PN 0,35mm  tôn 9 sóng- 1.000mm</t>
        </is>
      </c>
      <c r="J3914" s="17" t="inlineStr">
        <is>
          <t>kg</t>
        </is>
      </c>
      <c r="K3914" s="21" t="n">
        <v>60909</v>
      </c>
      <c r="L3914" s="21" t="n"/>
      <c r="M3914" s="22" t="n"/>
      <c r="N3914" s="22" t="n">
        <v>600</v>
      </c>
      <c r="O3914" s="22" t="n">
        <v>36545400</v>
      </c>
      <c r="P3914" s="22" t="n">
        <v>600</v>
      </c>
      <c r="Q3914" s="22" t="n">
        <v>36545400</v>
      </c>
      <c r="R3914" s="42">
        <f>+L3914+N3914-P3914</f>
        <v/>
      </c>
      <c r="S3914" s="42">
        <f>+M3914+O3914-Q3914</f>
        <v/>
      </c>
    </row>
    <row r="3915" ht="15" customHeight="1">
      <c r="A3915" s="16" t="n">
        <v>46000</v>
      </c>
      <c r="B3915" s="17" t="inlineStr">
        <is>
          <t>MH2512-12</t>
        </is>
      </c>
      <c r="C3915" s="16" t="n">
        <v>46000</v>
      </c>
      <c r="D3915" s="17" t="inlineStr">
        <is>
          <t>00002238</t>
        </is>
      </c>
      <c r="E3915" s="16" t="n">
        <v>46000</v>
      </c>
      <c r="F3915" s="16" t="inlineStr">
        <is>
          <t>XK2512-11</t>
        </is>
      </c>
      <c r="G3915" s="16" t="n">
        <v>46000</v>
      </c>
      <c r="H3915" s="17" t="inlineStr">
        <is>
          <t>CÔNG TY TNHH TÂN MỸ HẠNH</t>
        </is>
      </c>
      <c r="I3915" s="17" t="inlineStr">
        <is>
          <t>Tôn mạ kẽm</t>
        </is>
      </c>
      <c r="J3915" s="17" t="inlineStr">
        <is>
          <t>kg</t>
        </is>
      </c>
      <c r="K3915" s="21" t="n">
        <v>17445</v>
      </c>
      <c r="L3915" s="21" t="n"/>
      <c r="M3915" s="22" t="n"/>
      <c r="N3915" s="22" t="n">
        <v>283.0165</v>
      </c>
      <c r="O3915" s="22" t="n">
        <v>4937223</v>
      </c>
      <c r="P3915" s="22" t="n">
        <v>283.0165</v>
      </c>
      <c r="Q3915" s="22" t="n">
        <v>4937223</v>
      </c>
      <c r="R3915" s="42">
        <f>+L3915+N3915-P3915</f>
        <v/>
      </c>
      <c r="S3915" s="42">
        <f>+M3915+O3915-Q3915</f>
        <v/>
      </c>
    </row>
    <row r="3916" ht="30" customHeight="1">
      <c r="A3916" s="16" t="n">
        <v>46000</v>
      </c>
      <c r="B3916" s="17" t="inlineStr">
        <is>
          <t>MH2512-13</t>
        </is>
      </c>
      <c r="C3916" s="16" t="n">
        <v>46000</v>
      </c>
      <c r="D3916" s="17" t="inlineStr">
        <is>
          <t>00002872</t>
        </is>
      </c>
      <c r="E3916" s="16" t="n">
        <v>46000</v>
      </c>
      <c r="F3916" s="16" t="inlineStr">
        <is>
          <t>XK2512-12</t>
        </is>
      </c>
      <c r="G3916" s="16" t="n">
        <v>46000</v>
      </c>
      <c r="H3916" s="17" t="inlineStr">
        <is>
          <t>CÔNG TY TNHH DỊCH VỤ - THƯƠNG MẠI THÉP THIÊN LONG</t>
        </is>
      </c>
      <c r="I3916" s="17" t="inlineStr">
        <is>
          <t>Thép vuông 150</t>
        </is>
      </c>
      <c r="J3916" s="17" t="inlineStr">
        <is>
          <t>kg</t>
        </is>
      </c>
      <c r="K3916" s="21" t="n">
        <v>16181.81</v>
      </c>
      <c r="L3916" s="21" t="n"/>
      <c r="M3916" s="22" t="n"/>
      <c r="N3916" s="22" t="n">
        <v>656.52</v>
      </c>
      <c r="O3916" s="22" t="n">
        <v>10623682</v>
      </c>
      <c r="P3916" s="22" t="n">
        <v>656.52</v>
      </c>
      <c r="Q3916" s="22" t="n">
        <v>10623682</v>
      </c>
      <c r="R3916" s="42">
        <f>+L3916+N3916-P3916</f>
        <v/>
      </c>
      <c r="S3916" s="42">
        <f>+M3916+O3916-Q3916</f>
        <v/>
      </c>
    </row>
    <row r="3917" ht="30" customHeight="1">
      <c r="A3917" s="16" t="n">
        <v>46000</v>
      </c>
      <c r="B3917" s="17" t="inlineStr">
        <is>
          <t>MH2512-13</t>
        </is>
      </c>
      <c r="C3917" s="16" t="n">
        <v>46000</v>
      </c>
      <c r="D3917" s="17" t="inlineStr">
        <is>
          <t>00002872</t>
        </is>
      </c>
      <c r="E3917" s="16" t="n">
        <v>46000</v>
      </c>
      <c r="F3917" s="16" t="inlineStr">
        <is>
          <t>XK2512-12</t>
        </is>
      </c>
      <c r="G3917" s="16" t="n">
        <v>46000</v>
      </c>
      <c r="H3917" s="17" t="inlineStr">
        <is>
          <t>CÔNG TY TNHH DỊCH VỤ - THƯƠNG MẠI THÉP THIÊN LONG</t>
        </is>
      </c>
      <c r="I3917" s="17" t="inlineStr">
        <is>
          <t>Thép ống đen 60</t>
        </is>
      </c>
      <c r="J3917" s="17" t="inlineStr">
        <is>
          <t>kg</t>
        </is>
      </c>
      <c r="K3917" s="21" t="n">
        <v>16181.81</v>
      </c>
      <c r="L3917" s="21" t="n"/>
      <c r="M3917" s="22" t="n"/>
      <c r="N3917" s="22" t="n">
        <v>707.28</v>
      </c>
      <c r="O3917" s="22" t="n">
        <v>11445674</v>
      </c>
      <c r="P3917" s="22" t="n">
        <v>707.28</v>
      </c>
      <c r="Q3917" s="22" t="n">
        <v>11445674</v>
      </c>
      <c r="R3917" s="42">
        <f>+L3917+N3917-P3917</f>
        <v/>
      </c>
      <c r="S3917" s="42">
        <f>+M3917+O3917-Q3917</f>
        <v/>
      </c>
    </row>
    <row r="3918" ht="30" customHeight="1">
      <c r="A3918" s="16" t="n">
        <v>46000</v>
      </c>
      <c r="B3918" s="17" t="inlineStr">
        <is>
          <t>MH2512-13</t>
        </is>
      </c>
      <c r="C3918" s="16" t="n">
        <v>46000</v>
      </c>
      <c r="D3918" s="17" t="inlineStr">
        <is>
          <t>00002872</t>
        </is>
      </c>
      <c r="E3918" s="16" t="n">
        <v>46000</v>
      </c>
      <c r="F3918" s="16" t="inlineStr">
        <is>
          <t>XK2512-12</t>
        </is>
      </c>
      <c r="G3918" s="16" t="n">
        <v>46000</v>
      </c>
      <c r="H3918" s="17" t="inlineStr">
        <is>
          <t>CÔNG TY TNHH DỊCH VỤ - THƯƠNG MẠI THÉP THIÊN LONG</t>
        </is>
      </c>
      <c r="I3918" s="17" t="inlineStr">
        <is>
          <t>Thép tấm 16ly</t>
        </is>
      </c>
      <c r="J3918" s="17" t="inlineStr">
        <is>
          <t>kg</t>
        </is>
      </c>
      <c r="K3918" s="21" t="n">
        <v>14454.54</v>
      </c>
      <c r="L3918" s="21" t="n"/>
      <c r="M3918" s="22" t="n"/>
      <c r="N3918" s="22" t="n">
        <v>48230.4</v>
      </c>
      <c r="O3918" s="22" t="n">
        <v>697148246</v>
      </c>
      <c r="P3918" s="22" t="n">
        <v>48230.4</v>
      </c>
      <c r="Q3918" s="22" t="n">
        <v>697148246</v>
      </c>
      <c r="R3918" s="42">
        <f>+L3918+N3918-P3918</f>
        <v/>
      </c>
      <c r="S3918" s="42">
        <f>+M3918+O3918-Q3918</f>
        <v/>
      </c>
    </row>
    <row r="3919" ht="30" customHeight="1">
      <c r="A3919" s="16" t="n">
        <v>46000</v>
      </c>
      <c r="B3919" s="17" t="inlineStr">
        <is>
          <t>MH2512-13</t>
        </is>
      </c>
      <c r="C3919" s="16" t="n">
        <v>46000</v>
      </c>
      <c r="D3919" s="17" t="inlineStr">
        <is>
          <t>00002872</t>
        </is>
      </c>
      <c r="E3919" s="16" t="n">
        <v>46000</v>
      </c>
      <c r="F3919" s="16" t="inlineStr">
        <is>
          <t>XK2512-12</t>
        </is>
      </c>
      <c r="G3919" s="16" t="n">
        <v>46000</v>
      </c>
      <c r="H3919" s="17" t="inlineStr">
        <is>
          <t>CÔNG TY TNHH DỊCH VỤ - THƯƠNG MẠI THÉP THIÊN LONG</t>
        </is>
      </c>
      <c r="I3919" s="17" t="inlineStr">
        <is>
          <t>Thép tấm 20ly</t>
        </is>
      </c>
      <c r="J3919" s="17" t="inlineStr">
        <is>
          <t>kg</t>
        </is>
      </c>
      <c r="K3919" s="21" t="n">
        <v>14454.54</v>
      </c>
      <c r="L3919" s="21" t="n"/>
      <c r="M3919" s="22" t="n"/>
      <c r="N3919" s="22" t="n">
        <v>37680</v>
      </c>
      <c r="O3919" s="22" t="n">
        <v>544647067</v>
      </c>
      <c r="P3919" s="22" t="n">
        <v>37680</v>
      </c>
      <c r="Q3919" s="22" t="n">
        <v>544647067</v>
      </c>
      <c r="R3919" s="42">
        <f>+L3919+N3919-P3919</f>
        <v/>
      </c>
      <c r="S3919" s="42">
        <f>+M3919+O3919-Q3919</f>
        <v/>
      </c>
    </row>
    <row r="3920" ht="30" customHeight="1">
      <c r="A3920" s="16" t="n">
        <v>46000</v>
      </c>
      <c r="B3920" s="17" t="inlineStr">
        <is>
          <t>MH2512-13</t>
        </is>
      </c>
      <c r="C3920" s="16" t="n">
        <v>46000</v>
      </c>
      <c r="D3920" s="17" t="inlineStr">
        <is>
          <t>00002872</t>
        </is>
      </c>
      <c r="E3920" s="16" t="n">
        <v>46000</v>
      </c>
      <c r="F3920" s="16" t="inlineStr">
        <is>
          <t>XK2512-12</t>
        </is>
      </c>
      <c r="G3920" s="16" t="n">
        <v>46000</v>
      </c>
      <c r="H3920" s="17" t="inlineStr">
        <is>
          <t>CÔNG TY TNHH DỊCH VỤ - THƯƠNG MẠI THÉP THIÊN LONG</t>
        </is>
      </c>
      <c r="I3920" s="17" t="inlineStr">
        <is>
          <t>Thép tấm 22ly</t>
        </is>
      </c>
      <c r="J3920" s="17" t="inlineStr">
        <is>
          <t>kg</t>
        </is>
      </c>
      <c r="K3920" s="21" t="n">
        <v>14454.54</v>
      </c>
      <c r="L3920" s="21" t="n"/>
      <c r="M3920" s="22" t="n"/>
      <c r="N3920" s="22" t="n">
        <v>12434.4</v>
      </c>
      <c r="O3920" s="22" t="n">
        <v>179733532</v>
      </c>
      <c r="P3920" s="22" t="n">
        <v>12434.4</v>
      </c>
      <c r="Q3920" s="22" t="n">
        <v>179733532</v>
      </c>
      <c r="R3920" s="42">
        <f>+L3920+N3920-P3920</f>
        <v/>
      </c>
      <c r="S3920" s="42">
        <f>+M3920+O3920-Q3920</f>
        <v/>
      </c>
    </row>
    <row r="3921" ht="30" customHeight="1">
      <c r="A3921" s="16" t="n">
        <v>46000</v>
      </c>
      <c r="B3921" s="17" t="inlineStr">
        <is>
          <t>MH2512-13</t>
        </is>
      </c>
      <c r="C3921" s="16" t="n">
        <v>46000</v>
      </c>
      <c r="D3921" s="17" t="inlineStr">
        <is>
          <t>00002872</t>
        </is>
      </c>
      <c r="E3921" s="16" t="n">
        <v>46000</v>
      </c>
      <c r="F3921" s="16" t="inlineStr">
        <is>
          <t>XK2512-12</t>
        </is>
      </c>
      <c r="G3921" s="16" t="n">
        <v>46000</v>
      </c>
      <c r="H3921" s="17" t="inlineStr">
        <is>
          <t>CÔNG TY TNHH DỊCH VỤ - THƯƠNG MẠI THÉP THIÊN LONG</t>
        </is>
      </c>
      <c r="I3921" s="17" t="inlineStr">
        <is>
          <t>Thép tấm 18ly</t>
        </is>
      </c>
      <c r="J3921" s="17" t="inlineStr">
        <is>
          <t>kg</t>
        </is>
      </c>
      <c r="K3921" s="21" t="n">
        <v>14454.54</v>
      </c>
      <c r="L3921" s="21" t="n"/>
      <c r="M3921" s="22" t="n"/>
      <c r="N3921" s="22" t="n">
        <v>10173.6</v>
      </c>
      <c r="O3921" s="22" t="n">
        <v>147054708</v>
      </c>
      <c r="P3921" s="22" t="n">
        <v>10173.6</v>
      </c>
      <c r="Q3921" s="22" t="n">
        <v>147054708</v>
      </c>
      <c r="R3921" s="42">
        <f>+L3921+N3921-P3921</f>
        <v/>
      </c>
      <c r="S3921" s="42">
        <f>+M3921+O3921-Q3921</f>
        <v/>
      </c>
    </row>
    <row r="3922" ht="30" customHeight="1">
      <c r="A3922" s="16" t="n">
        <v>46000</v>
      </c>
      <c r="B3922" s="17" t="inlineStr">
        <is>
          <t>MH2512-14</t>
        </is>
      </c>
      <c r="C3922" s="16" t="n">
        <v>46000</v>
      </c>
      <c r="D3922" s="17" t="inlineStr">
        <is>
          <t>00004893</t>
        </is>
      </c>
      <c r="E3922" s="16" t="n">
        <v>46000</v>
      </c>
      <c r="F3922" s="16" t="inlineStr">
        <is>
          <t>XK2512-13</t>
        </is>
      </c>
      <c r="G3922" s="16" t="n">
        <v>46000</v>
      </c>
      <c r="H3922" s="17" t="inlineStr">
        <is>
          <t>CÔNG TY CỔ PHẦN CÔNG NGHIỆP VÀ THƯƠNG MẠI CƯỜNG THỊNH</t>
        </is>
      </c>
      <c r="I3922" s="17" t="inlineStr">
        <is>
          <t>Ty ren suốt 5.8 (đầu vát-đầu lục giác) ZP M24x300</t>
        </is>
      </c>
      <c r="J3922" s="17" t="inlineStr">
        <is>
          <t>Cái</t>
        </is>
      </c>
      <c r="K3922" s="21" t="n">
        <v>77210</v>
      </c>
      <c r="L3922" s="21" t="n"/>
      <c r="M3922" s="22" t="n"/>
      <c r="N3922" s="22" t="n">
        <v>6</v>
      </c>
      <c r="O3922" s="22" t="n">
        <v>463260</v>
      </c>
      <c r="P3922" s="22" t="n">
        <v>6</v>
      </c>
      <c r="Q3922" s="22" t="n">
        <v>463260</v>
      </c>
      <c r="R3922" s="42">
        <f>+L3922+N3922-P3922</f>
        <v/>
      </c>
      <c r="S3922" s="42">
        <f>+M3922+O3922-Q3922</f>
        <v/>
      </c>
    </row>
    <row r="3923" ht="30" customHeight="1">
      <c r="A3923" s="16" t="n">
        <v>46000</v>
      </c>
      <c r="B3923" s="17" t="inlineStr">
        <is>
          <t>MH2512-14</t>
        </is>
      </c>
      <c r="C3923" s="16" t="n">
        <v>46000</v>
      </c>
      <c r="D3923" s="17" t="inlineStr">
        <is>
          <t>00004893</t>
        </is>
      </c>
      <c r="E3923" s="16" t="n">
        <v>46000</v>
      </c>
      <c r="F3923" s="16" t="inlineStr">
        <is>
          <t>XK2512-13</t>
        </is>
      </c>
      <c r="G3923" s="16" t="n">
        <v>46000</v>
      </c>
      <c r="H3923" s="17" t="inlineStr">
        <is>
          <t>CÔNG TY CỔ PHẦN CÔNG NGHIỆP VÀ THƯƠNG MẠI CƯỜNG THỊNH</t>
        </is>
      </c>
      <c r="I3923" s="17" t="inlineStr">
        <is>
          <t>Đai ốc Din 934 8 ZP M24</t>
        </is>
      </c>
      <c r="J3923" s="17" t="inlineStr">
        <is>
          <t>Cái</t>
        </is>
      </c>
      <c r="K3923" s="21" t="n">
        <v>3670</v>
      </c>
      <c r="L3923" s="21" t="n"/>
      <c r="M3923" s="22" t="n"/>
      <c r="N3923" s="22" t="n">
        <v>6</v>
      </c>
      <c r="O3923" s="22" t="n">
        <v>22020</v>
      </c>
      <c r="P3923" s="22" t="n">
        <v>6</v>
      </c>
      <c r="Q3923" s="22" t="n">
        <v>22020</v>
      </c>
      <c r="R3923" s="42">
        <f>+L3923+N3923-P3923</f>
        <v/>
      </c>
      <c r="S3923" s="42">
        <f>+M3923+O3923-Q3923</f>
        <v/>
      </c>
    </row>
    <row r="3924" ht="30" customHeight="1">
      <c r="A3924" s="16" t="n">
        <v>46000</v>
      </c>
      <c r="B3924" s="17" t="inlineStr">
        <is>
          <t>MH2512-14</t>
        </is>
      </c>
      <c r="C3924" s="16" t="n">
        <v>46000</v>
      </c>
      <c r="D3924" s="17" t="inlineStr">
        <is>
          <t>00004893</t>
        </is>
      </c>
      <c r="E3924" s="16" t="n">
        <v>46000</v>
      </c>
      <c r="F3924" s="16" t="inlineStr">
        <is>
          <t>XK2512-13</t>
        </is>
      </c>
      <c r="G3924" s="16" t="n">
        <v>46000</v>
      </c>
      <c r="H3924" s="17" t="inlineStr">
        <is>
          <t>CÔNG TY CỔ PHẦN CÔNG NGHIỆP VÀ THƯƠNG MẠI CƯỜNG THỊNH</t>
        </is>
      </c>
      <c r="I3924" s="17" t="inlineStr">
        <is>
          <t>Đai ốc Din 934 8 ZP M30</t>
        </is>
      </c>
      <c r="J3924" s="17" t="inlineStr">
        <is>
          <t>Cái</t>
        </is>
      </c>
      <c r="K3924" s="21" t="n">
        <v>7750</v>
      </c>
      <c r="L3924" s="21" t="n"/>
      <c r="M3924" s="22" t="n"/>
      <c r="N3924" s="22" t="n">
        <v>6</v>
      </c>
      <c r="O3924" s="22" t="n">
        <v>46500</v>
      </c>
      <c r="P3924" s="22" t="n">
        <v>6</v>
      </c>
      <c r="Q3924" s="22" t="n">
        <v>46500</v>
      </c>
      <c r="R3924" s="42">
        <f>+L3924+N3924-P3924</f>
        <v/>
      </c>
      <c r="S3924" s="42">
        <f>+M3924+O3924-Q3924</f>
        <v/>
      </c>
    </row>
    <row r="3925" ht="30" customHeight="1">
      <c r="A3925" s="16" t="n">
        <v>46000</v>
      </c>
      <c r="B3925" s="17" t="inlineStr">
        <is>
          <t>MH2512-14</t>
        </is>
      </c>
      <c r="C3925" s="16" t="n">
        <v>46000</v>
      </c>
      <c r="D3925" s="17" t="inlineStr">
        <is>
          <t>00004893</t>
        </is>
      </c>
      <c r="E3925" s="16" t="n">
        <v>46000</v>
      </c>
      <c r="F3925" s="16" t="inlineStr">
        <is>
          <t>XK2512-13</t>
        </is>
      </c>
      <c r="G3925" s="16" t="n">
        <v>46000</v>
      </c>
      <c r="H3925" s="17" t="inlineStr">
        <is>
          <t>CÔNG TY CỔ PHẦN CÔNG NGHIỆP VÀ THƯƠNG MẠI CƯỜNG THỊNH</t>
        </is>
      </c>
      <c r="I3925" s="17" t="inlineStr">
        <is>
          <t>Long đền thường ZP M24B40-42D2</t>
        </is>
      </c>
      <c r="J3925" s="17" t="inlineStr">
        <is>
          <t>Cái</t>
        </is>
      </c>
      <c r="K3925" s="21" t="n">
        <v>660</v>
      </c>
      <c r="L3925" s="21" t="n"/>
      <c r="M3925" s="22" t="n"/>
      <c r="N3925" s="22" t="n">
        <v>6</v>
      </c>
      <c r="O3925" s="22" t="n">
        <v>3960</v>
      </c>
      <c r="P3925" s="22" t="n">
        <v>6</v>
      </c>
      <c r="Q3925" s="22" t="n">
        <v>3960</v>
      </c>
      <c r="R3925" s="42">
        <f>+L3925+N3925-P3925</f>
        <v/>
      </c>
      <c r="S3925" s="42">
        <f>+M3925+O3925-Q3925</f>
        <v/>
      </c>
    </row>
    <row r="3926" ht="30" customHeight="1">
      <c r="A3926" s="16" t="n">
        <v>46000</v>
      </c>
      <c r="B3926" s="17" t="inlineStr">
        <is>
          <t>MH2512-14</t>
        </is>
      </c>
      <c r="C3926" s="16" t="n">
        <v>46000</v>
      </c>
      <c r="D3926" s="17" t="inlineStr">
        <is>
          <t>00004893</t>
        </is>
      </c>
      <c r="E3926" s="16" t="n">
        <v>46000</v>
      </c>
      <c r="F3926" s="16" t="inlineStr">
        <is>
          <t>XK2512-13</t>
        </is>
      </c>
      <c r="G3926" s="16" t="n">
        <v>46000</v>
      </c>
      <c r="H3926" s="17" t="inlineStr">
        <is>
          <t>CÔNG TY CỔ PHẦN CÔNG NGHIỆP VÀ THƯƠNG MẠI CƯỜNG THỊNH</t>
        </is>
      </c>
      <c r="I3926" s="17" t="inlineStr">
        <is>
          <t>Long đền thường ZP M30B50D2</t>
        </is>
      </c>
      <c r="J3926" s="17" t="inlineStr">
        <is>
          <t>Cái</t>
        </is>
      </c>
      <c r="K3926" s="21" t="n">
        <v>890</v>
      </c>
      <c r="L3926" s="21" t="n"/>
      <c r="M3926" s="22" t="n"/>
      <c r="N3926" s="22" t="n">
        <v>6</v>
      </c>
      <c r="O3926" s="22" t="n">
        <v>5340</v>
      </c>
      <c r="P3926" s="22" t="n">
        <v>6</v>
      </c>
      <c r="Q3926" s="22" t="n">
        <v>5340</v>
      </c>
      <c r="R3926" s="42">
        <f>+L3926+N3926-P3926</f>
        <v/>
      </c>
      <c r="S3926" s="42">
        <f>+M3926+O3926-Q3926</f>
        <v/>
      </c>
    </row>
    <row r="3927" ht="30" customHeight="1">
      <c r="A3927" s="16" t="n">
        <v>46000</v>
      </c>
      <c r="B3927" s="17" t="inlineStr">
        <is>
          <t>MH2512-14</t>
        </is>
      </c>
      <c r="C3927" s="16" t="n">
        <v>46000</v>
      </c>
      <c r="D3927" s="17" t="inlineStr">
        <is>
          <t>00004893</t>
        </is>
      </c>
      <c r="E3927" s="16" t="n">
        <v>46000</v>
      </c>
      <c r="F3927" s="16" t="inlineStr">
        <is>
          <t>XK2512-13</t>
        </is>
      </c>
      <c r="G3927" s="16" t="n">
        <v>46000</v>
      </c>
      <c r="H3927" s="17" t="inlineStr">
        <is>
          <t>CÔNG TY CỔ PHẦN CÔNG NGHIỆP VÀ THƯƠNG MẠI CƯỜNG THỊNH</t>
        </is>
      </c>
      <c r="I3927" s="17" t="inlineStr">
        <is>
          <t>Ty ren suốt 5.8 (đầu vát-đầu lục giác) ZP M30x380</t>
        </is>
      </c>
      <c r="J3927" s="17" t="inlineStr">
        <is>
          <t>Cái</t>
        </is>
      </c>
      <c r="K3927" s="21" t="n">
        <v>176380</v>
      </c>
      <c r="L3927" s="21" t="n"/>
      <c r="M3927" s="22" t="n"/>
      <c r="N3927" s="22" t="n">
        <v>6</v>
      </c>
      <c r="O3927" s="22" t="n">
        <v>1058280</v>
      </c>
      <c r="P3927" s="22" t="n">
        <v>6</v>
      </c>
      <c r="Q3927" s="22" t="n">
        <v>1058280</v>
      </c>
      <c r="R3927" s="42">
        <f>+L3927+N3927-P3927</f>
        <v/>
      </c>
      <c r="S3927" s="42">
        <f>+M3927+O3927-Q3927</f>
        <v/>
      </c>
    </row>
    <row r="3928" ht="30" customHeight="1">
      <c r="A3928" s="16" t="n">
        <v>46000</v>
      </c>
      <c r="B3928" s="17" t="inlineStr">
        <is>
          <t>MH2512-15</t>
        </is>
      </c>
      <c r="C3928" s="16" t="n">
        <v>46000</v>
      </c>
      <c r="D3928" s="17" t="inlineStr">
        <is>
          <t>00004901</t>
        </is>
      </c>
      <c r="E3928" s="16" t="n">
        <v>46000</v>
      </c>
      <c r="F3928" s="16" t="inlineStr">
        <is>
          <t>XK2512-14</t>
        </is>
      </c>
      <c r="G3928" s="16" t="n">
        <v>46000</v>
      </c>
      <c r="H3928" s="17" t="inlineStr">
        <is>
          <t>CÔNG TY CỔ PHẦN CÔNG NGHIỆP VÀ THƯƠNG MẠI CƯỜNG THỊNH</t>
        </is>
      </c>
      <c r="I3928" s="17" t="inlineStr">
        <is>
          <t>Đai ốc Din 934 8 ZP M24</t>
        </is>
      </c>
      <c r="J3928" s="17" t="inlineStr">
        <is>
          <t>Cái</t>
        </is>
      </c>
      <c r="K3928" s="21" t="n">
        <v>3670</v>
      </c>
      <c r="L3928" s="21" t="n"/>
      <c r="M3928" s="22" t="n"/>
      <c r="N3928" s="22" t="n">
        <v>247</v>
      </c>
      <c r="O3928" s="22" t="n">
        <v>906490</v>
      </c>
      <c r="P3928" s="22" t="n">
        <v>247</v>
      </c>
      <c r="Q3928" s="22" t="n">
        <v>906490</v>
      </c>
      <c r="R3928" s="42">
        <f>+L3928+N3928-P3928</f>
        <v/>
      </c>
      <c r="S3928" s="42">
        <f>+M3928+O3928-Q3928</f>
        <v/>
      </c>
    </row>
    <row r="3929" ht="30" customHeight="1">
      <c r="A3929" s="16" t="n">
        <v>46000</v>
      </c>
      <c r="B3929" s="17" t="inlineStr">
        <is>
          <t>MH2512-15</t>
        </is>
      </c>
      <c r="C3929" s="16" t="n">
        <v>46000</v>
      </c>
      <c r="D3929" s="17" t="inlineStr">
        <is>
          <t>00004901</t>
        </is>
      </c>
      <c r="E3929" s="16" t="n">
        <v>46000</v>
      </c>
      <c r="F3929" s="16" t="inlineStr">
        <is>
          <t>XK2512-14</t>
        </is>
      </c>
      <c r="G3929" s="16" t="n">
        <v>46000</v>
      </c>
      <c r="H3929" s="17" t="inlineStr">
        <is>
          <t>CÔNG TY CỔ PHẦN CÔNG NGHIỆP VÀ THƯƠNG MẠI CƯỜNG THỊNH</t>
        </is>
      </c>
      <c r="I3929" s="17" t="inlineStr">
        <is>
          <t>Đai ốc Din 934 8 ZP M20</t>
        </is>
      </c>
      <c r="J3929" s="17" t="inlineStr">
        <is>
          <t>Cái</t>
        </is>
      </c>
      <c r="K3929" s="21" t="n">
        <v>2030</v>
      </c>
      <c r="L3929" s="21" t="n"/>
      <c r="M3929" s="22" t="n"/>
      <c r="N3929" s="22" t="n">
        <v>260</v>
      </c>
      <c r="O3929" s="22" t="n">
        <v>527800</v>
      </c>
      <c r="P3929" s="22" t="n">
        <v>260</v>
      </c>
      <c r="Q3929" s="22" t="n">
        <v>527800</v>
      </c>
      <c r="R3929" s="42">
        <f>+L3929+N3929-P3929</f>
        <v/>
      </c>
      <c r="S3929" s="42">
        <f>+M3929+O3929-Q3929</f>
        <v/>
      </c>
    </row>
    <row r="3930" ht="30" customHeight="1">
      <c r="A3930" s="16" t="n">
        <v>46000</v>
      </c>
      <c r="B3930" s="17" t="inlineStr">
        <is>
          <t>MH2512-15</t>
        </is>
      </c>
      <c r="C3930" s="16" t="n">
        <v>46000</v>
      </c>
      <c r="D3930" s="17" t="inlineStr">
        <is>
          <t>00004901</t>
        </is>
      </c>
      <c r="E3930" s="16" t="n">
        <v>46000</v>
      </c>
      <c r="F3930" s="16" t="inlineStr">
        <is>
          <t>XK2512-14</t>
        </is>
      </c>
      <c r="G3930" s="16" t="n">
        <v>46000</v>
      </c>
      <c r="H3930" s="17" t="inlineStr">
        <is>
          <t>CÔNG TY CỔ PHẦN CÔNG NGHIỆP VÀ THƯƠNG MẠI CƯỜNG THỊNH</t>
        </is>
      </c>
      <c r="I3930" s="17" t="inlineStr">
        <is>
          <t>Đai ốc Din 934 8 ZP M16</t>
        </is>
      </c>
      <c r="J3930" s="17" t="inlineStr">
        <is>
          <t>Cái</t>
        </is>
      </c>
      <c r="K3930" s="21" t="n">
        <v>1080</v>
      </c>
      <c r="L3930" s="21" t="n"/>
      <c r="M3930" s="22" t="n"/>
      <c r="N3930" s="22" t="n">
        <v>99</v>
      </c>
      <c r="O3930" s="22" t="n">
        <v>106920</v>
      </c>
      <c r="P3930" s="22" t="n">
        <v>99</v>
      </c>
      <c r="Q3930" s="22" t="n">
        <v>106920</v>
      </c>
      <c r="R3930" s="42">
        <f>+L3930+N3930-P3930</f>
        <v/>
      </c>
      <c r="S3930" s="42">
        <f>+M3930+O3930-Q3930</f>
        <v/>
      </c>
    </row>
    <row r="3931" ht="30" customHeight="1">
      <c r="A3931" s="16" t="n">
        <v>46000</v>
      </c>
      <c r="B3931" s="17" t="inlineStr">
        <is>
          <t>MH2512-16</t>
        </is>
      </c>
      <c r="C3931" s="16" t="n">
        <v>46000</v>
      </c>
      <c r="D3931" s="17" t="inlineStr">
        <is>
          <t>00004900</t>
        </is>
      </c>
      <c r="E3931" s="16" t="n">
        <v>46000</v>
      </c>
      <c r="F3931" s="16" t="inlineStr">
        <is>
          <t>XK2512-15</t>
        </is>
      </c>
      <c r="G3931" s="16" t="n">
        <v>46000</v>
      </c>
      <c r="H3931" s="17" t="inlineStr">
        <is>
          <t>CÔNG TY CỔ PHẦN CÔNG NGHIỆP VÀ THƯƠNG MẠI CƯỜNG THỊNH</t>
        </is>
      </c>
      <c r="I3931" s="17" t="inlineStr">
        <is>
          <t>Ty giằng 2 đầu ren 4.6 ZP M20</t>
        </is>
      </c>
      <c r="J3931" s="17" t="inlineStr">
        <is>
          <t>Mét</t>
        </is>
      </c>
      <c r="K3931" s="21" t="n">
        <v>69000</v>
      </c>
      <c r="L3931" s="21" t="n"/>
      <c r="M3931" s="22" t="n"/>
      <c r="N3931" s="22" t="n">
        <v>1049.47</v>
      </c>
      <c r="O3931" s="22" t="n">
        <v>72413430</v>
      </c>
      <c r="P3931" s="22" t="n">
        <v>1049.47</v>
      </c>
      <c r="Q3931" s="22" t="n">
        <v>72413430</v>
      </c>
      <c r="R3931" s="42">
        <f>+L3931+N3931-P3931</f>
        <v/>
      </c>
      <c r="S3931" s="42">
        <f>+M3931+O3931-Q3931</f>
        <v/>
      </c>
    </row>
    <row r="3932" ht="30" customHeight="1">
      <c r="A3932" s="16" t="n">
        <v>46000</v>
      </c>
      <c r="B3932" s="17" t="inlineStr">
        <is>
          <t>MH2512-16</t>
        </is>
      </c>
      <c r="C3932" s="16" t="n">
        <v>46000</v>
      </c>
      <c r="D3932" s="17" t="inlineStr">
        <is>
          <t>00004900</t>
        </is>
      </c>
      <c r="E3932" s="16" t="n">
        <v>46000</v>
      </c>
      <c r="F3932" s="16" t="inlineStr">
        <is>
          <t>XK2512-15</t>
        </is>
      </c>
      <c r="G3932" s="16" t="n">
        <v>46000</v>
      </c>
      <c r="H3932" s="17" t="inlineStr">
        <is>
          <t>CÔNG TY CỔ PHẦN CÔNG NGHIỆP VÀ THƯƠNG MẠI CƯỜNG THỊNH</t>
        </is>
      </c>
      <c r="I3932" s="17" t="inlineStr">
        <is>
          <t>Đai ốc Din 934 5 ZP M20</t>
        </is>
      </c>
      <c r="J3932" s="17" t="inlineStr">
        <is>
          <t>Cái</t>
        </is>
      </c>
      <c r="K3932" s="21" t="n">
        <v>1850</v>
      </c>
      <c r="L3932" s="21" t="n"/>
      <c r="M3932" s="22" t="n"/>
      <c r="N3932" s="22" t="n">
        <v>220</v>
      </c>
      <c r="O3932" s="22" t="n">
        <v>407000</v>
      </c>
      <c r="P3932" s="22" t="n">
        <v>220</v>
      </c>
      <c r="Q3932" s="22" t="n">
        <v>407000</v>
      </c>
      <c r="R3932" s="42">
        <f>+L3932+N3932-P3932</f>
        <v/>
      </c>
      <c r="S3932" s="42">
        <f>+M3932+O3932-Q3932</f>
        <v/>
      </c>
    </row>
    <row r="3933" ht="30" customHeight="1">
      <c r="A3933" s="16" t="n">
        <v>46000</v>
      </c>
      <c r="B3933" s="17" t="inlineStr">
        <is>
          <t>MH2512-16</t>
        </is>
      </c>
      <c r="C3933" s="16" t="n">
        <v>46000</v>
      </c>
      <c r="D3933" s="17" t="inlineStr">
        <is>
          <t>00004900</t>
        </is>
      </c>
      <c r="E3933" s="16" t="n">
        <v>46000</v>
      </c>
      <c r="F3933" s="16" t="inlineStr">
        <is>
          <t>XK2512-15</t>
        </is>
      </c>
      <c r="G3933" s="16" t="n">
        <v>46000</v>
      </c>
      <c r="H3933" s="17" t="inlineStr">
        <is>
          <t>CÔNG TY CỔ PHẦN CÔNG NGHIỆP VÀ THƯƠNG MẠI CƯỜNG THỊNH</t>
        </is>
      </c>
      <c r="I3933" s="17" t="inlineStr">
        <is>
          <t>Long đền thường ZP M20B42D2</t>
        </is>
      </c>
      <c r="J3933" s="17" t="inlineStr">
        <is>
          <t>Cái</t>
        </is>
      </c>
      <c r="K3933" s="21" t="n">
        <v>700</v>
      </c>
      <c r="L3933" s="21" t="n"/>
      <c r="M3933" s="22" t="n"/>
      <c r="N3933" s="22" t="n">
        <v>220</v>
      </c>
      <c r="O3933" s="22" t="n">
        <v>154000</v>
      </c>
      <c r="P3933" s="22" t="n">
        <v>220</v>
      </c>
      <c r="Q3933" s="22" t="n">
        <v>154000</v>
      </c>
      <c r="R3933" s="42">
        <f>+L3933+N3933-P3933</f>
        <v/>
      </c>
      <c r="S3933" s="42">
        <f>+M3933+O3933-Q3933</f>
        <v/>
      </c>
    </row>
    <row r="3934" ht="30" customHeight="1">
      <c r="A3934" s="16" t="n">
        <v>46000</v>
      </c>
      <c r="B3934" s="17" t="inlineStr">
        <is>
          <t>MH2512-16</t>
        </is>
      </c>
      <c r="C3934" s="16" t="n">
        <v>46000</v>
      </c>
      <c r="D3934" s="17" t="inlineStr">
        <is>
          <t>00004900</t>
        </is>
      </c>
      <c r="E3934" s="16" t="n">
        <v>46000</v>
      </c>
      <c r="F3934" s="16" t="inlineStr">
        <is>
          <t>XK2512-15</t>
        </is>
      </c>
      <c r="G3934" s="16" t="n">
        <v>46000</v>
      </c>
      <c r="H3934" s="17" t="inlineStr">
        <is>
          <t>CÔNG TY CỔ PHẦN CÔNG NGHIỆP VÀ THƯƠNG MẠI CƯỜNG THỊNH</t>
        </is>
      </c>
      <c r="I3934" s="17" t="inlineStr">
        <is>
          <t>Long đền móng ngựa ZP M20</t>
        </is>
      </c>
      <c r="J3934" s="17" t="inlineStr">
        <is>
          <t>Cái</t>
        </is>
      </c>
      <c r="K3934" s="21" t="n">
        <v>15590</v>
      </c>
      <c r="L3934" s="21" t="n"/>
      <c r="M3934" s="22" t="n"/>
      <c r="N3934" s="22" t="n">
        <v>220</v>
      </c>
      <c r="O3934" s="22" t="n">
        <v>3429800</v>
      </c>
      <c r="P3934" s="22" t="n">
        <v>220</v>
      </c>
      <c r="Q3934" s="22" t="n">
        <v>3429800</v>
      </c>
      <c r="R3934" s="42">
        <f>+L3934+N3934-P3934</f>
        <v/>
      </c>
      <c r="S3934" s="42">
        <f>+M3934+O3934-Q3934</f>
        <v/>
      </c>
    </row>
    <row r="3935" ht="30" customHeight="1">
      <c r="A3935" s="16" t="n">
        <v>46000</v>
      </c>
      <c r="B3935" s="17" t="inlineStr">
        <is>
          <t>MH2512-16</t>
        </is>
      </c>
      <c r="C3935" s="16" t="n">
        <v>46000</v>
      </c>
      <c r="D3935" s="17" t="inlineStr">
        <is>
          <t>00004900</t>
        </is>
      </c>
      <c r="E3935" s="16" t="n">
        <v>46000</v>
      </c>
      <c r="F3935" s="16" t="inlineStr">
        <is>
          <t>XK2512-15</t>
        </is>
      </c>
      <c r="G3935" s="16" t="n">
        <v>46000</v>
      </c>
      <c r="H3935" s="17" t="inlineStr">
        <is>
          <t>CÔNG TY CỔ PHẦN CÔNG NGHIỆP VÀ THƯƠNG MẠI CƯỜNG THỊNH</t>
        </is>
      </c>
      <c r="I3935" s="17" t="inlineStr">
        <is>
          <t>Nối Ty ZP M20x100(28mm)</t>
        </is>
      </c>
      <c r="J3935" s="17" t="inlineStr">
        <is>
          <t>Cái</t>
        </is>
      </c>
      <c r="K3935" s="21" t="n">
        <v>24470</v>
      </c>
      <c r="L3935" s="21" t="n"/>
      <c r="M3935" s="22" t="n"/>
      <c r="N3935" s="22" t="n">
        <v>111</v>
      </c>
      <c r="O3935" s="22" t="n">
        <v>2716170</v>
      </c>
      <c r="P3935" s="22" t="n">
        <v>111</v>
      </c>
      <c r="Q3935" s="22" t="n">
        <v>2716170</v>
      </c>
      <c r="R3935" s="42">
        <f>+L3935+N3935-P3935</f>
        <v/>
      </c>
      <c r="S3935" s="42">
        <f>+M3935+O3935-Q3935</f>
        <v/>
      </c>
    </row>
    <row r="3936" ht="30" customHeight="1">
      <c r="A3936" s="16" t="n">
        <v>46000</v>
      </c>
      <c r="B3936" s="17" t="inlineStr">
        <is>
          <t>MH2512-16</t>
        </is>
      </c>
      <c r="C3936" s="16" t="n">
        <v>46000</v>
      </c>
      <c r="D3936" s="17" t="inlineStr">
        <is>
          <t>00004900</t>
        </is>
      </c>
      <c r="E3936" s="16" t="n">
        <v>46000</v>
      </c>
      <c r="F3936" s="16" t="inlineStr">
        <is>
          <t>XK2512-15</t>
        </is>
      </c>
      <c r="G3936" s="16" t="n">
        <v>46000</v>
      </c>
      <c r="H3936" s="17" t="inlineStr">
        <is>
          <t>CÔNG TY CỔ PHẦN CÔNG NGHIỆP VÀ THƯƠNG MẠI CƯỜNG THỊNH</t>
        </is>
      </c>
      <c r="I3936" s="17" t="inlineStr">
        <is>
          <t>Ty giằng 2 đầu ren 4.6 Ф11.3-11.5mm ZP M12</t>
        </is>
      </c>
      <c r="J3936" s="17" t="inlineStr">
        <is>
          <t>Mét</t>
        </is>
      </c>
      <c r="K3936" s="21" t="n">
        <v>20500</v>
      </c>
      <c r="L3936" s="21" t="n"/>
      <c r="M3936" s="22" t="n"/>
      <c r="N3936" s="22" t="n">
        <v>3244.73</v>
      </c>
      <c r="O3936" s="22" t="n">
        <v>66516965</v>
      </c>
      <c r="P3936" s="22" t="n">
        <v>3244.73</v>
      </c>
      <c r="Q3936" s="22" t="n">
        <v>66516965</v>
      </c>
      <c r="R3936" s="42">
        <f>+L3936+N3936-P3936</f>
        <v/>
      </c>
      <c r="S3936" s="42">
        <f>+M3936+O3936-Q3936</f>
        <v/>
      </c>
    </row>
    <row r="3937" ht="30" customHeight="1">
      <c r="A3937" s="16" t="n">
        <v>46000</v>
      </c>
      <c r="B3937" s="17" t="inlineStr">
        <is>
          <t>MH2512-16</t>
        </is>
      </c>
      <c r="C3937" s="16" t="n">
        <v>46000</v>
      </c>
      <c r="D3937" s="17" t="inlineStr">
        <is>
          <t>00004900</t>
        </is>
      </c>
      <c r="E3937" s="16" t="n">
        <v>46000</v>
      </c>
      <c r="F3937" s="16" t="inlineStr">
        <is>
          <t>XK2512-15</t>
        </is>
      </c>
      <c r="G3937" s="16" t="n">
        <v>46000</v>
      </c>
      <c r="H3937" s="17" t="inlineStr">
        <is>
          <t>CÔNG TY CỔ PHẦN CÔNG NGHIỆP VÀ THƯƠNG MẠI CƯỜNG THỊNH</t>
        </is>
      </c>
      <c r="I3937" s="17" t="inlineStr">
        <is>
          <t>Ty giằng 2 đầu ren 4.6 Ф11.3-11.5mm ZP M12</t>
        </is>
      </c>
      <c r="J3937" s="17" t="inlineStr">
        <is>
          <t>Mét</t>
        </is>
      </c>
      <c r="K3937" s="21" t="n">
        <v>22500</v>
      </c>
      <c r="L3937" s="21" t="n"/>
      <c r="M3937" s="22" t="n"/>
      <c r="N3937" s="22" t="n">
        <v>439.38</v>
      </c>
      <c r="O3937" s="22" t="n">
        <v>9886050</v>
      </c>
      <c r="P3937" s="22" t="n">
        <v>439.38</v>
      </c>
      <c r="Q3937" s="22" t="n">
        <v>9886050</v>
      </c>
      <c r="R3937" s="42">
        <f>+L3937+N3937-P3937</f>
        <v/>
      </c>
      <c r="S3937" s="42">
        <f>+M3937+O3937-Q3937</f>
        <v/>
      </c>
    </row>
    <row r="3938" ht="30" customHeight="1">
      <c r="A3938" s="16" t="n">
        <v>46000</v>
      </c>
      <c r="B3938" s="17" t="inlineStr">
        <is>
          <t>MH2512-16</t>
        </is>
      </c>
      <c r="C3938" s="16" t="n">
        <v>46000</v>
      </c>
      <c r="D3938" s="17" t="inlineStr">
        <is>
          <t>00004900</t>
        </is>
      </c>
      <c r="E3938" s="16" t="n">
        <v>46000</v>
      </c>
      <c r="F3938" s="16" t="inlineStr">
        <is>
          <t>XK2512-15</t>
        </is>
      </c>
      <c r="G3938" s="16" t="n">
        <v>46000</v>
      </c>
      <c r="H3938" s="17" t="inlineStr">
        <is>
          <t>CÔNG TY CỔ PHẦN CÔNG NGHIỆP VÀ THƯƠNG MẠI CƯỜNG THỊNH</t>
        </is>
      </c>
      <c r="I3938" s="17" t="inlineStr">
        <is>
          <t>Đai ốc thường 4 ZP M12 (9mm)</t>
        </is>
      </c>
      <c r="J3938" s="17" t="inlineStr">
        <is>
          <t>Cái</t>
        </is>
      </c>
      <c r="K3938" s="21" t="n">
        <v>350</v>
      </c>
      <c r="L3938" s="21" t="n"/>
      <c r="M3938" s="22" t="n"/>
      <c r="N3938" s="22" t="n">
        <v>13892</v>
      </c>
      <c r="O3938" s="22" t="n">
        <v>4862200</v>
      </c>
      <c r="P3938" s="22" t="n">
        <v>13892</v>
      </c>
      <c r="Q3938" s="22" t="n">
        <v>4862200</v>
      </c>
      <c r="R3938" s="42">
        <f>+L3938+N3938-P3938</f>
        <v/>
      </c>
      <c r="S3938" s="42">
        <f>+M3938+O3938-Q3938</f>
        <v/>
      </c>
    </row>
    <row r="3939" ht="30" customHeight="1">
      <c r="A3939" s="16" t="n">
        <v>46000</v>
      </c>
      <c r="B3939" s="17" t="inlineStr">
        <is>
          <t>MH2512-16</t>
        </is>
      </c>
      <c r="C3939" s="16" t="n">
        <v>46000</v>
      </c>
      <c r="D3939" s="17" t="inlineStr">
        <is>
          <t>00004900</t>
        </is>
      </c>
      <c r="E3939" s="16" t="n">
        <v>46000</v>
      </c>
      <c r="F3939" s="16" t="inlineStr">
        <is>
          <t>XK2512-15</t>
        </is>
      </c>
      <c r="G3939" s="16" t="n">
        <v>46000</v>
      </c>
      <c r="H3939" s="17" t="inlineStr">
        <is>
          <t>CÔNG TY CỔ PHẦN CÔNG NGHIỆP VÀ THƯƠNG MẠI CƯỜNG THỊNH</t>
        </is>
      </c>
      <c r="I3939" s="17" t="inlineStr">
        <is>
          <t>Ty giằng 2 đầu ren 5.6 ZP M24</t>
        </is>
      </c>
      <c r="J3939" s="17" t="inlineStr">
        <is>
          <t>Mét</t>
        </is>
      </c>
      <c r="K3939" s="21" t="n">
        <v>106000</v>
      </c>
      <c r="L3939" s="21" t="n"/>
      <c r="M3939" s="22" t="n"/>
      <c r="N3939" s="22" t="n">
        <v>755.74</v>
      </c>
      <c r="O3939" s="22" t="n">
        <v>80108440</v>
      </c>
      <c r="P3939" s="22" t="n">
        <v>755.74</v>
      </c>
      <c r="Q3939" s="22" t="n">
        <v>80108440</v>
      </c>
      <c r="R3939" s="42">
        <f>+L3939+N3939-P3939</f>
        <v/>
      </c>
      <c r="S3939" s="42">
        <f>+M3939+O3939-Q3939</f>
        <v/>
      </c>
    </row>
    <row r="3940" ht="30" customHeight="1">
      <c r="A3940" s="16" t="n">
        <v>46000</v>
      </c>
      <c r="B3940" s="17" t="inlineStr">
        <is>
          <t>MH2512-16</t>
        </is>
      </c>
      <c r="C3940" s="16" t="n">
        <v>46000</v>
      </c>
      <c r="D3940" s="17" t="inlineStr">
        <is>
          <t>00004900</t>
        </is>
      </c>
      <c r="E3940" s="16" t="n">
        <v>46000</v>
      </c>
      <c r="F3940" s="16" t="inlineStr">
        <is>
          <t>XK2512-15</t>
        </is>
      </c>
      <c r="G3940" s="16" t="n">
        <v>46000</v>
      </c>
      <c r="H3940" s="17" t="inlineStr">
        <is>
          <t>CÔNG TY CỔ PHẦN CÔNG NGHIỆP VÀ THƯƠNG MẠI CƯỜNG THỊNH</t>
        </is>
      </c>
      <c r="I3940" s="17" t="inlineStr">
        <is>
          <t>Đai ốc Din 934 5 ZP M24</t>
        </is>
      </c>
      <c r="J3940" s="17" t="inlineStr">
        <is>
          <t>Cái</t>
        </is>
      </c>
      <c r="K3940" s="21" t="n">
        <v>3110</v>
      </c>
      <c r="L3940" s="21" t="n"/>
      <c r="M3940" s="22" t="n"/>
      <c r="N3940" s="22" t="n">
        <v>144</v>
      </c>
      <c r="O3940" s="22" t="n">
        <v>447840</v>
      </c>
      <c r="P3940" s="22" t="n">
        <v>144</v>
      </c>
      <c r="Q3940" s="22" t="n">
        <v>447840</v>
      </c>
      <c r="R3940" s="42">
        <f>+L3940+N3940-P3940</f>
        <v/>
      </c>
      <c r="S3940" s="42">
        <f>+M3940+O3940-Q3940</f>
        <v/>
      </c>
    </row>
    <row r="3941" ht="30" customHeight="1">
      <c r="A3941" s="16" t="n">
        <v>46000</v>
      </c>
      <c r="B3941" s="17" t="inlineStr">
        <is>
          <t>MH2512-16</t>
        </is>
      </c>
      <c r="C3941" s="16" t="n">
        <v>46000</v>
      </c>
      <c r="D3941" s="17" t="inlineStr">
        <is>
          <t>00004900</t>
        </is>
      </c>
      <c r="E3941" s="16" t="n">
        <v>46000</v>
      </c>
      <c r="F3941" s="16" t="inlineStr">
        <is>
          <t>XK2512-15</t>
        </is>
      </c>
      <c r="G3941" s="16" t="n">
        <v>46000</v>
      </c>
      <c r="H3941" s="17" t="inlineStr">
        <is>
          <t>CÔNG TY CỔ PHẦN CÔNG NGHIỆP VÀ THƯƠNG MẠI CƯỜNG THỊNH</t>
        </is>
      </c>
      <c r="I3941" s="17" t="inlineStr">
        <is>
          <t>Long đền thường ZP M24B45D2</t>
        </is>
      </c>
      <c r="J3941" s="17" t="inlineStr">
        <is>
          <t>Cái</t>
        </is>
      </c>
      <c r="K3941" s="21" t="n">
        <v>790</v>
      </c>
      <c r="L3941" s="21" t="n"/>
      <c r="M3941" s="22" t="n"/>
      <c r="N3941" s="22" t="n">
        <v>144</v>
      </c>
      <c r="O3941" s="22" t="n">
        <v>113760</v>
      </c>
      <c r="P3941" s="22" t="n">
        <v>144</v>
      </c>
      <c r="Q3941" s="22" t="n">
        <v>113760</v>
      </c>
      <c r="R3941" s="42">
        <f>+L3941+N3941-P3941</f>
        <v/>
      </c>
      <c r="S3941" s="42">
        <f>+M3941+O3941-Q3941</f>
        <v/>
      </c>
    </row>
    <row r="3942" ht="30" customHeight="1">
      <c r="A3942" s="16" t="n">
        <v>46000</v>
      </c>
      <c r="B3942" s="17" t="inlineStr">
        <is>
          <t>MH2512-16</t>
        </is>
      </c>
      <c r="C3942" s="16" t="n">
        <v>46000</v>
      </c>
      <c r="D3942" s="17" t="inlineStr">
        <is>
          <t>00004900</t>
        </is>
      </c>
      <c r="E3942" s="16" t="n">
        <v>46000</v>
      </c>
      <c r="F3942" s="16" t="inlineStr">
        <is>
          <t>XK2512-15</t>
        </is>
      </c>
      <c r="G3942" s="16" t="n">
        <v>46000</v>
      </c>
      <c r="H3942" s="17" t="inlineStr">
        <is>
          <t>CÔNG TY CỔ PHẦN CÔNG NGHIỆP VÀ THƯƠNG MẠI CƯỜNG THỊNH</t>
        </is>
      </c>
      <c r="I3942" s="17" t="inlineStr">
        <is>
          <t>Long đền móng ngựa ZP M24</t>
        </is>
      </c>
      <c r="J3942" s="17" t="inlineStr">
        <is>
          <t>Cái</t>
        </is>
      </c>
      <c r="K3942" s="21" t="n">
        <v>21210</v>
      </c>
      <c r="L3942" s="21" t="n"/>
      <c r="M3942" s="22" t="n"/>
      <c r="N3942" s="22" t="n">
        <v>144</v>
      </c>
      <c r="O3942" s="22" t="n">
        <v>3054240</v>
      </c>
      <c r="P3942" s="22" t="n">
        <v>144</v>
      </c>
      <c r="Q3942" s="22" t="n">
        <v>3054240</v>
      </c>
      <c r="R3942" s="42">
        <f>+L3942+N3942-P3942</f>
        <v/>
      </c>
      <c r="S3942" s="42">
        <f>+M3942+O3942-Q3942</f>
        <v/>
      </c>
    </row>
    <row r="3943" ht="30" customHeight="1">
      <c r="A3943" s="16" t="n">
        <v>46000</v>
      </c>
      <c r="B3943" s="17" t="inlineStr">
        <is>
          <t>MH2512-16</t>
        </is>
      </c>
      <c r="C3943" s="16" t="n">
        <v>46000</v>
      </c>
      <c r="D3943" s="17" t="inlineStr">
        <is>
          <t>00004900</t>
        </is>
      </c>
      <c r="E3943" s="16" t="n">
        <v>46000</v>
      </c>
      <c r="F3943" s="16" t="inlineStr">
        <is>
          <t>XK2512-15</t>
        </is>
      </c>
      <c r="G3943" s="16" t="n">
        <v>46000</v>
      </c>
      <c r="H3943" s="17" t="inlineStr">
        <is>
          <t>CÔNG TY CỔ PHẦN CÔNG NGHIỆP VÀ THƯƠNG MẠI CƯỜNG THỊNH</t>
        </is>
      </c>
      <c r="I3943" s="17" t="inlineStr">
        <is>
          <t>Nối Ty ZP M24x100 (34mm)</t>
        </is>
      </c>
      <c r="J3943" s="17" t="inlineStr">
        <is>
          <t>Cái</t>
        </is>
      </c>
      <c r="K3943" s="21" t="n">
        <v>30860</v>
      </c>
      <c r="L3943" s="21" t="n"/>
      <c r="M3943" s="22" t="n"/>
      <c r="N3943" s="22" t="n">
        <v>72</v>
      </c>
      <c r="O3943" s="22" t="n">
        <v>2221920</v>
      </c>
      <c r="P3943" s="22" t="n">
        <v>72</v>
      </c>
      <c r="Q3943" s="22" t="n">
        <v>2221920</v>
      </c>
      <c r="R3943" s="42">
        <f>+L3943+N3943-P3943</f>
        <v/>
      </c>
      <c r="S3943" s="42">
        <f>+M3943+O3943-Q3943</f>
        <v/>
      </c>
    </row>
    <row r="3944" ht="30" customHeight="1">
      <c r="A3944" s="16" t="n">
        <v>46000</v>
      </c>
      <c r="B3944" s="17" t="inlineStr">
        <is>
          <t>MH2512-16</t>
        </is>
      </c>
      <c r="C3944" s="16" t="n">
        <v>46000</v>
      </c>
      <c r="D3944" s="17" t="inlineStr">
        <is>
          <t>00004900</t>
        </is>
      </c>
      <c r="E3944" s="16" t="n">
        <v>46000</v>
      </c>
      <c r="F3944" s="16" t="inlineStr">
        <is>
          <t>XK2512-15</t>
        </is>
      </c>
      <c r="G3944" s="16" t="n">
        <v>46000</v>
      </c>
      <c r="H3944" s="17" t="inlineStr">
        <is>
          <t>CÔNG TY CỔ PHẦN CÔNG NGHIỆP VÀ THƯƠNG MẠI CƯỜNG THỊNH</t>
        </is>
      </c>
      <c r="I3944" s="17" t="inlineStr">
        <is>
          <t>Long đền thường ZP M12B26D1.5</t>
        </is>
      </c>
      <c r="J3944" s="17" t="inlineStr">
        <is>
          <t>Cái</t>
        </is>
      </c>
      <c r="K3944" s="21" t="n">
        <v>170</v>
      </c>
      <c r="L3944" s="21" t="n"/>
      <c r="M3944" s="22" t="n"/>
      <c r="N3944" s="22" t="n">
        <v>13892</v>
      </c>
      <c r="O3944" s="22" t="n">
        <v>2361640</v>
      </c>
      <c r="P3944" s="22" t="n">
        <v>13892</v>
      </c>
      <c r="Q3944" s="22" t="n">
        <v>2361640</v>
      </c>
      <c r="R3944" s="42">
        <f>+L3944+N3944-P3944</f>
        <v/>
      </c>
      <c r="S3944" s="42">
        <f>+M3944+O3944-Q3944</f>
        <v/>
      </c>
    </row>
    <row r="3945" ht="30" customHeight="1">
      <c r="A3945" s="16" t="n">
        <v>46002</v>
      </c>
      <c r="B3945" s="17" t="inlineStr">
        <is>
          <t>MH2512-20</t>
        </is>
      </c>
      <c r="C3945" s="16" t="n">
        <v>46002</v>
      </c>
      <c r="D3945" s="17" t="inlineStr">
        <is>
          <t>00004944</t>
        </is>
      </c>
      <c r="E3945" s="16" t="n">
        <v>46002</v>
      </c>
      <c r="F3945" s="16" t="inlineStr">
        <is>
          <t>XK2512-16</t>
        </is>
      </c>
      <c r="G3945" s="16" t="n">
        <v>46002</v>
      </c>
      <c r="H3945" s="17" t="inlineStr">
        <is>
          <t>CÔNG TY CỔ PHẦN CÔNG NGHIỆP VÀ THƯƠNG MẠI CƯỜNG THỊNH</t>
        </is>
      </c>
      <c r="I3945" s="17" t="inlineStr">
        <is>
          <t>Bulong neo I 8.8 M16x400</t>
        </is>
      </c>
      <c r="J3945" s="17" t="inlineStr">
        <is>
          <t>Cái</t>
        </is>
      </c>
      <c r="K3945" s="21" t="n">
        <v>36310</v>
      </c>
      <c r="L3945" s="21" t="n"/>
      <c r="M3945" s="22" t="n"/>
      <c r="N3945" s="22" t="n">
        <v>5</v>
      </c>
      <c r="O3945" s="22" t="n">
        <v>181550</v>
      </c>
      <c r="P3945" s="22" t="n">
        <v>5</v>
      </c>
      <c r="Q3945" s="22" t="n">
        <v>181550</v>
      </c>
      <c r="R3945" s="42">
        <f>+L3945+N3945-P3945</f>
        <v/>
      </c>
      <c r="S3945" s="42">
        <f>+M3945+O3945-Q3945</f>
        <v/>
      </c>
    </row>
    <row r="3946" ht="30" customHeight="1">
      <c r="A3946" s="16" t="n">
        <v>46002</v>
      </c>
      <c r="B3946" s="17" t="inlineStr">
        <is>
          <t>MH2512-20</t>
        </is>
      </c>
      <c r="C3946" s="16" t="n">
        <v>46002</v>
      </c>
      <c r="D3946" s="17" t="inlineStr">
        <is>
          <t>00004944</t>
        </is>
      </c>
      <c r="E3946" s="16" t="n">
        <v>46002</v>
      </c>
      <c r="F3946" s="16" t="inlineStr">
        <is>
          <t>XK2512-16</t>
        </is>
      </c>
      <c r="G3946" s="16" t="n">
        <v>46002</v>
      </c>
      <c r="H3946" s="17" t="inlineStr">
        <is>
          <t>CÔNG TY CỔ PHẦN CÔNG NGHIỆP VÀ THƯƠNG MẠI CƯỜNG THỊNH</t>
        </is>
      </c>
      <c r="I3946" s="17" t="inlineStr">
        <is>
          <t>Bulong neo I 8.8 M20x450</t>
        </is>
      </c>
      <c r="J3946" s="17" t="inlineStr">
        <is>
          <t>Cái</t>
        </is>
      </c>
      <c r="K3946" s="21" t="n">
        <v>53400</v>
      </c>
      <c r="L3946" s="21" t="n"/>
      <c r="M3946" s="22" t="n"/>
      <c r="N3946" s="22" t="n">
        <v>5</v>
      </c>
      <c r="O3946" s="22" t="n">
        <v>267000</v>
      </c>
      <c r="P3946" s="22" t="n">
        <v>5</v>
      </c>
      <c r="Q3946" s="22" t="n">
        <v>267000</v>
      </c>
      <c r="R3946" s="42">
        <f>+L3946+N3946-P3946</f>
        <v/>
      </c>
      <c r="S3946" s="42">
        <f>+M3946+O3946-Q3946</f>
        <v/>
      </c>
    </row>
    <row r="3947" ht="30" customHeight="1">
      <c r="A3947" s="16" t="n">
        <v>46002</v>
      </c>
      <c r="B3947" s="17" t="inlineStr">
        <is>
          <t>MH2512-20</t>
        </is>
      </c>
      <c r="C3947" s="16" t="n">
        <v>46002</v>
      </c>
      <c r="D3947" s="17" t="inlineStr">
        <is>
          <t>00004944</t>
        </is>
      </c>
      <c r="E3947" s="16" t="n">
        <v>46002</v>
      </c>
      <c r="F3947" s="16" t="inlineStr">
        <is>
          <t>XK2512-16</t>
        </is>
      </c>
      <c r="G3947" s="16" t="n">
        <v>46002</v>
      </c>
      <c r="H3947" s="17" t="inlineStr">
        <is>
          <t>CÔNG TY CỔ PHẦN CÔNG NGHIỆP VÀ THƯƠNG MẠI CƯỜNG THỊNH</t>
        </is>
      </c>
      <c r="I3947" s="17" t="inlineStr">
        <is>
          <t>Bulong neo I 8.8 M24x600</t>
        </is>
      </c>
      <c r="J3947" s="17" t="inlineStr">
        <is>
          <t>Cái</t>
        </is>
      </c>
      <c r="K3947" s="21" t="n">
        <v>93140</v>
      </c>
      <c r="L3947" s="21" t="n"/>
      <c r="M3947" s="22" t="n"/>
      <c r="N3947" s="22" t="n">
        <v>5</v>
      </c>
      <c r="O3947" s="22" t="n">
        <v>465700</v>
      </c>
      <c r="P3947" s="22" t="n">
        <v>5</v>
      </c>
      <c r="Q3947" s="22" t="n">
        <v>465700</v>
      </c>
      <c r="R3947" s="42">
        <f>+L3947+N3947-P3947</f>
        <v/>
      </c>
      <c r="S3947" s="42">
        <f>+M3947+O3947-Q3947</f>
        <v/>
      </c>
    </row>
    <row r="3948" ht="30" customHeight="1">
      <c r="A3948" s="16" t="n">
        <v>46002</v>
      </c>
      <c r="B3948" s="17" t="inlineStr">
        <is>
          <t>MH2512-20</t>
        </is>
      </c>
      <c r="C3948" s="16" t="n">
        <v>46002</v>
      </c>
      <c r="D3948" s="17" t="inlineStr">
        <is>
          <t>00004944</t>
        </is>
      </c>
      <c r="E3948" s="16" t="n">
        <v>46002</v>
      </c>
      <c r="F3948" s="16" t="inlineStr">
        <is>
          <t>XK2512-16</t>
        </is>
      </c>
      <c r="G3948" s="16" t="n">
        <v>46002</v>
      </c>
      <c r="H3948" s="17" t="inlineStr">
        <is>
          <t>CÔNG TY CỔ PHẦN CÔNG NGHIỆP VÀ THƯƠNG MẠI CƯỜNG THỊNH</t>
        </is>
      </c>
      <c r="I3948" s="17" t="inlineStr">
        <is>
          <t>Bulong neo I 8.8 M30x650</t>
        </is>
      </c>
      <c r="J3948" s="17" t="inlineStr">
        <is>
          <t>Cái</t>
        </is>
      </c>
      <c r="K3948" s="21" t="n">
        <v>155400</v>
      </c>
      <c r="L3948" s="21" t="n"/>
      <c r="M3948" s="22" t="n"/>
      <c r="N3948" s="22" t="n">
        <v>5</v>
      </c>
      <c r="O3948" s="22" t="n">
        <v>777000</v>
      </c>
      <c r="P3948" s="22" t="n">
        <v>5</v>
      </c>
      <c r="Q3948" s="22" t="n">
        <v>777000</v>
      </c>
      <c r="R3948" s="42">
        <f>+L3948+N3948-P3948</f>
        <v/>
      </c>
      <c r="S3948" s="42">
        <f>+M3948+O3948-Q3948</f>
        <v/>
      </c>
    </row>
    <row r="3949" ht="30" customHeight="1">
      <c r="A3949" s="16" t="n">
        <v>46002</v>
      </c>
      <c r="B3949" s="17" t="inlineStr">
        <is>
          <t>MH2512-20</t>
        </is>
      </c>
      <c r="C3949" s="16" t="n">
        <v>46002</v>
      </c>
      <c r="D3949" s="17" t="inlineStr">
        <is>
          <t>00004944</t>
        </is>
      </c>
      <c r="E3949" s="16" t="n">
        <v>46002</v>
      </c>
      <c r="F3949" s="16" t="inlineStr">
        <is>
          <t>XK2512-16</t>
        </is>
      </c>
      <c r="G3949" s="16" t="n">
        <v>46002</v>
      </c>
      <c r="H3949" s="17" t="inlineStr">
        <is>
          <t>CÔNG TY CỔ PHẦN CÔNG NGHIỆP VÀ THƯƠNG MẠI CƯỜNG THỊNH</t>
        </is>
      </c>
      <c r="I3949" s="17" t="inlineStr">
        <is>
          <t>Đai ốc Din 934 8 M16</t>
        </is>
      </c>
      <c r="J3949" s="17" t="inlineStr">
        <is>
          <t>Cái</t>
        </is>
      </c>
      <c r="K3949" s="21" t="n">
        <v>980</v>
      </c>
      <c r="L3949" s="21" t="n"/>
      <c r="M3949" s="22" t="n"/>
      <c r="N3949" s="22" t="n">
        <v>20</v>
      </c>
      <c r="O3949" s="22" t="n">
        <v>19600</v>
      </c>
      <c r="P3949" s="22" t="n">
        <v>20</v>
      </c>
      <c r="Q3949" s="22" t="n">
        <v>19600</v>
      </c>
      <c r="R3949" s="42">
        <f>+L3949+N3949-P3949</f>
        <v/>
      </c>
      <c r="S3949" s="42">
        <f>+M3949+O3949-Q3949</f>
        <v/>
      </c>
    </row>
    <row r="3950" ht="30" customHeight="1">
      <c r="A3950" s="16" t="n">
        <v>46002</v>
      </c>
      <c r="B3950" s="17" t="inlineStr">
        <is>
          <t>MH2512-20</t>
        </is>
      </c>
      <c r="C3950" s="16" t="n">
        <v>46002</v>
      </c>
      <c r="D3950" s="17" t="inlineStr">
        <is>
          <t>00004944</t>
        </is>
      </c>
      <c r="E3950" s="16" t="n">
        <v>46002</v>
      </c>
      <c r="F3950" s="16" t="inlineStr">
        <is>
          <t>XK2512-16</t>
        </is>
      </c>
      <c r="G3950" s="16" t="n">
        <v>46002</v>
      </c>
      <c r="H3950" s="17" t="inlineStr">
        <is>
          <t>CÔNG TY CỔ PHẦN CÔNG NGHIỆP VÀ THƯƠNG MẠI CƯỜNG THỊNH</t>
        </is>
      </c>
      <c r="I3950" s="17" t="inlineStr">
        <is>
          <t>Đai ốc Din 934 8 M20</t>
        </is>
      </c>
      <c r="J3950" s="17" t="inlineStr">
        <is>
          <t>Cái</t>
        </is>
      </c>
      <c r="K3950" s="21" t="n">
        <v>1870</v>
      </c>
      <c r="L3950" s="21" t="n"/>
      <c r="M3950" s="22" t="n"/>
      <c r="N3950" s="22" t="n">
        <v>20</v>
      </c>
      <c r="O3950" s="22" t="n">
        <v>37400</v>
      </c>
      <c r="P3950" s="22" t="n">
        <v>20</v>
      </c>
      <c r="Q3950" s="22" t="n">
        <v>37400</v>
      </c>
      <c r="R3950" s="42">
        <f>+L3950+N3950-P3950</f>
        <v/>
      </c>
      <c r="S3950" s="42">
        <f>+M3950+O3950-Q3950</f>
        <v/>
      </c>
    </row>
    <row r="3951" ht="30" customHeight="1">
      <c r="A3951" s="16" t="n">
        <v>46002</v>
      </c>
      <c r="B3951" s="17" t="inlineStr">
        <is>
          <t>MH2512-20</t>
        </is>
      </c>
      <c r="C3951" s="16" t="n">
        <v>46002</v>
      </c>
      <c r="D3951" s="17" t="inlineStr">
        <is>
          <t>00004944</t>
        </is>
      </c>
      <c r="E3951" s="16" t="n">
        <v>46002</v>
      </c>
      <c r="F3951" s="16" t="inlineStr">
        <is>
          <t>XK2512-16</t>
        </is>
      </c>
      <c r="G3951" s="16" t="n">
        <v>46002</v>
      </c>
      <c r="H3951" s="17" t="inlineStr">
        <is>
          <t>CÔNG TY CỔ PHẦN CÔNG NGHIỆP VÀ THƯƠNG MẠI CƯỜNG THỊNH</t>
        </is>
      </c>
      <c r="I3951" s="17" t="inlineStr">
        <is>
          <t>Đai ốc Din 934 8 M24</t>
        </is>
      </c>
      <c r="J3951" s="17" t="inlineStr">
        <is>
          <t>Cái</t>
        </is>
      </c>
      <c r="K3951" s="21" t="n">
        <v>3210</v>
      </c>
      <c r="L3951" s="21" t="n"/>
      <c r="M3951" s="22" t="n"/>
      <c r="N3951" s="22" t="n">
        <v>20</v>
      </c>
      <c r="O3951" s="22" t="n">
        <v>64200</v>
      </c>
      <c r="P3951" s="22" t="n">
        <v>20</v>
      </c>
      <c r="Q3951" s="22" t="n">
        <v>64200</v>
      </c>
      <c r="R3951" s="42">
        <f>+L3951+N3951-P3951</f>
        <v/>
      </c>
      <c r="S3951" s="42">
        <f>+M3951+O3951-Q3951</f>
        <v/>
      </c>
    </row>
    <row r="3952" ht="30" customHeight="1">
      <c r="A3952" s="16" t="n">
        <v>46002</v>
      </c>
      <c r="B3952" s="17" t="inlineStr">
        <is>
          <t>MH2512-20</t>
        </is>
      </c>
      <c r="C3952" s="16" t="n">
        <v>46002</v>
      </c>
      <c r="D3952" s="17" t="inlineStr">
        <is>
          <t>00004944</t>
        </is>
      </c>
      <c r="E3952" s="16" t="n">
        <v>46002</v>
      </c>
      <c r="F3952" s="16" t="inlineStr">
        <is>
          <t>XK2512-16</t>
        </is>
      </c>
      <c r="G3952" s="16" t="n">
        <v>46002</v>
      </c>
      <c r="H3952" s="17" t="inlineStr">
        <is>
          <t>CÔNG TY CỔ PHẦN CÔNG NGHIỆP VÀ THƯƠNG MẠI CƯỜNG THỊNH</t>
        </is>
      </c>
      <c r="I3952" s="17" t="inlineStr">
        <is>
          <t>Đai ốc Din 934 8 M30</t>
        </is>
      </c>
      <c r="J3952" s="17" t="inlineStr">
        <is>
          <t>Cái</t>
        </is>
      </c>
      <c r="K3952" s="21" t="n">
        <v>7140</v>
      </c>
      <c r="L3952" s="21" t="n"/>
      <c r="M3952" s="22" t="n"/>
      <c r="N3952" s="22" t="n">
        <v>20</v>
      </c>
      <c r="O3952" s="22" t="n">
        <v>142800</v>
      </c>
      <c r="P3952" s="22" t="n">
        <v>20</v>
      </c>
      <c r="Q3952" s="22" t="n">
        <v>142800</v>
      </c>
      <c r="R3952" s="42">
        <f>+L3952+N3952-P3952</f>
        <v/>
      </c>
      <c r="S3952" s="42">
        <f>+M3952+O3952-Q3952</f>
        <v/>
      </c>
    </row>
    <row r="3953" ht="30" customHeight="1">
      <c r="A3953" s="16" t="n">
        <v>46002</v>
      </c>
      <c r="B3953" s="17" t="inlineStr">
        <is>
          <t>MH2512-20</t>
        </is>
      </c>
      <c r="C3953" s="16" t="n">
        <v>46002</v>
      </c>
      <c r="D3953" s="17" t="inlineStr">
        <is>
          <t>00004944</t>
        </is>
      </c>
      <c r="E3953" s="16" t="n">
        <v>46002</v>
      </c>
      <c r="F3953" s="16" t="inlineStr">
        <is>
          <t>XK2512-16</t>
        </is>
      </c>
      <c r="G3953" s="16" t="n">
        <v>46002</v>
      </c>
      <c r="H3953" s="17" t="inlineStr">
        <is>
          <t>CÔNG TY CỔ PHẦN CÔNG NGHIỆP VÀ THƯƠNG MẠI CƯỜNG THỊNH</t>
        </is>
      </c>
      <c r="I3953" s="17" t="inlineStr">
        <is>
          <t>Long đền thường M16B42D2</t>
        </is>
      </c>
      <c r="J3953" s="17" t="inlineStr">
        <is>
          <t>Cái</t>
        </is>
      </c>
      <c r="K3953" s="21" t="n">
        <v>610</v>
      </c>
      <c r="L3953" s="21" t="n"/>
      <c r="M3953" s="22" t="n"/>
      <c r="N3953" s="22" t="n">
        <v>5</v>
      </c>
      <c r="O3953" s="22" t="n">
        <v>3050</v>
      </c>
      <c r="P3953" s="22" t="n">
        <v>5</v>
      </c>
      <c r="Q3953" s="22" t="n">
        <v>3050</v>
      </c>
      <c r="R3953" s="42">
        <f>+L3953+N3953-P3953</f>
        <v/>
      </c>
      <c r="S3953" s="42">
        <f>+M3953+O3953-Q3953</f>
        <v/>
      </c>
    </row>
    <row r="3954" ht="30" customHeight="1">
      <c r="A3954" s="16" t="n">
        <v>46002</v>
      </c>
      <c r="B3954" s="17" t="inlineStr">
        <is>
          <t>MH2512-20</t>
        </is>
      </c>
      <c r="C3954" s="16" t="n">
        <v>46002</v>
      </c>
      <c r="D3954" s="17" t="inlineStr">
        <is>
          <t>00004944</t>
        </is>
      </c>
      <c r="E3954" s="16" t="n">
        <v>46002</v>
      </c>
      <c r="F3954" s="16" t="inlineStr">
        <is>
          <t>XK2512-16</t>
        </is>
      </c>
      <c r="G3954" s="16" t="n">
        <v>46002</v>
      </c>
      <c r="H3954" s="17" t="inlineStr">
        <is>
          <t>CÔNG TY CỔ PHẦN CÔNG NGHIỆP VÀ THƯƠNG MẠI CƯỜNG THỊNH</t>
        </is>
      </c>
      <c r="I3954" s="17" t="inlineStr">
        <is>
          <t>Long đền thường M20B42D2</t>
        </is>
      </c>
      <c r="J3954" s="17" t="inlineStr">
        <is>
          <t>Cái</t>
        </is>
      </c>
      <c r="K3954" s="21" t="n">
        <v>610</v>
      </c>
      <c r="L3954" s="21" t="n"/>
      <c r="M3954" s="22" t="n"/>
      <c r="N3954" s="22" t="n">
        <v>5</v>
      </c>
      <c r="O3954" s="22" t="n">
        <v>3050</v>
      </c>
      <c r="P3954" s="22" t="n">
        <v>5</v>
      </c>
      <c r="Q3954" s="22" t="n">
        <v>3050</v>
      </c>
      <c r="R3954" s="42">
        <f>+L3954+N3954-P3954</f>
        <v/>
      </c>
      <c r="S3954" s="42">
        <f>+M3954+O3954-Q3954</f>
        <v/>
      </c>
    </row>
    <row r="3955" ht="30" customHeight="1">
      <c r="A3955" s="16" t="n">
        <v>46002</v>
      </c>
      <c r="B3955" s="17" t="inlineStr">
        <is>
          <t>MH2512-20</t>
        </is>
      </c>
      <c r="C3955" s="16" t="n">
        <v>46002</v>
      </c>
      <c r="D3955" s="17" t="inlineStr">
        <is>
          <t>00004944</t>
        </is>
      </c>
      <c r="E3955" s="16" t="n">
        <v>46002</v>
      </c>
      <c r="F3955" s="16" t="inlineStr">
        <is>
          <t>XK2512-16</t>
        </is>
      </c>
      <c r="G3955" s="16" t="n">
        <v>46002</v>
      </c>
      <c r="H3955" s="17" t="inlineStr">
        <is>
          <t>CÔNG TY CỔ PHẦN CÔNG NGHIỆP VÀ THƯƠNG MẠI CƯỜNG THỊNH</t>
        </is>
      </c>
      <c r="I3955" s="17" t="inlineStr">
        <is>
          <t>Long đền thường M24B45D2</t>
        </is>
      </c>
      <c r="J3955" s="17" t="inlineStr">
        <is>
          <t>Cái</t>
        </is>
      </c>
      <c r="K3955" s="21" t="n">
        <v>710</v>
      </c>
      <c r="L3955" s="21" t="n"/>
      <c r="M3955" s="22" t="n"/>
      <c r="N3955" s="22" t="n">
        <v>5</v>
      </c>
      <c r="O3955" s="22" t="n">
        <v>3550</v>
      </c>
      <c r="P3955" s="22" t="n">
        <v>5</v>
      </c>
      <c r="Q3955" s="22" t="n">
        <v>3550</v>
      </c>
      <c r="R3955" s="42">
        <f>+L3955+N3955-P3955</f>
        <v/>
      </c>
      <c r="S3955" s="42">
        <f>+M3955+O3955-Q3955</f>
        <v/>
      </c>
    </row>
    <row r="3956" ht="30" customHeight="1">
      <c r="A3956" s="16" t="n">
        <v>46002</v>
      </c>
      <c r="B3956" s="17" t="inlineStr">
        <is>
          <t>MH2512-20</t>
        </is>
      </c>
      <c r="C3956" s="16" t="n">
        <v>46002</v>
      </c>
      <c r="D3956" s="17" t="inlineStr">
        <is>
          <t>00004944</t>
        </is>
      </c>
      <c r="E3956" s="16" t="n">
        <v>46002</v>
      </c>
      <c r="F3956" s="16" t="inlineStr">
        <is>
          <t>XK2512-16</t>
        </is>
      </c>
      <c r="G3956" s="16" t="n">
        <v>46002</v>
      </c>
      <c r="H3956" s="17" t="inlineStr">
        <is>
          <t>CÔNG TY CỔ PHẦN CÔNG NGHIỆP VÀ THƯƠNG MẠI CƯỜNG THỊNH</t>
        </is>
      </c>
      <c r="I3956" s="17" t="inlineStr">
        <is>
          <t>Long đền thường M30B60D2</t>
        </is>
      </c>
      <c r="J3956" s="17" t="inlineStr">
        <is>
          <t>Cái</t>
        </is>
      </c>
      <c r="K3956" s="21" t="n">
        <v>1060</v>
      </c>
      <c r="L3956" s="21" t="n"/>
      <c r="M3956" s="22" t="n"/>
      <c r="N3956" s="22" t="n">
        <v>5</v>
      </c>
      <c r="O3956" s="22" t="n">
        <v>5300</v>
      </c>
      <c r="P3956" s="22" t="n">
        <v>5</v>
      </c>
      <c r="Q3956" s="22" t="n">
        <v>5300</v>
      </c>
      <c r="R3956" s="42">
        <f>+L3956+N3956-P3956</f>
        <v/>
      </c>
      <c r="S3956" s="42">
        <f>+M3956+O3956-Q3956</f>
        <v/>
      </c>
    </row>
    <row r="3957" ht="30" customHeight="1">
      <c r="A3957" s="16" t="n">
        <v>46002</v>
      </c>
      <c r="B3957" s="17" t="inlineStr">
        <is>
          <t>MH2512-20</t>
        </is>
      </c>
      <c r="C3957" s="16" t="n">
        <v>46002</v>
      </c>
      <c r="D3957" s="17" t="inlineStr">
        <is>
          <t>00004944</t>
        </is>
      </c>
      <c r="E3957" s="16" t="n">
        <v>46002</v>
      </c>
      <c r="F3957" s="16" t="inlineStr">
        <is>
          <t>XK2512-16</t>
        </is>
      </c>
      <c r="G3957" s="16" t="n">
        <v>46002</v>
      </c>
      <c r="H3957" s="17" t="inlineStr">
        <is>
          <t>CÔNG TY CỔ PHẦN CÔNG NGHIỆP VÀ THƯƠNG MẠI CƯỜNG THỊNH</t>
        </is>
      </c>
      <c r="I3957" s="17" t="inlineStr">
        <is>
          <t>Bulong Din 931 8.8 M24x150</t>
        </is>
      </c>
      <c r="J3957" s="17" t="inlineStr">
        <is>
          <t>Cái</t>
        </is>
      </c>
      <c r="K3957" s="21" t="n">
        <v>13888.89</v>
      </c>
      <c r="L3957" s="21" t="n"/>
      <c r="M3957" s="22" t="n"/>
      <c r="N3957" s="22" t="n">
        <v>108</v>
      </c>
      <c r="O3957" s="22" t="n">
        <v>1500000</v>
      </c>
      <c r="P3957" s="22" t="n">
        <v>108</v>
      </c>
      <c r="Q3957" s="22" t="n">
        <v>1500000</v>
      </c>
      <c r="R3957" s="42">
        <f>+L3957+N3957-P3957</f>
        <v/>
      </c>
      <c r="S3957" s="42">
        <f>+M3957+O3957-Q3957</f>
        <v/>
      </c>
    </row>
    <row r="3958" ht="30" customHeight="1">
      <c r="A3958" s="16" t="n">
        <v>46003</v>
      </c>
      <c r="B3958" s="17" t="inlineStr">
        <is>
          <t>MH2512-22</t>
        </is>
      </c>
      <c r="C3958" s="16" t="n">
        <v>46003</v>
      </c>
      <c r="D3958" s="17" t="inlineStr">
        <is>
          <t>00002916</t>
        </is>
      </c>
      <c r="E3958" s="16" t="n">
        <v>46003</v>
      </c>
      <c r="F3958" s="16" t="inlineStr">
        <is>
          <t>XK2512-48</t>
        </is>
      </c>
      <c r="G3958" s="16" t="n">
        <v>46022</v>
      </c>
      <c r="H3958" s="17" t="inlineStr">
        <is>
          <t>CÔNG TY TNHH DỊCH VỤ - THƯƠNG MẠI THÉP THIÊN LONG</t>
        </is>
      </c>
      <c r="I3958" s="17" t="inlineStr">
        <is>
          <t>Thép tấm 18ly</t>
        </is>
      </c>
      <c r="J3958" s="17" t="inlineStr">
        <is>
          <t>kg</t>
        </is>
      </c>
      <c r="K3958" s="21" t="n">
        <v>14636.36</v>
      </c>
      <c r="L3958" s="21" t="n"/>
      <c r="M3958" s="22" t="n"/>
      <c r="N3958" s="22" t="n">
        <v>6782.4</v>
      </c>
      <c r="O3958" s="22" t="n">
        <v>99269673</v>
      </c>
      <c r="P3958" s="22" t="n">
        <v>6782.4</v>
      </c>
      <c r="Q3958" s="22" t="n">
        <v>99269673</v>
      </c>
      <c r="R3958" s="42">
        <f>+L3958+N3958-P3958</f>
        <v/>
      </c>
      <c r="S3958" s="42">
        <f>+M3958+O3958-Q3958</f>
        <v/>
      </c>
    </row>
    <row r="3959" ht="30" customHeight="1">
      <c r="A3959" s="16" t="n">
        <v>46006</v>
      </c>
      <c r="B3959" s="17" t="inlineStr">
        <is>
          <t>MH2512-24</t>
        </is>
      </c>
      <c r="C3959" s="16" t="n">
        <v>46006</v>
      </c>
      <c r="D3959" s="17" t="inlineStr">
        <is>
          <t>00002945</t>
        </is>
      </c>
      <c r="E3959" s="16" t="n">
        <v>46006</v>
      </c>
      <c r="F3959" s="16" t="inlineStr">
        <is>
          <t>XK2512-17</t>
        </is>
      </c>
      <c r="G3959" s="16" t="n">
        <v>46006</v>
      </c>
      <c r="H3959" s="17" t="inlineStr">
        <is>
          <t>CÔNG TY TNHH DỊCH VỤ - THƯƠNG MẠI THÉP THIÊN LONG</t>
        </is>
      </c>
      <c r="I3959" s="17" t="inlineStr">
        <is>
          <t>Thép vuông 150</t>
        </is>
      </c>
      <c r="J3959" s="17" t="inlineStr">
        <is>
          <t>kg</t>
        </is>
      </c>
      <c r="K3959" s="21" t="n">
        <v>15909.09</v>
      </c>
      <c r="L3959" s="21" t="n"/>
      <c r="M3959" s="22" t="n"/>
      <c r="N3959" s="22" t="n">
        <v>4862.9</v>
      </c>
      <c r="O3959" s="22" t="n">
        <v>77364314</v>
      </c>
      <c r="P3959" s="22" t="n">
        <v>4862.9</v>
      </c>
      <c r="Q3959" s="22" t="n">
        <v>77364314</v>
      </c>
      <c r="R3959" s="42">
        <f>+L3959+N3959-P3959</f>
        <v/>
      </c>
      <c r="S3959" s="42">
        <f>+M3959+O3959-Q3959</f>
        <v/>
      </c>
    </row>
    <row r="3960" ht="30" customHeight="1">
      <c r="A3960" s="16" t="n">
        <v>46006</v>
      </c>
      <c r="B3960" s="17" t="inlineStr">
        <is>
          <t>MH2512-24</t>
        </is>
      </c>
      <c r="C3960" s="16" t="n">
        <v>46006</v>
      </c>
      <c r="D3960" s="17" t="inlineStr">
        <is>
          <t>00002945</t>
        </is>
      </c>
      <c r="E3960" s="16" t="n">
        <v>46006</v>
      </c>
      <c r="F3960" s="16" t="inlineStr">
        <is>
          <t>XK2512-17</t>
        </is>
      </c>
      <c r="G3960" s="16" t="n">
        <v>46006</v>
      </c>
      <c r="H3960" s="17" t="inlineStr">
        <is>
          <t>CÔNG TY TNHH DỊCH VỤ - THƯƠNG MẠI THÉP THIÊN LONG</t>
        </is>
      </c>
      <c r="I3960" s="17" t="inlineStr">
        <is>
          <t>Thép vuông 150</t>
        </is>
      </c>
      <c r="J3960" s="17" t="inlineStr">
        <is>
          <t>kg</t>
        </is>
      </c>
      <c r="K3960" s="21" t="n">
        <v>15909.09</v>
      </c>
      <c r="L3960" s="21" t="n"/>
      <c r="M3960" s="22" t="n"/>
      <c r="N3960" s="22" t="n">
        <v>22845.1</v>
      </c>
      <c r="O3960" s="22" t="n">
        <v>363444752</v>
      </c>
      <c r="P3960" s="22" t="n">
        <v>22845.1</v>
      </c>
      <c r="Q3960" s="22" t="n">
        <v>363444752</v>
      </c>
      <c r="R3960" s="42">
        <f>+L3960+N3960-P3960</f>
        <v/>
      </c>
      <c r="S3960" s="42">
        <f>+M3960+O3960-Q3960</f>
        <v/>
      </c>
    </row>
    <row r="3961" ht="15" customHeight="1">
      <c r="A3961" s="16" t="n">
        <v>46008</v>
      </c>
      <c r="B3961" s="17" t="inlineStr">
        <is>
          <t>MH2512-26</t>
        </is>
      </c>
      <c r="C3961" s="16" t="n">
        <v>46008</v>
      </c>
      <c r="D3961" s="17" t="inlineStr">
        <is>
          <t>00011932</t>
        </is>
      </c>
      <c r="E3961" s="16" t="n">
        <v>46008</v>
      </c>
      <c r="F3961" s="16" t="inlineStr">
        <is>
          <t>XK2512-18</t>
        </is>
      </c>
      <c r="G3961" s="16" t="n">
        <v>46008</v>
      </c>
      <c r="H3961" s="17" t="inlineStr">
        <is>
          <t>CÔNG TY TNHH SƠN JOTUN VIỆT NAM</t>
        </is>
      </c>
      <c r="I3961" s="17" t="inlineStr">
        <is>
          <t>SƠN JOTAMASTIC 70 GREY 18L</t>
        </is>
      </c>
      <c r="J3961" s="17" t="inlineStr">
        <is>
          <t>Lít</t>
        </is>
      </c>
      <c r="K3961" s="21" t="n">
        <v>90000</v>
      </c>
      <c r="L3961" s="21" t="n"/>
      <c r="M3961" s="22" t="n"/>
      <c r="N3961" s="22" t="n">
        <v>612</v>
      </c>
      <c r="O3961" s="22" t="n">
        <v>55080000</v>
      </c>
      <c r="P3961" s="22" t="n">
        <v>612</v>
      </c>
      <c r="Q3961" s="22" t="n">
        <v>55080000</v>
      </c>
      <c r="R3961" s="42">
        <f>+L3961+N3961-P3961</f>
        <v/>
      </c>
      <c r="S3961" s="42">
        <f>+M3961+O3961-Q3961</f>
        <v/>
      </c>
    </row>
    <row r="3962" ht="15" customHeight="1">
      <c r="A3962" s="16" t="n">
        <v>46008</v>
      </c>
      <c r="B3962" s="17" t="inlineStr">
        <is>
          <t>MH2512-26</t>
        </is>
      </c>
      <c r="C3962" s="16" t="n">
        <v>46008</v>
      </c>
      <c r="D3962" s="17" t="inlineStr">
        <is>
          <t>00011932</t>
        </is>
      </c>
      <c r="E3962" s="16" t="n">
        <v>46008</v>
      </c>
      <c r="F3962" s="16" t="inlineStr">
        <is>
          <t>XK2512-18</t>
        </is>
      </c>
      <c r="G3962" s="16" t="n">
        <v>46008</v>
      </c>
      <c r="H3962" s="17" t="inlineStr">
        <is>
          <t>CÔNG TY TNHH SƠN JOTUN VIỆT NAM</t>
        </is>
      </c>
      <c r="I3962" s="17" t="inlineStr">
        <is>
          <t>SƠN FUTURA CLASSIC RAL 7046 18.94L</t>
        </is>
      </c>
      <c r="J3962" s="17" t="inlineStr">
        <is>
          <t>Lít</t>
        </is>
      </c>
      <c r="K3962" s="21" t="n">
        <v>155000</v>
      </c>
      <c r="L3962" s="21" t="n"/>
      <c r="M3962" s="22" t="n"/>
      <c r="N3962" s="22" t="n">
        <v>568.2</v>
      </c>
      <c r="O3962" s="22" t="n">
        <v>88071000</v>
      </c>
      <c r="P3962" s="22" t="n">
        <v>568.2</v>
      </c>
      <c r="Q3962" s="22" t="n">
        <v>88071000</v>
      </c>
      <c r="R3962" s="42">
        <f>+L3962+N3962-P3962</f>
        <v/>
      </c>
      <c r="S3962" s="42">
        <f>+M3962+O3962-Q3962</f>
        <v/>
      </c>
    </row>
    <row r="3963" ht="15" customHeight="1">
      <c r="A3963" s="16" t="n">
        <v>46008</v>
      </c>
      <c r="B3963" s="17" t="inlineStr">
        <is>
          <t>MH2512-26</t>
        </is>
      </c>
      <c r="C3963" s="16" t="n">
        <v>46008</v>
      </c>
      <c r="D3963" s="17" t="inlineStr">
        <is>
          <t>00011932</t>
        </is>
      </c>
      <c r="E3963" s="16" t="n">
        <v>46008</v>
      </c>
      <c r="F3963" s="16" t="inlineStr">
        <is>
          <t>XK2512-18</t>
        </is>
      </c>
      <c r="G3963" s="16" t="n">
        <v>46008</v>
      </c>
      <c r="H3963" s="17" t="inlineStr">
        <is>
          <t>CÔNG TY TNHH SƠN JOTUN VIỆT NAM</t>
        </is>
      </c>
      <c r="I3963" s="17" t="inlineStr">
        <is>
          <t>SƠN FUTURA CLASSIC RAL 7046 4.73L</t>
        </is>
      </c>
      <c r="J3963" s="17" t="inlineStr">
        <is>
          <t>Lít</t>
        </is>
      </c>
      <c r="K3963" s="21" t="n">
        <v>155000</v>
      </c>
      <c r="L3963" s="21" t="n"/>
      <c r="M3963" s="22" t="n"/>
      <c r="N3963" s="22" t="n">
        <v>9.460000000000001</v>
      </c>
      <c r="O3963" s="22" t="n">
        <v>1466300</v>
      </c>
      <c r="P3963" s="22" t="n">
        <v>9.460000000000001</v>
      </c>
      <c r="Q3963" s="22" t="n">
        <v>1466300</v>
      </c>
      <c r="R3963" s="42">
        <f>+L3963+N3963-P3963</f>
        <v/>
      </c>
      <c r="S3963" s="42">
        <f>+M3963+O3963-Q3963</f>
        <v/>
      </c>
    </row>
    <row r="3964" ht="15" customHeight="1">
      <c r="A3964" s="16" t="n">
        <v>46008</v>
      </c>
      <c r="B3964" s="17" t="inlineStr">
        <is>
          <t>MH2512-26</t>
        </is>
      </c>
      <c r="C3964" s="16" t="n">
        <v>46008</v>
      </c>
      <c r="D3964" s="17" t="inlineStr">
        <is>
          <t>00011932</t>
        </is>
      </c>
      <c r="E3964" s="16" t="n">
        <v>46008</v>
      </c>
      <c r="F3964" s="16" t="inlineStr">
        <is>
          <t>XK2512-18</t>
        </is>
      </c>
      <c r="G3964" s="16" t="n">
        <v>46008</v>
      </c>
      <c r="H3964" s="17" t="inlineStr">
        <is>
          <t>CÔNG TY TNHH SƠN JOTUN VIỆT NAM</t>
        </is>
      </c>
      <c r="I3964" s="17" t="inlineStr">
        <is>
          <t>DUNG MÔI JOTUN THINNER NO. 10 20L</t>
        </is>
      </c>
      <c r="J3964" s="17" t="inlineStr">
        <is>
          <t>Lít</t>
        </is>
      </c>
      <c r="K3964" s="21" t="n">
        <v>60000</v>
      </c>
      <c r="L3964" s="21" t="n"/>
      <c r="M3964" s="22" t="n"/>
      <c r="N3964" s="22" t="n">
        <v>80</v>
      </c>
      <c r="O3964" s="22" t="n">
        <v>4800000</v>
      </c>
      <c r="P3964" s="22" t="n">
        <v>80</v>
      </c>
      <c r="Q3964" s="22" t="n">
        <v>4800000</v>
      </c>
      <c r="R3964" s="42">
        <f>+L3964+N3964-P3964</f>
        <v/>
      </c>
      <c r="S3964" s="42">
        <f>+M3964+O3964-Q3964</f>
        <v/>
      </c>
    </row>
    <row r="3965" ht="15" customHeight="1">
      <c r="A3965" s="16" t="n">
        <v>46008</v>
      </c>
      <c r="B3965" s="17" t="inlineStr">
        <is>
          <t>MH2512-26</t>
        </is>
      </c>
      <c r="C3965" s="16" t="n">
        <v>46008</v>
      </c>
      <c r="D3965" s="17" t="inlineStr">
        <is>
          <t>00011932</t>
        </is>
      </c>
      <c r="E3965" s="16" t="n">
        <v>46008</v>
      </c>
      <c r="F3965" s="16" t="inlineStr">
        <is>
          <t>XK2512-18</t>
        </is>
      </c>
      <c r="G3965" s="16" t="n">
        <v>46008</v>
      </c>
      <c r="H3965" s="17" t="inlineStr">
        <is>
          <t>CÔNG TY TNHH SƠN JOTUN VIỆT NAM</t>
        </is>
      </c>
      <c r="I3965" s="17" t="inlineStr">
        <is>
          <t>DUNG MÔI JOTUN THINNER NO. 10 5L</t>
        </is>
      </c>
      <c r="J3965" s="17" t="inlineStr">
        <is>
          <t>Lít</t>
        </is>
      </c>
      <c r="K3965" s="21" t="n">
        <v>60000</v>
      </c>
      <c r="L3965" s="21" t="n"/>
      <c r="M3965" s="22" t="n"/>
      <c r="N3965" s="22" t="n">
        <v>5</v>
      </c>
      <c r="O3965" s="22" t="n">
        <v>300000</v>
      </c>
      <c r="P3965" s="22" t="n">
        <v>5</v>
      </c>
      <c r="Q3965" s="22" t="n">
        <v>300000</v>
      </c>
      <c r="R3965" s="42">
        <f>+L3965+N3965-P3965</f>
        <v/>
      </c>
      <c r="S3965" s="42">
        <f>+M3965+O3965-Q3965</f>
        <v/>
      </c>
    </row>
    <row r="3966" ht="15" customHeight="1">
      <c r="A3966" s="16" t="n">
        <v>46008</v>
      </c>
      <c r="B3966" s="17" t="inlineStr">
        <is>
          <t>MH2512-26</t>
        </is>
      </c>
      <c r="C3966" s="16" t="n">
        <v>46008</v>
      </c>
      <c r="D3966" s="17" t="inlineStr">
        <is>
          <t>00011932</t>
        </is>
      </c>
      <c r="E3966" s="16" t="n">
        <v>46008</v>
      </c>
      <c r="F3966" s="16" t="inlineStr">
        <is>
          <t>XK2512-18</t>
        </is>
      </c>
      <c r="G3966" s="16" t="n">
        <v>46008</v>
      </c>
      <c r="H3966" s="17" t="inlineStr">
        <is>
          <t>CÔNG TY TNHH SƠN JOTUN VIỆT NAM</t>
        </is>
      </c>
      <c r="I3966" s="17" t="inlineStr">
        <is>
          <t>DUNG MÔI JOTUN THINNER NO. 17 5L</t>
        </is>
      </c>
      <c r="J3966" s="17" t="inlineStr">
        <is>
          <t>Lít</t>
        </is>
      </c>
      <c r="K3966" s="21" t="n">
        <v>60000</v>
      </c>
      <c r="L3966" s="21" t="n"/>
      <c r="M3966" s="22" t="n"/>
      <c r="N3966" s="22" t="n">
        <v>10</v>
      </c>
      <c r="O3966" s="22" t="n">
        <v>600000</v>
      </c>
      <c r="P3966" s="22" t="n">
        <v>10</v>
      </c>
      <c r="Q3966" s="22" t="n">
        <v>600000</v>
      </c>
      <c r="R3966" s="42">
        <f>+L3966+N3966-P3966</f>
        <v/>
      </c>
      <c r="S3966" s="42">
        <f>+M3966+O3966-Q3966</f>
        <v/>
      </c>
    </row>
    <row r="3967" ht="15" customHeight="1">
      <c r="A3967" s="16" t="n">
        <v>46008</v>
      </c>
      <c r="B3967" s="17" t="inlineStr">
        <is>
          <t>MH2512-27</t>
        </is>
      </c>
      <c r="C3967" s="16" t="n">
        <v>46008</v>
      </c>
      <c r="D3967" s="17" t="inlineStr">
        <is>
          <t>00011931</t>
        </is>
      </c>
      <c r="E3967" s="16" t="n">
        <v>46008</v>
      </c>
      <c r="F3967" s="16" t="inlineStr">
        <is>
          <t>XK2512-19</t>
        </is>
      </c>
      <c r="G3967" s="16" t="n">
        <v>46008</v>
      </c>
      <c r="H3967" s="17" t="inlineStr">
        <is>
          <t>CÔNG TY TNHH SƠN JOTUN VIỆT NAM</t>
        </is>
      </c>
      <c r="I3967" s="17" t="inlineStr">
        <is>
          <t>SƠN JOTAMASTIC 70 GREY 18L</t>
        </is>
      </c>
      <c r="J3967" s="17" t="inlineStr">
        <is>
          <t>Lít</t>
        </is>
      </c>
      <c r="K3967" s="21" t="n">
        <v>90000</v>
      </c>
      <c r="L3967" s="21" t="n"/>
      <c r="M3967" s="22" t="n"/>
      <c r="N3967" s="22" t="n">
        <v>612</v>
      </c>
      <c r="O3967" s="22" t="n">
        <v>55080000</v>
      </c>
      <c r="P3967" s="22" t="n">
        <v>612</v>
      </c>
      <c r="Q3967" s="22" t="n">
        <v>55080000</v>
      </c>
      <c r="R3967" s="42">
        <f>+L3967+N3967-P3967</f>
        <v/>
      </c>
      <c r="S3967" s="42">
        <f>+M3967+O3967-Q3967</f>
        <v/>
      </c>
    </row>
    <row r="3968" ht="15" customHeight="1">
      <c r="A3968" s="16" t="n">
        <v>46008</v>
      </c>
      <c r="B3968" s="17" t="inlineStr">
        <is>
          <t>MH2512-27</t>
        </is>
      </c>
      <c r="C3968" s="16" t="n">
        <v>46008</v>
      </c>
      <c r="D3968" s="17" t="inlineStr">
        <is>
          <t>00011931</t>
        </is>
      </c>
      <c r="E3968" s="16" t="n">
        <v>46008</v>
      </c>
      <c r="F3968" s="16" t="inlineStr">
        <is>
          <t>XK2512-19</t>
        </is>
      </c>
      <c r="G3968" s="16" t="n">
        <v>46008</v>
      </c>
      <c r="H3968" s="17" t="inlineStr">
        <is>
          <t>CÔNG TY TNHH SƠN JOTUN VIỆT NAM</t>
        </is>
      </c>
      <c r="I3968" s="17" t="inlineStr">
        <is>
          <t>SƠN FUTURA CLASSIC RAL 9005 19.06L</t>
        </is>
      </c>
      <c r="J3968" s="17" t="inlineStr">
        <is>
          <t>Lít</t>
        </is>
      </c>
      <c r="K3968" s="21" t="n">
        <v>155000</v>
      </c>
      <c r="L3968" s="21" t="n"/>
      <c r="M3968" s="22" t="n"/>
      <c r="N3968" s="22" t="n">
        <v>152.48</v>
      </c>
      <c r="O3968" s="22" t="n">
        <v>23634400</v>
      </c>
      <c r="P3968" s="22" t="n">
        <v>152.48</v>
      </c>
      <c r="Q3968" s="22" t="n">
        <v>23634400</v>
      </c>
      <c r="R3968" s="42">
        <f>+L3968+N3968-P3968</f>
        <v/>
      </c>
      <c r="S3968" s="42">
        <f>+M3968+O3968-Q3968</f>
        <v/>
      </c>
    </row>
    <row r="3969" ht="15" customHeight="1">
      <c r="A3969" s="16" t="n">
        <v>46008</v>
      </c>
      <c r="B3969" s="17" t="inlineStr">
        <is>
          <t>MH2512-27</t>
        </is>
      </c>
      <c r="C3969" s="16" t="n">
        <v>46008</v>
      </c>
      <c r="D3969" s="17" t="inlineStr">
        <is>
          <t>00011931</t>
        </is>
      </c>
      <c r="E3969" s="16" t="n">
        <v>46008</v>
      </c>
      <c r="F3969" s="16" t="inlineStr">
        <is>
          <t>XK2512-19</t>
        </is>
      </c>
      <c r="G3969" s="16" t="n">
        <v>46008</v>
      </c>
      <c r="H3969" s="17" t="inlineStr">
        <is>
          <t>CÔNG TY TNHH SƠN JOTUN VIỆT NAM</t>
        </is>
      </c>
      <c r="I3969" s="17" t="inlineStr">
        <is>
          <t>DUNG MÔI JOTUN THINNER NO. 10 20L</t>
        </is>
      </c>
      <c r="J3969" s="17" t="inlineStr">
        <is>
          <t>Lít</t>
        </is>
      </c>
      <c r="K3969" s="21" t="n">
        <v>60000</v>
      </c>
      <c r="L3969" s="21" t="n"/>
      <c r="M3969" s="22" t="n"/>
      <c r="N3969" s="22" t="n">
        <v>80</v>
      </c>
      <c r="O3969" s="22" t="n">
        <v>4800000</v>
      </c>
      <c r="P3969" s="22" t="n">
        <v>80</v>
      </c>
      <c r="Q3969" s="22" t="n">
        <v>4800000</v>
      </c>
      <c r="R3969" s="42">
        <f>+L3969+N3969-P3969</f>
        <v/>
      </c>
      <c r="S3969" s="42">
        <f>+M3969+O3969-Q3969</f>
        <v/>
      </c>
    </row>
    <row r="3970" ht="15" customHeight="1">
      <c r="A3970" s="16" t="n">
        <v>46008</v>
      </c>
      <c r="B3970" s="17" t="inlineStr">
        <is>
          <t>MH2512-27</t>
        </is>
      </c>
      <c r="C3970" s="16" t="n">
        <v>46008</v>
      </c>
      <c r="D3970" s="17" t="inlineStr">
        <is>
          <t>00011931</t>
        </is>
      </c>
      <c r="E3970" s="16" t="n">
        <v>46008</v>
      </c>
      <c r="F3970" s="16" t="inlineStr">
        <is>
          <t>XK2512-19</t>
        </is>
      </c>
      <c r="G3970" s="16" t="n">
        <v>46008</v>
      </c>
      <c r="H3970" s="17" t="inlineStr">
        <is>
          <t>CÔNG TY TNHH SƠN JOTUN VIỆT NAM</t>
        </is>
      </c>
      <c r="I3970" s="17" t="inlineStr">
        <is>
          <t>DUNG MÔI JOTUN THINNER NO. 10 5L</t>
        </is>
      </c>
      <c r="J3970" s="17" t="inlineStr">
        <is>
          <t>Lít</t>
        </is>
      </c>
      <c r="K3970" s="21" t="n">
        <v>60000</v>
      </c>
      <c r="L3970" s="21" t="n"/>
      <c r="M3970" s="22" t="n"/>
      <c r="N3970" s="22" t="n">
        <v>5</v>
      </c>
      <c r="O3970" s="22" t="n">
        <v>300000</v>
      </c>
      <c r="P3970" s="22" t="n">
        <v>5</v>
      </c>
      <c r="Q3970" s="22" t="n">
        <v>300000</v>
      </c>
      <c r="R3970" s="42">
        <f>+L3970+N3970-P3970</f>
        <v/>
      </c>
      <c r="S3970" s="42">
        <f>+M3970+O3970-Q3970</f>
        <v/>
      </c>
    </row>
    <row r="3971" ht="15" customHeight="1">
      <c r="A3971" s="16" t="n">
        <v>46008</v>
      </c>
      <c r="B3971" s="17" t="inlineStr">
        <is>
          <t>MH2512-27</t>
        </is>
      </c>
      <c r="C3971" s="16" t="n">
        <v>46008</v>
      </c>
      <c r="D3971" s="17" t="inlineStr">
        <is>
          <t>00011931</t>
        </is>
      </c>
      <c r="E3971" s="16" t="n">
        <v>46008</v>
      </c>
      <c r="F3971" s="16" t="inlineStr">
        <is>
          <t>XK2512-19</t>
        </is>
      </c>
      <c r="G3971" s="16" t="n">
        <v>46008</v>
      </c>
      <c r="H3971" s="17" t="inlineStr">
        <is>
          <t>CÔNG TY TNHH SƠN JOTUN VIỆT NAM</t>
        </is>
      </c>
      <c r="I3971" s="17" t="inlineStr">
        <is>
          <t>DUNG MÔI JOTUN THINNER NO. 17 5L</t>
        </is>
      </c>
      <c r="J3971" s="17" t="inlineStr">
        <is>
          <t>Lít</t>
        </is>
      </c>
      <c r="K3971" s="21" t="n">
        <v>60000</v>
      </c>
      <c r="L3971" s="21" t="n"/>
      <c r="M3971" s="22" t="n"/>
      <c r="N3971" s="22" t="n">
        <v>10</v>
      </c>
      <c r="O3971" s="22" t="n">
        <v>600000</v>
      </c>
      <c r="P3971" s="22" t="n">
        <v>10</v>
      </c>
      <c r="Q3971" s="22" t="n">
        <v>600000</v>
      </c>
      <c r="R3971" s="42">
        <f>+L3971+N3971-P3971</f>
        <v/>
      </c>
      <c r="S3971" s="42">
        <f>+M3971+O3971-Q3971</f>
        <v/>
      </c>
    </row>
    <row r="3972" ht="30" customHeight="1">
      <c r="A3972" s="16" t="n">
        <v>46008</v>
      </c>
      <c r="B3972" s="17" t="inlineStr">
        <is>
          <t>MH2512-28</t>
        </is>
      </c>
      <c r="C3972" s="16" t="n">
        <v>46008</v>
      </c>
      <c r="D3972" s="17" t="inlineStr">
        <is>
          <t>00002965</t>
        </is>
      </c>
      <c r="E3972" s="16" t="n">
        <v>46008</v>
      </c>
      <c r="F3972" s="16" t="inlineStr">
        <is>
          <t>XK2512-20</t>
        </is>
      </c>
      <c r="G3972" s="16" t="n">
        <v>46008</v>
      </c>
      <c r="H3972" s="17" t="inlineStr">
        <is>
          <t>CÔNG TY TNHH DỊCH VỤ - THƯƠNG MẠI THÉP THIÊN LONG</t>
        </is>
      </c>
      <c r="I3972" s="17" t="inlineStr">
        <is>
          <t>Thép tấm 6ly</t>
        </is>
      </c>
      <c r="J3972" s="17" t="inlineStr">
        <is>
          <t>kg</t>
        </is>
      </c>
      <c r="K3972" s="21" t="n">
        <v>13954.54</v>
      </c>
      <c r="L3972" s="21" t="n"/>
      <c r="M3972" s="22" t="n"/>
      <c r="N3972" s="22" t="n">
        <v>46629</v>
      </c>
      <c r="O3972" s="22" t="n">
        <v>650686246</v>
      </c>
      <c r="P3972" s="22" t="n">
        <v>46629</v>
      </c>
      <c r="Q3972" s="22" t="n">
        <v>650686246</v>
      </c>
      <c r="R3972" s="42">
        <f>+L3972+N3972-P3972</f>
        <v/>
      </c>
      <c r="S3972" s="42">
        <f>+M3972+O3972-Q3972</f>
        <v/>
      </c>
    </row>
    <row r="3973" ht="30" customHeight="1">
      <c r="A3973" s="16" t="n">
        <v>46008</v>
      </c>
      <c r="B3973" s="17" t="inlineStr">
        <is>
          <t>MH2512-28</t>
        </is>
      </c>
      <c r="C3973" s="16" t="n">
        <v>46008</v>
      </c>
      <c r="D3973" s="17" t="inlineStr">
        <is>
          <t>00002965</t>
        </is>
      </c>
      <c r="E3973" s="16" t="n">
        <v>46008</v>
      </c>
      <c r="F3973" s="16" t="inlineStr">
        <is>
          <t>XK2512-20</t>
        </is>
      </c>
      <c r="G3973" s="16" t="n">
        <v>46008</v>
      </c>
      <c r="H3973" s="17" t="inlineStr">
        <is>
          <t>CÔNG TY TNHH DỊCH VỤ - THƯƠNG MẠI THÉP THIÊN LONG</t>
        </is>
      </c>
      <c r="I3973" s="17" t="inlineStr">
        <is>
          <t>Thép tấm 8ly</t>
        </is>
      </c>
      <c r="J3973" s="17" t="inlineStr">
        <is>
          <t>kg</t>
        </is>
      </c>
      <c r="K3973" s="21" t="n">
        <v>13954.54</v>
      </c>
      <c r="L3973" s="21" t="n"/>
      <c r="M3973" s="22" t="n"/>
      <c r="N3973" s="22" t="n">
        <v>4521.6</v>
      </c>
      <c r="O3973" s="22" t="n">
        <v>63097414</v>
      </c>
      <c r="P3973" s="22" t="n">
        <v>4521.6</v>
      </c>
      <c r="Q3973" s="22" t="n">
        <v>63097414</v>
      </c>
      <c r="R3973" s="42">
        <f>+L3973+N3973-P3973</f>
        <v/>
      </c>
      <c r="S3973" s="42">
        <f>+M3973+O3973-Q3973</f>
        <v/>
      </c>
    </row>
    <row r="3974" ht="30" customHeight="1">
      <c r="A3974" s="16" t="n">
        <v>46008</v>
      </c>
      <c r="B3974" s="17" t="inlineStr">
        <is>
          <t>MH2512-28</t>
        </is>
      </c>
      <c r="C3974" s="16" t="n">
        <v>46008</v>
      </c>
      <c r="D3974" s="17" t="inlineStr">
        <is>
          <t>00002965</t>
        </is>
      </c>
      <c r="E3974" s="16" t="n">
        <v>46008</v>
      </c>
      <c r="F3974" s="16" t="inlineStr">
        <is>
          <t>XK2512-20</t>
        </is>
      </c>
      <c r="G3974" s="16" t="n">
        <v>46008</v>
      </c>
      <c r="H3974" s="17" t="inlineStr">
        <is>
          <t>CÔNG TY TNHH DỊCH VỤ - THƯƠNG MẠI THÉP THIÊN LONG</t>
        </is>
      </c>
      <c r="I3974" s="17" t="inlineStr">
        <is>
          <t>Thép tấm 14ly</t>
        </is>
      </c>
      <c r="J3974" s="17" t="inlineStr">
        <is>
          <t>kg</t>
        </is>
      </c>
      <c r="K3974" s="21" t="n">
        <v>14454.54</v>
      </c>
      <c r="L3974" s="21" t="n"/>
      <c r="M3974" s="22" t="n"/>
      <c r="N3974" s="22" t="n">
        <v>13188</v>
      </c>
      <c r="O3974" s="22" t="n">
        <v>190626474</v>
      </c>
      <c r="P3974" s="22" t="n">
        <v>13188</v>
      </c>
      <c r="Q3974" s="22" t="n">
        <v>190626474</v>
      </c>
      <c r="R3974" s="42">
        <f>+L3974+N3974-P3974</f>
        <v/>
      </c>
      <c r="S3974" s="42">
        <f>+M3974+O3974-Q3974</f>
        <v/>
      </c>
    </row>
    <row r="3975" ht="30" customHeight="1">
      <c r="A3975" s="16" t="n">
        <v>46008</v>
      </c>
      <c r="B3975" s="17" t="inlineStr">
        <is>
          <t>MH2512-28</t>
        </is>
      </c>
      <c r="C3975" s="16" t="n">
        <v>46008</v>
      </c>
      <c r="D3975" s="17" t="inlineStr">
        <is>
          <t>00002965</t>
        </is>
      </c>
      <c r="E3975" s="16" t="n">
        <v>46008</v>
      </c>
      <c r="F3975" s="16" t="inlineStr">
        <is>
          <t>XK2512-20</t>
        </is>
      </c>
      <c r="G3975" s="16" t="n">
        <v>46008</v>
      </c>
      <c r="H3975" s="17" t="inlineStr">
        <is>
          <t>CÔNG TY TNHH DỊCH VỤ - THƯƠNG MẠI THÉP THIÊN LONG</t>
        </is>
      </c>
      <c r="I3975" s="17" t="inlineStr">
        <is>
          <t>Thép tấm 20ly</t>
        </is>
      </c>
      <c r="J3975" s="17" t="inlineStr">
        <is>
          <t>kg</t>
        </is>
      </c>
      <c r="K3975" s="21" t="n">
        <v>14454.54</v>
      </c>
      <c r="L3975" s="21" t="n"/>
      <c r="M3975" s="22" t="n"/>
      <c r="N3975" s="22" t="n">
        <v>22608</v>
      </c>
      <c r="O3975" s="22" t="n">
        <v>326788240</v>
      </c>
      <c r="P3975" s="22" t="n">
        <v>22608</v>
      </c>
      <c r="Q3975" s="22" t="n">
        <v>326788240</v>
      </c>
      <c r="R3975" s="42">
        <f>+L3975+N3975-P3975</f>
        <v/>
      </c>
      <c r="S3975" s="42">
        <f>+M3975+O3975-Q3975</f>
        <v/>
      </c>
    </row>
    <row r="3976" ht="30" customHeight="1">
      <c r="A3976" s="16" t="n">
        <v>46008</v>
      </c>
      <c r="B3976" s="17" t="inlineStr">
        <is>
          <t>MH2512-28</t>
        </is>
      </c>
      <c r="C3976" s="16" t="n">
        <v>46008</v>
      </c>
      <c r="D3976" s="17" t="inlineStr">
        <is>
          <t>00002965</t>
        </is>
      </c>
      <c r="E3976" s="16" t="n">
        <v>46008</v>
      </c>
      <c r="F3976" s="16" t="inlineStr">
        <is>
          <t>XK2512-20</t>
        </is>
      </c>
      <c r="G3976" s="16" t="n">
        <v>46008</v>
      </c>
      <c r="H3976" s="17" t="inlineStr">
        <is>
          <t>CÔNG TY TNHH DỊCH VỤ - THƯƠNG MẠI THÉP THIÊN LONG</t>
        </is>
      </c>
      <c r="I3976" s="17" t="inlineStr">
        <is>
          <t>Thép tấm 30ly</t>
        </is>
      </c>
      <c r="J3976" s="17" t="inlineStr">
        <is>
          <t>kg</t>
        </is>
      </c>
      <c r="K3976" s="21" t="n">
        <v>14454.54</v>
      </c>
      <c r="L3976" s="21" t="n"/>
      <c r="M3976" s="22" t="n"/>
      <c r="N3976" s="22" t="n">
        <v>16956</v>
      </c>
      <c r="O3976" s="22" t="n">
        <v>245091180</v>
      </c>
      <c r="P3976" s="22" t="n">
        <v>16956</v>
      </c>
      <c r="Q3976" s="22" t="n">
        <v>245091180</v>
      </c>
      <c r="R3976" s="42">
        <f>+L3976+N3976-P3976</f>
        <v/>
      </c>
      <c r="S3976" s="42">
        <f>+M3976+O3976-Q3976</f>
        <v/>
      </c>
    </row>
    <row r="3977" ht="30" customHeight="1">
      <c r="A3977" s="16" t="n">
        <v>46008</v>
      </c>
      <c r="B3977" s="17" t="inlineStr">
        <is>
          <t>MH2512-29</t>
        </is>
      </c>
      <c r="C3977" s="16" t="n">
        <v>46008</v>
      </c>
      <c r="D3977" s="17" t="inlineStr">
        <is>
          <t>00002966</t>
        </is>
      </c>
      <c r="E3977" s="16" t="n">
        <v>46008</v>
      </c>
      <c r="F3977" s="16" t="inlineStr">
        <is>
          <t>XK2512-21</t>
        </is>
      </c>
      <c r="G3977" s="16" t="n">
        <v>46008</v>
      </c>
      <c r="H3977" s="17" t="inlineStr">
        <is>
          <t>CÔNG TY TNHH DỊCH VỤ - THƯƠNG MẠI THÉP THIÊN LONG</t>
        </is>
      </c>
      <c r="I3977" s="17" t="inlineStr">
        <is>
          <t>Thép tấm 14ly</t>
        </is>
      </c>
      <c r="J3977" s="17" t="inlineStr">
        <is>
          <t>kg</t>
        </is>
      </c>
      <c r="K3977" s="21" t="n">
        <v>14454.54</v>
      </c>
      <c r="L3977" s="21" t="n"/>
      <c r="M3977" s="22" t="n"/>
      <c r="N3977" s="22" t="n">
        <v>50114.4</v>
      </c>
      <c r="O3977" s="22" t="n">
        <v>724380599</v>
      </c>
      <c r="P3977" s="22" t="n">
        <v>50114.4</v>
      </c>
      <c r="Q3977" s="22" t="n">
        <v>724380599</v>
      </c>
      <c r="R3977" s="42">
        <f>+L3977+N3977-P3977</f>
        <v/>
      </c>
      <c r="S3977" s="42">
        <f>+M3977+O3977-Q3977</f>
        <v/>
      </c>
    </row>
    <row r="3978" ht="30" customHeight="1">
      <c r="A3978" s="16" t="n">
        <v>46008</v>
      </c>
      <c r="B3978" s="17" t="inlineStr">
        <is>
          <t>MH2512-29</t>
        </is>
      </c>
      <c r="C3978" s="16" t="n">
        <v>46008</v>
      </c>
      <c r="D3978" s="17" t="inlineStr">
        <is>
          <t>00002966</t>
        </is>
      </c>
      <c r="E3978" s="16" t="n">
        <v>46008</v>
      </c>
      <c r="F3978" s="16" t="inlineStr">
        <is>
          <t>XK2512-21</t>
        </is>
      </c>
      <c r="G3978" s="16" t="n">
        <v>46008</v>
      </c>
      <c r="H3978" s="17" t="inlineStr">
        <is>
          <t>CÔNG TY TNHH DỊCH VỤ - THƯƠNG MẠI THÉP THIÊN LONG</t>
        </is>
      </c>
      <c r="I3978" s="17" t="inlineStr">
        <is>
          <t>Thép tấm 20ly</t>
        </is>
      </c>
      <c r="J3978" s="17" t="inlineStr">
        <is>
          <t>kg</t>
        </is>
      </c>
      <c r="K3978" s="21" t="n">
        <v>14454.54</v>
      </c>
      <c r="L3978" s="21" t="n"/>
      <c r="M3978" s="22" t="n"/>
      <c r="N3978" s="22" t="n">
        <v>82896</v>
      </c>
      <c r="O3978" s="22" t="n">
        <v>1198223548</v>
      </c>
      <c r="P3978" s="22" t="n">
        <v>82896</v>
      </c>
      <c r="Q3978" s="22" t="n">
        <v>1198223548</v>
      </c>
      <c r="R3978" s="42">
        <f>+L3978+N3978-P3978</f>
        <v/>
      </c>
      <c r="S3978" s="42">
        <f>+M3978+O3978-Q3978</f>
        <v/>
      </c>
    </row>
    <row r="3979" ht="30" customHeight="1">
      <c r="A3979" s="16" t="n">
        <v>46008</v>
      </c>
      <c r="B3979" s="17" t="inlineStr">
        <is>
          <t>MH2512-29</t>
        </is>
      </c>
      <c r="C3979" s="16" t="n">
        <v>46008</v>
      </c>
      <c r="D3979" s="17" t="inlineStr">
        <is>
          <t>00002966</t>
        </is>
      </c>
      <c r="E3979" s="16" t="n">
        <v>46008</v>
      </c>
      <c r="F3979" s="16" t="inlineStr">
        <is>
          <t>XK2512-21</t>
        </is>
      </c>
      <c r="G3979" s="16" t="n">
        <v>46008</v>
      </c>
      <c r="H3979" s="17" t="inlineStr">
        <is>
          <t>CÔNG TY TNHH DỊCH VỤ - THƯƠNG MẠI THÉP THIÊN LONG</t>
        </is>
      </c>
      <c r="I3979" s="17" t="inlineStr">
        <is>
          <t>Thép tấm 35ly</t>
        </is>
      </c>
      <c r="J3979" s="17" t="inlineStr">
        <is>
          <t>kg</t>
        </is>
      </c>
      <c r="K3979" s="21" t="n">
        <v>14454.54</v>
      </c>
      <c r="L3979" s="21" t="n"/>
      <c r="M3979" s="22" t="n"/>
      <c r="N3979" s="22" t="n">
        <v>6594</v>
      </c>
      <c r="O3979" s="22" t="n">
        <v>95313237</v>
      </c>
      <c r="P3979" s="22" t="n">
        <v>6594</v>
      </c>
      <c r="Q3979" s="22" t="n">
        <v>95313237</v>
      </c>
      <c r="R3979" s="42">
        <f>+L3979+N3979-P3979</f>
        <v/>
      </c>
      <c r="S3979" s="42">
        <f>+M3979+O3979-Q3979</f>
        <v/>
      </c>
    </row>
    <row r="3980" ht="30" customHeight="1">
      <c r="A3980" s="16" t="n">
        <v>46008</v>
      </c>
      <c r="B3980" s="17" t="inlineStr">
        <is>
          <t>MH2512-29</t>
        </is>
      </c>
      <c r="C3980" s="16" t="n">
        <v>46008</v>
      </c>
      <c r="D3980" s="17" t="inlineStr">
        <is>
          <t>00002966</t>
        </is>
      </c>
      <c r="E3980" s="16" t="n">
        <v>46008</v>
      </c>
      <c r="F3980" s="16" t="inlineStr">
        <is>
          <t>XK2512-21</t>
        </is>
      </c>
      <c r="G3980" s="16" t="n">
        <v>46008</v>
      </c>
      <c r="H3980" s="17" t="inlineStr">
        <is>
          <t>CÔNG TY TNHH DỊCH VỤ - THƯƠNG MẠI THÉP THIÊN LONG</t>
        </is>
      </c>
      <c r="I3980" s="17" t="inlineStr">
        <is>
          <t>Thép ống đen 114x3.96x6m</t>
        </is>
      </c>
      <c r="J3980" s="17" t="inlineStr">
        <is>
          <t>kg</t>
        </is>
      </c>
      <c r="K3980" s="21" t="n">
        <v>16181.81</v>
      </c>
      <c r="L3980" s="21" t="n"/>
      <c r="M3980" s="22" t="n"/>
      <c r="N3980" s="22" t="n">
        <v>256.76</v>
      </c>
      <c r="O3980" s="22" t="n">
        <v>4154842</v>
      </c>
      <c r="P3980" s="22" t="n">
        <v>256.76</v>
      </c>
      <c r="Q3980" s="22" t="n">
        <v>4154842</v>
      </c>
      <c r="R3980" s="42">
        <f>+L3980+N3980-P3980</f>
        <v/>
      </c>
      <c r="S3980" s="42">
        <f>+M3980+O3980-Q3980</f>
        <v/>
      </c>
    </row>
    <row r="3981" ht="30" customHeight="1">
      <c r="A3981" s="16" t="n">
        <v>46008</v>
      </c>
      <c r="B3981" s="17" t="inlineStr">
        <is>
          <t>MH2512-29</t>
        </is>
      </c>
      <c r="C3981" s="16" t="n">
        <v>46008</v>
      </c>
      <c r="D3981" s="17" t="inlineStr">
        <is>
          <t>00002966</t>
        </is>
      </c>
      <c r="E3981" s="16" t="n">
        <v>46008</v>
      </c>
      <c r="F3981" s="16" t="inlineStr">
        <is>
          <t>XK2512-21</t>
        </is>
      </c>
      <c r="G3981" s="16" t="n">
        <v>46008</v>
      </c>
      <c r="H3981" s="17" t="inlineStr">
        <is>
          <t>CÔNG TY TNHH DỊCH VỤ - THƯƠNG MẠI THÉP THIÊN LONG</t>
        </is>
      </c>
      <c r="I3981" s="17" t="inlineStr">
        <is>
          <t>Thép ống đen 141x3.96x6m</t>
        </is>
      </c>
      <c r="J3981" s="17" t="inlineStr">
        <is>
          <t>kg</t>
        </is>
      </c>
      <c r="K3981" s="21" t="n">
        <v>16181.81</v>
      </c>
      <c r="L3981" s="21" t="n"/>
      <c r="M3981" s="22" t="n"/>
      <c r="N3981" s="22" t="n">
        <v>80.45999999999999</v>
      </c>
      <c r="O3981" s="22" t="n">
        <v>1302852</v>
      </c>
      <c r="P3981" s="22" t="n">
        <v>80.45999999999999</v>
      </c>
      <c r="Q3981" s="22" t="n">
        <v>1302852</v>
      </c>
      <c r="R3981" s="42">
        <f>+L3981+N3981-P3981</f>
        <v/>
      </c>
      <c r="S3981" s="42">
        <f>+M3981+O3981-Q3981</f>
        <v/>
      </c>
    </row>
    <row r="3982" ht="30" customHeight="1">
      <c r="A3982" s="16" t="n">
        <v>46008</v>
      </c>
      <c r="B3982" s="17" t="inlineStr">
        <is>
          <t>MH2512-29</t>
        </is>
      </c>
      <c r="C3982" s="16" t="n">
        <v>46008</v>
      </c>
      <c r="D3982" s="17" t="inlineStr">
        <is>
          <t>00002966</t>
        </is>
      </c>
      <c r="E3982" s="16" t="n">
        <v>46008</v>
      </c>
      <c r="F3982" s="16" t="inlineStr">
        <is>
          <t>XK2512-21</t>
        </is>
      </c>
      <c r="G3982" s="16" t="n">
        <v>46008</v>
      </c>
      <c r="H3982" s="17" t="inlineStr">
        <is>
          <t>CÔNG TY TNHH DỊCH VỤ - THƯƠNG MẠI THÉP THIÊN LONG</t>
        </is>
      </c>
      <c r="I3982" s="17" t="inlineStr">
        <is>
          <t>Thép ống đen 141x5.16x6m</t>
        </is>
      </c>
      <c r="J3982" s="17" t="inlineStr">
        <is>
          <t>kg</t>
        </is>
      </c>
      <c r="K3982" s="21" t="n">
        <v>16181.81</v>
      </c>
      <c r="L3982" s="21" t="n"/>
      <c r="M3982" s="22" t="n"/>
      <c r="N3982" s="22" t="n">
        <v>1247.4</v>
      </c>
      <c r="O3982" s="22" t="n">
        <v>20185190</v>
      </c>
      <c r="P3982" s="22" t="n">
        <v>1247.4</v>
      </c>
      <c r="Q3982" s="22" t="n">
        <v>20185190</v>
      </c>
      <c r="R3982" s="42">
        <f>+L3982+N3982-P3982</f>
        <v/>
      </c>
      <c r="S3982" s="42">
        <f>+M3982+O3982-Q3982</f>
        <v/>
      </c>
    </row>
    <row r="3983" ht="30" customHeight="1">
      <c r="A3983" s="16" t="n">
        <v>46008</v>
      </c>
      <c r="B3983" s="17" t="inlineStr">
        <is>
          <t>MH2512-29</t>
        </is>
      </c>
      <c r="C3983" s="16" t="n">
        <v>46008</v>
      </c>
      <c r="D3983" s="17" t="inlineStr">
        <is>
          <t>00002966</t>
        </is>
      </c>
      <c r="E3983" s="16" t="n">
        <v>46008</v>
      </c>
      <c r="F3983" s="16" t="inlineStr">
        <is>
          <t>XK2512-21</t>
        </is>
      </c>
      <c r="G3983" s="16" t="n">
        <v>46008</v>
      </c>
      <c r="H3983" s="17" t="inlineStr">
        <is>
          <t>CÔNG TY TNHH DỊCH VỤ - THƯƠNG MẠI THÉP THIÊN LONG</t>
        </is>
      </c>
      <c r="I3983" s="17" t="inlineStr">
        <is>
          <t>Thép ống đen 168x7.11x6m</t>
        </is>
      </c>
      <c r="J3983" s="17" t="inlineStr">
        <is>
          <t>kg</t>
        </is>
      </c>
      <c r="K3983" s="21" t="n">
        <v>16181.81</v>
      </c>
      <c r="L3983" s="21" t="n"/>
      <c r="M3983" s="22" t="n"/>
      <c r="N3983" s="22" t="n">
        <v>2543.4</v>
      </c>
      <c r="O3983" s="22" t="n">
        <v>41156816</v>
      </c>
      <c r="P3983" s="22" t="n">
        <v>2543.4</v>
      </c>
      <c r="Q3983" s="22" t="n">
        <v>41156816</v>
      </c>
      <c r="R3983" s="42">
        <f>+L3983+N3983-P3983</f>
        <v/>
      </c>
      <c r="S3983" s="42">
        <f>+M3983+O3983-Q3983</f>
        <v/>
      </c>
    </row>
    <row r="3984" ht="30" customHeight="1">
      <c r="A3984" s="16" t="n">
        <v>46008</v>
      </c>
      <c r="B3984" s="17" t="inlineStr">
        <is>
          <t>MH2512-29</t>
        </is>
      </c>
      <c r="C3984" s="16" t="n">
        <v>46008</v>
      </c>
      <c r="D3984" s="17" t="inlineStr">
        <is>
          <t>00002966</t>
        </is>
      </c>
      <c r="E3984" s="16" t="n">
        <v>46008</v>
      </c>
      <c r="F3984" s="16" t="inlineStr">
        <is>
          <t>XK2512-21</t>
        </is>
      </c>
      <c r="G3984" s="16" t="n">
        <v>46008</v>
      </c>
      <c r="H3984" s="17" t="inlineStr">
        <is>
          <t>CÔNG TY TNHH DỊCH VỤ - THƯƠNG MẠI THÉP THIÊN LONG</t>
        </is>
      </c>
      <c r="I3984" s="17" t="inlineStr">
        <is>
          <t>Thép ống đen 168x5.56x6m</t>
        </is>
      </c>
      <c r="J3984" s="17" t="inlineStr">
        <is>
          <t>kg</t>
        </is>
      </c>
      <c r="K3984" s="21" t="n">
        <v>16181.81</v>
      </c>
      <c r="L3984" s="21" t="n"/>
      <c r="M3984" s="22" t="n"/>
      <c r="N3984" s="22" t="n">
        <v>2007.9</v>
      </c>
      <c r="O3984" s="22" t="n">
        <v>32491456</v>
      </c>
      <c r="P3984" s="22" t="n">
        <v>2007.9</v>
      </c>
      <c r="Q3984" s="22" t="n">
        <v>32491456</v>
      </c>
      <c r="R3984" s="42">
        <f>+L3984+N3984-P3984</f>
        <v/>
      </c>
      <c r="S3984" s="42">
        <f>+M3984+O3984-Q3984</f>
        <v/>
      </c>
    </row>
    <row r="3985" ht="30" customHeight="1">
      <c r="A3985" s="16" t="n">
        <v>46008</v>
      </c>
      <c r="B3985" s="17" t="inlineStr">
        <is>
          <t>MH2512-29</t>
        </is>
      </c>
      <c r="C3985" s="16" t="n">
        <v>46008</v>
      </c>
      <c r="D3985" s="17" t="inlineStr">
        <is>
          <t>00002966</t>
        </is>
      </c>
      <c r="E3985" s="16" t="n">
        <v>46008</v>
      </c>
      <c r="F3985" s="16" t="inlineStr">
        <is>
          <t>XK2512-21</t>
        </is>
      </c>
      <c r="G3985" s="16" t="n">
        <v>46008</v>
      </c>
      <c r="H3985" s="17" t="inlineStr">
        <is>
          <t>CÔNG TY TNHH DỊCH VỤ - THƯƠNG MẠI THÉP THIÊN LONG</t>
        </is>
      </c>
      <c r="I3985" s="17" t="inlineStr">
        <is>
          <t>Thép ống đen 90</t>
        </is>
      </c>
      <c r="J3985" s="17" t="inlineStr">
        <is>
          <t>kg</t>
        </is>
      </c>
      <c r="K3985" s="21" t="n">
        <v>16181.81</v>
      </c>
      <c r="L3985" s="21" t="n"/>
      <c r="M3985" s="22" t="n"/>
      <c r="N3985" s="22" t="n">
        <v>1590.54</v>
      </c>
      <c r="O3985" s="22" t="n">
        <v>25737816</v>
      </c>
      <c r="P3985" s="22" t="n">
        <v>1590.54</v>
      </c>
      <c r="Q3985" s="22" t="n">
        <v>25737816</v>
      </c>
      <c r="R3985" s="42">
        <f>+L3985+N3985-P3985</f>
        <v/>
      </c>
      <c r="S3985" s="42">
        <f>+M3985+O3985-Q3985</f>
        <v/>
      </c>
    </row>
    <row r="3986" ht="30" customHeight="1">
      <c r="A3986" s="16" t="n">
        <v>46008</v>
      </c>
      <c r="B3986" s="17" t="inlineStr">
        <is>
          <t>MH2512-29</t>
        </is>
      </c>
      <c r="C3986" s="16" t="n">
        <v>46008</v>
      </c>
      <c r="D3986" s="17" t="inlineStr">
        <is>
          <t>00002966</t>
        </is>
      </c>
      <c r="E3986" s="16" t="n">
        <v>46008</v>
      </c>
      <c r="F3986" s="16" t="inlineStr">
        <is>
          <t>XK2512-21</t>
        </is>
      </c>
      <c r="G3986" s="16" t="n">
        <v>46008</v>
      </c>
      <c r="H3986" s="17" t="inlineStr">
        <is>
          <t>CÔNG TY TNHH DỊCH VỤ - THƯƠNG MẠI THÉP THIÊN LONG</t>
        </is>
      </c>
      <c r="I3986" s="17" t="inlineStr">
        <is>
          <t>Thép vuông 150</t>
        </is>
      </c>
      <c r="J3986" s="17" t="inlineStr">
        <is>
          <t>kg</t>
        </is>
      </c>
      <c r="K3986" s="21" t="n">
        <v>16181.81</v>
      </c>
      <c r="L3986" s="21" t="n"/>
      <c r="M3986" s="22" t="n"/>
      <c r="N3986" s="22" t="n">
        <v>4535.83</v>
      </c>
      <c r="O3986" s="22" t="n">
        <v>73397939</v>
      </c>
      <c r="P3986" s="22" t="n">
        <v>4535.83</v>
      </c>
      <c r="Q3986" s="22" t="n">
        <v>73397939</v>
      </c>
      <c r="R3986" s="42">
        <f>+L3986+N3986-P3986</f>
        <v/>
      </c>
      <c r="S3986" s="42">
        <f>+M3986+O3986-Q3986</f>
        <v/>
      </c>
    </row>
    <row r="3987" ht="30" customHeight="1">
      <c r="A3987" s="16" t="n">
        <v>46008</v>
      </c>
      <c r="B3987" s="17" t="inlineStr">
        <is>
          <t>MH2512-29</t>
        </is>
      </c>
      <c r="C3987" s="16" t="n">
        <v>46008</v>
      </c>
      <c r="D3987" s="17" t="inlineStr">
        <is>
          <t>00002966</t>
        </is>
      </c>
      <c r="E3987" s="16" t="n">
        <v>46008</v>
      </c>
      <c r="F3987" s="16" t="inlineStr">
        <is>
          <t>XK2512-21</t>
        </is>
      </c>
      <c r="G3987" s="16" t="n">
        <v>46008</v>
      </c>
      <c r="H3987" s="17" t="inlineStr">
        <is>
          <t>CÔNG TY TNHH DỊCH VỤ - THƯƠNG MẠI THÉP THIÊN LONG</t>
        </is>
      </c>
      <c r="I3987" s="17" t="inlineStr">
        <is>
          <t>Thép vuông 200</t>
        </is>
      </c>
      <c r="J3987" s="17" t="inlineStr">
        <is>
          <t>kg</t>
        </is>
      </c>
      <c r="K3987" s="21" t="n">
        <v>16181.81</v>
      </c>
      <c r="L3987" s="21" t="n"/>
      <c r="M3987" s="22" t="n"/>
      <c r="N3987" s="22" t="n">
        <v>295.42</v>
      </c>
      <c r="O3987" s="22" t="n">
        <v>4780430</v>
      </c>
      <c r="P3987" s="22" t="n">
        <v>295.42</v>
      </c>
      <c r="Q3987" s="22" t="n">
        <v>4780430</v>
      </c>
      <c r="R3987" s="42">
        <f>+L3987+N3987-P3987</f>
        <v/>
      </c>
      <c r="S3987" s="42">
        <f>+M3987+O3987-Q3987</f>
        <v/>
      </c>
    </row>
    <row r="3988" ht="15" customHeight="1">
      <c r="A3988" s="16" t="n">
        <v>46008</v>
      </c>
      <c r="B3988" s="17" t="inlineStr">
        <is>
          <t>MH2512-30</t>
        </is>
      </c>
      <c r="C3988" s="16" t="n">
        <v>46008</v>
      </c>
      <c r="D3988" s="17" t="inlineStr">
        <is>
          <t>00011958</t>
        </is>
      </c>
      <c r="E3988" s="16" t="n">
        <v>46008</v>
      </c>
      <c r="F3988" s="16" t="inlineStr">
        <is>
          <t>XK2512-22</t>
        </is>
      </c>
      <c r="G3988" s="16" t="n">
        <v>46008</v>
      </c>
      <c r="H3988" s="17" t="inlineStr">
        <is>
          <t>CÔNG TY TNHH SƠN JOTUN VIỆT NAM</t>
        </is>
      </c>
      <c r="I3988" s="17" t="inlineStr">
        <is>
          <t>DUNG MÔI JOTUN THINNER NO. 17 20L</t>
        </is>
      </c>
      <c r="J3988" s="17" t="inlineStr">
        <is>
          <t>Lít</t>
        </is>
      </c>
      <c r="K3988" s="21" t="n">
        <v>60000</v>
      </c>
      <c r="L3988" s="21" t="n"/>
      <c r="M3988" s="22" t="n"/>
      <c r="N3988" s="22" t="n">
        <v>80</v>
      </c>
      <c r="O3988" s="22" t="n">
        <v>4800000</v>
      </c>
      <c r="P3988" s="22" t="n">
        <v>80</v>
      </c>
      <c r="Q3988" s="22" t="n">
        <v>4800000</v>
      </c>
      <c r="R3988" s="42">
        <f>+L3988+N3988-P3988</f>
        <v/>
      </c>
      <c r="S3988" s="42">
        <f>+M3988+O3988-Q3988</f>
        <v/>
      </c>
    </row>
    <row r="3989" ht="15" customHeight="1">
      <c r="A3989" s="16" t="n">
        <v>46008</v>
      </c>
      <c r="B3989" s="17" t="inlineStr">
        <is>
          <t>MH2512-31</t>
        </is>
      </c>
      <c r="C3989" s="16" t="n">
        <v>46008</v>
      </c>
      <c r="D3989" s="17" t="inlineStr">
        <is>
          <t>00011959</t>
        </is>
      </c>
      <c r="E3989" s="16" t="n">
        <v>46008</v>
      </c>
      <c r="F3989" s="16" t="inlineStr">
        <is>
          <t>XK2512-23</t>
        </is>
      </c>
      <c r="G3989" s="16" t="n">
        <v>46008</v>
      </c>
      <c r="H3989" s="17" t="inlineStr">
        <is>
          <t>CÔNG TY TNHH SƠN JOTUN VIỆT NAM</t>
        </is>
      </c>
      <c r="I3989" s="17" t="inlineStr">
        <is>
          <t>DUNG MÔI JOTUN THINNER NO. 17 20L</t>
        </is>
      </c>
      <c r="J3989" s="17" t="inlineStr">
        <is>
          <t>Lít</t>
        </is>
      </c>
      <c r="K3989" s="21" t="n">
        <v>60000</v>
      </c>
      <c r="L3989" s="21" t="n"/>
      <c r="M3989" s="22" t="n"/>
      <c r="N3989" s="22" t="n">
        <v>80</v>
      </c>
      <c r="O3989" s="22" t="n">
        <v>4800000</v>
      </c>
      <c r="P3989" s="22" t="n">
        <v>80</v>
      </c>
      <c r="Q3989" s="22" t="n">
        <v>4800000</v>
      </c>
      <c r="R3989" s="42">
        <f>+L3989+N3989-P3989</f>
        <v/>
      </c>
      <c r="S3989" s="42">
        <f>+M3989+O3989-Q3989</f>
        <v/>
      </c>
    </row>
    <row r="3990" ht="15" customHeight="1">
      <c r="A3990" s="16" t="n">
        <v>46010</v>
      </c>
      <c r="B3990" s="17" t="inlineStr">
        <is>
          <t>MH2512-34</t>
        </is>
      </c>
      <c r="C3990" s="16" t="n">
        <v>46010</v>
      </c>
      <c r="D3990" s="17" t="inlineStr">
        <is>
          <t>00012061</t>
        </is>
      </c>
      <c r="E3990" s="16" t="n">
        <v>46010</v>
      </c>
      <c r="F3990" s="16" t="inlineStr">
        <is>
          <t>XK2512-24</t>
        </is>
      </c>
      <c r="G3990" s="16" t="n">
        <v>46010</v>
      </c>
      <c r="H3990" s="17" t="inlineStr">
        <is>
          <t>CÔNG TY TNHH SƠN JOTUN VIỆT NAM</t>
        </is>
      </c>
      <c r="I3990" s="17" t="inlineStr">
        <is>
          <t>SƠN JOTAMASTIC 70 GREY 18L</t>
        </is>
      </c>
      <c r="J3990" s="17" t="inlineStr">
        <is>
          <t>Lít</t>
        </is>
      </c>
      <c r="K3990" s="21" t="n">
        <v>90000</v>
      </c>
      <c r="L3990" s="21" t="n"/>
      <c r="M3990" s="22" t="n"/>
      <c r="N3990" s="22" t="n">
        <v>360</v>
      </c>
      <c r="O3990" s="22" t="n">
        <v>32400000</v>
      </c>
      <c r="P3990" s="22" t="n">
        <v>360</v>
      </c>
      <c r="Q3990" s="22" t="n">
        <v>32400000</v>
      </c>
      <c r="R3990" s="42">
        <f>+L3990+N3990-P3990</f>
        <v/>
      </c>
      <c r="S3990" s="42">
        <f>+M3990+O3990-Q3990</f>
        <v/>
      </c>
    </row>
    <row r="3991" ht="15" customHeight="1">
      <c r="A3991" s="16" t="n">
        <v>46010</v>
      </c>
      <c r="B3991" s="17" t="inlineStr">
        <is>
          <t>MH2512-34</t>
        </is>
      </c>
      <c r="C3991" s="16" t="n">
        <v>46010</v>
      </c>
      <c r="D3991" s="17" t="inlineStr">
        <is>
          <t>00012061</t>
        </is>
      </c>
      <c r="E3991" s="16" t="n">
        <v>46010</v>
      </c>
      <c r="F3991" s="16" t="inlineStr">
        <is>
          <t>XK2512-24</t>
        </is>
      </c>
      <c r="G3991" s="16" t="n">
        <v>46010</v>
      </c>
      <c r="H3991" s="17" t="inlineStr">
        <is>
          <t>CÔNG TY TNHH SƠN JOTUN VIỆT NAM</t>
        </is>
      </c>
      <c r="I3991" s="17" t="inlineStr">
        <is>
          <t>SƠN FUTURA CLASSIC RAL 9005 19.06L</t>
        </is>
      </c>
      <c r="J3991" s="17" t="inlineStr">
        <is>
          <t>Lít</t>
        </is>
      </c>
      <c r="K3991" s="21" t="n">
        <v>155000</v>
      </c>
      <c r="L3991" s="21" t="n"/>
      <c r="M3991" s="22" t="n"/>
      <c r="N3991" s="22" t="n">
        <v>324.02</v>
      </c>
      <c r="O3991" s="22" t="n">
        <v>50223100</v>
      </c>
      <c r="P3991" s="22" t="n">
        <v>324.02</v>
      </c>
      <c r="Q3991" s="22" t="n">
        <v>50223100</v>
      </c>
      <c r="R3991" s="42">
        <f>+L3991+N3991-P3991</f>
        <v/>
      </c>
      <c r="S3991" s="42">
        <f>+M3991+O3991-Q3991</f>
        <v/>
      </c>
    </row>
    <row r="3992" ht="15" customHeight="1">
      <c r="A3992" s="16" t="n">
        <v>46010</v>
      </c>
      <c r="B3992" s="17" t="inlineStr">
        <is>
          <t>MH2512-34</t>
        </is>
      </c>
      <c r="C3992" s="16" t="n">
        <v>46010</v>
      </c>
      <c r="D3992" s="17" t="inlineStr">
        <is>
          <t>00012061</t>
        </is>
      </c>
      <c r="E3992" s="16" t="n">
        <v>46010</v>
      </c>
      <c r="F3992" s="16" t="inlineStr">
        <is>
          <t>XK2512-24</t>
        </is>
      </c>
      <c r="G3992" s="16" t="n">
        <v>46010</v>
      </c>
      <c r="H3992" s="17" t="inlineStr">
        <is>
          <t>CÔNG TY TNHH SƠN JOTUN VIỆT NAM</t>
        </is>
      </c>
      <c r="I3992" s="17" t="inlineStr">
        <is>
          <t>SƠN FUTURA CLASSIC RAL 9005 4.77L</t>
        </is>
      </c>
      <c r="J3992" s="17" t="inlineStr">
        <is>
          <t>Lít</t>
        </is>
      </c>
      <c r="K3992" s="21" t="n">
        <v>155000</v>
      </c>
      <c r="L3992" s="21" t="n"/>
      <c r="M3992" s="22" t="n"/>
      <c r="N3992" s="22" t="n">
        <v>23.85</v>
      </c>
      <c r="O3992" s="22" t="n">
        <v>3696750</v>
      </c>
      <c r="P3992" s="22" t="n">
        <v>23.85</v>
      </c>
      <c r="Q3992" s="22" t="n">
        <v>3696750</v>
      </c>
      <c r="R3992" s="42">
        <f>+L3992+N3992-P3992</f>
        <v/>
      </c>
      <c r="S3992" s="42">
        <f>+M3992+O3992-Q3992</f>
        <v/>
      </c>
    </row>
    <row r="3993" ht="15" customHeight="1">
      <c r="A3993" s="16" t="n">
        <v>46010</v>
      </c>
      <c r="B3993" s="17" t="inlineStr">
        <is>
          <t>MH2512-34</t>
        </is>
      </c>
      <c r="C3993" s="16" t="n">
        <v>46010</v>
      </c>
      <c r="D3993" s="17" t="inlineStr">
        <is>
          <t>00012061</t>
        </is>
      </c>
      <c r="E3993" s="16" t="n">
        <v>46010</v>
      </c>
      <c r="F3993" s="16" t="inlineStr">
        <is>
          <t>XK2512-24</t>
        </is>
      </c>
      <c r="G3993" s="16" t="n">
        <v>46010</v>
      </c>
      <c r="H3993" s="17" t="inlineStr">
        <is>
          <t>CÔNG TY TNHH SƠN JOTUN VIỆT NAM</t>
        </is>
      </c>
      <c r="I3993" s="17" t="inlineStr">
        <is>
          <t>DUNG MÔI JOTUN THINNER NO. 17 20L</t>
        </is>
      </c>
      <c r="J3993" s="17" t="inlineStr">
        <is>
          <t>Lít</t>
        </is>
      </c>
      <c r="K3993" s="21" t="n">
        <v>60000</v>
      </c>
      <c r="L3993" s="21" t="n"/>
      <c r="M3993" s="22" t="n"/>
      <c r="N3993" s="22" t="n">
        <v>40</v>
      </c>
      <c r="O3993" s="22" t="n">
        <v>2400000</v>
      </c>
      <c r="P3993" s="22" t="n">
        <v>40</v>
      </c>
      <c r="Q3993" s="22" t="n">
        <v>2400000</v>
      </c>
      <c r="R3993" s="42">
        <f>+L3993+N3993-P3993</f>
        <v/>
      </c>
      <c r="S3993" s="42">
        <f>+M3993+O3993-Q3993</f>
        <v/>
      </c>
    </row>
    <row r="3994" ht="15" customHeight="1">
      <c r="A3994" s="16" t="n">
        <v>46010</v>
      </c>
      <c r="B3994" s="17" t="inlineStr">
        <is>
          <t>MH2512-34</t>
        </is>
      </c>
      <c r="C3994" s="16" t="n">
        <v>46010</v>
      </c>
      <c r="D3994" s="17" t="inlineStr">
        <is>
          <t>00012061</t>
        </is>
      </c>
      <c r="E3994" s="16" t="n">
        <v>46010</v>
      </c>
      <c r="F3994" s="16" t="inlineStr">
        <is>
          <t>XK2512-24</t>
        </is>
      </c>
      <c r="G3994" s="16" t="n">
        <v>46010</v>
      </c>
      <c r="H3994" s="17" t="inlineStr">
        <is>
          <t>CÔNG TY TNHH SƠN JOTUN VIỆT NAM</t>
        </is>
      </c>
      <c r="I3994" s="17" t="inlineStr">
        <is>
          <t>DUNG MÔI JOTUN THINNER NO. 17 5L</t>
        </is>
      </c>
      <c r="J3994" s="17" t="inlineStr">
        <is>
          <t>Lít</t>
        </is>
      </c>
      <c r="K3994" s="21" t="n">
        <v>60000</v>
      </c>
      <c r="L3994" s="21" t="n"/>
      <c r="M3994" s="22" t="n"/>
      <c r="N3994" s="22" t="n">
        <v>10</v>
      </c>
      <c r="O3994" s="22" t="n">
        <v>600000</v>
      </c>
      <c r="P3994" s="22" t="n">
        <v>10</v>
      </c>
      <c r="Q3994" s="22" t="n">
        <v>600000</v>
      </c>
      <c r="R3994" s="42">
        <f>+L3994+N3994-P3994</f>
        <v/>
      </c>
      <c r="S3994" s="42">
        <f>+M3994+O3994-Q3994</f>
        <v/>
      </c>
    </row>
    <row r="3995" ht="15" customHeight="1">
      <c r="A3995" s="16" t="n">
        <v>46010</v>
      </c>
      <c r="B3995" s="17" t="inlineStr">
        <is>
          <t>MH2512-34</t>
        </is>
      </c>
      <c r="C3995" s="16" t="n">
        <v>46010</v>
      </c>
      <c r="D3995" s="17" t="inlineStr">
        <is>
          <t>00012061</t>
        </is>
      </c>
      <c r="E3995" s="16" t="n">
        <v>46010</v>
      </c>
      <c r="F3995" s="16" t="inlineStr">
        <is>
          <t>XK2512-24</t>
        </is>
      </c>
      <c r="G3995" s="16" t="n">
        <v>46010</v>
      </c>
      <c r="H3995" s="17" t="inlineStr">
        <is>
          <t>CÔNG TY TNHH SƠN JOTUN VIỆT NAM</t>
        </is>
      </c>
      <c r="I3995" s="17" t="inlineStr">
        <is>
          <t>DUNG MÔI JOTUN THINNER NO. 10 20L</t>
        </is>
      </c>
      <c r="J3995" s="17" t="inlineStr">
        <is>
          <t>Lít</t>
        </is>
      </c>
      <c r="K3995" s="21" t="n">
        <v>60000</v>
      </c>
      <c r="L3995" s="21" t="n"/>
      <c r="M3995" s="22" t="n"/>
      <c r="N3995" s="22" t="n">
        <v>40</v>
      </c>
      <c r="O3995" s="22" t="n">
        <v>2400000</v>
      </c>
      <c r="P3995" s="22" t="n">
        <v>40</v>
      </c>
      <c r="Q3995" s="22" t="n">
        <v>2400000</v>
      </c>
      <c r="R3995" s="42">
        <f>+L3995+N3995-P3995</f>
        <v/>
      </c>
      <c r="S3995" s="42">
        <f>+M3995+O3995-Q3995</f>
        <v/>
      </c>
    </row>
    <row r="3996" ht="15" customHeight="1">
      <c r="A3996" s="16" t="n">
        <v>46010</v>
      </c>
      <c r="B3996" s="17" t="inlineStr">
        <is>
          <t>MH2512-34</t>
        </is>
      </c>
      <c r="C3996" s="16" t="n">
        <v>46010</v>
      </c>
      <c r="D3996" s="17" t="inlineStr">
        <is>
          <t>00012061</t>
        </is>
      </c>
      <c r="E3996" s="16" t="n">
        <v>46010</v>
      </c>
      <c r="F3996" s="16" t="inlineStr">
        <is>
          <t>XK2512-24</t>
        </is>
      </c>
      <c r="G3996" s="16" t="n">
        <v>46010</v>
      </c>
      <c r="H3996" s="17" t="inlineStr">
        <is>
          <t>CÔNG TY TNHH SƠN JOTUN VIỆT NAM</t>
        </is>
      </c>
      <c r="I3996" s="17" t="inlineStr">
        <is>
          <t>DUNG MÔI JOTUN THINNER NO. 10 5L</t>
        </is>
      </c>
      <c r="J3996" s="17" t="inlineStr">
        <is>
          <t>Lít</t>
        </is>
      </c>
      <c r="K3996" s="21" t="n">
        <v>60000</v>
      </c>
      <c r="L3996" s="21" t="n"/>
      <c r="M3996" s="22" t="n"/>
      <c r="N3996" s="22" t="n">
        <v>15</v>
      </c>
      <c r="O3996" s="22" t="n">
        <v>900000</v>
      </c>
      <c r="P3996" s="22" t="n">
        <v>15</v>
      </c>
      <c r="Q3996" s="22" t="n">
        <v>900000</v>
      </c>
      <c r="R3996" s="42">
        <f>+L3996+N3996-P3996</f>
        <v/>
      </c>
      <c r="S3996" s="42">
        <f>+M3996+O3996-Q3996</f>
        <v/>
      </c>
    </row>
    <row r="3997" ht="15" customHeight="1">
      <c r="A3997" s="16" t="n">
        <v>46010</v>
      </c>
      <c r="B3997" s="17" t="inlineStr">
        <is>
          <t>MH2512-35</t>
        </is>
      </c>
      <c r="C3997" s="16" t="n">
        <v>46010</v>
      </c>
      <c r="D3997" s="17" t="inlineStr">
        <is>
          <t>00012062</t>
        </is>
      </c>
      <c r="E3997" s="16" t="n">
        <v>46010</v>
      </c>
      <c r="F3997" s="16" t="inlineStr">
        <is>
          <t>XK2512-25</t>
        </is>
      </c>
      <c r="G3997" s="16" t="n">
        <v>46010</v>
      </c>
      <c r="H3997" s="17" t="inlineStr">
        <is>
          <t>CÔNG TY TNHH SƠN JOTUN VIỆT NAM</t>
        </is>
      </c>
      <c r="I3997" s="17" t="inlineStr">
        <is>
          <t>SƠN FUTURA CLASSIC RAL 7032 18.32L</t>
        </is>
      </c>
      <c r="J3997" s="17" t="inlineStr">
        <is>
          <t>Lít</t>
        </is>
      </c>
      <c r="K3997" s="21" t="n">
        <v>155000</v>
      </c>
      <c r="L3997" s="21" t="n"/>
      <c r="M3997" s="22" t="n"/>
      <c r="N3997" s="22" t="n">
        <v>18.32</v>
      </c>
      <c r="O3997" s="22" t="n">
        <v>2839600</v>
      </c>
      <c r="P3997" s="22" t="n">
        <v>18.32</v>
      </c>
      <c r="Q3997" s="22" t="n">
        <v>2839600</v>
      </c>
      <c r="R3997" s="42">
        <f>+L3997+N3997-P3997</f>
        <v/>
      </c>
      <c r="S3997" s="42">
        <f>+M3997+O3997-Q3997</f>
        <v/>
      </c>
    </row>
    <row r="3998" ht="30" customHeight="1">
      <c r="A3998" s="16" t="n">
        <v>46013</v>
      </c>
      <c r="B3998" s="17" t="inlineStr">
        <is>
          <t>MH2512-36</t>
        </is>
      </c>
      <c r="C3998" s="16" t="n">
        <v>46013</v>
      </c>
      <c r="D3998" s="17" t="inlineStr">
        <is>
          <t>00007708</t>
        </is>
      </c>
      <c r="E3998" s="16" t="n">
        <v>46013</v>
      </c>
      <c r="F3998" s="16" t="inlineStr">
        <is>
          <t>XK2512-26</t>
        </is>
      </c>
      <c r="G3998" s="16" t="n">
        <v>46013</v>
      </c>
      <c r="H3998" s="17" t="inlineStr">
        <is>
          <t>CÔNG TY TNHH MTV SẢN XUẤT THƯƠNG MẠI DỊCH VỤ THANH HUYỀN</t>
        </is>
      </c>
      <c r="I3998" s="17" t="inlineStr">
        <is>
          <t>Thép mạ kẽm chấn</t>
        </is>
      </c>
      <c r="J3998" s="17" t="inlineStr">
        <is>
          <t>kg</t>
        </is>
      </c>
      <c r="K3998" s="21" t="n">
        <v>20674.54</v>
      </c>
      <c r="L3998" s="21" t="n"/>
      <c r="M3998" s="22" t="n"/>
      <c r="N3998" s="22" t="n">
        <v>1273</v>
      </c>
      <c r="O3998" s="22" t="n">
        <v>26318686</v>
      </c>
      <c r="P3998" s="22" t="n">
        <v>1273</v>
      </c>
      <c r="Q3998" s="22" t="n">
        <v>26318686</v>
      </c>
      <c r="R3998" s="42">
        <f>+L3998+N3998-P3998</f>
        <v/>
      </c>
      <c r="S3998" s="42">
        <f>+M3998+O3998-Q3998</f>
        <v/>
      </c>
    </row>
    <row r="3999" ht="30" customHeight="1">
      <c r="A3999" s="16" t="n">
        <v>46013</v>
      </c>
      <c r="B3999" s="17" t="inlineStr">
        <is>
          <t>MH2512-36</t>
        </is>
      </c>
      <c r="C3999" s="16" t="n">
        <v>46013</v>
      </c>
      <c r="D3999" s="17" t="inlineStr">
        <is>
          <t>00007708</t>
        </is>
      </c>
      <c r="E3999" s="16" t="n">
        <v>46013</v>
      </c>
      <c r="F3999" s="16" t="inlineStr">
        <is>
          <t>XK2512-26</t>
        </is>
      </c>
      <c r="G3999" s="16" t="n">
        <v>46013</v>
      </c>
      <c r="H3999" s="17" t="inlineStr">
        <is>
          <t>CÔNG TY TNHH MTV SẢN XUẤT THƯƠNG MẠI DỊCH VỤ THANH HUYỀN</t>
        </is>
      </c>
      <c r="I3999" s="17" t="inlineStr">
        <is>
          <t>Xà gồ mạ kẽm 1.5mm</t>
        </is>
      </c>
      <c r="J3999" s="17" t="inlineStr">
        <is>
          <t>kg</t>
        </is>
      </c>
      <c r="K3999" s="21" t="n">
        <v>17646.78</v>
      </c>
      <c r="L3999" s="21" t="n"/>
      <c r="M3999" s="22" t="n"/>
      <c r="N3999" s="22" t="n">
        <v>48413</v>
      </c>
      <c r="O3999" s="22" t="n">
        <v>854333512</v>
      </c>
      <c r="P3999" s="22" t="n">
        <v>48413</v>
      </c>
      <c r="Q3999" s="22" t="n">
        <v>854333512</v>
      </c>
      <c r="R3999" s="42">
        <f>+L3999+N3999-P3999</f>
        <v/>
      </c>
      <c r="S3999" s="42">
        <f>+M3999+O3999-Q3999</f>
        <v/>
      </c>
    </row>
    <row r="4000" ht="30" customHeight="1">
      <c r="A4000" s="16" t="n">
        <v>46013</v>
      </c>
      <c r="B4000" s="17" t="inlineStr">
        <is>
          <t>MH2512-36</t>
        </is>
      </c>
      <c r="C4000" s="16" t="n">
        <v>46013</v>
      </c>
      <c r="D4000" s="17" t="inlineStr">
        <is>
          <t>00007708</t>
        </is>
      </c>
      <c r="E4000" s="16" t="n">
        <v>46013</v>
      </c>
      <c r="F4000" s="16" t="inlineStr">
        <is>
          <t>XK2512-26</t>
        </is>
      </c>
      <c r="G4000" s="16" t="n">
        <v>46013</v>
      </c>
      <c r="H4000" s="17" t="inlineStr">
        <is>
          <t>CÔNG TY TNHH MTV SẢN XUẤT THƯƠNG MẠI DỊCH VỤ THANH HUYỀN</t>
        </is>
      </c>
      <c r="I4000" s="17" t="inlineStr">
        <is>
          <t>Xà gồ mạ kẽm 1.95mm</t>
        </is>
      </c>
      <c r="J4000" s="17" t="inlineStr">
        <is>
          <t>kg</t>
        </is>
      </c>
      <c r="K4000" s="21" t="n">
        <v>17646.76</v>
      </c>
      <c r="L4000" s="21" t="n"/>
      <c r="M4000" s="22" t="n"/>
      <c r="N4000" s="22" t="n">
        <v>7335</v>
      </c>
      <c r="O4000" s="22" t="n">
        <v>129438970</v>
      </c>
      <c r="P4000" s="22" t="n">
        <v>7335</v>
      </c>
      <c r="Q4000" s="22" t="n">
        <v>129438970</v>
      </c>
      <c r="R4000" s="42">
        <f>+L4000+N4000-P4000</f>
        <v/>
      </c>
      <c r="S4000" s="42">
        <f>+M4000+O4000-Q4000</f>
        <v/>
      </c>
    </row>
    <row r="4001" ht="30" customHeight="1">
      <c r="A4001" s="16" t="n">
        <v>46013</v>
      </c>
      <c r="B4001" s="17" t="inlineStr">
        <is>
          <t>MH2512-36</t>
        </is>
      </c>
      <c r="C4001" s="16" t="n">
        <v>46013</v>
      </c>
      <c r="D4001" s="17" t="inlineStr">
        <is>
          <t>00007708</t>
        </is>
      </c>
      <c r="E4001" s="16" t="n">
        <v>46013</v>
      </c>
      <c r="F4001" s="16" t="inlineStr">
        <is>
          <t>XK2512-26</t>
        </is>
      </c>
      <c r="G4001" s="16" t="n">
        <v>46013</v>
      </c>
      <c r="H4001" s="17" t="inlineStr">
        <is>
          <t>CÔNG TY TNHH MTV SẢN XUẤT THƯƠNG MẠI DỊCH VỤ THANH HUYỀN</t>
        </is>
      </c>
      <c r="I4001" s="17" t="inlineStr">
        <is>
          <t>Xà gồ mạ kẽm 2.4mm</t>
        </is>
      </c>
      <c r="J4001" s="17" t="inlineStr">
        <is>
          <t>kg</t>
        </is>
      </c>
      <c r="K4001" s="21" t="n">
        <v>17785.47</v>
      </c>
      <c r="L4001" s="21" t="n"/>
      <c r="M4001" s="22" t="n"/>
      <c r="N4001" s="22" t="n">
        <v>4707</v>
      </c>
      <c r="O4001" s="22" t="n">
        <v>83716193</v>
      </c>
      <c r="P4001" s="22" t="n">
        <v>4707</v>
      </c>
      <c r="Q4001" s="22" t="n">
        <v>83716193</v>
      </c>
      <c r="R4001" s="42">
        <f>+L4001+N4001-P4001</f>
        <v/>
      </c>
      <c r="S4001" s="42">
        <f>+M4001+O4001-Q4001</f>
        <v/>
      </c>
    </row>
    <row r="4002" ht="15" customHeight="1">
      <c r="A4002" s="16" t="n">
        <v>46013</v>
      </c>
      <c r="B4002" s="17" t="inlineStr">
        <is>
          <t>MH2512-37</t>
        </is>
      </c>
      <c r="C4002" s="16" t="n">
        <v>46013</v>
      </c>
      <c r="D4002" s="17" t="inlineStr">
        <is>
          <t>00012163</t>
        </is>
      </c>
      <c r="E4002" s="16" t="n">
        <v>46013</v>
      </c>
      <c r="F4002" s="16" t="inlineStr">
        <is>
          <t>XK2512-27</t>
        </is>
      </c>
      <c r="G4002" s="16" t="n">
        <v>46013</v>
      </c>
      <c r="H4002" s="17" t="inlineStr">
        <is>
          <t>CÔNG TY TNHH SƠN JOTUN VIỆT NAM</t>
        </is>
      </c>
      <c r="I4002" s="17" t="inlineStr">
        <is>
          <t>SƠN JOTAMASTIC 70 RED 18L</t>
        </is>
      </c>
      <c r="J4002" s="17" t="inlineStr">
        <is>
          <t>Lít</t>
        </is>
      </c>
      <c r="K4002" s="21" t="n">
        <v>90000</v>
      </c>
      <c r="L4002" s="21" t="n"/>
      <c r="M4002" s="22" t="n"/>
      <c r="N4002" s="22" t="n">
        <v>432</v>
      </c>
      <c r="O4002" s="22" t="n">
        <v>38880000</v>
      </c>
      <c r="P4002" s="22" t="n">
        <v>432</v>
      </c>
      <c r="Q4002" s="22" t="n">
        <v>38880000</v>
      </c>
      <c r="R4002" s="42">
        <f>+L4002+N4002-P4002</f>
        <v/>
      </c>
      <c r="S4002" s="42">
        <f>+M4002+O4002-Q4002</f>
        <v/>
      </c>
    </row>
    <row r="4003" ht="30" customHeight="1">
      <c r="A4003" s="16" t="n">
        <v>46014</v>
      </c>
      <c r="B4003" s="17" t="inlineStr">
        <is>
          <t>MH2512-39</t>
        </is>
      </c>
      <c r="C4003" s="16" t="n">
        <v>46014</v>
      </c>
      <c r="D4003" s="17" t="inlineStr">
        <is>
          <t>00003048</t>
        </is>
      </c>
      <c r="E4003" s="16" t="n">
        <v>46014</v>
      </c>
      <c r="F4003" s="16" t="inlineStr">
        <is>
          <t>XK2512-28</t>
        </is>
      </c>
      <c r="G4003" s="16" t="n">
        <v>46014</v>
      </c>
      <c r="H4003" s="17" t="inlineStr">
        <is>
          <t>CÔNG TY TNHH DỊCH VỤ - THƯƠNG MẠI THÉP THIÊN LONG</t>
        </is>
      </c>
      <c r="I4003" s="17" t="inlineStr">
        <is>
          <t>Thép tấm gân 5ly</t>
        </is>
      </c>
      <c r="J4003" s="17" t="inlineStr">
        <is>
          <t>kg</t>
        </is>
      </c>
      <c r="K4003" s="21" t="n">
        <v>12454.54</v>
      </c>
      <c r="L4003" s="21" t="n"/>
      <c r="M4003" s="22" t="n"/>
      <c r="N4003" s="22" t="n">
        <v>11407.5</v>
      </c>
      <c r="O4003" s="22" t="n">
        <v>142075165</v>
      </c>
      <c r="P4003" s="22" t="n">
        <v>11407.5</v>
      </c>
      <c r="Q4003" s="22" t="n">
        <v>142075165</v>
      </c>
      <c r="R4003" s="42">
        <f>+L4003+N4003-P4003</f>
        <v/>
      </c>
      <c r="S4003" s="42">
        <f>+M4003+O4003-Q4003</f>
        <v/>
      </c>
    </row>
    <row r="4004" ht="30" customHeight="1">
      <c r="A4004" s="16" t="n">
        <v>46014</v>
      </c>
      <c r="B4004" s="17" t="inlineStr">
        <is>
          <t>MH2512-39</t>
        </is>
      </c>
      <c r="C4004" s="16" t="n">
        <v>46014</v>
      </c>
      <c r="D4004" s="17" t="inlineStr">
        <is>
          <t>00003048</t>
        </is>
      </c>
      <c r="E4004" s="16" t="n">
        <v>46014</v>
      </c>
      <c r="F4004" s="16" t="inlineStr">
        <is>
          <t>XK2512-28</t>
        </is>
      </c>
      <c r="G4004" s="16" t="n">
        <v>46014</v>
      </c>
      <c r="H4004" s="17" t="inlineStr">
        <is>
          <t>CÔNG TY TNHH DỊCH VỤ - THƯƠNG MẠI THÉP THIÊN LONG</t>
        </is>
      </c>
      <c r="I4004" s="17" t="inlineStr">
        <is>
          <t>Thép góc V63</t>
        </is>
      </c>
      <c r="J4004" s="17" t="inlineStr">
        <is>
          <t>kg</t>
        </is>
      </c>
      <c r="K4004" s="21" t="n">
        <v>15272.72</v>
      </c>
      <c r="L4004" s="21" t="n"/>
      <c r="M4004" s="22" t="n"/>
      <c r="N4004" s="22" t="n">
        <v>420</v>
      </c>
      <c r="O4004" s="22" t="n">
        <v>6414715</v>
      </c>
      <c r="P4004" s="22" t="n">
        <v>420</v>
      </c>
      <c r="Q4004" s="22" t="n">
        <v>6414715</v>
      </c>
      <c r="R4004" s="42">
        <f>+L4004+N4004-P4004</f>
        <v/>
      </c>
      <c r="S4004" s="42">
        <f>+M4004+O4004-Q4004</f>
        <v/>
      </c>
    </row>
    <row r="4005" ht="30" customHeight="1">
      <c r="A4005" s="16" t="n">
        <v>46014</v>
      </c>
      <c r="B4005" s="17" t="inlineStr">
        <is>
          <t>MH2512-39</t>
        </is>
      </c>
      <c r="C4005" s="16" t="n">
        <v>46014</v>
      </c>
      <c r="D4005" s="17" t="inlineStr">
        <is>
          <t>00003048</t>
        </is>
      </c>
      <c r="E4005" s="16" t="n">
        <v>46014</v>
      </c>
      <c r="F4005" s="16" t="inlineStr">
        <is>
          <t>XK2512-28</t>
        </is>
      </c>
      <c r="G4005" s="16" t="n">
        <v>46014</v>
      </c>
      <c r="H4005" s="17" t="inlineStr">
        <is>
          <t>CÔNG TY TNHH DỊCH VỤ - THƯƠNG MẠI THÉP THIÊN LONG</t>
        </is>
      </c>
      <c r="I4005" s="17" t="inlineStr">
        <is>
          <t>Thép vuông 150x150x4.5x6m</t>
        </is>
      </c>
      <c r="J4005" s="17" t="inlineStr">
        <is>
          <t>kg</t>
        </is>
      </c>
      <c r="K4005" s="21" t="n">
        <v>16181.81</v>
      </c>
      <c r="L4005" s="21" t="n"/>
      <c r="M4005" s="22" t="n"/>
      <c r="N4005" s="22" t="n">
        <v>2206.62</v>
      </c>
      <c r="O4005" s="22" t="n">
        <v>35707106</v>
      </c>
      <c r="P4005" s="22" t="n">
        <v>2206.62</v>
      </c>
      <c r="Q4005" s="22" t="n">
        <v>35707106</v>
      </c>
      <c r="R4005" s="42">
        <f>+L4005+N4005-P4005</f>
        <v/>
      </c>
      <c r="S4005" s="42">
        <f>+M4005+O4005-Q4005</f>
        <v/>
      </c>
    </row>
    <row r="4006" ht="30" customHeight="1">
      <c r="A4006" s="16" t="n">
        <v>46014</v>
      </c>
      <c r="B4006" s="17" t="inlineStr">
        <is>
          <t>MH2512-39</t>
        </is>
      </c>
      <c r="C4006" s="16" t="n">
        <v>46014</v>
      </c>
      <c r="D4006" s="17" t="inlineStr">
        <is>
          <t>00003048</t>
        </is>
      </c>
      <c r="E4006" s="16" t="n">
        <v>46014</v>
      </c>
      <c r="F4006" s="16" t="inlineStr">
        <is>
          <t>XK2512-28</t>
        </is>
      </c>
      <c r="G4006" s="16" t="n">
        <v>46014</v>
      </c>
      <c r="H4006" s="17" t="inlineStr">
        <is>
          <t>CÔNG TY TNHH DỊCH VỤ - THƯƠNG MẠI THÉP THIÊN LONG</t>
        </is>
      </c>
      <c r="I4006" s="17" t="inlineStr">
        <is>
          <t>Thép vuông 150x150x2.5x6m</t>
        </is>
      </c>
      <c r="J4006" s="17" t="inlineStr">
        <is>
          <t>kg</t>
        </is>
      </c>
      <c r="K4006" s="21" t="n">
        <v>16181.81</v>
      </c>
      <c r="L4006" s="21" t="n"/>
      <c r="M4006" s="22" t="n"/>
      <c r="N4006" s="22" t="n">
        <v>346.35</v>
      </c>
      <c r="O4006" s="22" t="n">
        <v>5604570</v>
      </c>
      <c r="P4006" s="22" t="n">
        <v>346.35</v>
      </c>
      <c r="Q4006" s="22" t="n">
        <v>5604570</v>
      </c>
      <c r="R4006" s="42">
        <f>+L4006+N4006-P4006</f>
        <v/>
      </c>
      <c r="S4006" s="42">
        <f>+M4006+O4006-Q4006</f>
        <v/>
      </c>
    </row>
    <row r="4007" ht="30" customHeight="1">
      <c r="A4007" s="16" t="n">
        <v>46014</v>
      </c>
      <c r="B4007" s="17" t="inlineStr">
        <is>
          <t>MH2512-39</t>
        </is>
      </c>
      <c r="C4007" s="16" t="n">
        <v>46014</v>
      </c>
      <c r="D4007" s="17" t="inlineStr">
        <is>
          <t>00003048</t>
        </is>
      </c>
      <c r="E4007" s="16" t="n">
        <v>46014</v>
      </c>
      <c r="F4007" s="16" t="inlineStr">
        <is>
          <t>XK2512-28</t>
        </is>
      </c>
      <c r="G4007" s="16" t="n">
        <v>46014</v>
      </c>
      <c r="H4007" s="17" t="inlineStr">
        <is>
          <t>CÔNG TY TNHH DỊCH VỤ - THƯƠNG MẠI THÉP THIÊN LONG</t>
        </is>
      </c>
      <c r="I4007" s="17" t="inlineStr">
        <is>
          <t>Thép hình H200</t>
        </is>
      </c>
      <c r="J4007" s="17" t="inlineStr">
        <is>
          <t>kg</t>
        </is>
      </c>
      <c r="K4007" s="21" t="n">
        <v>17272.72</v>
      </c>
      <c r="L4007" s="21" t="n"/>
      <c r="M4007" s="22" t="n"/>
      <c r="N4007" s="22" t="n">
        <v>12013.2</v>
      </c>
      <c r="O4007" s="22" t="n">
        <v>207500640</v>
      </c>
      <c r="P4007" s="22" t="n">
        <v>12013.2</v>
      </c>
      <c r="Q4007" s="22" t="n">
        <v>207500640</v>
      </c>
      <c r="R4007" s="42">
        <f>+L4007+N4007-P4007</f>
        <v/>
      </c>
      <c r="S4007" s="42">
        <f>+M4007+O4007-Q4007</f>
        <v/>
      </c>
    </row>
    <row r="4008" ht="30" customHeight="1">
      <c r="A4008" s="16" t="n">
        <v>46014</v>
      </c>
      <c r="B4008" s="17" t="inlineStr">
        <is>
          <t>MH2512-40</t>
        </is>
      </c>
      <c r="C4008" s="16" t="n">
        <v>46014</v>
      </c>
      <c r="D4008" s="17" t="inlineStr">
        <is>
          <t>00003047</t>
        </is>
      </c>
      <c r="E4008" s="16" t="n">
        <v>46014</v>
      </c>
      <c r="F4008" s="16" t="inlineStr">
        <is>
          <t>XK2512-29</t>
        </is>
      </c>
      <c r="G4008" s="16" t="n">
        <v>46014</v>
      </c>
      <c r="H4008" s="17" t="inlineStr">
        <is>
          <t>CÔNG TY TNHH DỊCH VỤ - THƯƠNG MẠI THÉP THIÊN LONG</t>
        </is>
      </c>
      <c r="I4008" s="17" t="inlineStr">
        <is>
          <t>Thép tấm 14ly</t>
        </is>
      </c>
      <c r="J4008" s="17" t="inlineStr">
        <is>
          <t>kg</t>
        </is>
      </c>
      <c r="K4008" s="21" t="n">
        <v>14454.54</v>
      </c>
      <c r="L4008" s="21" t="n"/>
      <c r="M4008" s="22" t="n"/>
      <c r="N4008" s="22" t="n">
        <v>47476.8</v>
      </c>
      <c r="O4008" s="22" t="n">
        <v>686255305</v>
      </c>
      <c r="P4008" s="22" t="n">
        <v>47476.8</v>
      </c>
      <c r="Q4008" s="22" t="n">
        <v>686255305</v>
      </c>
      <c r="R4008" s="42">
        <f>+L4008+N4008-P4008</f>
        <v/>
      </c>
      <c r="S4008" s="42">
        <f>+M4008+O4008-Q4008</f>
        <v/>
      </c>
    </row>
    <row r="4009" ht="30" customHeight="1">
      <c r="A4009" s="16" t="n">
        <v>46014</v>
      </c>
      <c r="B4009" s="17" t="inlineStr">
        <is>
          <t>MH2512-40</t>
        </is>
      </c>
      <c r="C4009" s="16" t="n">
        <v>46014</v>
      </c>
      <c r="D4009" s="17" t="inlineStr">
        <is>
          <t>00003047</t>
        </is>
      </c>
      <c r="E4009" s="16" t="n">
        <v>46014</v>
      </c>
      <c r="F4009" s="16" t="inlineStr">
        <is>
          <t>XK2512-29</t>
        </is>
      </c>
      <c r="G4009" s="16" t="n">
        <v>46014</v>
      </c>
      <c r="H4009" s="17" t="inlineStr">
        <is>
          <t>CÔNG TY TNHH DỊCH VỤ - THƯƠNG MẠI THÉP THIÊN LONG</t>
        </is>
      </c>
      <c r="I4009" s="17" t="inlineStr">
        <is>
          <t>Thép tấm 16ly</t>
        </is>
      </c>
      <c r="J4009" s="17" t="inlineStr">
        <is>
          <t>kg</t>
        </is>
      </c>
      <c r="K4009" s="21" t="n">
        <v>14454.54</v>
      </c>
      <c r="L4009" s="21" t="n"/>
      <c r="M4009" s="22" t="n"/>
      <c r="N4009" s="22" t="n">
        <v>30144</v>
      </c>
      <c r="O4009" s="22" t="n">
        <v>435717654</v>
      </c>
      <c r="P4009" s="22" t="n">
        <v>30144</v>
      </c>
      <c r="Q4009" s="22" t="n">
        <v>435717654</v>
      </c>
      <c r="R4009" s="42">
        <f>+L4009+N4009-P4009</f>
        <v/>
      </c>
      <c r="S4009" s="42">
        <f>+M4009+O4009-Q4009</f>
        <v/>
      </c>
    </row>
    <row r="4010" ht="30" customHeight="1">
      <c r="A4010" s="16" t="n">
        <v>46014</v>
      </c>
      <c r="B4010" s="17" t="inlineStr">
        <is>
          <t>MH2512-40</t>
        </is>
      </c>
      <c r="C4010" s="16" t="n">
        <v>46014</v>
      </c>
      <c r="D4010" s="17" t="inlineStr">
        <is>
          <t>00003047</t>
        </is>
      </c>
      <c r="E4010" s="16" t="n">
        <v>46014</v>
      </c>
      <c r="F4010" s="16" t="inlineStr">
        <is>
          <t>XK2512-29</t>
        </is>
      </c>
      <c r="G4010" s="16" t="n">
        <v>46014</v>
      </c>
      <c r="H4010" s="17" t="inlineStr">
        <is>
          <t>CÔNG TY TNHH DỊCH VỤ - THƯƠNG MẠI THÉP THIÊN LONG</t>
        </is>
      </c>
      <c r="I4010" s="17" t="inlineStr">
        <is>
          <t>Thép tấm 35ly</t>
        </is>
      </c>
      <c r="J4010" s="17" t="inlineStr">
        <is>
          <t>kg</t>
        </is>
      </c>
      <c r="K4010" s="21" t="n">
        <v>14454.54</v>
      </c>
      <c r="L4010" s="21" t="n"/>
      <c r="M4010" s="22" t="n"/>
      <c r="N4010" s="22" t="n">
        <v>6594</v>
      </c>
      <c r="O4010" s="22" t="n">
        <v>95313237</v>
      </c>
      <c r="P4010" s="22" t="n">
        <v>6594</v>
      </c>
      <c r="Q4010" s="22" t="n">
        <v>95313237</v>
      </c>
      <c r="R4010" s="42">
        <f>+L4010+N4010-P4010</f>
        <v/>
      </c>
      <c r="S4010" s="42">
        <f>+M4010+O4010-Q4010</f>
        <v/>
      </c>
    </row>
    <row r="4011" ht="30" customHeight="1">
      <c r="A4011" s="16" t="n">
        <v>46014</v>
      </c>
      <c r="B4011" s="17" t="inlineStr">
        <is>
          <t>MH2512-40</t>
        </is>
      </c>
      <c r="C4011" s="16" t="n">
        <v>46014</v>
      </c>
      <c r="D4011" s="17" t="inlineStr">
        <is>
          <t>00003047</t>
        </is>
      </c>
      <c r="E4011" s="16" t="n">
        <v>46014</v>
      </c>
      <c r="F4011" s="16" t="inlineStr">
        <is>
          <t>XK2512-29</t>
        </is>
      </c>
      <c r="G4011" s="16" t="n">
        <v>46014</v>
      </c>
      <c r="H4011" s="17" t="inlineStr">
        <is>
          <t>CÔNG TY TNHH DỊCH VỤ - THƯƠNG MẠI THÉP THIÊN LONG</t>
        </is>
      </c>
      <c r="I4011" s="17" t="inlineStr">
        <is>
          <t>Thép lá 2ly</t>
        </is>
      </c>
      <c r="J4011" s="17" t="inlineStr">
        <is>
          <t>kg</t>
        </is>
      </c>
      <c r="K4011" s="21" t="n">
        <v>14545.45</v>
      </c>
      <c r="L4011" s="21" t="n"/>
      <c r="M4011" s="22" t="n"/>
      <c r="N4011" s="22" t="n">
        <v>824.25</v>
      </c>
      <c r="O4011" s="22" t="n">
        <v>11989678</v>
      </c>
      <c r="P4011" s="22" t="n">
        <v>824.25</v>
      </c>
      <c r="Q4011" s="22" t="n">
        <v>11989678</v>
      </c>
      <c r="R4011" s="42">
        <f>+L4011+N4011-P4011</f>
        <v/>
      </c>
      <c r="S4011" s="42">
        <f>+M4011+O4011-Q4011</f>
        <v/>
      </c>
    </row>
    <row r="4012" ht="30" customHeight="1">
      <c r="A4012" s="16" t="n">
        <v>46014</v>
      </c>
      <c r="B4012" s="17" t="inlineStr">
        <is>
          <t>MH2512-40</t>
        </is>
      </c>
      <c r="C4012" s="16" t="n">
        <v>46014</v>
      </c>
      <c r="D4012" s="17" t="inlineStr">
        <is>
          <t>00003047</t>
        </is>
      </c>
      <c r="E4012" s="16" t="n">
        <v>46014</v>
      </c>
      <c r="F4012" s="16" t="inlineStr">
        <is>
          <t>XK2512-29</t>
        </is>
      </c>
      <c r="G4012" s="16" t="n">
        <v>46014</v>
      </c>
      <c r="H4012" s="17" t="inlineStr">
        <is>
          <t>CÔNG TY TNHH DỊCH VỤ - THƯƠNG MẠI THÉP THIÊN LONG</t>
        </is>
      </c>
      <c r="I4012" s="17" t="inlineStr">
        <is>
          <t>Thép ống đen 90</t>
        </is>
      </c>
      <c r="J4012" s="17" t="inlineStr">
        <is>
          <t>kg</t>
        </is>
      </c>
      <c r="K4012" s="21" t="n">
        <v>16181.81</v>
      </c>
      <c r="L4012" s="21" t="n"/>
      <c r="M4012" s="22" t="n"/>
      <c r="N4012" s="22" t="n">
        <v>1931.37</v>
      </c>
      <c r="O4012" s="22" t="n">
        <v>31253062</v>
      </c>
      <c r="P4012" s="22" t="n">
        <v>1931.37</v>
      </c>
      <c r="Q4012" s="22" t="n">
        <v>31253062</v>
      </c>
      <c r="R4012" s="42">
        <f>+L4012+N4012-P4012</f>
        <v/>
      </c>
      <c r="S4012" s="42">
        <f>+M4012+O4012-Q4012</f>
        <v/>
      </c>
    </row>
    <row r="4013" ht="30" customHeight="1">
      <c r="A4013" s="16" t="n">
        <v>46014</v>
      </c>
      <c r="B4013" s="17" t="inlineStr">
        <is>
          <t>MH2512-40</t>
        </is>
      </c>
      <c r="C4013" s="16" t="n">
        <v>46014</v>
      </c>
      <c r="D4013" s="17" t="inlineStr">
        <is>
          <t>00003047</t>
        </is>
      </c>
      <c r="E4013" s="16" t="n">
        <v>46014</v>
      </c>
      <c r="F4013" s="16" t="inlineStr">
        <is>
          <t>XK2512-29</t>
        </is>
      </c>
      <c r="G4013" s="16" t="n">
        <v>46014</v>
      </c>
      <c r="H4013" s="17" t="inlineStr">
        <is>
          <t>CÔNG TY TNHH DỊCH VỤ - THƯƠNG MẠI THÉP THIÊN LONG</t>
        </is>
      </c>
      <c r="I4013" s="17" t="inlineStr">
        <is>
          <t>Thép vuông 150x150x4x6m</t>
        </is>
      </c>
      <c r="J4013" s="17" t="inlineStr">
        <is>
          <t>kg</t>
        </is>
      </c>
      <c r="K4013" s="21" t="n">
        <v>16181.81</v>
      </c>
      <c r="L4013" s="21" t="n"/>
      <c r="M4013" s="22" t="n"/>
      <c r="N4013" s="22" t="n">
        <v>9439.43</v>
      </c>
      <c r="O4013" s="22" t="n">
        <v>152747063</v>
      </c>
      <c r="P4013" s="22" t="n">
        <v>9439.43</v>
      </c>
      <c r="Q4013" s="22" t="n">
        <v>152747063</v>
      </c>
      <c r="R4013" s="42">
        <f>+L4013+N4013-P4013</f>
        <v/>
      </c>
      <c r="S4013" s="42">
        <f>+M4013+O4013-Q4013</f>
        <v/>
      </c>
    </row>
    <row r="4014" ht="30" customHeight="1">
      <c r="A4014" s="16" t="n">
        <v>46014</v>
      </c>
      <c r="B4014" s="17" t="inlineStr">
        <is>
          <t>MH2512-40</t>
        </is>
      </c>
      <c r="C4014" s="16" t="n">
        <v>46014</v>
      </c>
      <c r="D4014" s="17" t="inlineStr">
        <is>
          <t>00003047</t>
        </is>
      </c>
      <c r="E4014" s="16" t="n">
        <v>46014</v>
      </c>
      <c r="F4014" s="16" t="inlineStr">
        <is>
          <t>XK2512-29</t>
        </is>
      </c>
      <c r="G4014" s="16" t="n">
        <v>46014</v>
      </c>
      <c r="H4014" s="17" t="inlineStr">
        <is>
          <t>CÔNG TY TNHH DỊCH VỤ - THƯƠNG MẠI THÉP THIÊN LONG</t>
        </is>
      </c>
      <c r="I4014" s="17" t="inlineStr">
        <is>
          <t>Thép vuông 200x200x6x6m</t>
        </is>
      </c>
      <c r="J4014" s="17" t="inlineStr">
        <is>
          <t>kg</t>
        </is>
      </c>
      <c r="K4014" s="21" t="n">
        <v>16181.81</v>
      </c>
      <c r="L4014" s="21" t="n"/>
      <c r="M4014" s="22" t="n"/>
      <c r="N4014" s="22" t="n">
        <v>4386</v>
      </c>
      <c r="O4014" s="22" t="n">
        <v>70973419</v>
      </c>
      <c r="P4014" s="22" t="n">
        <v>4386</v>
      </c>
      <c r="Q4014" s="22" t="n">
        <v>70973419</v>
      </c>
      <c r="R4014" s="42">
        <f>+L4014+N4014-P4014</f>
        <v/>
      </c>
      <c r="S4014" s="42">
        <f>+M4014+O4014-Q4014</f>
        <v/>
      </c>
    </row>
    <row r="4015" ht="15" customHeight="1">
      <c r="A4015" s="16" t="n">
        <v>46015</v>
      </c>
      <c r="B4015" s="17" t="inlineStr">
        <is>
          <t>MH2512-43</t>
        </is>
      </c>
      <c r="C4015" s="16" t="n">
        <v>46015</v>
      </c>
      <c r="D4015" s="17" t="inlineStr">
        <is>
          <t>00012305</t>
        </is>
      </c>
      <c r="E4015" s="16" t="n">
        <v>46015</v>
      </c>
      <c r="F4015" s="16" t="inlineStr">
        <is>
          <t>XK2512-30</t>
        </is>
      </c>
      <c r="G4015" s="16" t="n">
        <v>46015</v>
      </c>
      <c r="H4015" s="17" t="inlineStr">
        <is>
          <t>CÔNG TY TNHH SƠN JOTUN VIỆT NAM</t>
        </is>
      </c>
      <c r="I4015" s="17" t="inlineStr">
        <is>
          <t>DUNG MÔI JOTUN THINNER NO. 17 20L</t>
        </is>
      </c>
      <c r="J4015" s="17" t="inlineStr">
        <is>
          <t>Lít</t>
        </is>
      </c>
      <c r="K4015" s="21" t="n">
        <v>60000</v>
      </c>
      <c r="L4015" s="21" t="n"/>
      <c r="M4015" s="22" t="n"/>
      <c r="N4015" s="22" t="n">
        <v>60</v>
      </c>
      <c r="O4015" s="22" t="n">
        <v>3600000</v>
      </c>
      <c r="P4015" s="22" t="n">
        <v>60</v>
      </c>
      <c r="Q4015" s="22" t="n">
        <v>3600000</v>
      </c>
      <c r="R4015" s="42">
        <f>+L4015+N4015-P4015</f>
        <v/>
      </c>
      <c r="S4015" s="42">
        <f>+M4015+O4015-Q4015</f>
        <v/>
      </c>
    </row>
    <row r="4016" ht="30" customHeight="1">
      <c r="A4016" s="16" t="n">
        <v>46017</v>
      </c>
      <c r="B4016" s="17" t="inlineStr">
        <is>
          <t>MH2512-46</t>
        </is>
      </c>
      <c r="C4016" s="16" t="n">
        <v>46017</v>
      </c>
      <c r="D4016" s="17" t="inlineStr">
        <is>
          <t>00005135</t>
        </is>
      </c>
      <c r="E4016" s="16" t="n">
        <v>46017</v>
      </c>
      <c r="F4016" s="16" t="inlineStr">
        <is>
          <t>XK2512-31</t>
        </is>
      </c>
      <c r="G4016" s="16" t="n">
        <v>46017</v>
      </c>
      <c r="H4016" s="17" t="inlineStr">
        <is>
          <t>CÔNG TY CỔ PHẦN CÔNG NGHIỆP VÀ THƯƠNG MẠI CƯỜNG THỊNH</t>
        </is>
      </c>
      <c r="I4016" s="17" t="inlineStr">
        <is>
          <t>Bulong Din 933 8.8 HDG M12x50</t>
        </is>
      </c>
      <c r="J4016" s="17" t="inlineStr">
        <is>
          <t>Cái</t>
        </is>
      </c>
      <c r="K4016" s="21" t="n">
        <v>2350</v>
      </c>
      <c r="L4016" s="21" t="n"/>
      <c r="M4016" s="22" t="n"/>
      <c r="N4016" s="22" t="n">
        <v>192</v>
      </c>
      <c r="O4016" s="22" t="n">
        <v>451200</v>
      </c>
      <c r="P4016" s="22" t="n">
        <v>192</v>
      </c>
      <c r="Q4016" s="22" t="n">
        <v>451200</v>
      </c>
      <c r="R4016" s="42">
        <f>+L4016+N4016-P4016</f>
        <v/>
      </c>
      <c r="S4016" s="42">
        <f>+M4016+O4016-Q4016</f>
        <v/>
      </c>
    </row>
    <row r="4017" ht="30" customHeight="1">
      <c r="A4017" s="16" t="n">
        <v>46017</v>
      </c>
      <c r="B4017" s="17" t="inlineStr">
        <is>
          <t>MH2512-46</t>
        </is>
      </c>
      <c r="C4017" s="16" t="n">
        <v>46017</v>
      </c>
      <c r="D4017" s="17" t="inlineStr">
        <is>
          <t>00005135</t>
        </is>
      </c>
      <c r="E4017" s="16" t="n">
        <v>46017</v>
      </c>
      <c r="F4017" s="16" t="inlineStr">
        <is>
          <t>XK2512-31</t>
        </is>
      </c>
      <c r="G4017" s="16" t="n">
        <v>46017</v>
      </c>
      <c r="H4017" s="17" t="inlineStr">
        <is>
          <t>CÔNG TY CỔ PHẦN CÔNG NGHIỆP VÀ THƯƠNG MẠI CƯỜNG THỊNH</t>
        </is>
      </c>
      <c r="I4017" s="17" t="inlineStr">
        <is>
          <t>Đai ốc ISO 4032 8 HDG M12</t>
        </is>
      </c>
      <c r="J4017" s="17" t="inlineStr">
        <is>
          <t>Cái</t>
        </is>
      </c>
      <c r="K4017" s="21" t="n">
        <v>880</v>
      </c>
      <c r="L4017" s="21" t="n"/>
      <c r="M4017" s="22" t="n"/>
      <c r="N4017" s="22" t="n">
        <v>192</v>
      </c>
      <c r="O4017" s="22" t="n">
        <v>168960</v>
      </c>
      <c r="P4017" s="22" t="n">
        <v>192</v>
      </c>
      <c r="Q4017" s="22" t="n">
        <v>168960</v>
      </c>
      <c r="R4017" s="42">
        <f>+L4017+N4017-P4017</f>
        <v/>
      </c>
      <c r="S4017" s="42">
        <f>+M4017+O4017-Q4017</f>
        <v/>
      </c>
    </row>
    <row r="4018" ht="30" customHeight="1">
      <c r="A4018" s="16" t="n">
        <v>46017</v>
      </c>
      <c r="B4018" s="17" t="inlineStr">
        <is>
          <t>MH2512-46</t>
        </is>
      </c>
      <c r="C4018" s="16" t="n">
        <v>46017</v>
      </c>
      <c r="D4018" s="17" t="inlineStr">
        <is>
          <t>00005135</t>
        </is>
      </c>
      <c r="E4018" s="16" t="n">
        <v>46017</v>
      </c>
      <c r="F4018" s="16" t="inlineStr">
        <is>
          <t>XK2512-31</t>
        </is>
      </c>
      <c r="G4018" s="16" t="n">
        <v>46017</v>
      </c>
      <c r="H4018" s="17" t="inlineStr">
        <is>
          <t>CÔNG TY CỔ PHẦN CÔNG NGHIỆP VÀ THƯƠNG MẠI CƯỜNG THỊNH</t>
        </is>
      </c>
      <c r="I4018" s="17" t="inlineStr">
        <is>
          <t>Long đền thường HDG M12B23D1</t>
        </is>
      </c>
      <c r="J4018" s="17" t="inlineStr">
        <is>
          <t>Cái</t>
        </is>
      </c>
      <c r="K4018" s="21" t="n">
        <v>240</v>
      </c>
      <c r="L4018" s="21" t="n"/>
      <c r="M4018" s="22" t="n"/>
      <c r="N4018" s="22" t="n">
        <v>384</v>
      </c>
      <c r="O4018" s="22" t="n">
        <v>92160</v>
      </c>
      <c r="P4018" s="22" t="n">
        <v>384</v>
      </c>
      <c r="Q4018" s="22" t="n">
        <v>92160</v>
      </c>
      <c r="R4018" s="42">
        <f>+L4018+N4018-P4018</f>
        <v/>
      </c>
      <c r="S4018" s="42">
        <f>+M4018+O4018-Q4018</f>
        <v/>
      </c>
    </row>
    <row r="4019" ht="30" customHeight="1">
      <c r="A4019" s="16" t="n">
        <v>46017</v>
      </c>
      <c r="B4019" s="17" t="inlineStr">
        <is>
          <t>MH2512-46</t>
        </is>
      </c>
      <c r="C4019" s="16" t="n">
        <v>46017</v>
      </c>
      <c r="D4019" s="17" t="inlineStr">
        <is>
          <t>00005135</t>
        </is>
      </c>
      <c r="E4019" s="16" t="n">
        <v>46017</v>
      </c>
      <c r="F4019" s="16" t="inlineStr">
        <is>
          <t>XK2512-31</t>
        </is>
      </c>
      <c r="G4019" s="16" t="n">
        <v>46017</v>
      </c>
      <c r="H4019" s="17" t="inlineStr">
        <is>
          <t>CÔNG TY CỔ PHẦN CÔNG NGHIỆP VÀ THƯƠNG MẠI CƯỜNG THỊNH</t>
        </is>
      </c>
      <c r="I4019" s="17" t="inlineStr">
        <is>
          <t>Bulong Din 933 8.8 HDG M16x70</t>
        </is>
      </c>
      <c r="J4019" s="17" t="inlineStr">
        <is>
          <t>Cái</t>
        </is>
      </c>
      <c r="K4019" s="21" t="n">
        <v>5440</v>
      </c>
      <c r="L4019" s="21" t="n"/>
      <c r="M4019" s="22" t="n"/>
      <c r="N4019" s="22" t="n">
        <v>27</v>
      </c>
      <c r="O4019" s="22" t="n">
        <v>146880</v>
      </c>
      <c r="P4019" s="22" t="n">
        <v>27</v>
      </c>
      <c r="Q4019" s="22" t="n">
        <v>146880</v>
      </c>
      <c r="R4019" s="42">
        <f>+L4019+N4019-P4019</f>
        <v/>
      </c>
      <c r="S4019" s="42">
        <f>+M4019+O4019-Q4019</f>
        <v/>
      </c>
    </row>
    <row r="4020" ht="30" customHeight="1">
      <c r="A4020" s="16" t="n">
        <v>46017</v>
      </c>
      <c r="B4020" s="17" t="inlineStr">
        <is>
          <t>MH2512-46</t>
        </is>
      </c>
      <c r="C4020" s="16" t="n">
        <v>46017</v>
      </c>
      <c r="D4020" s="17" t="inlineStr">
        <is>
          <t>00005135</t>
        </is>
      </c>
      <c r="E4020" s="16" t="n">
        <v>46017</v>
      </c>
      <c r="F4020" s="16" t="inlineStr">
        <is>
          <t>XK2512-31</t>
        </is>
      </c>
      <c r="G4020" s="16" t="n">
        <v>46017</v>
      </c>
      <c r="H4020" s="17" t="inlineStr">
        <is>
          <t>CÔNG TY CỔ PHẦN CÔNG NGHIỆP VÀ THƯƠNG MẠI CƯỜNG THỊNH</t>
        </is>
      </c>
      <c r="I4020" s="17" t="inlineStr">
        <is>
          <t>Đai ốc ISO 4032 8 HDG M16</t>
        </is>
      </c>
      <c r="J4020" s="17" t="inlineStr">
        <is>
          <t>Cái</t>
        </is>
      </c>
      <c r="K4020" s="21" t="n">
        <v>1810</v>
      </c>
      <c r="L4020" s="21" t="n"/>
      <c r="M4020" s="22" t="n"/>
      <c r="N4020" s="22" t="n">
        <v>27</v>
      </c>
      <c r="O4020" s="22" t="n">
        <v>48870</v>
      </c>
      <c r="P4020" s="22" t="n">
        <v>27</v>
      </c>
      <c r="Q4020" s="22" t="n">
        <v>48870</v>
      </c>
      <c r="R4020" s="42">
        <f>+L4020+N4020-P4020</f>
        <v/>
      </c>
      <c r="S4020" s="42">
        <f>+M4020+O4020-Q4020</f>
        <v/>
      </c>
    </row>
    <row r="4021" ht="30" customHeight="1">
      <c r="A4021" s="16" t="n">
        <v>46017</v>
      </c>
      <c r="B4021" s="17" t="inlineStr">
        <is>
          <t>MH2512-46</t>
        </is>
      </c>
      <c r="C4021" s="16" t="n">
        <v>46017</v>
      </c>
      <c r="D4021" s="17" t="inlineStr">
        <is>
          <t>00005135</t>
        </is>
      </c>
      <c r="E4021" s="16" t="n">
        <v>46017</v>
      </c>
      <c r="F4021" s="16" t="inlineStr">
        <is>
          <t>XK2512-31</t>
        </is>
      </c>
      <c r="G4021" s="16" t="n">
        <v>46017</v>
      </c>
      <c r="H4021" s="17" t="inlineStr">
        <is>
          <t>CÔNG TY CỔ PHẦN CÔNG NGHIỆP VÀ THƯƠNG MẠI CƯỜNG THỊNH</t>
        </is>
      </c>
      <c r="I4021" s="17" t="inlineStr">
        <is>
          <t>Long đền thường HDG M16B30D2</t>
        </is>
      </c>
      <c r="J4021" s="17" t="inlineStr">
        <is>
          <t>Cái</t>
        </is>
      </c>
      <c r="K4021" s="21" t="n">
        <v>450</v>
      </c>
      <c r="L4021" s="21" t="n"/>
      <c r="M4021" s="22" t="n"/>
      <c r="N4021" s="22" t="n">
        <v>27</v>
      </c>
      <c r="O4021" s="22" t="n">
        <v>12150</v>
      </c>
      <c r="P4021" s="22" t="n">
        <v>27</v>
      </c>
      <c r="Q4021" s="22" t="n">
        <v>12150</v>
      </c>
      <c r="R4021" s="42">
        <f>+L4021+N4021-P4021</f>
        <v/>
      </c>
      <c r="S4021" s="42">
        <f>+M4021+O4021-Q4021</f>
        <v/>
      </c>
    </row>
    <row r="4022" ht="30" customHeight="1">
      <c r="A4022" s="16" t="n">
        <v>46017</v>
      </c>
      <c r="B4022" s="17" t="inlineStr">
        <is>
          <t>MH2512-46</t>
        </is>
      </c>
      <c r="C4022" s="16" t="n">
        <v>46017</v>
      </c>
      <c r="D4022" s="17" t="inlineStr">
        <is>
          <t>00005135</t>
        </is>
      </c>
      <c r="E4022" s="16" t="n">
        <v>46017</v>
      </c>
      <c r="F4022" s="16" t="inlineStr">
        <is>
          <t>XK2512-31</t>
        </is>
      </c>
      <c r="G4022" s="16" t="n">
        <v>46017</v>
      </c>
      <c r="H4022" s="17" t="inlineStr">
        <is>
          <t>CÔNG TY CỔ PHẦN CÔNG NGHIỆP VÀ THƯƠNG MẠI CƯỜNG THỊNH</t>
        </is>
      </c>
      <c r="I4022" s="17" t="inlineStr">
        <is>
          <t>Bulong Din 933 8.8 HDG M16x70</t>
        </is>
      </c>
      <c r="J4022" s="17" t="inlineStr">
        <is>
          <t>Cái</t>
        </is>
      </c>
      <c r="K4022" s="21" t="n">
        <v>5340</v>
      </c>
      <c r="L4022" s="21" t="n"/>
      <c r="M4022" s="22" t="n"/>
      <c r="N4022" s="22" t="n">
        <v>1225</v>
      </c>
      <c r="O4022" s="22" t="n">
        <v>6541500</v>
      </c>
      <c r="P4022" s="22" t="n">
        <v>1225</v>
      </c>
      <c r="Q4022" s="22" t="n">
        <v>6541500</v>
      </c>
      <c r="R4022" s="42">
        <f>+L4022+N4022-P4022</f>
        <v/>
      </c>
      <c r="S4022" s="42">
        <f>+M4022+O4022-Q4022</f>
        <v/>
      </c>
    </row>
    <row r="4023" ht="30" customHeight="1">
      <c r="A4023" s="16" t="n">
        <v>46017</v>
      </c>
      <c r="B4023" s="17" t="inlineStr">
        <is>
          <t>MH2512-46</t>
        </is>
      </c>
      <c r="C4023" s="16" t="n">
        <v>46017</v>
      </c>
      <c r="D4023" s="17" t="inlineStr">
        <is>
          <t>00005135</t>
        </is>
      </c>
      <c r="E4023" s="16" t="n">
        <v>46017</v>
      </c>
      <c r="F4023" s="16" t="inlineStr">
        <is>
          <t>XK2512-31</t>
        </is>
      </c>
      <c r="G4023" s="16" t="n">
        <v>46017</v>
      </c>
      <c r="H4023" s="17" t="inlineStr">
        <is>
          <t>CÔNG TY CỔ PHẦN CÔNG NGHIỆP VÀ THƯƠNG MẠI CƯỜNG THỊNH</t>
        </is>
      </c>
      <c r="I4023" s="17" t="inlineStr">
        <is>
          <t>Đai ốc ISO 4032 8 HDG M16</t>
        </is>
      </c>
      <c r="J4023" s="17" t="inlineStr">
        <is>
          <t>Cái</t>
        </is>
      </c>
      <c r="K4023" s="21" t="n">
        <v>1810</v>
      </c>
      <c r="L4023" s="21" t="n"/>
      <c r="M4023" s="22" t="n"/>
      <c r="N4023" s="22" t="n">
        <v>1225</v>
      </c>
      <c r="O4023" s="22" t="n">
        <v>2217250</v>
      </c>
      <c r="P4023" s="22" t="n">
        <v>1225</v>
      </c>
      <c r="Q4023" s="22" t="n">
        <v>2217250</v>
      </c>
      <c r="R4023" s="42">
        <f>+L4023+N4023-P4023</f>
        <v/>
      </c>
      <c r="S4023" s="42">
        <f>+M4023+O4023-Q4023</f>
        <v/>
      </c>
    </row>
    <row r="4024" ht="30" customHeight="1">
      <c r="A4024" s="16" t="n">
        <v>46017</v>
      </c>
      <c r="B4024" s="17" t="inlineStr">
        <is>
          <t>MH2512-46</t>
        </is>
      </c>
      <c r="C4024" s="16" t="n">
        <v>46017</v>
      </c>
      <c r="D4024" s="17" t="inlineStr">
        <is>
          <t>00005135</t>
        </is>
      </c>
      <c r="E4024" s="16" t="n">
        <v>46017</v>
      </c>
      <c r="F4024" s="16" t="inlineStr">
        <is>
          <t>XK2512-31</t>
        </is>
      </c>
      <c r="G4024" s="16" t="n">
        <v>46017</v>
      </c>
      <c r="H4024" s="17" t="inlineStr">
        <is>
          <t>CÔNG TY CỔ PHẦN CÔNG NGHIỆP VÀ THƯƠNG MẠI CƯỜNG THỊNH</t>
        </is>
      </c>
      <c r="I4024" s="17" t="inlineStr">
        <is>
          <t>Bulong Din 933 8.8 HDG M20x60</t>
        </is>
      </c>
      <c r="J4024" s="17" t="inlineStr">
        <is>
          <t>Cái</t>
        </is>
      </c>
      <c r="K4024" s="21" t="n">
        <v>8060</v>
      </c>
      <c r="L4024" s="21" t="n"/>
      <c r="M4024" s="22" t="n"/>
      <c r="N4024" s="22" t="n">
        <v>1771</v>
      </c>
      <c r="O4024" s="22" t="n">
        <v>14274260</v>
      </c>
      <c r="P4024" s="22" t="n">
        <v>1771</v>
      </c>
      <c r="Q4024" s="22" t="n">
        <v>14274260</v>
      </c>
      <c r="R4024" s="42">
        <f>+L4024+N4024-P4024</f>
        <v/>
      </c>
      <c r="S4024" s="42">
        <f>+M4024+O4024-Q4024</f>
        <v/>
      </c>
    </row>
    <row r="4025" ht="30" customHeight="1">
      <c r="A4025" s="16" t="n">
        <v>46017</v>
      </c>
      <c r="B4025" s="17" t="inlineStr">
        <is>
          <t>MH2512-46</t>
        </is>
      </c>
      <c r="C4025" s="16" t="n">
        <v>46017</v>
      </c>
      <c r="D4025" s="17" t="inlineStr">
        <is>
          <t>00005135</t>
        </is>
      </c>
      <c r="E4025" s="16" t="n">
        <v>46017</v>
      </c>
      <c r="F4025" s="16" t="inlineStr">
        <is>
          <t>XK2512-31</t>
        </is>
      </c>
      <c r="G4025" s="16" t="n">
        <v>46017</v>
      </c>
      <c r="H4025" s="17" t="inlineStr">
        <is>
          <t>CÔNG TY CỔ PHẦN CÔNG NGHIỆP VÀ THƯƠNG MẠI CƯỜNG THỊNH</t>
        </is>
      </c>
      <c r="I4025" s="17" t="inlineStr">
        <is>
          <t>Đai ốc ISO 4032 8 HDG M20</t>
        </is>
      </c>
      <c r="J4025" s="17" t="inlineStr">
        <is>
          <t>Cái</t>
        </is>
      </c>
      <c r="K4025" s="21" t="n">
        <v>3340</v>
      </c>
      <c r="L4025" s="21" t="n"/>
      <c r="M4025" s="22" t="n"/>
      <c r="N4025" s="22" t="n">
        <v>1771</v>
      </c>
      <c r="O4025" s="22" t="n">
        <v>5915140</v>
      </c>
      <c r="P4025" s="22" t="n">
        <v>1771</v>
      </c>
      <c r="Q4025" s="22" t="n">
        <v>5915140</v>
      </c>
      <c r="R4025" s="42">
        <f>+L4025+N4025-P4025</f>
        <v/>
      </c>
      <c r="S4025" s="42">
        <f>+M4025+O4025-Q4025</f>
        <v/>
      </c>
    </row>
    <row r="4026" ht="30" customHeight="1">
      <c r="A4026" s="16" t="n">
        <v>46017</v>
      </c>
      <c r="B4026" s="17" t="inlineStr">
        <is>
          <t>MH2512-46</t>
        </is>
      </c>
      <c r="C4026" s="16" t="n">
        <v>46017</v>
      </c>
      <c r="D4026" s="17" t="inlineStr">
        <is>
          <t>00005135</t>
        </is>
      </c>
      <c r="E4026" s="16" t="n">
        <v>46017</v>
      </c>
      <c r="F4026" s="16" t="inlineStr">
        <is>
          <t>XK2512-31</t>
        </is>
      </c>
      <c r="G4026" s="16" t="n">
        <v>46017</v>
      </c>
      <c r="H4026" s="17" t="inlineStr">
        <is>
          <t>CÔNG TY CỔ PHẦN CÔNG NGHIỆP VÀ THƯƠNG MẠI CƯỜNG THỊNH</t>
        </is>
      </c>
      <c r="I4026" s="17" t="inlineStr">
        <is>
          <t>Long đền thường HDG M20B35D2</t>
        </is>
      </c>
      <c r="J4026" s="17" t="inlineStr">
        <is>
          <t>Cái</t>
        </is>
      </c>
      <c r="K4026" s="21" t="n">
        <v>570</v>
      </c>
      <c r="L4026" s="21" t="n"/>
      <c r="M4026" s="22" t="n"/>
      <c r="N4026" s="22" t="n">
        <v>1771</v>
      </c>
      <c r="O4026" s="22" t="n">
        <v>1009470</v>
      </c>
      <c r="P4026" s="22" t="n">
        <v>1771</v>
      </c>
      <c r="Q4026" s="22" t="n">
        <v>1009470</v>
      </c>
      <c r="R4026" s="42">
        <f>+L4026+N4026-P4026</f>
        <v/>
      </c>
      <c r="S4026" s="42">
        <f>+M4026+O4026-Q4026</f>
        <v/>
      </c>
    </row>
    <row r="4027" ht="30" customHeight="1">
      <c r="A4027" s="16" t="n">
        <v>46017</v>
      </c>
      <c r="B4027" s="17" t="inlineStr">
        <is>
          <t>MH2512-46</t>
        </is>
      </c>
      <c r="C4027" s="16" t="n">
        <v>46017</v>
      </c>
      <c r="D4027" s="17" t="inlineStr">
        <is>
          <t>00005135</t>
        </is>
      </c>
      <c r="E4027" s="16" t="n">
        <v>46017</v>
      </c>
      <c r="F4027" s="16" t="inlineStr">
        <is>
          <t>XK2512-31</t>
        </is>
      </c>
      <c r="G4027" s="16" t="n">
        <v>46017</v>
      </c>
      <c r="H4027" s="17" t="inlineStr">
        <is>
          <t>CÔNG TY CỔ PHẦN CÔNG NGHIỆP VÀ THƯƠNG MẠI CƯỜNG THỊNH</t>
        </is>
      </c>
      <c r="I4027" s="17" t="inlineStr">
        <is>
          <t>Bulong Din 933 8.8 HDG M20x60</t>
        </is>
      </c>
      <c r="J4027" s="17" t="inlineStr">
        <is>
          <t>Cái</t>
        </is>
      </c>
      <c r="K4027" s="21" t="n">
        <v>7960</v>
      </c>
      <c r="L4027" s="21" t="n"/>
      <c r="M4027" s="22" t="n"/>
      <c r="N4027" s="22" t="n">
        <v>627</v>
      </c>
      <c r="O4027" s="22" t="n">
        <v>4990920</v>
      </c>
      <c r="P4027" s="22" t="n">
        <v>627</v>
      </c>
      <c r="Q4027" s="22" t="n">
        <v>4990920</v>
      </c>
      <c r="R4027" s="42">
        <f>+L4027+N4027-P4027</f>
        <v/>
      </c>
      <c r="S4027" s="42">
        <f>+M4027+O4027-Q4027</f>
        <v/>
      </c>
    </row>
    <row r="4028" ht="30" customHeight="1">
      <c r="A4028" s="16" t="n">
        <v>46017</v>
      </c>
      <c r="B4028" s="17" t="inlineStr">
        <is>
          <t>MH2512-46</t>
        </is>
      </c>
      <c r="C4028" s="16" t="n">
        <v>46017</v>
      </c>
      <c r="D4028" s="17" t="inlineStr">
        <is>
          <t>00005135</t>
        </is>
      </c>
      <c r="E4028" s="16" t="n">
        <v>46017</v>
      </c>
      <c r="F4028" s="16" t="inlineStr">
        <is>
          <t>XK2512-31</t>
        </is>
      </c>
      <c r="G4028" s="16" t="n">
        <v>46017</v>
      </c>
      <c r="H4028" s="17" t="inlineStr">
        <is>
          <t>CÔNG TY CỔ PHẦN CÔNG NGHIỆP VÀ THƯƠNG MẠI CƯỜNG THỊNH</t>
        </is>
      </c>
      <c r="I4028" s="17" t="inlineStr">
        <is>
          <t>Đai ốc ISO 4032 8 HDG M20</t>
        </is>
      </c>
      <c r="J4028" s="17" t="inlineStr">
        <is>
          <t>Cái</t>
        </is>
      </c>
      <c r="K4028" s="21" t="n">
        <v>3340</v>
      </c>
      <c r="L4028" s="21" t="n"/>
      <c r="M4028" s="22" t="n"/>
      <c r="N4028" s="22" t="n">
        <v>627</v>
      </c>
      <c r="O4028" s="22" t="n">
        <v>2094180</v>
      </c>
      <c r="P4028" s="22" t="n">
        <v>627</v>
      </c>
      <c r="Q4028" s="22" t="n">
        <v>2094180</v>
      </c>
      <c r="R4028" s="42">
        <f>+L4028+N4028-P4028</f>
        <v/>
      </c>
      <c r="S4028" s="42">
        <f>+M4028+O4028-Q4028</f>
        <v/>
      </c>
    </row>
    <row r="4029" ht="30" customHeight="1">
      <c r="A4029" s="16" t="n">
        <v>46017</v>
      </c>
      <c r="B4029" s="17" t="inlineStr">
        <is>
          <t>MH2512-46</t>
        </is>
      </c>
      <c r="C4029" s="16" t="n">
        <v>46017</v>
      </c>
      <c r="D4029" s="17" t="inlineStr">
        <is>
          <t>00005135</t>
        </is>
      </c>
      <c r="E4029" s="16" t="n">
        <v>46017</v>
      </c>
      <c r="F4029" s="16" t="inlineStr">
        <is>
          <t>XK2512-31</t>
        </is>
      </c>
      <c r="G4029" s="16" t="n">
        <v>46017</v>
      </c>
      <c r="H4029" s="17" t="inlineStr">
        <is>
          <t>CÔNG TY CỔ PHẦN CÔNG NGHIỆP VÀ THƯƠNG MẠI CƯỜNG THỊNH</t>
        </is>
      </c>
      <c r="I4029" s="17" t="inlineStr">
        <is>
          <t>Bulong Din 933 8.8 HDG M20x80</t>
        </is>
      </c>
      <c r="J4029" s="17" t="inlineStr">
        <is>
          <t>Cái</t>
        </is>
      </c>
      <c r="K4029" s="21" t="n">
        <v>9470</v>
      </c>
      <c r="L4029" s="21" t="n"/>
      <c r="M4029" s="22" t="n"/>
      <c r="N4029" s="22" t="n">
        <v>634</v>
      </c>
      <c r="O4029" s="22" t="n">
        <v>6003980</v>
      </c>
      <c r="P4029" s="22" t="n">
        <v>634</v>
      </c>
      <c r="Q4029" s="22" t="n">
        <v>6003980</v>
      </c>
      <c r="R4029" s="42">
        <f>+L4029+N4029-P4029</f>
        <v/>
      </c>
      <c r="S4029" s="42">
        <f>+M4029+O4029-Q4029</f>
        <v/>
      </c>
    </row>
    <row r="4030" ht="30" customHeight="1">
      <c r="A4030" s="16" t="n">
        <v>46017</v>
      </c>
      <c r="B4030" s="17" t="inlineStr">
        <is>
          <t>MH2512-46</t>
        </is>
      </c>
      <c r="C4030" s="16" t="n">
        <v>46017</v>
      </c>
      <c r="D4030" s="17" t="inlineStr">
        <is>
          <t>00005135</t>
        </is>
      </c>
      <c r="E4030" s="16" t="n">
        <v>46017</v>
      </c>
      <c r="F4030" s="16" t="inlineStr">
        <is>
          <t>XK2512-31</t>
        </is>
      </c>
      <c r="G4030" s="16" t="n">
        <v>46017</v>
      </c>
      <c r="H4030" s="17" t="inlineStr">
        <is>
          <t>CÔNG TY CỔ PHẦN CÔNG NGHIỆP VÀ THƯƠNG MẠI CƯỜNG THỊNH</t>
        </is>
      </c>
      <c r="I4030" s="17" t="inlineStr">
        <is>
          <t>Đai ốc ISO 4032 8 HDG M20</t>
        </is>
      </c>
      <c r="J4030" s="17" t="inlineStr">
        <is>
          <t>Cái</t>
        </is>
      </c>
      <c r="K4030" s="21" t="n">
        <v>3340</v>
      </c>
      <c r="L4030" s="21" t="n"/>
      <c r="M4030" s="22" t="n"/>
      <c r="N4030" s="22" t="n">
        <v>634</v>
      </c>
      <c r="O4030" s="22" t="n">
        <v>2117560</v>
      </c>
      <c r="P4030" s="22" t="n">
        <v>634</v>
      </c>
      <c r="Q4030" s="22" t="n">
        <v>2117560</v>
      </c>
      <c r="R4030" s="42">
        <f>+L4030+N4030-P4030</f>
        <v/>
      </c>
      <c r="S4030" s="42">
        <f>+M4030+O4030-Q4030</f>
        <v/>
      </c>
    </row>
    <row r="4031" ht="30" customHeight="1">
      <c r="A4031" s="16" t="n">
        <v>46017</v>
      </c>
      <c r="B4031" s="17" t="inlineStr">
        <is>
          <t>MH2512-46</t>
        </is>
      </c>
      <c r="C4031" s="16" t="n">
        <v>46017</v>
      </c>
      <c r="D4031" s="17" t="inlineStr">
        <is>
          <t>00005135</t>
        </is>
      </c>
      <c r="E4031" s="16" t="n">
        <v>46017</v>
      </c>
      <c r="F4031" s="16" t="inlineStr">
        <is>
          <t>XK2512-31</t>
        </is>
      </c>
      <c r="G4031" s="16" t="n">
        <v>46017</v>
      </c>
      <c r="H4031" s="17" t="inlineStr">
        <is>
          <t>CÔNG TY CỔ PHẦN CÔNG NGHIỆP VÀ THƯƠNG MẠI CƯỜNG THỊNH</t>
        </is>
      </c>
      <c r="I4031" s="17" t="inlineStr">
        <is>
          <t>Long đền thường HDG M20B35D2</t>
        </is>
      </c>
      <c r="J4031" s="17" t="inlineStr">
        <is>
          <t>Cái</t>
        </is>
      </c>
      <c r="K4031" s="21" t="n">
        <v>570</v>
      </c>
      <c r="L4031" s="21" t="n"/>
      <c r="M4031" s="22" t="n"/>
      <c r="N4031" s="22" t="n">
        <v>634</v>
      </c>
      <c r="O4031" s="22" t="n">
        <v>361380</v>
      </c>
      <c r="P4031" s="22" t="n">
        <v>634</v>
      </c>
      <c r="Q4031" s="22" t="n">
        <v>361380</v>
      </c>
      <c r="R4031" s="42">
        <f>+L4031+N4031-P4031</f>
        <v/>
      </c>
      <c r="S4031" s="42">
        <f>+M4031+O4031-Q4031</f>
        <v/>
      </c>
    </row>
    <row r="4032" ht="30" customHeight="1">
      <c r="A4032" s="16" t="n">
        <v>46017</v>
      </c>
      <c r="B4032" s="17" t="inlineStr">
        <is>
          <t>MH2512-46</t>
        </is>
      </c>
      <c r="C4032" s="16" t="n">
        <v>46017</v>
      </c>
      <c r="D4032" s="17" t="inlineStr">
        <is>
          <t>00005135</t>
        </is>
      </c>
      <c r="E4032" s="16" t="n">
        <v>46017</v>
      </c>
      <c r="F4032" s="16" t="inlineStr">
        <is>
          <t>XK2512-31</t>
        </is>
      </c>
      <c r="G4032" s="16" t="n">
        <v>46017</v>
      </c>
      <c r="H4032" s="17" t="inlineStr">
        <is>
          <t>CÔNG TY CỔ PHẦN CÔNG NGHIỆP VÀ THƯƠNG MẠI CƯỜNG THỊNH</t>
        </is>
      </c>
      <c r="I4032" s="17" t="inlineStr">
        <is>
          <t>Bulong Din 933 8.8 HDG M24x90</t>
        </is>
      </c>
      <c r="J4032" s="17" t="inlineStr">
        <is>
          <t>Cái</t>
        </is>
      </c>
      <c r="K4032" s="21" t="n">
        <v>15910</v>
      </c>
      <c r="L4032" s="21" t="n"/>
      <c r="M4032" s="22" t="n"/>
      <c r="N4032" s="22" t="n">
        <v>54</v>
      </c>
      <c r="O4032" s="22" t="n">
        <v>859140</v>
      </c>
      <c r="P4032" s="22" t="n">
        <v>54</v>
      </c>
      <c r="Q4032" s="22" t="n">
        <v>859140</v>
      </c>
      <c r="R4032" s="42">
        <f>+L4032+N4032-P4032</f>
        <v/>
      </c>
      <c r="S4032" s="42">
        <f>+M4032+O4032-Q4032</f>
        <v/>
      </c>
    </row>
    <row r="4033" ht="30" customHeight="1">
      <c r="A4033" s="16" t="n">
        <v>46017</v>
      </c>
      <c r="B4033" s="17" t="inlineStr">
        <is>
          <t>MH2512-46</t>
        </is>
      </c>
      <c r="C4033" s="16" t="n">
        <v>46017</v>
      </c>
      <c r="D4033" s="17" t="inlineStr">
        <is>
          <t>00005135</t>
        </is>
      </c>
      <c r="E4033" s="16" t="n">
        <v>46017</v>
      </c>
      <c r="F4033" s="16" t="inlineStr">
        <is>
          <t>XK2512-31</t>
        </is>
      </c>
      <c r="G4033" s="16" t="n">
        <v>46017</v>
      </c>
      <c r="H4033" s="17" t="inlineStr">
        <is>
          <t>CÔNG TY CỔ PHẦN CÔNG NGHIỆP VÀ THƯƠNG MẠI CƯỜNG THỊNH</t>
        </is>
      </c>
      <c r="I4033" s="17" t="inlineStr">
        <is>
          <t>Đai ốc ISO 4032 8 HDG M24</t>
        </is>
      </c>
      <c r="J4033" s="17" t="inlineStr">
        <is>
          <t>Cái</t>
        </is>
      </c>
      <c r="K4033" s="21" t="n">
        <v>5510</v>
      </c>
      <c r="L4033" s="21" t="n"/>
      <c r="M4033" s="22" t="n"/>
      <c r="N4033" s="22" t="n">
        <v>54</v>
      </c>
      <c r="O4033" s="22" t="n">
        <v>297540</v>
      </c>
      <c r="P4033" s="22" t="n">
        <v>54</v>
      </c>
      <c r="Q4033" s="22" t="n">
        <v>297540</v>
      </c>
      <c r="R4033" s="42">
        <f>+L4033+N4033-P4033</f>
        <v/>
      </c>
      <c r="S4033" s="42">
        <f>+M4033+O4033-Q4033</f>
        <v/>
      </c>
    </row>
    <row r="4034" ht="30" customHeight="1">
      <c r="A4034" s="16" t="n">
        <v>46017</v>
      </c>
      <c r="B4034" s="17" t="inlineStr">
        <is>
          <t>MH2512-46</t>
        </is>
      </c>
      <c r="C4034" s="16" t="n">
        <v>46017</v>
      </c>
      <c r="D4034" s="17" t="inlineStr">
        <is>
          <t>00005135</t>
        </is>
      </c>
      <c r="E4034" s="16" t="n">
        <v>46017</v>
      </c>
      <c r="F4034" s="16" t="inlineStr">
        <is>
          <t>XK2512-31</t>
        </is>
      </c>
      <c r="G4034" s="16" t="n">
        <v>46017</v>
      </c>
      <c r="H4034" s="17" t="inlineStr">
        <is>
          <t>CÔNG TY CỔ PHẦN CÔNG NGHIỆP VÀ THƯƠNG MẠI CƯỜNG THỊNH</t>
        </is>
      </c>
      <c r="I4034" s="17" t="inlineStr">
        <is>
          <t>Long đền thường HDG M24B42D2</t>
        </is>
      </c>
      <c r="J4034" s="17" t="inlineStr">
        <is>
          <t>Cái</t>
        </is>
      </c>
      <c r="K4034" s="21" t="n">
        <v>960</v>
      </c>
      <c r="L4034" s="21" t="n"/>
      <c r="M4034" s="22" t="n"/>
      <c r="N4034" s="22" t="n">
        <v>54</v>
      </c>
      <c r="O4034" s="22" t="n">
        <v>51840</v>
      </c>
      <c r="P4034" s="22" t="n">
        <v>54</v>
      </c>
      <c r="Q4034" s="22" t="n">
        <v>51840</v>
      </c>
      <c r="R4034" s="42">
        <f>+L4034+N4034-P4034</f>
        <v/>
      </c>
      <c r="S4034" s="42">
        <f>+M4034+O4034-Q4034</f>
        <v/>
      </c>
    </row>
    <row r="4035" ht="30" customHeight="1">
      <c r="A4035" s="16" t="n">
        <v>46017</v>
      </c>
      <c r="B4035" s="17" t="inlineStr">
        <is>
          <t>MH2512-46</t>
        </is>
      </c>
      <c r="C4035" s="16" t="n">
        <v>46017</v>
      </c>
      <c r="D4035" s="17" t="inlineStr">
        <is>
          <t>00005135</t>
        </is>
      </c>
      <c r="E4035" s="16" t="n">
        <v>46017</v>
      </c>
      <c r="F4035" s="16" t="inlineStr">
        <is>
          <t>XK2512-31</t>
        </is>
      </c>
      <c r="G4035" s="16" t="n">
        <v>46017</v>
      </c>
      <c r="H4035" s="17" t="inlineStr">
        <is>
          <t>CÔNG TY CỔ PHẦN CÔNG NGHIỆP VÀ THƯƠNG MẠI CƯỜNG THỊNH</t>
        </is>
      </c>
      <c r="I4035" s="17" t="inlineStr">
        <is>
          <t>Bulong Din 933 8.8 HDG M24x70</t>
        </is>
      </c>
      <c r="J4035" s="17" t="inlineStr">
        <is>
          <t>Cái</t>
        </is>
      </c>
      <c r="K4035" s="21" t="n">
        <v>13100</v>
      </c>
      <c r="L4035" s="21" t="n"/>
      <c r="M4035" s="22" t="n"/>
      <c r="N4035" s="22" t="n">
        <v>494</v>
      </c>
      <c r="O4035" s="22" t="n">
        <v>6471400</v>
      </c>
      <c r="P4035" s="22" t="n">
        <v>494</v>
      </c>
      <c r="Q4035" s="22" t="n">
        <v>6471400</v>
      </c>
      <c r="R4035" s="42">
        <f>+L4035+N4035-P4035</f>
        <v/>
      </c>
      <c r="S4035" s="42">
        <f>+M4035+O4035-Q4035</f>
        <v/>
      </c>
    </row>
    <row r="4036" ht="30" customHeight="1">
      <c r="A4036" s="16" t="n">
        <v>46017</v>
      </c>
      <c r="B4036" s="17" t="inlineStr">
        <is>
          <t>MH2512-46</t>
        </is>
      </c>
      <c r="C4036" s="16" t="n">
        <v>46017</v>
      </c>
      <c r="D4036" s="17" t="inlineStr">
        <is>
          <t>00005135</t>
        </is>
      </c>
      <c r="E4036" s="16" t="n">
        <v>46017</v>
      </c>
      <c r="F4036" s="16" t="inlineStr">
        <is>
          <t>XK2512-31</t>
        </is>
      </c>
      <c r="G4036" s="16" t="n">
        <v>46017</v>
      </c>
      <c r="H4036" s="17" t="inlineStr">
        <is>
          <t>CÔNG TY CỔ PHẦN CÔNG NGHIỆP VÀ THƯƠNG MẠI CƯỜNG THỊNH</t>
        </is>
      </c>
      <c r="I4036" s="17" t="inlineStr">
        <is>
          <t>Đai ốc ISO 4032 8 HDG M24</t>
        </is>
      </c>
      <c r="J4036" s="17" t="inlineStr">
        <is>
          <t>Cái</t>
        </is>
      </c>
      <c r="K4036" s="21" t="n">
        <v>5510</v>
      </c>
      <c r="L4036" s="21" t="n"/>
      <c r="M4036" s="22" t="n"/>
      <c r="N4036" s="22" t="n">
        <v>1231</v>
      </c>
      <c r="O4036" s="22" t="n">
        <v>6782810</v>
      </c>
      <c r="P4036" s="22" t="n">
        <v>1231</v>
      </c>
      <c r="Q4036" s="22" t="n">
        <v>6782810</v>
      </c>
      <c r="R4036" s="42">
        <f>+L4036+N4036-P4036</f>
        <v/>
      </c>
      <c r="S4036" s="42">
        <f>+M4036+O4036-Q4036</f>
        <v/>
      </c>
    </row>
    <row r="4037" ht="30" customHeight="1">
      <c r="A4037" s="16" t="n">
        <v>46017</v>
      </c>
      <c r="B4037" s="17" t="inlineStr">
        <is>
          <t>MH2512-46</t>
        </is>
      </c>
      <c r="C4037" s="16" t="n">
        <v>46017</v>
      </c>
      <c r="D4037" s="17" t="inlineStr">
        <is>
          <t>00005135</t>
        </is>
      </c>
      <c r="E4037" s="16" t="n">
        <v>46017</v>
      </c>
      <c r="F4037" s="16" t="inlineStr">
        <is>
          <t>XK2512-31</t>
        </is>
      </c>
      <c r="G4037" s="16" t="n">
        <v>46017</v>
      </c>
      <c r="H4037" s="17" t="inlineStr">
        <is>
          <t>CÔNG TY CỔ PHẦN CÔNG NGHIỆP VÀ THƯƠNG MẠI CƯỜNG THỊNH</t>
        </is>
      </c>
      <c r="I4037" s="17" t="inlineStr">
        <is>
          <t>Bulong thường 4.6 HDG M12x30</t>
        </is>
      </c>
      <c r="J4037" s="17" t="inlineStr">
        <is>
          <t>Cái</t>
        </is>
      </c>
      <c r="K4037" s="21" t="n">
        <v>1530</v>
      </c>
      <c r="L4037" s="21" t="n"/>
      <c r="M4037" s="22" t="n"/>
      <c r="N4037" s="22" t="n">
        <v>1067</v>
      </c>
      <c r="O4037" s="22" t="n">
        <v>1632510</v>
      </c>
      <c r="P4037" s="22" t="n">
        <v>1067</v>
      </c>
      <c r="Q4037" s="22" t="n">
        <v>1632510</v>
      </c>
      <c r="R4037" s="42">
        <f>+L4037+N4037-P4037</f>
        <v/>
      </c>
      <c r="S4037" s="42">
        <f>+M4037+O4037-Q4037</f>
        <v/>
      </c>
    </row>
    <row r="4038" ht="30" customHeight="1">
      <c r="A4038" s="16" t="n">
        <v>46017</v>
      </c>
      <c r="B4038" s="17" t="inlineStr">
        <is>
          <t>MH2512-46</t>
        </is>
      </c>
      <c r="C4038" s="16" t="n">
        <v>46017</v>
      </c>
      <c r="D4038" s="17" t="inlineStr">
        <is>
          <t>00005135</t>
        </is>
      </c>
      <c r="E4038" s="16" t="n">
        <v>46017</v>
      </c>
      <c r="F4038" s="16" t="inlineStr">
        <is>
          <t>XK2512-31</t>
        </is>
      </c>
      <c r="G4038" s="16" t="n">
        <v>46017</v>
      </c>
      <c r="H4038" s="17" t="inlineStr">
        <is>
          <t>CÔNG TY CỔ PHẦN CÔNG NGHIỆP VÀ THƯƠNG MẠI CƯỜNG THỊNH</t>
        </is>
      </c>
      <c r="I4038" s="17" t="inlineStr">
        <is>
          <t>Đai ốc thường 4 HDG M12</t>
        </is>
      </c>
      <c r="J4038" s="17" t="inlineStr">
        <is>
          <t>Cái</t>
        </is>
      </c>
      <c r="K4038" s="21" t="n">
        <v>650</v>
      </c>
      <c r="L4038" s="21" t="n"/>
      <c r="M4038" s="22" t="n"/>
      <c r="N4038" s="22" t="n">
        <v>1067</v>
      </c>
      <c r="O4038" s="22" t="n">
        <v>693550</v>
      </c>
      <c r="P4038" s="22" t="n">
        <v>1067</v>
      </c>
      <c r="Q4038" s="22" t="n">
        <v>693550</v>
      </c>
      <c r="R4038" s="42">
        <f>+L4038+N4038-P4038</f>
        <v/>
      </c>
      <c r="S4038" s="42">
        <f>+M4038+O4038-Q4038</f>
        <v/>
      </c>
    </row>
    <row r="4039" ht="30" customHeight="1">
      <c r="A4039" s="16" t="n">
        <v>46017</v>
      </c>
      <c r="B4039" s="17" t="inlineStr">
        <is>
          <t>MH2512-46</t>
        </is>
      </c>
      <c r="C4039" s="16" t="n">
        <v>46017</v>
      </c>
      <c r="D4039" s="17" t="inlineStr">
        <is>
          <t>00005135</t>
        </is>
      </c>
      <c r="E4039" s="16" t="n">
        <v>46017</v>
      </c>
      <c r="F4039" s="16" t="inlineStr">
        <is>
          <t>XK2512-31</t>
        </is>
      </c>
      <c r="G4039" s="16" t="n">
        <v>46017</v>
      </c>
      <c r="H4039" s="17" t="inlineStr">
        <is>
          <t>CÔNG TY CỔ PHẦN CÔNG NGHIỆP VÀ THƯƠNG MẠI CƯỜNG THỊNH</t>
        </is>
      </c>
      <c r="I4039" s="17" t="inlineStr">
        <is>
          <t>Long đền thường HDG M12B23D1</t>
        </is>
      </c>
      <c r="J4039" s="17" t="inlineStr">
        <is>
          <t>Cái</t>
        </is>
      </c>
      <c r="K4039" s="21" t="n">
        <v>240</v>
      </c>
      <c r="L4039" s="21" t="n"/>
      <c r="M4039" s="22" t="n"/>
      <c r="N4039" s="22" t="n">
        <v>2134</v>
      </c>
      <c r="O4039" s="22" t="n">
        <v>512160</v>
      </c>
      <c r="P4039" s="22" t="n">
        <v>2134</v>
      </c>
      <c r="Q4039" s="22" t="n">
        <v>512160</v>
      </c>
      <c r="R4039" s="42">
        <f>+L4039+N4039-P4039</f>
        <v/>
      </c>
      <c r="S4039" s="42">
        <f>+M4039+O4039-Q4039</f>
        <v/>
      </c>
    </row>
    <row r="4040" ht="30" customHeight="1">
      <c r="A4040" s="16" t="n">
        <v>46017</v>
      </c>
      <c r="B4040" s="17" t="inlineStr">
        <is>
          <t>MH2512-46</t>
        </is>
      </c>
      <c r="C4040" s="16" t="n">
        <v>46017</v>
      </c>
      <c r="D4040" s="17" t="inlineStr">
        <is>
          <t>00005135</t>
        </is>
      </c>
      <c r="E4040" s="16" t="n">
        <v>46017</v>
      </c>
      <c r="F4040" s="16" t="inlineStr">
        <is>
          <t>XK2512-31</t>
        </is>
      </c>
      <c r="G4040" s="16" t="n">
        <v>46017</v>
      </c>
      <c r="H4040" s="17" t="inlineStr">
        <is>
          <t>CÔNG TY CỔ PHẦN CÔNG NGHIỆP VÀ THƯƠNG MẠI CƯỜNG THỊNH</t>
        </is>
      </c>
      <c r="I4040" s="17" t="inlineStr">
        <is>
          <t>Bulong nở 4.6 HDG M20x250</t>
        </is>
      </c>
      <c r="J4040" s="17" t="inlineStr">
        <is>
          <t>Cái</t>
        </is>
      </c>
      <c r="K4040" s="21" t="n">
        <v>63180</v>
      </c>
      <c r="L4040" s="21" t="n"/>
      <c r="M4040" s="22" t="n"/>
      <c r="N4040" s="22" t="n">
        <v>6</v>
      </c>
      <c r="O4040" s="22" t="n">
        <v>379080</v>
      </c>
      <c r="P4040" s="22" t="n">
        <v>6</v>
      </c>
      <c r="Q4040" s="22" t="n">
        <v>379080</v>
      </c>
      <c r="R4040" s="42">
        <f>+L4040+N4040-P4040</f>
        <v/>
      </c>
      <c r="S4040" s="42">
        <f>+M4040+O4040-Q4040</f>
        <v/>
      </c>
    </row>
    <row r="4041" ht="30" customHeight="1">
      <c r="A4041" s="16" t="n">
        <v>46017</v>
      </c>
      <c r="B4041" s="17" t="inlineStr">
        <is>
          <t>MH2512-46</t>
        </is>
      </c>
      <c r="C4041" s="16" t="n">
        <v>46017</v>
      </c>
      <c r="D4041" s="17" t="inlineStr">
        <is>
          <t>00005135</t>
        </is>
      </c>
      <c r="E4041" s="16" t="n">
        <v>46017</v>
      </c>
      <c r="F4041" s="16" t="inlineStr">
        <is>
          <t>XK2512-31</t>
        </is>
      </c>
      <c r="G4041" s="16" t="n">
        <v>46017</v>
      </c>
      <c r="H4041" s="17" t="inlineStr">
        <is>
          <t>CÔNG TY CỔ PHẦN CÔNG NGHIỆP VÀ THƯƠNG MẠI CƯỜNG THỊNH</t>
        </is>
      </c>
      <c r="I4041" s="17" t="inlineStr">
        <is>
          <t>Bulong Din 933 8.8 HDG M24x90</t>
        </is>
      </c>
      <c r="J4041" s="17" t="inlineStr">
        <is>
          <t>Cái</t>
        </is>
      </c>
      <c r="K4041" s="21" t="n">
        <v>15750</v>
      </c>
      <c r="L4041" s="21" t="n"/>
      <c r="M4041" s="22" t="n"/>
      <c r="N4041" s="22" t="n">
        <v>737</v>
      </c>
      <c r="O4041" s="22" t="n">
        <v>11607750</v>
      </c>
      <c r="P4041" s="22" t="n">
        <v>737</v>
      </c>
      <c r="Q4041" s="22" t="n">
        <v>11607750</v>
      </c>
      <c r="R4041" s="42">
        <f>+L4041+N4041-P4041</f>
        <v/>
      </c>
      <c r="S4041" s="42">
        <f>+M4041+O4041-Q4041</f>
        <v/>
      </c>
    </row>
    <row r="4042" ht="30" customHeight="1">
      <c r="A4042" s="16" t="n">
        <v>46017</v>
      </c>
      <c r="B4042" s="17" t="inlineStr">
        <is>
          <t>MH2512-46</t>
        </is>
      </c>
      <c r="C4042" s="16" t="n">
        <v>46017</v>
      </c>
      <c r="D4042" s="17" t="inlineStr">
        <is>
          <t>00005135</t>
        </is>
      </c>
      <c r="E4042" s="16" t="n">
        <v>46017</v>
      </c>
      <c r="F4042" s="16" t="inlineStr">
        <is>
          <t>XK2512-31</t>
        </is>
      </c>
      <c r="G4042" s="16" t="n">
        <v>46017</v>
      </c>
      <c r="H4042" s="17" t="inlineStr">
        <is>
          <t>CÔNG TY CỔ PHẦN CÔNG NGHIỆP VÀ THƯƠNG MẠI CƯỜNG THỊNH</t>
        </is>
      </c>
      <c r="I4042" s="17" t="inlineStr">
        <is>
          <t>Long đền thường HDG M16B30D2</t>
        </is>
      </c>
      <c r="J4042" s="17" t="inlineStr">
        <is>
          <t>Cái</t>
        </is>
      </c>
      <c r="K4042" s="21" t="n">
        <v>450</v>
      </c>
      <c r="L4042" s="21" t="n"/>
      <c r="M4042" s="22" t="n"/>
      <c r="N4042" s="22" t="n">
        <v>1225</v>
      </c>
      <c r="O4042" s="22" t="n">
        <v>551250</v>
      </c>
      <c r="P4042" s="22" t="n">
        <v>1225</v>
      </c>
      <c r="Q4042" s="22" t="n">
        <v>551250</v>
      </c>
      <c r="R4042" s="42">
        <f>+L4042+N4042-P4042</f>
        <v/>
      </c>
      <c r="S4042" s="42">
        <f>+M4042+O4042-Q4042</f>
        <v/>
      </c>
    </row>
    <row r="4043" ht="30" customHeight="1">
      <c r="A4043" s="16" t="n">
        <v>46017</v>
      </c>
      <c r="B4043" s="17" t="inlineStr">
        <is>
          <t>MH2512-46</t>
        </is>
      </c>
      <c r="C4043" s="16" t="n">
        <v>46017</v>
      </c>
      <c r="D4043" s="17" t="inlineStr">
        <is>
          <t>00005135</t>
        </is>
      </c>
      <c r="E4043" s="16" t="n">
        <v>46017</v>
      </c>
      <c r="F4043" s="16" t="inlineStr">
        <is>
          <t>XK2512-31</t>
        </is>
      </c>
      <c r="G4043" s="16" t="n">
        <v>46017</v>
      </c>
      <c r="H4043" s="17" t="inlineStr">
        <is>
          <t>CÔNG TY CỔ PHẦN CÔNG NGHIỆP VÀ THƯƠNG MẠI CƯỜNG THỊNH</t>
        </is>
      </c>
      <c r="I4043" s="17" t="inlineStr">
        <is>
          <t>Long đền thường HDG M20B35D2</t>
        </is>
      </c>
      <c r="J4043" s="17" t="inlineStr">
        <is>
          <t>Cái</t>
        </is>
      </c>
      <c r="K4043" s="21" t="n">
        <v>570</v>
      </c>
      <c r="L4043" s="21" t="n"/>
      <c r="M4043" s="22" t="n"/>
      <c r="N4043" s="22" t="n">
        <v>627</v>
      </c>
      <c r="O4043" s="22" t="n">
        <v>357390</v>
      </c>
      <c r="P4043" s="22" t="n">
        <v>627</v>
      </c>
      <c r="Q4043" s="22" t="n">
        <v>357390</v>
      </c>
      <c r="R4043" s="42">
        <f>+L4043+N4043-P4043</f>
        <v/>
      </c>
      <c r="S4043" s="42">
        <f>+M4043+O4043-Q4043</f>
        <v/>
      </c>
    </row>
    <row r="4044" ht="30" customHeight="1">
      <c r="A4044" s="16" t="n">
        <v>46017</v>
      </c>
      <c r="B4044" s="17" t="inlineStr">
        <is>
          <t>MH2512-46</t>
        </is>
      </c>
      <c r="C4044" s="16" t="n">
        <v>46017</v>
      </c>
      <c r="D4044" s="17" t="inlineStr">
        <is>
          <t>00005135</t>
        </is>
      </c>
      <c r="E4044" s="16" t="n">
        <v>46017</v>
      </c>
      <c r="F4044" s="16" t="inlineStr">
        <is>
          <t>XK2512-31</t>
        </is>
      </c>
      <c r="G4044" s="16" t="n">
        <v>46017</v>
      </c>
      <c r="H4044" s="17" t="inlineStr">
        <is>
          <t>CÔNG TY CỔ PHẦN CÔNG NGHIỆP VÀ THƯƠNG MẠI CƯỜNG THỊNH</t>
        </is>
      </c>
      <c r="I4044" s="17" t="inlineStr">
        <is>
          <t>Long đền thường HDG M24B42D2</t>
        </is>
      </c>
      <c r="J4044" s="17" t="inlineStr">
        <is>
          <t>Cái</t>
        </is>
      </c>
      <c r="K4044" s="21" t="n">
        <v>960</v>
      </c>
      <c r="L4044" s="21" t="n"/>
      <c r="M4044" s="22" t="n"/>
      <c r="N4044" s="22" t="n">
        <v>1231</v>
      </c>
      <c r="O4044" s="22" t="n">
        <v>1181760</v>
      </c>
      <c r="P4044" s="22" t="n">
        <v>1231</v>
      </c>
      <c r="Q4044" s="22" t="n">
        <v>1181760</v>
      </c>
      <c r="R4044" s="42">
        <f>+L4044+N4044-P4044</f>
        <v/>
      </c>
      <c r="S4044" s="42">
        <f>+M4044+O4044-Q4044</f>
        <v/>
      </c>
    </row>
    <row r="4045" ht="30" customHeight="1">
      <c r="A4045" s="16" t="n">
        <v>46017</v>
      </c>
      <c r="B4045" s="17" t="inlineStr">
        <is>
          <t>MH2512-47</t>
        </is>
      </c>
      <c r="C4045" s="16" t="n">
        <v>46017</v>
      </c>
      <c r="D4045" s="17" t="inlineStr">
        <is>
          <t>00005136</t>
        </is>
      </c>
      <c r="E4045" s="16" t="n">
        <v>46017</v>
      </c>
      <c r="F4045" s="16" t="inlineStr">
        <is>
          <t>XK2512-32</t>
        </is>
      </c>
      <c r="G4045" s="16" t="n">
        <v>46017</v>
      </c>
      <c r="H4045" s="17" t="inlineStr">
        <is>
          <t>CÔNG TY CỔ PHẦN CÔNG NGHIỆP VÀ THƯƠNG MẠI CƯỜNG THỊNH</t>
        </is>
      </c>
      <c r="I4045" s="17" t="inlineStr">
        <is>
          <t>Bulong thường 4.6 HDG M12x30</t>
        </is>
      </c>
      <c r="J4045" s="17" t="inlineStr">
        <is>
          <t>Cái</t>
        </is>
      </c>
      <c r="K4045" s="21" t="n">
        <v>1530</v>
      </c>
      <c r="L4045" s="21" t="n"/>
      <c r="M4045" s="22" t="n"/>
      <c r="N4045" s="22" t="n">
        <v>946</v>
      </c>
      <c r="O4045" s="22" t="n">
        <v>1447380</v>
      </c>
      <c r="P4045" s="22" t="n">
        <v>946</v>
      </c>
      <c r="Q4045" s="22" t="n">
        <v>1447380</v>
      </c>
      <c r="R4045" s="42">
        <f>+L4045+N4045-P4045</f>
        <v/>
      </c>
      <c r="S4045" s="42">
        <f>+M4045+O4045-Q4045</f>
        <v/>
      </c>
    </row>
    <row r="4046" ht="30" customHeight="1">
      <c r="A4046" s="16" t="n">
        <v>46017</v>
      </c>
      <c r="B4046" s="17" t="inlineStr">
        <is>
          <t>MH2512-47</t>
        </is>
      </c>
      <c r="C4046" s="16" t="n">
        <v>46017</v>
      </c>
      <c r="D4046" s="17" t="inlineStr">
        <is>
          <t>00005136</t>
        </is>
      </c>
      <c r="E4046" s="16" t="n">
        <v>46017</v>
      </c>
      <c r="F4046" s="16" t="inlineStr">
        <is>
          <t>XK2512-32</t>
        </is>
      </c>
      <c r="G4046" s="16" t="n">
        <v>46017</v>
      </c>
      <c r="H4046" s="17" t="inlineStr">
        <is>
          <t>CÔNG TY CỔ PHẦN CÔNG NGHIỆP VÀ THƯƠNG MẠI CƯỜNG THỊNH</t>
        </is>
      </c>
      <c r="I4046" s="17" t="inlineStr">
        <is>
          <t>Đai ốc thường 4 HDG M12</t>
        </is>
      </c>
      <c r="J4046" s="17" t="inlineStr">
        <is>
          <t>Cái</t>
        </is>
      </c>
      <c r="K4046" s="21" t="n">
        <v>650</v>
      </c>
      <c r="L4046" s="21" t="n"/>
      <c r="M4046" s="22" t="n"/>
      <c r="N4046" s="22" t="n">
        <v>946</v>
      </c>
      <c r="O4046" s="22" t="n">
        <v>614900</v>
      </c>
      <c r="P4046" s="22" t="n">
        <v>946</v>
      </c>
      <c r="Q4046" s="22" t="n">
        <v>614900</v>
      </c>
      <c r="R4046" s="42">
        <f>+L4046+N4046-P4046</f>
        <v/>
      </c>
      <c r="S4046" s="42">
        <f>+M4046+O4046-Q4046</f>
        <v/>
      </c>
    </row>
    <row r="4047" ht="30" customHeight="1">
      <c r="A4047" s="16" t="n">
        <v>46017</v>
      </c>
      <c r="B4047" s="17" t="inlineStr">
        <is>
          <t>MH2512-47</t>
        </is>
      </c>
      <c r="C4047" s="16" t="n">
        <v>46017</v>
      </c>
      <c r="D4047" s="17" t="inlineStr">
        <is>
          <t>00005136</t>
        </is>
      </c>
      <c r="E4047" s="16" t="n">
        <v>46017</v>
      </c>
      <c r="F4047" s="16" t="inlineStr">
        <is>
          <t>XK2512-32</t>
        </is>
      </c>
      <c r="G4047" s="16" t="n">
        <v>46017</v>
      </c>
      <c r="H4047" s="17" t="inlineStr">
        <is>
          <t>CÔNG TY CỔ PHẦN CÔNG NGHIỆP VÀ THƯƠNG MẠI CƯỜNG THỊNH</t>
        </is>
      </c>
      <c r="I4047" s="17" t="inlineStr">
        <is>
          <t>Long đền thường HDG M12B23D1</t>
        </is>
      </c>
      <c r="J4047" s="17" t="inlineStr">
        <is>
          <t>Cái</t>
        </is>
      </c>
      <c r="K4047" s="21" t="n">
        <v>240</v>
      </c>
      <c r="L4047" s="21" t="n"/>
      <c r="M4047" s="22" t="n"/>
      <c r="N4047" s="22" t="n">
        <v>1892</v>
      </c>
      <c r="O4047" s="22" t="n">
        <v>454080</v>
      </c>
      <c r="P4047" s="22" t="n">
        <v>1892</v>
      </c>
      <c r="Q4047" s="22" t="n">
        <v>454080</v>
      </c>
      <c r="R4047" s="42">
        <f>+L4047+N4047-P4047</f>
        <v/>
      </c>
      <c r="S4047" s="42">
        <f>+M4047+O4047-Q4047</f>
        <v/>
      </c>
    </row>
    <row r="4048" ht="30" customHeight="1">
      <c r="A4048" s="16" t="n">
        <v>46017</v>
      </c>
      <c r="B4048" s="17" t="inlineStr">
        <is>
          <t>MH2512-47</t>
        </is>
      </c>
      <c r="C4048" s="16" t="n">
        <v>46017</v>
      </c>
      <c r="D4048" s="17" t="inlineStr">
        <is>
          <t>00005136</t>
        </is>
      </c>
      <c r="E4048" s="16" t="n">
        <v>46017</v>
      </c>
      <c r="F4048" s="16" t="inlineStr">
        <is>
          <t>XK2512-32</t>
        </is>
      </c>
      <c r="G4048" s="16" t="n">
        <v>46017</v>
      </c>
      <c r="H4048" s="17" t="inlineStr">
        <is>
          <t>CÔNG TY CỔ PHẦN CÔNG NGHIỆP VÀ THƯƠNG MẠI CƯỜNG THỊNH</t>
        </is>
      </c>
      <c r="I4048" s="17" t="inlineStr">
        <is>
          <t>Bulong Din 933 8.8 HDG M12x50</t>
        </is>
      </c>
      <c r="J4048" s="17" t="inlineStr">
        <is>
          <t>Cái</t>
        </is>
      </c>
      <c r="K4048" s="21" t="n">
        <v>2350</v>
      </c>
      <c r="L4048" s="21" t="n"/>
      <c r="M4048" s="22" t="n"/>
      <c r="N4048" s="22" t="n">
        <v>286</v>
      </c>
      <c r="O4048" s="22" t="n">
        <v>672100</v>
      </c>
      <c r="P4048" s="22" t="n">
        <v>286</v>
      </c>
      <c r="Q4048" s="22" t="n">
        <v>672100</v>
      </c>
      <c r="R4048" s="42">
        <f>+L4048+N4048-P4048</f>
        <v/>
      </c>
      <c r="S4048" s="42">
        <f>+M4048+O4048-Q4048</f>
        <v/>
      </c>
    </row>
    <row r="4049" ht="30" customHeight="1">
      <c r="A4049" s="16" t="n">
        <v>46017</v>
      </c>
      <c r="B4049" s="17" t="inlineStr">
        <is>
          <t>MH2512-47</t>
        </is>
      </c>
      <c r="C4049" s="16" t="n">
        <v>46017</v>
      </c>
      <c r="D4049" s="17" t="inlineStr">
        <is>
          <t>00005136</t>
        </is>
      </c>
      <c r="E4049" s="16" t="n">
        <v>46017</v>
      </c>
      <c r="F4049" s="16" t="inlineStr">
        <is>
          <t>XK2512-32</t>
        </is>
      </c>
      <c r="G4049" s="16" t="n">
        <v>46017</v>
      </c>
      <c r="H4049" s="17" t="inlineStr">
        <is>
          <t>CÔNG TY CỔ PHẦN CÔNG NGHIỆP VÀ THƯƠNG MẠI CƯỜNG THỊNH</t>
        </is>
      </c>
      <c r="I4049" s="17" t="inlineStr">
        <is>
          <t>Đai ốc ISO 4032 8 HDG M12</t>
        </is>
      </c>
      <c r="J4049" s="17" t="inlineStr">
        <is>
          <t>Cái</t>
        </is>
      </c>
      <c r="K4049" s="21" t="n">
        <v>880</v>
      </c>
      <c r="L4049" s="21" t="n"/>
      <c r="M4049" s="22" t="n"/>
      <c r="N4049" s="22" t="n">
        <v>286</v>
      </c>
      <c r="O4049" s="22" t="n">
        <v>251680</v>
      </c>
      <c r="P4049" s="22" t="n">
        <v>286</v>
      </c>
      <c r="Q4049" s="22" t="n">
        <v>251680</v>
      </c>
      <c r="R4049" s="42">
        <f>+L4049+N4049-P4049</f>
        <v/>
      </c>
      <c r="S4049" s="42">
        <f>+M4049+O4049-Q4049</f>
        <v/>
      </c>
    </row>
    <row r="4050" ht="30" customHeight="1">
      <c r="A4050" s="16" t="n">
        <v>46017</v>
      </c>
      <c r="B4050" s="17" t="inlineStr">
        <is>
          <t>MH2512-47</t>
        </is>
      </c>
      <c r="C4050" s="16" t="n">
        <v>46017</v>
      </c>
      <c r="D4050" s="17" t="inlineStr">
        <is>
          <t>00005136</t>
        </is>
      </c>
      <c r="E4050" s="16" t="n">
        <v>46017</v>
      </c>
      <c r="F4050" s="16" t="inlineStr">
        <is>
          <t>XK2512-32</t>
        </is>
      </c>
      <c r="G4050" s="16" t="n">
        <v>46017</v>
      </c>
      <c r="H4050" s="17" t="inlineStr">
        <is>
          <t>CÔNG TY CỔ PHẦN CÔNG NGHIỆP VÀ THƯƠNG MẠI CƯỜNG THỊNH</t>
        </is>
      </c>
      <c r="I4050" s="17" t="inlineStr">
        <is>
          <t>Long đền thường HDG M12B23D1</t>
        </is>
      </c>
      <c r="J4050" s="17" t="inlineStr">
        <is>
          <t>Cái</t>
        </is>
      </c>
      <c r="K4050" s="21" t="n">
        <v>240</v>
      </c>
      <c r="L4050" s="21" t="n"/>
      <c r="M4050" s="22" t="n"/>
      <c r="N4050" s="22" t="n">
        <v>572</v>
      </c>
      <c r="O4050" s="22" t="n">
        <v>137280</v>
      </c>
      <c r="P4050" s="22" t="n">
        <v>572</v>
      </c>
      <c r="Q4050" s="22" t="n">
        <v>137280</v>
      </c>
      <c r="R4050" s="42">
        <f>+L4050+N4050-P4050</f>
        <v/>
      </c>
      <c r="S4050" s="42">
        <f>+M4050+O4050-Q4050</f>
        <v/>
      </c>
    </row>
    <row r="4051" ht="30" customHeight="1">
      <c r="A4051" s="16" t="n">
        <v>46017</v>
      </c>
      <c r="B4051" s="17" t="inlineStr">
        <is>
          <t>MH2512-47</t>
        </is>
      </c>
      <c r="C4051" s="16" t="n">
        <v>46017</v>
      </c>
      <c r="D4051" s="17" t="inlineStr">
        <is>
          <t>00005136</t>
        </is>
      </c>
      <c r="E4051" s="16" t="n">
        <v>46017</v>
      </c>
      <c r="F4051" s="16" t="inlineStr">
        <is>
          <t>XK2512-32</t>
        </is>
      </c>
      <c r="G4051" s="16" t="n">
        <v>46017</v>
      </c>
      <c r="H4051" s="17" t="inlineStr">
        <is>
          <t>CÔNG TY CỔ PHẦN CÔNG NGHIỆP VÀ THƯƠNG MẠI CƯỜNG THỊNH</t>
        </is>
      </c>
      <c r="I4051" s="17" t="inlineStr">
        <is>
          <t>Bulong Din 933 8.8 HDG M16x70</t>
        </is>
      </c>
      <c r="J4051" s="17" t="inlineStr">
        <is>
          <t>Cái</t>
        </is>
      </c>
      <c r="K4051" s="21" t="n">
        <v>5440</v>
      </c>
      <c r="L4051" s="21" t="n"/>
      <c r="M4051" s="22" t="n"/>
      <c r="N4051" s="22" t="n">
        <v>52</v>
      </c>
      <c r="O4051" s="22" t="n">
        <v>282880</v>
      </c>
      <c r="P4051" s="22" t="n">
        <v>52</v>
      </c>
      <c r="Q4051" s="22" t="n">
        <v>282880</v>
      </c>
      <c r="R4051" s="42">
        <f>+L4051+N4051-P4051</f>
        <v/>
      </c>
      <c r="S4051" s="42">
        <f>+M4051+O4051-Q4051</f>
        <v/>
      </c>
    </row>
    <row r="4052" ht="30" customHeight="1">
      <c r="A4052" s="16" t="n">
        <v>46017</v>
      </c>
      <c r="B4052" s="17" t="inlineStr">
        <is>
          <t>MH2512-47</t>
        </is>
      </c>
      <c r="C4052" s="16" t="n">
        <v>46017</v>
      </c>
      <c r="D4052" s="17" t="inlineStr">
        <is>
          <t>00005136</t>
        </is>
      </c>
      <c r="E4052" s="16" t="n">
        <v>46017</v>
      </c>
      <c r="F4052" s="16" t="inlineStr">
        <is>
          <t>XK2512-32</t>
        </is>
      </c>
      <c r="G4052" s="16" t="n">
        <v>46017</v>
      </c>
      <c r="H4052" s="17" t="inlineStr">
        <is>
          <t>CÔNG TY CỔ PHẦN CÔNG NGHIỆP VÀ THƯƠNG MẠI CƯỜNG THỊNH</t>
        </is>
      </c>
      <c r="I4052" s="17" t="inlineStr">
        <is>
          <t>Đai ốc ISO 4032 8 HDG M16</t>
        </is>
      </c>
      <c r="J4052" s="17" t="inlineStr">
        <is>
          <t>Cái</t>
        </is>
      </c>
      <c r="K4052" s="21" t="n">
        <v>1810</v>
      </c>
      <c r="L4052" s="21" t="n"/>
      <c r="M4052" s="22" t="n"/>
      <c r="N4052" s="22" t="n">
        <v>52</v>
      </c>
      <c r="O4052" s="22" t="n">
        <v>94120</v>
      </c>
      <c r="P4052" s="22" t="n">
        <v>52</v>
      </c>
      <c r="Q4052" s="22" t="n">
        <v>94120</v>
      </c>
      <c r="R4052" s="42">
        <f>+L4052+N4052-P4052</f>
        <v/>
      </c>
      <c r="S4052" s="42">
        <f>+M4052+O4052-Q4052</f>
        <v/>
      </c>
    </row>
    <row r="4053" ht="30" customHeight="1">
      <c r="A4053" s="16" t="n">
        <v>46017</v>
      </c>
      <c r="B4053" s="17" t="inlineStr">
        <is>
          <t>MH2512-47</t>
        </is>
      </c>
      <c r="C4053" s="16" t="n">
        <v>46017</v>
      </c>
      <c r="D4053" s="17" t="inlineStr">
        <is>
          <t>00005136</t>
        </is>
      </c>
      <c r="E4053" s="16" t="n">
        <v>46017</v>
      </c>
      <c r="F4053" s="16" t="inlineStr">
        <is>
          <t>XK2512-32</t>
        </is>
      </c>
      <c r="G4053" s="16" t="n">
        <v>46017</v>
      </c>
      <c r="H4053" s="17" t="inlineStr">
        <is>
          <t>CÔNG TY CỔ PHẦN CÔNG NGHIỆP VÀ THƯƠNG MẠI CƯỜNG THỊNH</t>
        </is>
      </c>
      <c r="I4053" s="17" t="inlineStr">
        <is>
          <t>Long đền thường HDG M16B30D2</t>
        </is>
      </c>
      <c r="J4053" s="17" t="inlineStr">
        <is>
          <t>Cái</t>
        </is>
      </c>
      <c r="K4053" s="21" t="n">
        <v>450</v>
      </c>
      <c r="L4053" s="21" t="n"/>
      <c r="M4053" s="22" t="n"/>
      <c r="N4053" s="22" t="n">
        <v>52</v>
      </c>
      <c r="O4053" s="22" t="n">
        <v>23400</v>
      </c>
      <c r="P4053" s="22" t="n">
        <v>52</v>
      </c>
      <c r="Q4053" s="22" t="n">
        <v>23400</v>
      </c>
      <c r="R4053" s="42">
        <f>+L4053+N4053-P4053</f>
        <v/>
      </c>
      <c r="S4053" s="42">
        <f>+M4053+O4053-Q4053</f>
        <v/>
      </c>
    </row>
    <row r="4054" ht="30" customHeight="1">
      <c r="A4054" s="16" t="n">
        <v>46017</v>
      </c>
      <c r="B4054" s="17" t="inlineStr">
        <is>
          <t>MH2512-47</t>
        </is>
      </c>
      <c r="C4054" s="16" t="n">
        <v>46017</v>
      </c>
      <c r="D4054" s="17" t="inlineStr">
        <is>
          <t>00005136</t>
        </is>
      </c>
      <c r="E4054" s="16" t="n">
        <v>46017</v>
      </c>
      <c r="F4054" s="16" t="inlineStr">
        <is>
          <t>XK2512-32</t>
        </is>
      </c>
      <c r="G4054" s="16" t="n">
        <v>46017</v>
      </c>
      <c r="H4054" s="17" t="inlineStr">
        <is>
          <t>CÔNG TY CỔ PHẦN CÔNG NGHIỆP VÀ THƯƠNG MẠI CƯỜNG THỊNH</t>
        </is>
      </c>
      <c r="I4054" s="17" t="inlineStr">
        <is>
          <t>Bulong Din 933 8.8 HDG M16x70</t>
        </is>
      </c>
      <c r="J4054" s="17" t="inlineStr">
        <is>
          <t>Cái</t>
        </is>
      </c>
      <c r="K4054" s="21" t="n">
        <v>5340</v>
      </c>
      <c r="L4054" s="21" t="n"/>
      <c r="M4054" s="22" t="n"/>
      <c r="N4054" s="22" t="n">
        <v>2000</v>
      </c>
      <c r="O4054" s="22" t="n">
        <v>10680000</v>
      </c>
      <c r="P4054" s="22" t="n">
        <v>2000</v>
      </c>
      <c r="Q4054" s="22" t="n">
        <v>10680000</v>
      </c>
      <c r="R4054" s="42">
        <f>+L4054+N4054-P4054</f>
        <v/>
      </c>
      <c r="S4054" s="42">
        <f>+M4054+O4054-Q4054</f>
        <v/>
      </c>
    </row>
    <row r="4055" ht="30" customHeight="1">
      <c r="A4055" s="16" t="n">
        <v>46017</v>
      </c>
      <c r="B4055" s="17" t="inlineStr">
        <is>
          <t>MH2512-47</t>
        </is>
      </c>
      <c r="C4055" s="16" t="n">
        <v>46017</v>
      </c>
      <c r="D4055" s="17" t="inlineStr">
        <is>
          <t>00005136</t>
        </is>
      </c>
      <c r="E4055" s="16" t="n">
        <v>46017</v>
      </c>
      <c r="F4055" s="16" t="inlineStr">
        <is>
          <t>XK2512-32</t>
        </is>
      </c>
      <c r="G4055" s="16" t="n">
        <v>46017</v>
      </c>
      <c r="H4055" s="17" t="inlineStr">
        <is>
          <t>CÔNG TY CỔ PHẦN CÔNG NGHIỆP VÀ THƯƠNG MẠI CƯỜNG THỊNH</t>
        </is>
      </c>
      <c r="I4055" s="17" t="inlineStr">
        <is>
          <t>Đai ốc ISO 4032 8 HDG M16</t>
        </is>
      </c>
      <c r="J4055" s="17" t="inlineStr">
        <is>
          <t>Cái</t>
        </is>
      </c>
      <c r="K4055" s="21" t="n">
        <v>1810</v>
      </c>
      <c r="L4055" s="21" t="n"/>
      <c r="M4055" s="22" t="n"/>
      <c r="N4055" s="22" t="n">
        <v>2000</v>
      </c>
      <c r="O4055" s="22" t="n">
        <v>3620000</v>
      </c>
      <c r="P4055" s="22" t="n">
        <v>2000</v>
      </c>
      <c r="Q4055" s="22" t="n">
        <v>3620000</v>
      </c>
      <c r="R4055" s="42">
        <f>+L4055+N4055-P4055</f>
        <v/>
      </c>
      <c r="S4055" s="42">
        <f>+M4055+O4055-Q4055</f>
        <v/>
      </c>
    </row>
    <row r="4056" ht="30" customHeight="1">
      <c r="A4056" s="16" t="n">
        <v>46017</v>
      </c>
      <c r="B4056" s="17" t="inlineStr">
        <is>
          <t>MH2512-47</t>
        </is>
      </c>
      <c r="C4056" s="16" t="n">
        <v>46017</v>
      </c>
      <c r="D4056" s="17" t="inlineStr">
        <is>
          <t>00005136</t>
        </is>
      </c>
      <c r="E4056" s="16" t="n">
        <v>46017</v>
      </c>
      <c r="F4056" s="16" t="inlineStr">
        <is>
          <t>XK2512-32</t>
        </is>
      </c>
      <c r="G4056" s="16" t="n">
        <v>46017</v>
      </c>
      <c r="H4056" s="17" t="inlineStr">
        <is>
          <t>CÔNG TY CỔ PHẦN CÔNG NGHIỆP VÀ THƯƠNG MẠI CƯỜNG THỊNH</t>
        </is>
      </c>
      <c r="I4056" s="17" t="inlineStr">
        <is>
          <t>Bulong Din 933 8.8 HDG M20x60</t>
        </is>
      </c>
      <c r="J4056" s="17" t="inlineStr">
        <is>
          <t>Cái</t>
        </is>
      </c>
      <c r="K4056" s="21" t="n">
        <v>8060</v>
      </c>
      <c r="L4056" s="21" t="n"/>
      <c r="M4056" s="22" t="n"/>
      <c r="N4056" s="22" t="n">
        <v>839</v>
      </c>
      <c r="O4056" s="22" t="n">
        <v>6762340</v>
      </c>
      <c r="P4056" s="22" t="n">
        <v>839</v>
      </c>
      <c r="Q4056" s="22" t="n">
        <v>6762340</v>
      </c>
      <c r="R4056" s="42">
        <f>+L4056+N4056-P4056</f>
        <v/>
      </c>
      <c r="S4056" s="42">
        <f>+M4056+O4056-Q4056</f>
        <v/>
      </c>
    </row>
    <row r="4057" ht="30" customHeight="1">
      <c r="A4057" s="16" t="n">
        <v>46017</v>
      </c>
      <c r="B4057" s="17" t="inlineStr">
        <is>
          <t>MH2512-47</t>
        </is>
      </c>
      <c r="C4057" s="16" t="n">
        <v>46017</v>
      </c>
      <c r="D4057" s="17" t="inlineStr">
        <is>
          <t>00005136</t>
        </is>
      </c>
      <c r="E4057" s="16" t="n">
        <v>46017</v>
      </c>
      <c r="F4057" s="16" t="inlineStr">
        <is>
          <t>XK2512-32</t>
        </is>
      </c>
      <c r="G4057" s="16" t="n">
        <v>46017</v>
      </c>
      <c r="H4057" s="17" t="inlineStr">
        <is>
          <t>CÔNG TY CỔ PHẦN CÔNG NGHIỆP VÀ THƯƠNG MẠI CƯỜNG THỊNH</t>
        </is>
      </c>
      <c r="I4057" s="17" t="inlineStr">
        <is>
          <t>Đai ốc ISO 4032 8 HDG M20</t>
        </is>
      </c>
      <c r="J4057" s="17" t="inlineStr">
        <is>
          <t>Cái</t>
        </is>
      </c>
      <c r="K4057" s="21" t="n">
        <v>3340</v>
      </c>
      <c r="L4057" s="21" t="n"/>
      <c r="M4057" s="22" t="n"/>
      <c r="N4057" s="22" t="n">
        <v>839</v>
      </c>
      <c r="O4057" s="22" t="n">
        <v>2802260</v>
      </c>
      <c r="P4057" s="22" t="n">
        <v>839</v>
      </c>
      <c r="Q4057" s="22" t="n">
        <v>2802260</v>
      </c>
      <c r="R4057" s="42">
        <f>+L4057+N4057-P4057</f>
        <v/>
      </c>
      <c r="S4057" s="42">
        <f>+M4057+O4057-Q4057</f>
        <v/>
      </c>
    </row>
    <row r="4058" ht="30" customHeight="1">
      <c r="A4058" s="16" t="n">
        <v>46017</v>
      </c>
      <c r="B4058" s="17" t="inlineStr">
        <is>
          <t>MH2512-47</t>
        </is>
      </c>
      <c r="C4058" s="16" t="n">
        <v>46017</v>
      </c>
      <c r="D4058" s="17" t="inlineStr">
        <is>
          <t>00005136</t>
        </is>
      </c>
      <c r="E4058" s="16" t="n">
        <v>46017</v>
      </c>
      <c r="F4058" s="16" t="inlineStr">
        <is>
          <t>XK2512-32</t>
        </is>
      </c>
      <c r="G4058" s="16" t="n">
        <v>46017</v>
      </c>
      <c r="H4058" s="17" t="inlineStr">
        <is>
          <t>CÔNG TY CỔ PHẦN CÔNG NGHIỆP VÀ THƯƠNG MẠI CƯỜNG THỊNH</t>
        </is>
      </c>
      <c r="I4058" s="17" t="inlineStr">
        <is>
          <t>Long đền thường HDG M20B35D2</t>
        </is>
      </c>
      <c r="J4058" s="17" t="inlineStr">
        <is>
          <t>Cái</t>
        </is>
      </c>
      <c r="K4058" s="21" t="n">
        <v>570</v>
      </c>
      <c r="L4058" s="21" t="n"/>
      <c r="M4058" s="22" t="n"/>
      <c r="N4058" s="22" t="n">
        <v>839</v>
      </c>
      <c r="O4058" s="22" t="n">
        <v>478230</v>
      </c>
      <c r="P4058" s="22" t="n">
        <v>839</v>
      </c>
      <c r="Q4058" s="22" t="n">
        <v>478230</v>
      </c>
      <c r="R4058" s="42">
        <f>+L4058+N4058-P4058</f>
        <v/>
      </c>
      <c r="S4058" s="42">
        <f>+M4058+O4058-Q4058</f>
        <v/>
      </c>
    </row>
    <row r="4059" ht="30" customHeight="1">
      <c r="A4059" s="16" t="n">
        <v>46017</v>
      </c>
      <c r="B4059" s="17" t="inlineStr">
        <is>
          <t>MH2512-47</t>
        </is>
      </c>
      <c r="C4059" s="16" t="n">
        <v>46017</v>
      </c>
      <c r="D4059" s="17" t="inlineStr">
        <is>
          <t>00005136</t>
        </is>
      </c>
      <c r="E4059" s="16" t="n">
        <v>46017</v>
      </c>
      <c r="F4059" s="16" t="inlineStr">
        <is>
          <t>XK2512-32</t>
        </is>
      </c>
      <c r="G4059" s="16" t="n">
        <v>46017</v>
      </c>
      <c r="H4059" s="17" t="inlineStr">
        <is>
          <t>CÔNG TY CỔ PHẦN CÔNG NGHIỆP VÀ THƯƠNG MẠI CƯỜNG THỊNH</t>
        </is>
      </c>
      <c r="I4059" s="17" t="inlineStr">
        <is>
          <t>Bulong Din 933 8.8 HDG M20x60</t>
        </is>
      </c>
      <c r="J4059" s="17" t="inlineStr">
        <is>
          <t>Cái</t>
        </is>
      </c>
      <c r="K4059" s="21" t="n">
        <v>7960</v>
      </c>
      <c r="L4059" s="21" t="n"/>
      <c r="M4059" s="22" t="n"/>
      <c r="N4059" s="22" t="n">
        <v>1530</v>
      </c>
      <c r="O4059" s="22" t="n">
        <v>12178800</v>
      </c>
      <c r="P4059" s="22" t="n">
        <v>1530</v>
      </c>
      <c r="Q4059" s="22" t="n">
        <v>12178800</v>
      </c>
      <c r="R4059" s="42">
        <f>+L4059+N4059-P4059</f>
        <v/>
      </c>
      <c r="S4059" s="42">
        <f>+M4059+O4059-Q4059</f>
        <v/>
      </c>
    </row>
    <row r="4060" ht="30" customHeight="1">
      <c r="A4060" s="16" t="n">
        <v>46017</v>
      </c>
      <c r="B4060" s="17" t="inlineStr">
        <is>
          <t>MH2512-47</t>
        </is>
      </c>
      <c r="C4060" s="16" t="n">
        <v>46017</v>
      </c>
      <c r="D4060" s="17" t="inlineStr">
        <is>
          <t>00005136</t>
        </is>
      </c>
      <c r="E4060" s="16" t="n">
        <v>46017</v>
      </c>
      <c r="F4060" s="16" t="inlineStr">
        <is>
          <t>XK2512-32</t>
        </is>
      </c>
      <c r="G4060" s="16" t="n">
        <v>46017</v>
      </c>
      <c r="H4060" s="17" t="inlineStr">
        <is>
          <t>CÔNG TY CỔ PHẦN CÔNG NGHIỆP VÀ THƯƠNG MẠI CƯỜNG THỊNH</t>
        </is>
      </c>
      <c r="I4060" s="17" t="inlineStr">
        <is>
          <t>Đai ốc ISO 4032 8 HDG M20</t>
        </is>
      </c>
      <c r="J4060" s="17" t="inlineStr">
        <is>
          <t>Cái</t>
        </is>
      </c>
      <c r="K4060" s="21" t="n">
        <v>3340</v>
      </c>
      <c r="L4060" s="21" t="n"/>
      <c r="M4060" s="22" t="n"/>
      <c r="N4060" s="22" t="n">
        <v>1530</v>
      </c>
      <c r="O4060" s="22" t="n">
        <v>5110200</v>
      </c>
      <c r="P4060" s="22" t="n">
        <v>1530</v>
      </c>
      <c r="Q4060" s="22" t="n">
        <v>5110200</v>
      </c>
      <c r="R4060" s="42">
        <f>+L4060+N4060-P4060</f>
        <v/>
      </c>
      <c r="S4060" s="42">
        <f>+M4060+O4060-Q4060</f>
        <v/>
      </c>
    </row>
    <row r="4061" ht="30" customHeight="1">
      <c r="A4061" s="16" t="n">
        <v>46017</v>
      </c>
      <c r="B4061" s="17" t="inlineStr">
        <is>
          <t>MH2512-47</t>
        </is>
      </c>
      <c r="C4061" s="16" t="n">
        <v>46017</v>
      </c>
      <c r="D4061" s="17" t="inlineStr">
        <is>
          <t>00005136</t>
        </is>
      </c>
      <c r="E4061" s="16" t="n">
        <v>46017</v>
      </c>
      <c r="F4061" s="16" t="inlineStr">
        <is>
          <t>XK2512-32</t>
        </is>
      </c>
      <c r="G4061" s="16" t="n">
        <v>46017</v>
      </c>
      <c r="H4061" s="17" t="inlineStr">
        <is>
          <t>CÔNG TY CỔ PHẦN CÔNG NGHIỆP VÀ THƯƠNG MẠI CƯỜNG THỊNH</t>
        </is>
      </c>
      <c r="I4061" s="17" t="inlineStr">
        <is>
          <t>Bulong Din 933 8.8 HDG M20x80</t>
        </is>
      </c>
      <c r="J4061" s="17" t="inlineStr">
        <is>
          <t>Cái</t>
        </is>
      </c>
      <c r="K4061" s="21" t="n">
        <v>9470</v>
      </c>
      <c r="L4061" s="21" t="n"/>
      <c r="M4061" s="22" t="n"/>
      <c r="N4061" s="22" t="n">
        <v>999</v>
      </c>
      <c r="O4061" s="22" t="n">
        <v>9460530</v>
      </c>
      <c r="P4061" s="22" t="n">
        <v>999</v>
      </c>
      <c r="Q4061" s="22" t="n">
        <v>9460530</v>
      </c>
      <c r="R4061" s="42">
        <f>+L4061+N4061-P4061</f>
        <v/>
      </c>
      <c r="S4061" s="42">
        <f>+M4061+O4061-Q4061</f>
        <v/>
      </c>
    </row>
    <row r="4062" ht="30" customHeight="1">
      <c r="A4062" s="16" t="n">
        <v>46017</v>
      </c>
      <c r="B4062" s="17" t="inlineStr">
        <is>
          <t>MH2512-47</t>
        </is>
      </c>
      <c r="C4062" s="16" t="n">
        <v>46017</v>
      </c>
      <c r="D4062" s="17" t="inlineStr">
        <is>
          <t>00005136</t>
        </is>
      </c>
      <c r="E4062" s="16" t="n">
        <v>46017</v>
      </c>
      <c r="F4062" s="16" t="inlineStr">
        <is>
          <t>XK2512-32</t>
        </is>
      </c>
      <c r="G4062" s="16" t="n">
        <v>46017</v>
      </c>
      <c r="H4062" s="17" t="inlineStr">
        <is>
          <t>CÔNG TY CỔ PHẦN CÔNG NGHIỆP VÀ THƯƠNG MẠI CƯỜNG THỊNH</t>
        </is>
      </c>
      <c r="I4062" s="17" t="inlineStr">
        <is>
          <t>Đai ốc ISO 4032 8 HDG M20</t>
        </is>
      </c>
      <c r="J4062" s="17" t="inlineStr">
        <is>
          <t>Cái</t>
        </is>
      </c>
      <c r="K4062" s="21" t="n">
        <v>3340</v>
      </c>
      <c r="L4062" s="21" t="n"/>
      <c r="M4062" s="22" t="n"/>
      <c r="N4062" s="22" t="n">
        <v>999</v>
      </c>
      <c r="O4062" s="22" t="n">
        <v>3336660</v>
      </c>
      <c r="P4062" s="22" t="n">
        <v>999</v>
      </c>
      <c r="Q4062" s="22" t="n">
        <v>3336660</v>
      </c>
      <c r="R4062" s="42">
        <f>+L4062+N4062-P4062</f>
        <v/>
      </c>
      <c r="S4062" s="42">
        <f>+M4062+O4062-Q4062</f>
        <v/>
      </c>
    </row>
    <row r="4063" ht="30" customHeight="1">
      <c r="A4063" s="16" t="n">
        <v>46017</v>
      </c>
      <c r="B4063" s="17" t="inlineStr">
        <is>
          <t>MH2512-47</t>
        </is>
      </c>
      <c r="C4063" s="16" t="n">
        <v>46017</v>
      </c>
      <c r="D4063" s="17" t="inlineStr">
        <is>
          <t>00005136</t>
        </is>
      </c>
      <c r="E4063" s="16" t="n">
        <v>46017</v>
      </c>
      <c r="F4063" s="16" t="inlineStr">
        <is>
          <t>XK2512-32</t>
        </is>
      </c>
      <c r="G4063" s="16" t="n">
        <v>46017</v>
      </c>
      <c r="H4063" s="17" t="inlineStr">
        <is>
          <t>CÔNG TY CỔ PHẦN CÔNG NGHIỆP VÀ THƯƠNG MẠI CƯỜNG THỊNH</t>
        </is>
      </c>
      <c r="I4063" s="17" t="inlineStr">
        <is>
          <t>Long đền thường HDG M20B35D2</t>
        </is>
      </c>
      <c r="J4063" s="17" t="inlineStr">
        <is>
          <t>Cái</t>
        </is>
      </c>
      <c r="K4063" s="21" t="n">
        <v>570</v>
      </c>
      <c r="L4063" s="21" t="n"/>
      <c r="M4063" s="22" t="n"/>
      <c r="N4063" s="22" t="n">
        <v>999</v>
      </c>
      <c r="O4063" s="22" t="n">
        <v>569430</v>
      </c>
      <c r="P4063" s="22" t="n">
        <v>999</v>
      </c>
      <c r="Q4063" s="22" t="n">
        <v>569430</v>
      </c>
      <c r="R4063" s="42">
        <f>+L4063+N4063-P4063</f>
        <v/>
      </c>
      <c r="S4063" s="42">
        <f>+M4063+O4063-Q4063</f>
        <v/>
      </c>
    </row>
    <row r="4064" ht="30" customHeight="1">
      <c r="A4064" s="16" t="n">
        <v>46017</v>
      </c>
      <c r="B4064" s="17" t="inlineStr">
        <is>
          <t>MH2512-47</t>
        </is>
      </c>
      <c r="C4064" s="16" t="n">
        <v>46017</v>
      </c>
      <c r="D4064" s="17" t="inlineStr">
        <is>
          <t>00005136</t>
        </is>
      </c>
      <c r="E4064" s="16" t="n">
        <v>46017</v>
      </c>
      <c r="F4064" s="16" t="inlineStr">
        <is>
          <t>XK2512-32</t>
        </is>
      </c>
      <c r="G4064" s="16" t="n">
        <v>46017</v>
      </c>
      <c r="H4064" s="17" t="inlineStr">
        <is>
          <t>CÔNG TY CỔ PHẦN CÔNG NGHIỆP VÀ THƯƠNG MẠI CƯỜNG THỊNH</t>
        </is>
      </c>
      <c r="I4064" s="17" t="inlineStr">
        <is>
          <t>Bulong Din 933 8.8 HDG M24x90</t>
        </is>
      </c>
      <c r="J4064" s="17" t="inlineStr">
        <is>
          <t>Cái</t>
        </is>
      </c>
      <c r="K4064" s="21" t="n">
        <v>15910</v>
      </c>
      <c r="L4064" s="21" t="n"/>
      <c r="M4064" s="22" t="n"/>
      <c r="N4064" s="22" t="n">
        <v>17</v>
      </c>
      <c r="O4064" s="22" t="n">
        <v>270470</v>
      </c>
      <c r="P4064" s="22" t="n">
        <v>17</v>
      </c>
      <c r="Q4064" s="22" t="n">
        <v>270470</v>
      </c>
      <c r="R4064" s="42">
        <f>+L4064+N4064-P4064</f>
        <v/>
      </c>
      <c r="S4064" s="42">
        <f>+M4064+O4064-Q4064</f>
        <v/>
      </c>
    </row>
    <row r="4065" ht="30" customHeight="1">
      <c r="A4065" s="16" t="n">
        <v>46017</v>
      </c>
      <c r="B4065" s="17" t="inlineStr">
        <is>
          <t>MH2512-47</t>
        </is>
      </c>
      <c r="C4065" s="16" t="n">
        <v>46017</v>
      </c>
      <c r="D4065" s="17" t="inlineStr">
        <is>
          <t>00005136</t>
        </is>
      </c>
      <c r="E4065" s="16" t="n">
        <v>46017</v>
      </c>
      <c r="F4065" s="16" t="inlineStr">
        <is>
          <t>XK2512-32</t>
        </is>
      </c>
      <c r="G4065" s="16" t="n">
        <v>46017</v>
      </c>
      <c r="H4065" s="17" t="inlineStr">
        <is>
          <t>CÔNG TY CỔ PHẦN CÔNG NGHIỆP VÀ THƯƠNG MẠI CƯỜNG THỊNH</t>
        </is>
      </c>
      <c r="I4065" s="17" t="inlineStr">
        <is>
          <t>Đai ốc ISO 4032 8 HDG M24</t>
        </is>
      </c>
      <c r="J4065" s="17" t="inlineStr">
        <is>
          <t>Cái</t>
        </is>
      </c>
      <c r="K4065" s="21" t="n">
        <v>5510</v>
      </c>
      <c r="L4065" s="21" t="n"/>
      <c r="M4065" s="22" t="n"/>
      <c r="N4065" s="22" t="n">
        <v>17</v>
      </c>
      <c r="O4065" s="22" t="n">
        <v>93670</v>
      </c>
      <c r="P4065" s="22" t="n">
        <v>17</v>
      </c>
      <c r="Q4065" s="22" t="n">
        <v>93670</v>
      </c>
      <c r="R4065" s="42">
        <f>+L4065+N4065-P4065</f>
        <v/>
      </c>
      <c r="S4065" s="42">
        <f>+M4065+O4065-Q4065</f>
        <v/>
      </c>
    </row>
    <row r="4066" ht="30" customHeight="1">
      <c r="A4066" s="16" t="n">
        <v>46017</v>
      </c>
      <c r="B4066" s="17" t="inlineStr">
        <is>
          <t>MH2512-47</t>
        </is>
      </c>
      <c r="C4066" s="16" t="n">
        <v>46017</v>
      </c>
      <c r="D4066" s="17" t="inlineStr">
        <is>
          <t>00005136</t>
        </is>
      </c>
      <c r="E4066" s="16" t="n">
        <v>46017</v>
      </c>
      <c r="F4066" s="16" t="inlineStr">
        <is>
          <t>XK2512-32</t>
        </is>
      </c>
      <c r="G4066" s="16" t="n">
        <v>46017</v>
      </c>
      <c r="H4066" s="17" t="inlineStr">
        <is>
          <t>CÔNG TY CỔ PHẦN CÔNG NGHIỆP VÀ THƯƠNG MẠI CƯỜNG THỊNH</t>
        </is>
      </c>
      <c r="I4066" s="17" t="inlineStr">
        <is>
          <t>Long đền thường HDG M24B42D2</t>
        </is>
      </c>
      <c r="J4066" s="17" t="inlineStr">
        <is>
          <t>Cái</t>
        </is>
      </c>
      <c r="K4066" s="21" t="n">
        <v>960</v>
      </c>
      <c r="L4066" s="21" t="n"/>
      <c r="M4066" s="22" t="n"/>
      <c r="N4066" s="22" t="n">
        <v>17</v>
      </c>
      <c r="O4066" s="22" t="n">
        <v>16320</v>
      </c>
      <c r="P4066" s="22" t="n">
        <v>17</v>
      </c>
      <c r="Q4066" s="22" t="n">
        <v>16320</v>
      </c>
      <c r="R4066" s="42">
        <f>+L4066+N4066-P4066</f>
        <v/>
      </c>
      <c r="S4066" s="42">
        <f>+M4066+O4066-Q4066</f>
        <v/>
      </c>
    </row>
    <row r="4067" ht="30" customHeight="1">
      <c r="A4067" s="16" t="n">
        <v>46017</v>
      </c>
      <c r="B4067" s="17" t="inlineStr">
        <is>
          <t>MH2512-47</t>
        </is>
      </c>
      <c r="C4067" s="16" t="n">
        <v>46017</v>
      </c>
      <c r="D4067" s="17" t="inlineStr">
        <is>
          <t>00005136</t>
        </is>
      </c>
      <c r="E4067" s="16" t="n">
        <v>46017</v>
      </c>
      <c r="F4067" s="16" t="inlineStr">
        <is>
          <t>XK2512-32</t>
        </is>
      </c>
      <c r="G4067" s="16" t="n">
        <v>46017</v>
      </c>
      <c r="H4067" s="17" t="inlineStr">
        <is>
          <t>CÔNG TY CỔ PHẦN CÔNG NGHIỆP VÀ THƯƠNG MẠI CƯỜNG THỊNH</t>
        </is>
      </c>
      <c r="I4067" s="17" t="inlineStr">
        <is>
          <t>Bulong Din 933 8.8 HDG M24x90</t>
        </is>
      </c>
      <c r="J4067" s="17" t="inlineStr">
        <is>
          <t>Cái</t>
        </is>
      </c>
      <c r="K4067" s="21" t="n">
        <v>15750</v>
      </c>
      <c r="L4067" s="21" t="n"/>
      <c r="M4067" s="22" t="n"/>
      <c r="N4067" s="22" t="n">
        <v>850</v>
      </c>
      <c r="O4067" s="22" t="n">
        <v>13387500</v>
      </c>
      <c r="P4067" s="22" t="n">
        <v>850</v>
      </c>
      <c r="Q4067" s="22" t="n">
        <v>13387500</v>
      </c>
      <c r="R4067" s="42">
        <f>+L4067+N4067-P4067</f>
        <v/>
      </c>
      <c r="S4067" s="42">
        <f>+M4067+O4067-Q4067</f>
        <v/>
      </c>
    </row>
    <row r="4068" ht="30" customHeight="1">
      <c r="A4068" s="16" t="n">
        <v>46017</v>
      </c>
      <c r="B4068" s="17" t="inlineStr">
        <is>
          <t>MH2512-47</t>
        </is>
      </c>
      <c r="C4068" s="16" t="n">
        <v>46017</v>
      </c>
      <c r="D4068" s="17" t="inlineStr">
        <is>
          <t>00005136</t>
        </is>
      </c>
      <c r="E4068" s="16" t="n">
        <v>46017</v>
      </c>
      <c r="F4068" s="16" t="inlineStr">
        <is>
          <t>XK2512-32</t>
        </is>
      </c>
      <c r="G4068" s="16" t="n">
        <v>46017</v>
      </c>
      <c r="H4068" s="17" t="inlineStr">
        <is>
          <t>CÔNG TY CỔ PHẦN CÔNG NGHIỆP VÀ THƯƠNG MẠI CƯỜNG THỊNH</t>
        </is>
      </c>
      <c r="I4068" s="17" t="inlineStr">
        <is>
          <t>Đai ốc ISO 4032 8 HDG M24</t>
        </is>
      </c>
      <c r="J4068" s="17" t="inlineStr">
        <is>
          <t>Cái</t>
        </is>
      </c>
      <c r="K4068" s="21" t="n">
        <v>5510</v>
      </c>
      <c r="L4068" s="21" t="n"/>
      <c r="M4068" s="22" t="n"/>
      <c r="N4068" s="22" t="n">
        <v>850</v>
      </c>
      <c r="O4068" s="22" t="n">
        <v>4683500</v>
      </c>
      <c r="P4068" s="22" t="n">
        <v>850</v>
      </c>
      <c r="Q4068" s="22" t="n">
        <v>4683500</v>
      </c>
      <c r="R4068" s="42">
        <f>+L4068+N4068-P4068</f>
        <v/>
      </c>
      <c r="S4068" s="42">
        <f>+M4068+O4068-Q4068</f>
        <v/>
      </c>
    </row>
    <row r="4069" ht="30" customHeight="1">
      <c r="A4069" s="16" t="n">
        <v>46017</v>
      </c>
      <c r="B4069" s="17" t="inlineStr">
        <is>
          <t>MH2512-47</t>
        </is>
      </c>
      <c r="C4069" s="16" t="n">
        <v>46017</v>
      </c>
      <c r="D4069" s="17" t="inlineStr">
        <is>
          <t>00005136</t>
        </is>
      </c>
      <c r="E4069" s="16" t="n">
        <v>46017</v>
      </c>
      <c r="F4069" s="16" t="inlineStr">
        <is>
          <t>XK2512-32</t>
        </is>
      </c>
      <c r="G4069" s="16" t="n">
        <v>46017</v>
      </c>
      <c r="H4069" s="17" t="inlineStr">
        <is>
          <t>CÔNG TY CỔ PHẦN CÔNG NGHIỆP VÀ THƯƠNG MẠI CƯỜNG THỊNH</t>
        </is>
      </c>
      <c r="I4069" s="17" t="inlineStr">
        <is>
          <t>Bulong nở 4.6 HDG M12x120</t>
        </is>
      </c>
      <c r="J4069" s="17" t="inlineStr">
        <is>
          <t>Cái</t>
        </is>
      </c>
      <c r="K4069" s="21" t="n">
        <v>13410</v>
      </c>
      <c r="L4069" s="21" t="n"/>
      <c r="M4069" s="22" t="n"/>
      <c r="N4069" s="22" t="n">
        <v>187</v>
      </c>
      <c r="O4069" s="22" t="n">
        <v>2507670</v>
      </c>
      <c r="P4069" s="22" t="n">
        <v>187</v>
      </c>
      <c r="Q4069" s="22" t="n">
        <v>2507670</v>
      </c>
      <c r="R4069" s="42">
        <f>+L4069+N4069-P4069</f>
        <v/>
      </c>
      <c r="S4069" s="42">
        <f>+M4069+O4069-Q4069</f>
        <v/>
      </c>
    </row>
    <row r="4070" ht="30" customHeight="1">
      <c r="A4070" s="16" t="n">
        <v>46017</v>
      </c>
      <c r="B4070" s="17" t="inlineStr">
        <is>
          <t>MH2512-47</t>
        </is>
      </c>
      <c r="C4070" s="16" t="n">
        <v>46017</v>
      </c>
      <c r="D4070" s="17" t="inlineStr">
        <is>
          <t>00005136</t>
        </is>
      </c>
      <c r="E4070" s="16" t="n">
        <v>46017</v>
      </c>
      <c r="F4070" s="16" t="inlineStr">
        <is>
          <t>XK2512-32</t>
        </is>
      </c>
      <c r="G4070" s="16" t="n">
        <v>46017</v>
      </c>
      <c r="H4070" s="17" t="inlineStr">
        <is>
          <t>CÔNG TY CỔ PHẦN CÔNG NGHIỆP VÀ THƯƠNG MẠI CƯỜNG THỊNH</t>
        </is>
      </c>
      <c r="I4070" s="17" t="inlineStr">
        <is>
          <t>Bulong nở 4.6 HDG M20x250</t>
        </is>
      </c>
      <c r="J4070" s="17" t="inlineStr">
        <is>
          <t>Cái</t>
        </is>
      </c>
      <c r="K4070" s="21" t="n">
        <v>63180</v>
      </c>
      <c r="L4070" s="21" t="n"/>
      <c r="M4070" s="22" t="n"/>
      <c r="N4070" s="22" t="n">
        <v>202</v>
      </c>
      <c r="O4070" s="22" t="n">
        <v>12762360</v>
      </c>
      <c r="P4070" s="22" t="n">
        <v>202</v>
      </c>
      <c r="Q4070" s="22" t="n">
        <v>12762360</v>
      </c>
      <c r="R4070" s="42">
        <f>+L4070+N4070-P4070</f>
        <v/>
      </c>
      <c r="S4070" s="42">
        <f>+M4070+O4070-Q4070</f>
        <v/>
      </c>
    </row>
    <row r="4071" ht="30" customHeight="1">
      <c r="A4071" s="16" t="n">
        <v>46017</v>
      </c>
      <c r="B4071" s="17" t="inlineStr">
        <is>
          <t>MH2512-47</t>
        </is>
      </c>
      <c r="C4071" s="16" t="n">
        <v>46017</v>
      </c>
      <c r="D4071" s="17" t="inlineStr">
        <is>
          <t>00005136</t>
        </is>
      </c>
      <c r="E4071" s="16" t="n">
        <v>46017</v>
      </c>
      <c r="F4071" s="16" t="inlineStr">
        <is>
          <t>XK2512-32</t>
        </is>
      </c>
      <c r="G4071" s="16" t="n">
        <v>46017</v>
      </c>
      <c r="H4071" s="17" t="inlineStr">
        <is>
          <t>CÔNG TY CỔ PHẦN CÔNG NGHIỆP VÀ THƯƠNG MẠI CƯỜNG THỊNH</t>
        </is>
      </c>
      <c r="I4071" s="17" t="inlineStr">
        <is>
          <t>Long đền thường HDG M16B30D2</t>
        </is>
      </c>
      <c r="J4071" s="17" t="inlineStr">
        <is>
          <t>Cái</t>
        </is>
      </c>
      <c r="K4071" s="21" t="n">
        <v>450</v>
      </c>
      <c r="L4071" s="21" t="n"/>
      <c r="M4071" s="22" t="n"/>
      <c r="N4071" s="22" t="n">
        <v>2000</v>
      </c>
      <c r="O4071" s="22" t="n">
        <v>900000</v>
      </c>
      <c r="P4071" s="22" t="n">
        <v>2000</v>
      </c>
      <c r="Q4071" s="22" t="n">
        <v>900000</v>
      </c>
      <c r="R4071" s="42">
        <f>+L4071+N4071-P4071</f>
        <v/>
      </c>
      <c r="S4071" s="42">
        <f>+M4071+O4071-Q4071</f>
        <v/>
      </c>
    </row>
    <row r="4072" ht="30" customHeight="1">
      <c r="A4072" s="16" t="n">
        <v>46017</v>
      </c>
      <c r="B4072" s="17" t="inlineStr">
        <is>
          <t>MH2512-47</t>
        </is>
      </c>
      <c r="C4072" s="16" t="n">
        <v>46017</v>
      </c>
      <c r="D4072" s="17" t="inlineStr">
        <is>
          <t>00005136</t>
        </is>
      </c>
      <c r="E4072" s="16" t="n">
        <v>46017</v>
      </c>
      <c r="F4072" s="16" t="inlineStr">
        <is>
          <t>XK2512-32</t>
        </is>
      </c>
      <c r="G4072" s="16" t="n">
        <v>46017</v>
      </c>
      <c r="H4072" s="17" t="inlineStr">
        <is>
          <t>CÔNG TY CỔ PHẦN CÔNG NGHIỆP VÀ THƯƠNG MẠI CƯỜNG THỊNH</t>
        </is>
      </c>
      <c r="I4072" s="17" t="inlineStr">
        <is>
          <t>Long đền thường HDG M20B35D2</t>
        </is>
      </c>
      <c r="J4072" s="17" t="inlineStr">
        <is>
          <t>Cái</t>
        </is>
      </c>
      <c r="K4072" s="21" t="n">
        <v>570</v>
      </c>
      <c r="L4072" s="21" t="n"/>
      <c r="M4072" s="22" t="n"/>
      <c r="N4072" s="22" t="n">
        <v>1530</v>
      </c>
      <c r="O4072" s="22" t="n">
        <v>872100</v>
      </c>
      <c r="P4072" s="22" t="n">
        <v>1530</v>
      </c>
      <c r="Q4072" s="22" t="n">
        <v>872100</v>
      </c>
      <c r="R4072" s="42">
        <f>+L4072+N4072-P4072</f>
        <v/>
      </c>
      <c r="S4072" s="42">
        <f>+M4072+O4072-Q4072</f>
        <v/>
      </c>
    </row>
    <row r="4073" ht="30" customHeight="1">
      <c r="A4073" s="16" t="n">
        <v>46017</v>
      </c>
      <c r="B4073" s="17" t="inlineStr">
        <is>
          <t>MH2512-47</t>
        </is>
      </c>
      <c r="C4073" s="16" t="n">
        <v>46017</v>
      </c>
      <c r="D4073" s="17" t="inlineStr">
        <is>
          <t>00005136</t>
        </is>
      </c>
      <c r="E4073" s="16" t="n">
        <v>46017</v>
      </c>
      <c r="F4073" s="16" t="inlineStr">
        <is>
          <t>XK2512-32</t>
        </is>
      </c>
      <c r="G4073" s="16" t="n">
        <v>46017</v>
      </c>
      <c r="H4073" s="17" t="inlineStr">
        <is>
          <t>CÔNG TY CỔ PHẦN CÔNG NGHIỆP VÀ THƯƠNG MẠI CƯỜNG THỊNH</t>
        </is>
      </c>
      <c r="I4073" s="17" t="inlineStr">
        <is>
          <t>Long đền thường HDG M24B42D2</t>
        </is>
      </c>
      <c r="J4073" s="17" t="inlineStr">
        <is>
          <t>Cái</t>
        </is>
      </c>
      <c r="K4073" s="21" t="n">
        <v>960</v>
      </c>
      <c r="L4073" s="21" t="n"/>
      <c r="M4073" s="22" t="n"/>
      <c r="N4073" s="22" t="n">
        <v>850</v>
      </c>
      <c r="O4073" s="22" t="n">
        <v>816000</v>
      </c>
      <c r="P4073" s="22" t="n">
        <v>850</v>
      </c>
      <c r="Q4073" s="22" t="n">
        <v>816000</v>
      </c>
      <c r="R4073" s="42">
        <f>+L4073+N4073-P4073</f>
        <v/>
      </c>
      <c r="S4073" s="42">
        <f>+M4073+O4073-Q4073</f>
        <v/>
      </c>
    </row>
    <row r="4074" ht="30" customHeight="1">
      <c r="A4074" s="16" t="n">
        <v>46017</v>
      </c>
      <c r="B4074" s="17" t="inlineStr">
        <is>
          <t>MH2512-48</t>
        </is>
      </c>
      <c r="C4074" s="16" t="n">
        <v>46017</v>
      </c>
      <c r="D4074" s="17" t="inlineStr">
        <is>
          <t>00005153</t>
        </is>
      </c>
      <c r="E4074" s="16" t="n">
        <v>46017</v>
      </c>
      <c r="F4074" s="16" t="inlineStr">
        <is>
          <t>XK2512-33</t>
        </is>
      </c>
      <c r="G4074" s="16" t="n">
        <v>46017</v>
      </c>
      <c r="H4074" s="17" t="inlineStr">
        <is>
          <t>CÔNG TY CỔ PHẦN CÔNG NGHIỆP VÀ THƯƠNG MẠI CƯỜNG THỊNH</t>
        </is>
      </c>
      <c r="I4074" s="17" t="inlineStr">
        <is>
          <t>Bulong Din 933 8.8 ZP M20x40</t>
        </is>
      </c>
      <c r="J4074" s="17" t="inlineStr">
        <is>
          <t>Cái</t>
        </is>
      </c>
      <c r="K4074" s="21" t="n">
        <v>5050</v>
      </c>
      <c r="L4074" s="21" t="n"/>
      <c r="M4074" s="22" t="n"/>
      <c r="N4074" s="22" t="n">
        <v>1261</v>
      </c>
      <c r="O4074" s="22" t="n">
        <v>6368050</v>
      </c>
      <c r="P4074" s="22" t="n">
        <v>1261</v>
      </c>
      <c r="Q4074" s="22" t="n">
        <v>6368050</v>
      </c>
      <c r="R4074" s="42">
        <f>+L4074+N4074-P4074</f>
        <v/>
      </c>
      <c r="S4074" s="42">
        <f>+M4074+O4074-Q4074</f>
        <v/>
      </c>
    </row>
    <row r="4075" ht="30" customHeight="1">
      <c r="A4075" s="16" t="n">
        <v>46017</v>
      </c>
      <c r="B4075" s="17" t="inlineStr">
        <is>
          <t>MH2512-48</t>
        </is>
      </c>
      <c r="C4075" s="16" t="n">
        <v>46017</v>
      </c>
      <c r="D4075" s="17" t="inlineStr">
        <is>
          <t>00005153</t>
        </is>
      </c>
      <c r="E4075" s="16" t="n">
        <v>46017</v>
      </c>
      <c r="F4075" s="16" t="inlineStr">
        <is>
          <t>XK2512-33</t>
        </is>
      </c>
      <c r="G4075" s="16" t="n">
        <v>46017</v>
      </c>
      <c r="H4075" s="17" t="inlineStr">
        <is>
          <t>CÔNG TY CỔ PHẦN CÔNG NGHIỆP VÀ THƯƠNG MẠI CƯỜNG THỊNH</t>
        </is>
      </c>
      <c r="I4075" s="17" t="inlineStr">
        <is>
          <t>Đai ốc Din 934 8 ZP M20</t>
        </is>
      </c>
      <c r="J4075" s="17" t="inlineStr">
        <is>
          <t>Cái</t>
        </is>
      </c>
      <c r="K4075" s="21" t="n">
        <v>2030</v>
      </c>
      <c r="L4075" s="21" t="n"/>
      <c r="M4075" s="22" t="n"/>
      <c r="N4075" s="22" t="n">
        <v>1261</v>
      </c>
      <c r="O4075" s="22" t="n">
        <v>2559830</v>
      </c>
      <c r="P4075" s="22" t="n">
        <v>1261</v>
      </c>
      <c r="Q4075" s="22" t="n">
        <v>2559830</v>
      </c>
      <c r="R4075" s="42">
        <f>+L4075+N4075-P4075</f>
        <v/>
      </c>
      <c r="S4075" s="42">
        <f>+M4075+O4075-Q4075</f>
        <v/>
      </c>
    </row>
    <row r="4076" ht="30" customHeight="1">
      <c r="A4076" s="16" t="n">
        <v>46017</v>
      </c>
      <c r="B4076" s="17" t="inlineStr">
        <is>
          <t>MH2512-48</t>
        </is>
      </c>
      <c r="C4076" s="16" t="n">
        <v>46017</v>
      </c>
      <c r="D4076" s="17" t="inlineStr">
        <is>
          <t>00005153</t>
        </is>
      </c>
      <c r="E4076" s="16" t="n">
        <v>46017</v>
      </c>
      <c r="F4076" s="16" t="inlineStr">
        <is>
          <t>XK2512-33</t>
        </is>
      </c>
      <c r="G4076" s="16" t="n">
        <v>46017</v>
      </c>
      <c r="H4076" s="17" t="inlineStr">
        <is>
          <t>CÔNG TY CỔ PHẦN CÔNG NGHIỆP VÀ THƯƠNG MẠI CƯỜNG THỊNH</t>
        </is>
      </c>
      <c r="I4076" s="17" t="inlineStr">
        <is>
          <t>Long đền thường ZP M20B35D2</t>
        </is>
      </c>
      <c r="J4076" s="17" t="inlineStr">
        <is>
          <t>Cái</t>
        </is>
      </c>
      <c r="K4076" s="21" t="n">
        <v>350</v>
      </c>
      <c r="L4076" s="21" t="n"/>
      <c r="M4076" s="22" t="n"/>
      <c r="N4076" s="22" t="n">
        <v>1261</v>
      </c>
      <c r="O4076" s="22" t="n">
        <v>441350</v>
      </c>
      <c r="P4076" s="22" t="n">
        <v>1261</v>
      </c>
      <c r="Q4076" s="22" t="n">
        <v>441350</v>
      </c>
      <c r="R4076" s="42">
        <f>+L4076+N4076-P4076</f>
        <v/>
      </c>
      <c r="S4076" s="42">
        <f>+M4076+O4076-Q4076</f>
        <v/>
      </c>
    </row>
    <row r="4077" ht="30" customHeight="1">
      <c r="A4077" s="16" t="n">
        <v>46017</v>
      </c>
      <c r="B4077" s="17" t="inlineStr">
        <is>
          <t>MH2512-48</t>
        </is>
      </c>
      <c r="C4077" s="16" t="n">
        <v>46017</v>
      </c>
      <c r="D4077" s="17" t="inlineStr">
        <is>
          <t>00005153</t>
        </is>
      </c>
      <c r="E4077" s="16" t="n">
        <v>46017</v>
      </c>
      <c r="F4077" s="16" t="inlineStr">
        <is>
          <t>XK2512-33</t>
        </is>
      </c>
      <c r="G4077" s="16" t="n">
        <v>46017</v>
      </c>
      <c r="H4077" s="17" t="inlineStr">
        <is>
          <t>CÔNG TY CỔ PHẦN CÔNG NGHIỆP VÀ THƯƠNG MẠI CƯỜNG THỊNH</t>
        </is>
      </c>
      <c r="I4077" s="17" t="inlineStr">
        <is>
          <t>Bulong Din 933 8.8 ZP M20x50</t>
        </is>
      </c>
      <c r="J4077" s="17" t="inlineStr">
        <is>
          <t>Cái</t>
        </is>
      </c>
      <c r="K4077" s="21" t="n">
        <v>5760</v>
      </c>
      <c r="L4077" s="21" t="n"/>
      <c r="M4077" s="22" t="n"/>
      <c r="N4077" s="22" t="n">
        <v>1541</v>
      </c>
      <c r="O4077" s="22" t="n">
        <v>8876160</v>
      </c>
      <c r="P4077" s="22" t="n">
        <v>1541</v>
      </c>
      <c r="Q4077" s="22" t="n">
        <v>8876160</v>
      </c>
      <c r="R4077" s="42">
        <f>+L4077+N4077-P4077</f>
        <v/>
      </c>
      <c r="S4077" s="42">
        <f>+M4077+O4077-Q4077</f>
        <v/>
      </c>
    </row>
    <row r="4078" ht="30" customHeight="1">
      <c r="A4078" s="16" t="n">
        <v>46017</v>
      </c>
      <c r="B4078" s="17" t="inlineStr">
        <is>
          <t>MH2512-48</t>
        </is>
      </c>
      <c r="C4078" s="16" t="n">
        <v>46017</v>
      </c>
      <c r="D4078" s="17" t="inlineStr">
        <is>
          <t>00005153</t>
        </is>
      </c>
      <c r="E4078" s="16" t="n">
        <v>46017</v>
      </c>
      <c r="F4078" s="16" t="inlineStr">
        <is>
          <t>XK2512-33</t>
        </is>
      </c>
      <c r="G4078" s="16" t="n">
        <v>46017</v>
      </c>
      <c r="H4078" s="17" t="inlineStr">
        <is>
          <t>CÔNG TY CỔ PHẦN CÔNG NGHIỆP VÀ THƯƠNG MẠI CƯỜNG THỊNH</t>
        </is>
      </c>
      <c r="I4078" s="17" t="inlineStr">
        <is>
          <t>Đai ốc Din 934 8 ZP M20</t>
        </is>
      </c>
      <c r="J4078" s="17" t="inlineStr">
        <is>
          <t>Cái</t>
        </is>
      </c>
      <c r="K4078" s="21" t="n">
        <v>2030</v>
      </c>
      <c r="L4078" s="21" t="n"/>
      <c r="M4078" s="22" t="n"/>
      <c r="N4078" s="22" t="n">
        <v>1541</v>
      </c>
      <c r="O4078" s="22" t="n">
        <v>3128230</v>
      </c>
      <c r="P4078" s="22" t="n">
        <v>1541</v>
      </c>
      <c r="Q4078" s="22" t="n">
        <v>3128230</v>
      </c>
      <c r="R4078" s="42">
        <f>+L4078+N4078-P4078</f>
        <v/>
      </c>
      <c r="S4078" s="42">
        <f>+M4078+O4078-Q4078</f>
        <v/>
      </c>
    </row>
    <row r="4079" ht="30" customHeight="1">
      <c r="A4079" s="16" t="n">
        <v>46017</v>
      </c>
      <c r="B4079" s="17" t="inlineStr">
        <is>
          <t>MH2512-48</t>
        </is>
      </c>
      <c r="C4079" s="16" t="n">
        <v>46017</v>
      </c>
      <c r="D4079" s="17" t="inlineStr">
        <is>
          <t>00005153</t>
        </is>
      </c>
      <c r="E4079" s="16" t="n">
        <v>46017</v>
      </c>
      <c r="F4079" s="16" t="inlineStr">
        <is>
          <t>XK2512-33</t>
        </is>
      </c>
      <c r="G4079" s="16" t="n">
        <v>46017</v>
      </c>
      <c r="H4079" s="17" t="inlineStr">
        <is>
          <t>CÔNG TY CỔ PHẦN CÔNG NGHIỆP VÀ THƯƠNG MẠI CƯỜNG THỊNH</t>
        </is>
      </c>
      <c r="I4079" s="17" t="inlineStr">
        <is>
          <t>Long đền thường ZP M20B35D2</t>
        </is>
      </c>
      <c r="J4079" s="17" t="inlineStr">
        <is>
          <t>Cái</t>
        </is>
      </c>
      <c r="K4079" s="21" t="n">
        <v>350</v>
      </c>
      <c r="L4079" s="21" t="n"/>
      <c r="M4079" s="22" t="n"/>
      <c r="N4079" s="22" t="n">
        <v>1541</v>
      </c>
      <c r="O4079" s="22" t="n">
        <v>539350</v>
      </c>
      <c r="P4079" s="22" t="n">
        <v>1541</v>
      </c>
      <c r="Q4079" s="22" t="n">
        <v>539350</v>
      </c>
      <c r="R4079" s="42">
        <f>+L4079+N4079-P4079</f>
        <v/>
      </c>
      <c r="S4079" s="42">
        <f>+M4079+O4079-Q4079</f>
        <v/>
      </c>
    </row>
    <row r="4080" ht="30" customHeight="1">
      <c r="A4080" s="16" t="n">
        <v>46017</v>
      </c>
      <c r="B4080" s="17" t="inlineStr">
        <is>
          <t>MH2512-48</t>
        </is>
      </c>
      <c r="C4080" s="16" t="n">
        <v>46017</v>
      </c>
      <c r="D4080" s="17" t="inlineStr">
        <is>
          <t>00005153</t>
        </is>
      </c>
      <c r="E4080" s="16" t="n">
        <v>46017</v>
      </c>
      <c r="F4080" s="16" t="inlineStr">
        <is>
          <t>XK2512-33</t>
        </is>
      </c>
      <c r="G4080" s="16" t="n">
        <v>46017</v>
      </c>
      <c r="H4080" s="17" t="inlineStr">
        <is>
          <t>CÔNG TY CỔ PHẦN CÔNG NGHIỆP VÀ THƯƠNG MẠI CƯỜNG THỊNH</t>
        </is>
      </c>
      <c r="I4080" s="17" t="inlineStr">
        <is>
          <t>Bulong Din 933 8.8 ZP M20x60</t>
        </is>
      </c>
      <c r="J4080" s="17" t="inlineStr">
        <is>
          <t>Cái</t>
        </is>
      </c>
      <c r="K4080" s="21" t="n">
        <v>6360</v>
      </c>
      <c r="L4080" s="21" t="n"/>
      <c r="M4080" s="22" t="n"/>
      <c r="N4080" s="22" t="n">
        <v>1582</v>
      </c>
      <c r="O4080" s="22" t="n">
        <v>10061520</v>
      </c>
      <c r="P4080" s="22" t="n">
        <v>1582</v>
      </c>
      <c r="Q4080" s="22" t="n">
        <v>10061520</v>
      </c>
      <c r="R4080" s="42">
        <f>+L4080+N4080-P4080</f>
        <v/>
      </c>
      <c r="S4080" s="42">
        <f>+M4080+O4080-Q4080</f>
        <v/>
      </c>
    </row>
    <row r="4081" ht="30" customHeight="1">
      <c r="A4081" s="16" t="n">
        <v>46017</v>
      </c>
      <c r="B4081" s="17" t="inlineStr">
        <is>
          <t>MH2512-48</t>
        </is>
      </c>
      <c r="C4081" s="16" t="n">
        <v>46017</v>
      </c>
      <c r="D4081" s="17" t="inlineStr">
        <is>
          <t>00005153</t>
        </is>
      </c>
      <c r="E4081" s="16" t="n">
        <v>46017</v>
      </c>
      <c r="F4081" s="16" t="inlineStr">
        <is>
          <t>XK2512-33</t>
        </is>
      </c>
      <c r="G4081" s="16" t="n">
        <v>46017</v>
      </c>
      <c r="H4081" s="17" t="inlineStr">
        <is>
          <t>CÔNG TY CỔ PHẦN CÔNG NGHIỆP VÀ THƯƠNG MẠI CƯỜNG THỊNH</t>
        </is>
      </c>
      <c r="I4081" s="17" t="inlineStr">
        <is>
          <t>Đai ốc Din 934 8 ZP M20</t>
        </is>
      </c>
      <c r="J4081" s="17" t="inlineStr">
        <is>
          <t>Cái</t>
        </is>
      </c>
      <c r="K4081" s="21" t="n">
        <v>2030</v>
      </c>
      <c r="L4081" s="21" t="n"/>
      <c r="M4081" s="22" t="n"/>
      <c r="N4081" s="22" t="n">
        <v>1582</v>
      </c>
      <c r="O4081" s="22" t="n">
        <v>3211460</v>
      </c>
      <c r="P4081" s="22" t="n">
        <v>1582</v>
      </c>
      <c r="Q4081" s="22" t="n">
        <v>3211460</v>
      </c>
      <c r="R4081" s="42">
        <f>+L4081+N4081-P4081</f>
        <v/>
      </c>
      <c r="S4081" s="42">
        <f>+M4081+O4081-Q4081</f>
        <v/>
      </c>
    </row>
    <row r="4082" ht="30" customHeight="1">
      <c r="A4082" s="16" t="n">
        <v>46017</v>
      </c>
      <c r="B4082" s="17" t="inlineStr">
        <is>
          <t>MH2512-48</t>
        </is>
      </c>
      <c r="C4082" s="16" t="n">
        <v>46017</v>
      </c>
      <c r="D4082" s="17" t="inlineStr">
        <is>
          <t>00005153</t>
        </is>
      </c>
      <c r="E4082" s="16" t="n">
        <v>46017</v>
      </c>
      <c r="F4082" s="16" t="inlineStr">
        <is>
          <t>XK2512-33</t>
        </is>
      </c>
      <c r="G4082" s="16" t="n">
        <v>46017</v>
      </c>
      <c r="H4082" s="17" t="inlineStr">
        <is>
          <t>CÔNG TY CỔ PHẦN CÔNG NGHIỆP VÀ THƯƠNG MẠI CƯỜNG THỊNH</t>
        </is>
      </c>
      <c r="I4082" s="17" t="inlineStr">
        <is>
          <t>Long đền thường ZP M20B35D2</t>
        </is>
      </c>
      <c r="J4082" s="17" t="inlineStr">
        <is>
          <t>Cái</t>
        </is>
      </c>
      <c r="K4082" s="21" t="n">
        <v>350</v>
      </c>
      <c r="L4082" s="21" t="n"/>
      <c r="M4082" s="22" t="n"/>
      <c r="N4082" s="22" t="n">
        <v>1582</v>
      </c>
      <c r="O4082" s="22" t="n">
        <v>553700</v>
      </c>
      <c r="P4082" s="22" t="n">
        <v>1582</v>
      </c>
      <c r="Q4082" s="22" t="n">
        <v>553700</v>
      </c>
      <c r="R4082" s="42">
        <f>+L4082+N4082-P4082</f>
        <v/>
      </c>
      <c r="S4082" s="42">
        <f>+M4082+O4082-Q4082</f>
        <v/>
      </c>
    </row>
    <row r="4083" ht="30" customHeight="1">
      <c r="A4083" s="16" t="n">
        <v>46017</v>
      </c>
      <c r="B4083" s="17" t="inlineStr">
        <is>
          <t>MH2512-48</t>
        </is>
      </c>
      <c r="C4083" s="16" t="n">
        <v>46017</v>
      </c>
      <c r="D4083" s="17" t="inlineStr">
        <is>
          <t>00005153</t>
        </is>
      </c>
      <c r="E4083" s="16" t="n">
        <v>46017</v>
      </c>
      <c r="F4083" s="16" t="inlineStr">
        <is>
          <t>XK2512-33</t>
        </is>
      </c>
      <c r="G4083" s="16" t="n">
        <v>46017</v>
      </c>
      <c r="H4083" s="17" t="inlineStr">
        <is>
          <t>CÔNG TY CỔ PHẦN CÔNG NGHIỆP VÀ THƯƠNG MẠI CƯỜNG THỊNH</t>
        </is>
      </c>
      <c r="I4083" s="17" t="inlineStr">
        <is>
          <t>Bulong Din 933 8.8 ZP M20x70</t>
        </is>
      </c>
      <c r="J4083" s="17" t="inlineStr">
        <is>
          <t>Cái</t>
        </is>
      </c>
      <c r="K4083" s="21" t="n">
        <v>7070</v>
      </c>
      <c r="L4083" s="21" t="n"/>
      <c r="M4083" s="22" t="n"/>
      <c r="N4083" s="22" t="n">
        <v>58</v>
      </c>
      <c r="O4083" s="22" t="n">
        <v>410060</v>
      </c>
      <c r="P4083" s="22" t="n">
        <v>58</v>
      </c>
      <c r="Q4083" s="22" t="n">
        <v>410060</v>
      </c>
      <c r="R4083" s="42">
        <f>+L4083+N4083-P4083</f>
        <v/>
      </c>
      <c r="S4083" s="42">
        <f>+M4083+O4083-Q4083</f>
        <v/>
      </c>
    </row>
    <row r="4084" ht="30" customHeight="1">
      <c r="A4084" s="16" t="n">
        <v>46017</v>
      </c>
      <c r="B4084" s="17" t="inlineStr">
        <is>
          <t>MH2512-48</t>
        </is>
      </c>
      <c r="C4084" s="16" t="n">
        <v>46017</v>
      </c>
      <c r="D4084" s="17" t="inlineStr">
        <is>
          <t>00005153</t>
        </is>
      </c>
      <c r="E4084" s="16" t="n">
        <v>46017</v>
      </c>
      <c r="F4084" s="16" t="inlineStr">
        <is>
          <t>XK2512-33</t>
        </is>
      </c>
      <c r="G4084" s="16" t="n">
        <v>46017</v>
      </c>
      <c r="H4084" s="17" t="inlineStr">
        <is>
          <t>CÔNG TY CỔ PHẦN CÔNG NGHIỆP VÀ THƯƠNG MẠI CƯỜNG THỊNH</t>
        </is>
      </c>
      <c r="I4084" s="17" t="inlineStr">
        <is>
          <t>Đai ốc Din 934 8 ZP M20</t>
        </is>
      </c>
      <c r="J4084" s="17" t="inlineStr">
        <is>
          <t>Cái</t>
        </is>
      </c>
      <c r="K4084" s="21" t="n">
        <v>2030</v>
      </c>
      <c r="L4084" s="21" t="n"/>
      <c r="M4084" s="22" t="n"/>
      <c r="N4084" s="22" t="n">
        <v>58</v>
      </c>
      <c r="O4084" s="22" t="n">
        <v>117740</v>
      </c>
      <c r="P4084" s="22" t="n">
        <v>58</v>
      </c>
      <c r="Q4084" s="22" t="n">
        <v>117740</v>
      </c>
      <c r="R4084" s="42">
        <f>+L4084+N4084-P4084</f>
        <v/>
      </c>
      <c r="S4084" s="42">
        <f>+M4084+O4084-Q4084</f>
        <v/>
      </c>
    </row>
    <row r="4085" ht="30" customHeight="1">
      <c r="A4085" s="16" t="n">
        <v>46017</v>
      </c>
      <c r="B4085" s="17" t="inlineStr">
        <is>
          <t>MH2512-48</t>
        </is>
      </c>
      <c r="C4085" s="16" t="n">
        <v>46017</v>
      </c>
      <c r="D4085" s="17" t="inlineStr">
        <is>
          <t>00005153</t>
        </is>
      </c>
      <c r="E4085" s="16" t="n">
        <v>46017</v>
      </c>
      <c r="F4085" s="16" t="inlineStr">
        <is>
          <t>XK2512-33</t>
        </is>
      </c>
      <c r="G4085" s="16" t="n">
        <v>46017</v>
      </c>
      <c r="H4085" s="17" t="inlineStr">
        <is>
          <t>CÔNG TY CỔ PHẦN CÔNG NGHIỆP VÀ THƯƠNG MẠI CƯỜNG THỊNH</t>
        </is>
      </c>
      <c r="I4085" s="17" t="inlineStr">
        <is>
          <t>Long đền thường ZP M20B35D2</t>
        </is>
      </c>
      <c r="J4085" s="17" t="inlineStr">
        <is>
          <t>Cái</t>
        </is>
      </c>
      <c r="K4085" s="21" t="n">
        <v>350</v>
      </c>
      <c r="L4085" s="21" t="n"/>
      <c r="M4085" s="22" t="n"/>
      <c r="N4085" s="22" t="n">
        <v>58</v>
      </c>
      <c r="O4085" s="22" t="n">
        <v>20300</v>
      </c>
      <c r="P4085" s="22" t="n">
        <v>58</v>
      </c>
      <c r="Q4085" s="22" t="n">
        <v>20300</v>
      </c>
      <c r="R4085" s="42">
        <f>+L4085+N4085-P4085</f>
        <v/>
      </c>
      <c r="S4085" s="42">
        <f>+M4085+O4085-Q4085</f>
        <v/>
      </c>
    </row>
    <row r="4086" ht="30" customHeight="1">
      <c r="A4086" s="16" t="n">
        <v>46017</v>
      </c>
      <c r="B4086" s="17" t="inlineStr">
        <is>
          <t>MH2512-48</t>
        </is>
      </c>
      <c r="C4086" s="16" t="n">
        <v>46017</v>
      </c>
      <c r="D4086" s="17" t="inlineStr">
        <is>
          <t>00005153</t>
        </is>
      </c>
      <c r="E4086" s="16" t="n">
        <v>46017</v>
      </c>
      <c r="F4086" s="16" t="inlineStr">
        <is>
          <t>XK2512-33</t>
        </is>
      </c>
      <c r="G4086" s="16" t="n">
        <v>46017</v>
      </c>
      <c r="H4086" s="17" t="inlineStr">
        <is>
          <t>CÔNG TY CỔ PHẦN CÔNG NGHIỆP VÀ THƯƠNG MẠI CƯỜNG THỊNH</t>
        </is>
      </c>
      <c r="I4086" s="17" t="inlineStr">
        <is>
          <t>Bulong Din 933 8.8 ZP M16x40</t>
        </is>
      </c>
      <c r="J4086" s="17" t="inlineStr">
        <is>
          <t>Cái</t>
        </is>
      </c>
      <c r="K4086" s="21" t="n">
        <v>3030</v>
      </c>
      <c r="L4086" s="21" t="n"/>
      <c r="M4086" s="22" t="n"/>
      <c r="N4086" s="22" t="n">
        <v>16</v>
      </c>
      <c r="O4086" s="22" t="n">
        <v>48480</v>
      </c>
      <c r="P4086" s="22" t="n">
        <v>16</v>
      </c>
      <c r="Q4086" s="22" t="n">
        <v>48480</v>
      </c>
      <c r="R4086" s="42">
        <f>+L4086+N4086-P4086</f>
        <v/>
      </c>
      <c r="S4086" s="42">
        <f>+M4086+O4086-Q4086</f>
        <v/>
      </c>
    </row>
    <row r="4087" ht="30" customHeight="1">
      <c r="A4087" s="16" t="n">
        <v>46017</v>
      </c>
      <c r="B4087" s="17" t="inlineStr">
        <is>
          <t>MH2512-48</t>
        </is>
      </c>
      <c r="C4087" s="16" t="n">
        <v>46017</v>
      </c>
      <c r="D4087" s="17" t="inlineStr">
        <is>
          <t>00005153</t>
        </is>
      </c>
      <c r="E4087" s="16" t="n">
        <v>46017</v>
      </c>
      <c r="F4087" s="16" t="inlineStr">
        <is>
          <t>XK2512-33</t>
        </is>
      </c>
      <c r="G4087" s="16" t="n">
        <v>46017</v>
      </c>
      <c r="H4087" s="17" t="inlineStr">
        <is>
          <t>CÔNG TY CỔ PHẦN CÔNG NGHIỆP VÀ THƯƠNG MẠI CƯỜNG THỊNH</t>
        </is>
      </c>
      <c r="I4087" s="17" t="inlineStr">
        <is>
          <t>Đai ốc Din 934 8 ZP M16</t>
        </is>
      </c>
      <c r="J4087" s="17" t="inlineStr">
        <is>
          <t>Cái</t>
        </is>
      </c>
      <c r="K4087" s="21" t="n">
        <v>1080</v>
      </c>
      <c r="L4087" s="21" t="n"/>
      <c r="M4087" s="22" t="n"/>
      <c r="N4087" s="22" t="n">
        <v>16</v>
      </c>
      <c r="O4087" s="22" t="n">
        <v>17280</v>
      </c>
      <c r="P4087" s="22" t="n">
        <v>16</v>
      </c>
      <c r="Q4087" s="22" t="n">
        <v>17280</v>
      </c>
      <c r="R4087" s="42">
        <f>+L4087+N4087-P4087</f>
        <v/>
      </c>
      <c r="S4087" s="42">
        <f>+M4087+O4087-Q4087</f>
        <v/>
      </c>
    </row>
    <row r="4088" ht="30" customHeight="1">
      <c r="A4088" s="16" t="n">
        <v>46017</v>
      </c>
      <c r="B4088" s="17" t="inlineStr">
        <is>
          <t>MH2512-48</t>
        </is>
      </c>
      <c r="C4088" s="16" t="n">
        <v>46017</v>
      </c>
      <c r="D4088" s="17" t="inlineStr">
        <is>
          <t>00005153</t>
        </is>
      </c>
      <c r="E4088" s="16" t="n">
        <v>46017</v>
      </c>
      <c r="F4088" s="16" t="inlineStr">
        <is>
          <t>XK2512-33</t>
        </is>
      </c>
      <c r="G4088" s="16" t="n">
        <v>46017</v>
      </c>
      <c r="H4088" s="17" t="inlineStr">
        <is>
          <t>CÔNG TY CỔ PHẦN CÔNG NGHIỆP VÀ THƯƠNG MẠI CƯỜNG THỊNH</t>
        </is>
      </c>
      <c r="I4088" s="17" t="inlineStr">
        <is>
          <t>Long đền thường ZP M16B30D2</t>
        </is>
      </c>
      <c r="J4088" s="17" t="inlineStr">
        <is>
          <t>Cái</t>
        </is>
      </c>
      <c r="K4088" s="21" t="n">
        <v>340</v>
      </c>
      <c r="L4088" s="21" t="n"/>
      <c r="M4088" s="22" t="n"/>
      <c r="N4088" s="22" t="n">
        <v>16</v>
      </c>
      <c r="O4088" s="22" t="n">
        <v>5440</v>
      </c>
      <c r="P4088" s="22" t="n">
        <v>16</v>
      </c>
      <c r="Q4088" s="22" t="n">
        <v>5440</v>
      </c>
      <c r="R4088" s="42">
        <f>+L4088+N4088-P4088</f>
        <v/>
      </c>
      <c r="S4088" s="42">
        <f>+M4088+O4088-Q4088</f>
        <v/>
      </c>
    </row>
    <row r="4089" ht="30" customHeight="1">
      <c r="A4089" s="16" t="n">
        <v>46017</v>
      </c>
      <c r="B4089" s="17" t="inlineStr">
        <is>
          <t>MH2512-48</t>
        </is>
      </c>
      <c r="C4089" s="16" t="n">
        <v>46017</v>
      </c>
      <c r="D4089" s="17" t="inlineStr">
        <is>
          <t>00005153</t>
        </is>
      </c>
      <c r="E4089" s="16" t="n">
        <v>46017</v>
      </c>
      <c r="F4089" s="16" t="inlineStr">
        <is>
          <t>XK2512-33</t>
        </is>
      </c>
      <c r="G4089" s="16" t="n">
        <v>46017</v>
      </c>
      <c r="H4089" s="17" t="inlineStr">
        <is>
          <t>CÔNG TY CỔ PHẦN CÔNG NGHIỆP VÀ THƯƠNG MẠI CƯỜNG THỊNH</t>
        </is>
      </c>
      <c r="I4089" s="17" t="inlineStr">
        <is>
          <t>Bulong thường 4.6 ZP M12x40</t>
        </is>
      </c>
      <c r="J4089" s="17" t="inlineStr">
        <is>
          <t>Cái</t>
        </is>
      </c>
      <c r="K4089" s="21" t="n">
        <v>1100</v>
      </c>
      <c r="L4089" s="21" t="n"/>
      <c r="M4089" s="22" t="n"/>
      <c r="N4089" s="22" t="n">
        <v>840</v>
      </c>
      <c r="O4089" s="22" t="n">
        <v>924000</v>
      </c>
      <c r="P4089" s="22" t="n">
        <v>840</v>
      </c>
      <c r="Q4089" s="22" t="n">
        <v>924000</v>
      </c>
      <c r="R4089" s="42">
        <f>+L4089+N4089-P4089</f>
        <v/>
      </c>
      <c r="S4089" s="42">
        <f>+M4089+O4089-Q4089</f>
        <v/>
      </c>
    </row>
    <row r="4090" ht="30" customHeight="1">
      <c r="A4090" s="16" t="n">
        <v>46017</v>
      </c>
      <c r="B4090" s="17" t="inlineStr">
        <is>
          <t>MH2512-48</t>
        </is>
      </c>
      <c r="C4090" s="16" t="n">
        <v>46017</v>
      </c>
      <c r="D4090" s="17" t="inlineStr">
        <is>
          <t>00005153</t>
        </is>
      </c>
      <c r="E4090" s="16" t="n">
        <v>46017</v>
      </c>
      <c r="F4090" s="16" t="inlineStr">
        <is>
          <t>XK2512-33</t>
        </is>
      </c>
      <c r="G4090" s="16" t="n">
        <v>46017</v>
      </c>
      <c r="H4090" s="17" t="inlineStr">
        <is>
          <t>CÔNG TY CỔ PHẦN CÔNG NGHIỆP VÀ THƯƠNG MẠI CƯỜNG THỊNH</t>
        </is>
      </c>
      <c r="I4090" s="17" t="inlineStr">
        <is>
          <t>Đai ốc thường 4 ZP M12 (9mm)</t>
        </is>
      </c>
      <c r="J4090" s="17" t="inlineStr">
        <is>
          <t>Cái</t>
        </is>
      </c>
      <c r="K4090" s="21" t="n">
        <v>350</v>
      </c>
      <c r="L4090" s="21" t="n"/>
      <c r="M4090" s="22" t="n"/>
      <c r="N4090" s="22" t="n">
        <v>840</v>
      </c>
      <c r="O4090" s="22" t="n">
        <v>294000</v>
      </c>
      <c r="P4090" s="22" t="n">
        <v>840</v>
      </c>
      <c r="Q4090" s="22" t="n">
        <v>294000</v>
      </c>
      <c r="R4090" s="42">
        <f>+L4090+N4090-P4090</f>
        <v/>
      </c>
      <c r="S4090" s="42">
        <f>+M4090+O4090-Q4090</f>
        <v/>
      </c>
    </row>
    <row r="4091" ht="30" customHeight="1">
      <c r="A4091" s="16" t="n">
        <v>46017</v>
      </c>
      <c r="B4091" s="17" t="inlineStr">
        <is>
          <t>MH2512-48</t>
        </is>
      </c>
      <c r="C4091" s="16" t="n">
        <v>46017</v>
      </c>
      <c r="D4091" s="17" t="inlineStr">
        <is>
          <t>00005153</t>
        </is>
      </c>
      <c r="E4091" s="16" t="n">
        <v>46017</v>
      </c>
      <c r="F4091" s="16" t="inlineStr">
        <is>
          <t>XK2512-33</t>
        </is>
      </c>
      <c r="G4091" s="16" t="n">
        <v>46017</v>
      </c>
      <c r="H4091" s="17" t="inlineStr">
        <is>
          <t>CÔNG TY CỔ PHẦN CÔNG NGHIỆP VÀ THƯƠNG MẠI CƯỜNG THỊNH</t>
        </is>
      </c>
      <c r="I4091" s="17" t="inlineStr">
        <is>
          <t>Long đền thường ZP M12B23D1</t>
        </is>
      </c>
      <c r="J4091" s="17" t="inlineStr">
        <is>
          <t>Cái</t>
        </is>
      </c>
      <c r="K4091" s="21" t="n">
        <v>100</v>
      </c>
      <c r="L4091" s="21" t="n"/>
      <c r="M4091" s="22" t="n"/>
      <c r="N4091" s="22" t="n">
        <v>1680</v>
      </c>
      <c r="O4091" s="22" t="n">
        <v>168000</v>
      </c>
      <c r="P4091" s="22" t="n">
        <v>1680</v>
      </c>
      <c r="Q4091" s="22" t="n">
        <v>168000</v>
      </c>
      <c r="R4091" s="42">
        <f>+L4091+N4091-P4091</f>
        <v/>
      </c>
      <c r="S4091" s="42">
        <f>+M4091+O4091-Q4091</f>
        <v/>
      </c>
    </row>
    <row r="4092" ht="30" customHeight="1">
      <c r="A4092" s="16" t="n">
        <v>46020</v>
      </c>
      <c r="B4092" s="17" t="inlineStr">
        <is>
          <t>MH2512-49</t>
        </is>
      </c>
      <c r="C4092" s="16" t="n">
        <v>46020</v>
      </c>
      <c r="D4092" s="17" t="inlineStr">
        <is>
          <t>00001041</t>
        </is>
      </c>
      <c r="E4092" s="16" t="n">
        <v>46020</v>
      </c>
      <c r="F4092" s="16" t="inlineStr">
        <is>
          <t>XK2512-34</t>
        </is>
      </c>
      <c r="G4092" s="16" t="n">
        <v>46020</v>
      </c>
      <c r="H4092" s="17" t="inlineStr">
        <is>
          <t>CÔNG TY CỔ PHẦN XÂY DỰNG VÀ DỊCH VỤ DHD VIỆT NAM</t>
        </is>
      </c>
      <c r="I4092" s="17" t="inlineStr">
        <is>
          <t>Súng bơm SG600</t>
        </is>
      </c>
      <c r="J4092" s="17" t="inlineStr">
        <is>
          <t>Cái</t>
        </is>
      </c>
      <c r="K4092" s="21" t="n">
        <v>714000</v>
      </c>
      <c r="L4092" s="21" t="n"/>
      <c r="M4092" s="22" t="n"/>
      <c r="N4092" s="22" t="n">
        <v>5</v>
      </c>
      <c r="O4092" s="22" t="n">
        <v>3570000</v>
      </c>
      <c r="P4092" s="22" t="n">
        <v>5</v>
      </c>
      <c r="Q4092" s="22" t="n">
        <v>3570000</v>
      </c>
      <c r="R4092" s="42">
        <f>+L4092+N4092-P4092</f>
        <v/>
      </c>
      <c r="S4092" s="42">
        <f>+M4092+O4092-Q4092</f>
        <v/>
      </c>
    </row>
    <row r="4093" ht="30" customHeight="1">
      <c r="A4093" s="16" t="n">
        <v>46020</v>
      </c>
      <c r="B4093" s="17" t="inlineStr">
        <is>
          <t>MH2512-50</t>
        </is>
      </c>
      <c r="C4093" s="16" t="n">
        <v>46020</v>
      </c>
      <c r="D4093" s="17" t="inlineStr">
        <is>
          <t>00003130</t>
        </is>
      </c>
      <c r="E4093" s="16" t="n">
        <v>46020</v>
      </c>
      <c r="F4093" s="16" t="inlineStr">
        <is>
          <t>XK2512-35</t>
        </is>
      </c>
      <c r="G4093" s="16" t="n">
        <v>46020</v>
      </c>
      <c r="H4093" s="17" t="inlineStr">
        <is>
          <t>CÔNG TY TNHH DỊCH VỤ - THƯƠNG MẠI THÉP THIÊN LONG</t>
        </is>
      </c>
      <c r="I4093" s="17" t="inlineStr">
        <is>
          <t>Thép tấm 14ly</t>
        </is>
      </c>
      <c r="J4093" s="17" t="inlineStr">
        <is>
          <t>kg</t>
        </is>
      </c>
      <c r="K4093" s="21" t="n">
        <v>14272.72</v>
      </c>
      <c r="L4093" s="21" t="n"/>
      <c r="M4093" s="22" t="n"/>
      <c r="N4093" s="22" t="n">
        <v>52752</v>
      </c>
      <c r="O4093" s="22" t="n">
        <v>752914525</v>
      </c>
      <c r="P4093" s="22" t="n">
        <v>52752</v>
      </c>
      <c r="Q4093" s="22" t="n">
        <v>752914525</v>
      </c>
      <c r="R4093" s="42">
        <f>+L4093+N4093-P4093</f>
        <v/>
      </c>
      <c r="S4093" s="42">
        <f>+M4093+O4093-Q4093</f>
        <v/>
      </c>
    </row>
    <row r="4094" ht="30" customHeight="1">
      <c r="A4094" s="16" t="n">
        <v>46020</v>
      </c>
      <c r="B4094" s="17" t="inlineStr">
        <is>
          <t>MH2512-50</t>
        </is>
      </c>
      <c r="C4094" s="16" t="n">
        <v>46020</v>
      </c>
      <c r="D4094" s="17" t="inlineStr">
        <is>
          <t>00003130</t>
        </is>
      </c>
      <c r="E4094" s="16" t="n">
        <v>46020</v>
      </c>
      <c r="F4094" s="16" t="inlineStr">
        <is>
          <t>XK2512-35</t>
        </is>
      </c>
      <c r="G4094" s="16" t="n">
        <v>46020</v>
      </c>
      <c r="H4094" s="17" t="inlineStr">
        <is>
          <t>CÔNG TY TNHH DỊCH VỤ - THƯƠNG MẠI THÉP THIÊN LONG</t>
        </is>
      </c>
      <c r="I4094" s="17" t="inlineStr">
        <is>
          <t>Thép tấm 16ly</t>
        </is>
      </c>
      <c r="J4094" s="17" t="inlineStr">
        <is>
          <t>kg</t>
        </is>
      </c>
      <c r="K4094" s="21" t="n">
        <v>14272.72</v>
      </c>
      <c r="L4094" s="21" t="n"/>
      <c r="M4094" s="22" t="n"/>
      <c r="N4094" s="22" t="n">
        <v>30144</v>
      </c>
      <c r="O4094" s="22" t="n">
        <v>430236872</v>
      </c>
      <c r="P4094" s="22" t="n">
        <v>30144</v>
      </c>
      <c r="Q4094" s="22" t="n">
        <v>430236872</v>
      </c>
      <c r="R4094" s="42">
        <f>+L4094+N4094-P4094</f>
        <v/>
      </c>
      <c r="S4094" s="42">
        <f>+M4094+O4094-Q4094</f>
        <v/>
      </c>
    </row>
    <row r="4095" ht="30" customHeight="1">
      <c r="A4095" s="16" t="n">
        <v>46020</v>
      </c>
      <c r="B4095" s="17" t="inlineStr">
        <is>
          <t>MH2512-50</t>
        </is>
      </c>
      <c r="C4095" s="16" t="n">
        <v>46020</v>
      </c>
      <c r="D4095" s="17" t="inlineStr">
        <is>
          <t>00003130</t>
        </is>
      </c>
      <c r="E4095" s="16" t="n">
        <v>46020</v>
      </c>
      <c r="F4095" s="16" t="inlineStr">
        <is>
          <t>XK2512-35</t>
        </is>
      </c>
      <c r="G4095" s="16" t="n">
        <v>46020</v>
      </c>
      <c r="H4095" s="17" t="inlineStr">
        <is>
          <t>CÔNG TY TNHH DỊCH VỤ - THƯƠNG MẠI THÉP THIÊN LONG</t>
        </is>
      </c>
      <c r="I4095" s="17" t="inlineStr">
        <is>
          <t>Thép tấm 20ly</t>
        </is>
      </c>
      <c r="J4095" s="17" t="inlineStr">
        <is>
          <t>kg</t>
        </is>
      </c>
      <c r="K4095" s="21" t="n">
        <v>14272.72</v>
      </c>
      <c r="L4095" s="21" t="n"/>
      <c r="M4095" s="22" t="n"/>
      <c r="N4095" s="22" t="n">
        <v>37680</v>
      </c>
      <c r="O4095" s="22" t="n">
        <v>537796090</v>
      </c>
      <c r="P4095" s="22" t="n">
        <v>37680</v>
      </c>
      <c r="Q4095" s="22" t="n">
        <v>537796090</v>
      </c>
      <c r="R4095" s="42">
        <f>+L4095+N4095-P4095</f>
        <v/>
      </c>
      <c r="S4095" s="42">
        <f>+M4095+O4095-Q4095</f>
        <v/>
      </c>
    </row>
    <row r="4096" ht="30" customHeight="1">
      <c r="A4096" s="16" t="n">
        <v>46020</v>
      </c>
      <c r="B4096" s="17" t="inlineStr">
        <is>
          <t>MH2512-50</t>
        </is>
      </c>
      <c r="C4096" s="16" t="n">
        <v>46020</v>
      </c>
      <c r="D4096" s="17" t="inlineStr">
        <is>
          <t>00003130</t>
        </is>
      </c>
      <c r="E4096" s="16" t="n">
        <v>46020</v>
      </c>
      <c r="F4096" s="16" t="inlineStr">
        <is>
          <t>XK2512-35</t>
        </is>
      </c>
      <c r="G4096" s="16" t="n">
        <v>46020</v>
      </c>
      <c r="H4096" s="17" t="inlineStr">
        <is>
          <t>CÔNG TY TNHH DỊCH VỤ - THƯƠNG MẠI THÉP THIÊN LONG</t>
        </is>
      </c>
      <c r="I4096" s="17" t="inlineStr">
        <is>
          <t>Thép tấm 25ly</t>
        </is>
      </c>
      <c r="J4096" s="17" t="inlineStr">
        <is>
          <t>kg</t>
        </is>
      </c>
      <c r="K4096" s="21" t="n">
        <v>14272.72</v>
      </c>
      <c r="L4096" s="21" t="n"/>
      <c r="M4096" s="22" t="n"/>
      <c r="N4096" s="22" t="n">
        <v>28260</v>
      </c>
      <c r="O4096" s="22" t="n">
        <v>403347067</v>
      </c>
      <c r="P4096" s="22" t="n">
        <v>28260</v>
      </c>
      <c r="Q4096" s="22" t="n">
        <v>403347067</v>
      </c>
      <c r="R4096" s="42">
        <f>+L4096+N4096-P4096</f>
        <v/>
      </c>
      <c r="S4096" s="42">
        <f>+M4096+O4096-Q4096</f>
        <v/>
      </c>
    </row>
    <row r="4097" ht="30" customHeight="1">
      <c r="A4097" s="16" t="n">
        <v>46020</v>
      </c>
      <c r="B4097" s="17" t="inlineStr">
        <is>
          <t>MH2512-50</t>
        </is>
      </c>
      <c r="C4097" s="16" t="n">
        <v>46020</v>
      </c>
      <c r="D4097" s="17" t="inlineStr">
        <is>
          <t>00003130</t>
        </is>
      </c>
      <c r="E4097" s="16" t="n">
        <v>46020</v>
      </c>
      <c r="F4097" s="16" t="inlineStr">
        <is>
          <t>XK2512-35</t>
        </is>
      </c>
      <c r="G4097" s="16" t="n">
        <v>46020</v>
      </c>
      <c r="H4097" s="17" t="inlineStr">
        <is>
          <t>CÔNG TY TNHH DỊCH VỤ - THƯƠNG MẠI THÉP THIÊN LONG</t>
        </is>
      </c>
      <c r="I4097" s="17" t="inlineStr">
        <is>
          <t>Thép tấm 30ly</t>
        </is>
      </c>
      <c r="J4097" s="17" t="inlineStr">
        <is>
          <t>kg</t>
        </is>
      </c>
      <c r="K4097" s="21" t="n">
        <v>14272.72</v>
      </c>
      <c r="L4097" s="21" t="n"/>
      <c r="M4097" s="22" t="n"/>
      <c r="N4097" s="22" t="n">
        <v>33912</v>
      </c>
      <c r="O4097" s="22" t="n">
        <v>484016481</v>
      </c>
      <c r="P4097" s="22" t="n">
        <v>33912</v>
      </c>
      <c r="Q4097" s="22" t="n">
        <v>484016481</v>
      </c>
      <c r="R4097" s="42">
        <f>+L4097+N4097-P4097</f>
        <v/>
      </c>
      <c r="S4097" s="42">
        <f>+M4097+O4097-Q4097</f>
        <v/>
      </c>
    </row>
    <row r="4098" ht="30" customHeight="1">
      <c r="A4098" s="16" t="n">
        <v>46020</v>
      </c>
      <c r="B4098" s="17" t="inlineStr">
        <is>
          <t>MH2512-50</t>
        </is>
      </c>
      <c r="C4098" s="16" t="n">
        <v>46020</v>
      </c>
      <c r="D4098" s="17" t="inlineStr">
        <is>
          <t>00003130</t>
        </is>
      </c>
      <c r="E4098" s="16" t="n">
        <v>46020</v>
      </c>
      <c r="F4098" s="16" t="inlineStr">
        <is>
          <t>XK2512-35</t>
        </is>
      </c>
      <c r="G4098" s="16" t="n">
        <v>46020</v>
      </c>
      <c r="H4098" s="17" t="inlineStr">
        <is>
          <t>CÔNG TY TNHH DỊCH VỤ - THƯƠNG MẠI THÉP THIÊN LONG</t>
        </is>
      </c>
      <c r="I4098" s="17" t="inlineStr">
        <is>
          <t>Thép tấm 35ly</t>
        </is>
      </c>
      <c r="J4098" s="17" t="inlineStr">
        <is>
          <t>kg</t>
        </is>
      </c>
      <c r="K4098" s="21" t="n">
        <v>14272.72</v>
      </c>
      <c r="L4098" s="21" t="n"/>
      <c r="M4098" s="22" t="n"/>
      <c r="N4098" s="22" t="n">
        <v>19782</v>
      </c>
      <c r="O4098" s="22" t="n">
        <v>282342947</v>
      </c>
      <c r="P4098" s="22" t="n">
        <v>19782</v>
      </c>
      <c r="Q4098" s="22" t="n">
        <v>282342947</v>
      </c>
      <c r="R4098" s="42">
        <f>+L4098+N4098-P4098</f>
        <v/>
      </c>
      <c r="S4098" s="42">
        <f>+M4098+O4098-Q4098</f>
        <v/>
      </c>
    </row>
    <row r="4099" ht="30" customHeight="1">
      <c r="A4099" s="16" t="n">
        <v>46020</v>
      </c>
      <c r="B4099" s="17" t="inlineStr">
        <is>
          <t>MH2512-50</t>
        </is>
      </c>
      <c r="C4099" s="16" t="n">
        <v>46020</v>
      </c>
      <c r="D4099" s="17" t="inlineStr">
        <is>
          <t>00003130</t>
        </is>
      </c>
      <c r="E4099" s="16" t="n">
        <v>46020</v>
      </c>
      <c r="F4099" s="16" t="inlineStr">
        <is>
          <t>XK2512-35</t>
        </is>
      </c>
      <c r="G4099" s="16" t="n">
        <v>46020</v>
      </c>
      <c r="H4099" s="17" t="inlineStr">
        <is>
          <t>CÔNG TY TNHH DỊCH VỤ - THƯƠNG MẠI THÉP THIÊN LONG</t>
        </is>
      </c>
      <c r="I4099" s="17" t="inlineStr">
        <is>
          <t>Thép lá 2ly</t>
        </is>
      </c>
      <c r="J4099" s="17" t="inlineStr">
        <is>
          <t>kg</t>
        </is>
      </c>
      <c r="K4099" s="21" t="n">
        <v>14545.45</v>
      </c>
      <c r="L4099" s="21" t="n"/>
      <c r="M4099" s="22" t="n"/>
      <c r="N4099" s="22" t="n">
        <v>883.13</v>
      </c>
      <c r="O4099" s="22" t="n">
        <v>12845523</v>
      </c>
      <c r="P4099" s="22" t="n">
        <v>883.13</v>
      </c>
      <c r="Q4099" s="22" t="n">
        <v>12845523</v>
      </c>
      <c r="R4099" s="42">
        <f>+L4099+N4099-P4099</f>
        <v/>
      </c>
      <c r="S4099" s="42">
        <f>+M4099+O4099-Q4099</f>
        <v/>
      </c>
    </row>
    <row r="4100" ht="30" customHeight="1">
      <c r="A4100" s="16" t="n">
        <v>46020</v>
      </c>
      <c r="B4100" s="17" t="inlineStr">
        <is>
          <t>MH2512-50</t>
        </is>
      </c>
      <c r="C4100" s="16" t="n">
        <v>46020</v>
      </c>
      <c r="D4100" s="17" t="inlineStr">
        <is>
          <t>00003130</t>
        </is>
      </c>
      <c r="E4100" s="16" t="n">
        <v>46020</v>
      </c>
      <c r="F4100" s="16" t="inlineStr">
        <is>
          <t>XK2512-35</t>
        </is>
      </c>
      <c r="G4100" s="16" t="n">
        <v>46020</v>
      </c>
      <c r="H4100" s="17" t="inlineStr">
        <is>
          <t>CÔNG TY TNHH DỊCH VỤ - THƯƠNG MẠI THÉP THIÊN LONG</t>
        </is>
      </c>
      <c r="I4100" s="17" t="inlineStr">
        <is>
          <t>Thép tấm gân 5ly</t>
        </is>
      </c>
      <c r="J4100" s="17" t="inlineStr">
        <is>
          <t>kg</t>
        </is>
      </c>
      <c r="K4100" s="21" t="n">
        <v>12454.54</v>
      </c>
      <c r="L4100" s="21" t="n"/>
      <c r="M4100" s="22" t="n"/>
      <c r="N4100" s="22" t="n">
        <v>380.25</v>
      </c>
      <c r="O4100" s="22" t="n">
        <v>4735839</v>
      </c>
      <c r="P4100" s="22" t="n">
        <v>380.25</v>
      </c>
      <c r="Q4100" s="22" t="n">
        <v>4735839</v>
      </c>
      <c r="R4100" s="42">
        <f>+L4100+N4100-P4100</f>
        <v/>
      </c>
      <c r="S4100" s="42">
        <f>+M4100+O4100-Q4100</f>
        <v/>
      </c>
    </row>
    <row r="4101" ht="30" customHeight="1">
      <c r="A4101" s="16" t="n">
        <v>46020</v>
      </c>
      <c r="B4101" s="17" t="inlineStr">
        <is>
          <t>MH2512-50</t>
        </is>
      </c>
      <c r="C4101" s="16" t="n">
        <v>46020</v>
      </c>
      <c r="D4101" s="17" t="inlineStr">
        <is>
          <t>00003130</t>
        </is>
      </c>
      <c r="E4101" s="16" t="n">
        <v>46020</v>
      </c>
      <c r="F4101" s="16" t="inlineStr">
        <is>
          <t>XK2512-35</t>
        </is>
      </c>
      <c r="G4101" s="16" t="n">
        <v>46020</v>
      </c>
      <c r="H4101" s="17" t="inlineStr">
        <is>
          <t>CÔNG TY TNHH DỊCH VỤ - THƯƠNG MẠI THÉP THIÊN LONG</t>
        </is>
      </c>
      <c r="I4101" s="17" t="inlineStr">
        <is>
          <t>Thép tấm 6ly</t>
        </is>
      </c>
      <c r="J4101" s="17" t="inlineStr">
        <is>
          <t>kg</t>
        </is>
      </c>
      <c r="K4101" s="21" t="n">
        <v>13363.63</v>
      </c>
      <c r="L4101" s="21" t="n"/>
      <c r="M4101" s="22" t="n"/>
      <c r="N4101" s="22" t="n">
        <v>67824</v>
      </c>
      <c r="O4101" s="22" t="n">
        <v>906374841</v>
      </c>
      <c r="P4101" s="22" t="n">
        <v>67824</v>
      </c>
      <c r="Q4101" s="22" t="n">
        <v>906374841</v>
      </c>
      <c r="R4101" s="42">
        <f>+L4101+N4101-P4101</f>
        <v/>
      </c>
      <c r="S4101" s="42">
        <f>+M4101+O4101-Q4101</f>
        <v/>
      </c>
    </row>
    <row r="4102" ht="30" customHeight="1">
      <c r="A4102" s="16" t="n">
        <v>46021</v>
      </c>
      <c r="B4102" s="17" t="inlineStr">
        <is>
          <t>MH2512-51</t>
        </is>
      </c>
      <c r="C4102" s="16" t="n">
        <v>46021</v>
      </c>
      <c r="D4102" s="17" t="inlineStr">
        <is>
          <t>00005218</t>
        </is>
      </c>
      <c r="E4102" s="16" t="n">
        <v>46021</v>
      </c>
      <c r="F4102" s="16" t="inlineStr">
        <is>
          <t>XK2512-36</t>
        </is>
      </c>
      <c r="G4102" s="16" t="n">
        <v>46021</v>
      </c>
      <c r="H4102" s="17" t="inlineStr">
        <is>
          <t>CÔNG TY CỔ PHẦN CÔNG NGHIỆP VÀ THƯƠNG MẠI CƯỜNG THỊNH</t>
        </is>
      </c>
      <c r="I4102" s="17" t="inlineStr">
        <is>
          <t>Bulong Din 933 8.8 ZP M20x60</t>
        </is>
      </c>
      <c r="J4102" s="17" t="inlineStr">
        <is>
          <t>Cái</t>
        </is>
      </c>
      <c r="K4102" s="21" t="n">
        <v>6360</v>
      </c>
      <c r="L4102" s="21" t="n"/>
      <c r="M4102" s="22" t="n"/>
      <c r="N4102" s="22" t="n">
        <v>1339</v>
      </c>
      <c r="O4102" s="22" t="n">
        <v>8516040</v>
      </c>
      <c r="P4102" s="22" t="n">
        <v>1339</v>
      </c>
      <c r="Q4102" s="22" t="n">
        <v>8516040</v>
      </c>
      <c r="R4102" s="42">
        <f>+L4102+N4102-P4102</f>
        <v/>
      </c>
      <c r="S4102" s="42">
        <f>+M4102+O4102-Q4102</f>
        <v/>
      </c>
    </row>
    <row r="4103" ht="30" customHeight="1">
      <c r="A4103" s="16" t="n">
        <v>46021</v>
      </c>
      <c r="B4103" s="17" t="inlineStr">
        <is>
          <t>MH2512-51</t>
        </is>
      </c>
      <c r="C4103" s="16" t="n">
        <v>46021</v>
      </c>
      <c r="D4103" s="17" t="inlineStr">
        <is>
          <t>00005218</t>
        </is>
      </c>
      <c r="E4103" s="16" t="n">
        <v>46021</v>
      </c>
      <c r="F4103" s="16" t="inlineStr">
        <is>
          <t>XK2512-36</t>
        </is>
      </c>
      <c r="G4103" s="16" t="n">
        <v>46021</v>
      </c>
      <c r="H4103" s="17" t="inlineStr">
        <is>
          <t>CÔNG TY CỔ PHẦN CÔNG NGHIỆP VÀ THƯƠNG MẠI CƯỜNG THỊNH</t>
        </is>
      </c>
      <c r="I4103" s="17" t="inlineStr">
        <is>
          <t>Đai ốc Din 934 8 ZP M20</t>
        </is>
      </c>
      <c r="J4103" s="17" t="inlineStr">
        <is>
          <t>Cái</t>
        </is>
      </c>
      <c r="K4103" s="21" t="n">
        <v>2030</v>
      </c>
      <c r="L4103" s="21" t="n"/>
      <c r="M4103" s="22" t="n"/>
      <c r="N4103" s="22" t="n">
        <v>1339</v>
      </c>
      <c r="O4103" s="22" t="n">
        <v>2718170</v>
      </c>
      <c r="P4103" s="22" t="n">
        <v>1339</v>
      </c>
      <c r="Q4103" s="22" t="n">
        <v>2718170</v>
      </c>
      <c r="R4103" s="42">
        <f>+L4103+N4103-P4103</f>
        <v/>
      </c>
      <c r="S4103" s="42">
        <f>+M4103+O4103-Q4103</f>
        <v/>
      </c>
    </row>
    <row r="4104" ht="30" customHeight="1">
      <c r="A4104" s="16" t="n">
        <v>46021</v>
      </c>
      <c r="B4104" s="17" t="inlineStr">
        <is>
          <t>MH2512-51</t>
        </is>
      </c>
      <c r="C4104" s="16" t="n">
        <v>46021</v>
      </c>
      <c r="D4104" s="17" t="inlineStr">
        <is>
          <t>00005218</t>
        </is>
      </c>
      <c r="E4104" s="16" t="n">
        <v>46021</v>
      </c>
      <c r="F4104" s="16" t="inlineStr">
        <is>
          <t>XK2512-36</t>
        </is>
      </c>
      <c r="G4104" s="16" t="n">
        <v>46021</v>
      </c>
      <c r="H4104" s="17" t="inlineStr">
        <is>
          <t>CÔNG TY CỔ PHẦN CÔNG NGHIỆP VÀ THƯƠNG MẠI CƯỜNG THỊNH</t>
        </is>
      </c>
      <c r="I4104" s="17" t="inlineStr">
        <is>
          <t>Long đền thường ZP M20B35D2</t>
        </is>
      </c>
      <c r="J4104" s="17" t="inlineStr">
        <is>
          <t>Cái</t>
        </is>
      </c>
      <c r="K4104" s="21" t="n">
        <v>350</v>
      </c>
      <c r="L4104" s="21" t="n"/>
      <c r="M4104" s="22" t="n"/>
      <c r="N4104" s="22" t="n">
        <v>1339</v>
      </c>
      <c r="O4104" s="22" t="n">
        <v>468650</v>
      </c>
      <c r="P4104" s="22" t="n">
        <v>1339</v>
      </c>
      <c r="Q4104" s="22" t="n">
        <v>468650</v>
      </c>
      <c r="R4104" s="42">
        <f>+L4104+N4104-P4104</f>
        <v/>
      </c>
      <c r="S4104" s="42">
        <f>+M4104+O4104-Q4104</f>
        <v/>
      </c>
    </row>
    <row r="4105" ht="30" customHeight="1">
      <c r="A4105" s="16" t="n">
        <v>46021</v>
      </c>
      <c r="B4105" s="17" t="inlineStr">
        <is>
          <t>MH2512-51</t>
        </is>
      </c>
      <c r="C4105" s="16" t="n">
        <v>46021</v>
      </c>
      <c r="D4105" s="17" t="inlineStr">
        <is>
          <t>00005218</t>
        </is>
      </c>
      <c r="E4105" s="16" t="n">
        <v>46021</v>
      </c>
      <c r="F4105" s="16" t="inlineStr">
        <is>
          <t>XK2512-36</t>
        </is>
      </c>
      <c r="G4105" s="16" t="n">
        <v>46021</v>
      </c>
      <c r="H4105" s="17" t="inlineStr">
        <is>
          <t>CÔNG TY CỔ PHẦN CÔNG NGHIỆP VÀ THƯƠNG MẠI CƯỜNG THỊNH</t>
        </is>
      </c>
      <c r="I4105" s="17" t="inlineStr">
        <is>
          <t>Bulong Din 933 8.8 ZP M24x70</t>
        </is>
      </c>
      <c r="J4105" s="17" t="inlineStr">
        <is>
          <t>Cái</t>
        </is>
      </c>
      <c r="K4105" s="21" t="n">
        <v>11010</v>
      </c>
      <c r="L4105" s="21" t="n"/>
      <c r="M4105" s="22" t="n"/>
      <c r="N4105" s="22" t="n">
        <v>3860</v>
      </c>
      <c r="O4105" s="22" t="n">
        <v>42498600</v>
      </c>
      <c r="P4105" s="22" t="n">
        <v>3860</v>
      </c>
      <c r="Q4105" s="22" t="n">
        <v>42498600</v>
      </c>
      <c r="R4105" s="42">
        <f>+L4105+N4105-P4105</f>
        <v/>
      </c>
      <c r="S4105" s="42">
        <f>+M4105+O4105-Q4105</f>
        <v/>
      </c>
    </row>
    <row r="4106" ht="30" customHeight="1">
      <c r="A4106" s="16" t="n">
        <v>46021</v>
      </c>
      <c r="B4106" s="17" t="inlineStr">
        <is>
          <t>MH2512-51</t>
        </is>
      </c>
      <c r="C4106" s="16" t="n">
        <v>46021</v>
      </c>
      <c r="D4106" s="17" t="inlineStr">
        <is>
          <t>00005218</t>
        </is>
      </c>
      <c r="E4106" s="16" t="n">
        <v>46021</v>
      </c>
      <c r="F4106" s="16" t="inlineStr">
        <is>
          <t>XK2512-36</t>
        </is>
      </c>
      <c r="G4106" s="16" t="n">
        <v>46021</v>
      </c>
      <c r="H4106" s="17" t="inlineStr">
        <is>
          <t>CÔNG TY CỔ PHẦN CÔNG NGHIỆP VÀ THƯƠNG MẠI CƯỜNG THỊNH</t>
        </is>
      </c>
      <c r="I4106" s="17" t="inlineStr">
        <is>
          <t>Đai ốc Din 934 8 ZP M24</t>
        </is>
      </c>
      <c r="J4106" s="17" t="inlineStr">
        <is>
          <t>Cái</t>
        </is>
      </c>
      <c r="K4106" s="21" t="n">
        <v>3500</v>
      </c>
      <c r="L4106" s="21" t="n"/>
      <c r="M4106" s="22" t="n"/>
      <c r="N4106" s="22" t="n">
        <v>3860</v>
      </c>
      <c r="O4106" s="22" t="n">
        <v>13510000</v>
      </c>
      <c r="P4106" s="22" t="n">
        <v>3860</v>
      </c>
      <c r="Q4106" s="22" t="n">
        <v>13510000</v>
      </c>
      <c r="R4106" s="42">
        <f>+L4106+N4106-P4106</f>
        <v/>
      </c>
      <c r="S4106" s="42">
        <f>+M4106+O4106-Q4106</f>
        <v/>
      </c>
    </row>
    <row r="4107" ht="30" customHeight="1">
      <c r="A4107" s="16" t="n">
        <v>46021</v>
      </c>
      <c r="B4107" s="17" t="inlineStr">
        <is>
          <t>MH2512-51</t>
        </is>
      </c>
      <c r="C4107" s="16" t="n">
        <v>46021</v>
      </c>
      <c r="D4107" s="17" t="inlineStr">
        <is>
          <t>00005218</t>
        </is>
      </c>
      <c r="E4107" s="16" t="n">
        <v>46021</v>
      </c>
      <c r="F4107" s="16" t="inlineStr">
        <is>
          <t>XK2512-36</t>
        </is>
      </c>
      <c r="G4107" s="16" t="n">
        <v>46021</v>
      </c>
      <c r="H4107" s="17" t="inlineStr">
        <is>
          <t>CÔNG TY CỔ PHẦN CÔNG NGHIỆP VÀ THƯƠNG MẠI CƯỜNG THỊNH</t>
        </is>
      </c>
      <c r="I4107" s="17" t="inlineStr">
        <is>
          <t>Long đền thường ZP M24B40-42D2</t>
        </is>
      </c>
      <c r="J4107" s="17" t="inlineStr">
        <is>
          <t>Cái</t>
        </is>
      </c>
      <c r="K4107" s="21" t="n">
        <v>660</v>
      </c>
      <c r="L4107" s="21" t="n"/>
      <c r="M4107" s="22" t="n"/>
      <c r="N4107" s="22" t="n">
        <v>3860</v>
      </c>
      <c r="O4107" s="22" t="n">
        <v>2547600</v>
      </c>
      <c r="P4107" s="22" t="n">
        <v>3860</v>
      </c>
      <c r="Q4107" s="22" t="n">
        <v>2547600</v>
      </c>
      <c r="R4107" s="42">
        <f>+L4107+N4107-P4107</f>
        <v/>
      </c>
      <c r="S4107" s="42">
        <f>+M4107+O4107-Q4107</f>
        <v/>
      </c>
    </row>
    <row r="4108" ht="30" customHeight="1">
      <c r="A4108" s="16" t="n">
        <v>46021</v>
      </c>
      <c r="B4108" s="17" t="inlineStr">
        <is>
          <t>MH2512-51</t>
        </is>
      </c>
      <c r="C4108" s="16" t="n">
        <v>46021</v>
      </c>
      <c r="D4108" s="17" t="inlineStr">
        <is>
          <t>00005218</t>
        </is>
      </c>
      <c r="E4108" s="16" t="n">
        <v>46021</v>
      </c>
      <c r="F4108" s="16" t="inlineStr">
        <is>
          <t>XK2512-36</t>
        </is>
      </c>
      <c r="G4108" s="16" t="n">
        <v>46021</v>
      </c>
      <c r="H4108" s="17" t="inlineStr">
        <is>
          <t>CÔNG TY CỔ PHẦN CÔNG NGHIỆP VÀ THƯƠNG MẠI CƯỜNG THỊNH</t>
        </is>
      </c>
      <c r="I4108" s="17" t="inlineStr">
        <is>
          <t>Bulong Din 933 8.8 ZP M24x90</t>
        </is>
      </c>
      <c r="J4108" s="17" t="inlineStr">
        <is>
          <t>Cái</t>
        </is>
      </c>
      <c r="K4108" s="21" t="n">
        <v>12950</v>
      </c>
      <c r="L4108" s="21" t="n"/>
      <c r="M4108" s="22" t="n"/>
      <c r="N4108" s="22" t="n">
        <v>1541</v>
      </c>
      <c r="O4108" s="22" t="n">
        <v>19955950</v>
      </c>
      <c r="P4108" s="22" t="n">
        <v>1541</v>
      </c>
      <c r="Q4108" s="22" t="n">
        <v>19955950</v>
      </c>
      <c r="R4108" s="42">
        <f>+L4108+N4108-P4108</f>
        <v/>
      </c>
      <c r="S4108" s="42">
        <f>+M4108+O4108-Q4108</f>
        <v/>
      </c>
    </row>
    <row r="4109" ht="30" customHeight="1">
      <c r="A4109" s="16" t="n">
        <v>46021</v>
      </c>
      <c r="B4109" s="17" t="inlineStr">
        <is>
          <t>MH2512-51</t>
        </is>
      </c>
      <c r="C4109" s="16" t="n">
        <v>46021</v>
      </c>
      <c r="D4109" s="17" t="inlineStr">
        <is>
          <t>00005218</t>
        </is>
      </c>
      <c r="E4109" s="16" t="n">
        <v>46021</v>
      </c>
      <c r="F4109" s="16" t="inlineStr">
        <is>
          <t>XK2512-36</t>
        </is>
      </c>
      <c r="G4109" s="16" t="n">
        <v>46021</v>
      </c>
      <c r="H4109" s="17" t="inlineStr">
        <is>
          <t>CÔNG TY CỔ PHẦN CÔNG NGHIỆP VÀ THƯƠNG MẠI CƯỜNG THỊNH</t>
        </is>
      </c>
      <c r="I4109" s="17" t="inlineStr">
        <is>
          <t>Đai ốc Din 934 8 ZP M24</t>
        </is>
      </c>
      <c r="J4109" s="17" t="inlineStr">
        <is>
          <t>Cái</t>
        </is>
      </c>
      <c r="K4109" s="21" t="n">
        <v>3500</v>
      </c>
      <c r="L4109" s="21" t="n"/>
      <c r="M4109" s="22" t="n"/>
      <c r="N4109" s="22" t="n">
        <v>1541</v>
      </c>
      <c r="O4109" s="22" t="n">
        <v>5393500</v>
      </c>
      <c r="P4109" s="22" t="n">
        <v>1541</v>
      </c>
      <c r="Q4109" s="22" t="n">
        <v>5393500</v>
      </c>
      <c r="R4109" s="42">
        <f>+L4109+N4109-P4109</f>
        <v/>
      </c>
      <c r="S4109" s="42">
        <f>+M4109+O4109-Q4109</f>
        <v/>
      </c>
    </row>
    <row r="4110" ht="30" customHeight="1">
      <c r="A4110" s="16" t="n">
        <v>46021</v>
      </c>
      <c r="B4110" s="17" t="inlineStr">
        <is>
          <t>MH2512-51</t>
        </is>
      </c>
      <c r="C4110" s="16" t="n">
        <v>46021</v>
      </c>
      <c r="D4110" s="17" t="inlineStr">
        <is>
          <t>00005218</t>
        </is>
      </c>
      <c r="E4110" s="16" t="n">
        <v>46021</v>
      </c>
      <c r="F4110" s="16" t="inlineStr">
        <is>
          <t>XK2512-36</t>
        </is>
      </c>
      <c r="G4110" s="16" t="n">
        <v>46021</v>
      </c>
      <c r="H4110" s="17" t="inlineStr">
        <is>
          <t>CÔNG TY CỔ PHẦN CÔNG NGHIỆP VÀ THƯƠNG MẠI CƯỜNG THỊNH</t>
        </is>
      </c>
      <c r="I4110" s="17" t="inlineStr">
        <is>
          <t>Long đền thường ZP M24B40-42D2</t>
        </is>
      </c>
      <c r="J4110" s="17" t="inlineStr">
        <is>
          <t>Cái</t>
        </is>
      </c>
      <c r="K4110" s="21" t="n">
        <v>660</v>
      </c>
      <c r="L4110" s="21" t="n"/>
      <c r="M4110" s="22" t="n"/>
      <c r="N4110" s="22" t="n">
        <v>1541</v>
      </c>
      <c r="O4110" s="22" t="n">
        <v>1017060</v>
      </c>
      <c r="P4110" s="22" t="n">
        <v>1541</v>
      </c>
      <c r="Q4110" s="22" t="n">
        <v>1017060</v>
      </c>
      <c r="R4110" s="42">
        <f>+L4110+N4110-P4110</f>
        <v/>
      </c>
      <c r="S4110" s="42">
        <f>+M4110+O4110-Q4110</f>
        <v/>
      </c>
    </row>
    <row r="4111" ht="30" customHeight="1">
      <c r="A4111" s="16" t="n">
        <v>46021</v>
      </c>
      <c r="B4111" s="17" t="inlineStr">
        <is>
          <t>MH2512-51</t>
        </is>
      </c>
      <c r="C4111" s="16" t="n">
        <v>46021</v>
      </c>
      <c r="D4111" s="17" t="inlineStr">
        <is>
          <t>00005218</t>
        </is>
      </c>
      <c r="E4111" s="16" t="n">
        <v>46021</v>
      </c>
      <c r="F4111" s="16" t="inlineStr">
        <is>
          <t>XK2512-36</t>
        </is>
      </c>
      <c r="G4111" s="16" t="n">
        <v>46021</v>
      </c>
      <c r="H4111" s="17" t="inlineStr">
        <is>
          <t>CÔNG TY CỔ PHẦN CÔNG NGHIỆP VÀ THƯƠNG MẠI CƯỜNG THỊNH</t>
        </is>
      </c>
      <c r="I4111" s="17" t="inlineStr">
        <is>
          <t>Bulong Din 933 8.8 ZP M24x120</t>
        </is>
      </c>
      <c r="J4111" s="17" t="inlineStr">
        <is>
          <t>Cái</t>
        </is>
      </c>
      <c r="K4111" s="21" t="n">
        <v>15820</v>
      </c>
      <c r="L4111" s="21" t="n"/>
      <c r="M4111" s="22" t="n"/>
      <c r="N4111" s="22" t="n">
        <v>1318</v>
      </c>
      <c r="O4111" s="22" t="n">
        <v>20850760</v>
      </c>
      <c r="P4111" s="22" t="n">
        <v>1318</v>
      </c>
      <c r="Q4111" s="22" t="n">
        <v>20850760</v>
      </c>
      <c r="R4111" s="42">
        <f>+L4111+N4111-P4111</f>
        <v/>
      </c>
      <c r="S4111" s="42">
        <f>+M4111+O4111-Q4111</f>
        <v/>
      </c>
    </row>
    <row r="4112" ht="30" customHeight="1">
      <c r="A4112" s="16" t="n">
        <v>46021</v>
      </c>
      <c r="B4112" s="17" t="inlineStr">
        <is>
          <t>MH2512-51</t>
        </is>
      </c>
      <c r="C4112" s="16" t="n">
        <v>46021</v>
      </c>
      <c r="D4112" s="17" t="inlineStr">
        <is>
          <t>00005218</t>
        </is>
      </c>
      <c r="E4112" s="16" t="n">
        <v>46021</v>
      </c>
      <c r="F4112" s="16" t="inlineStr">
        <is>
          <t>XK2512-36</t>
        </is>
      </c>
      <c r="G4112" s="16" t="n">
        <v>46021</v>
      </c>
      <c r="H4112" s="17" t="inlineStr">
        <is>
          <t>CÔNG TY CỔ PHẦN CÔNG NGHIỆP VÀ THƯƠNG MẠI CƯỜNG THỊNH</t>
        </is>
      </c>
      <c r="I4112" s="17" t="inlineStr">
        <is>
          <t>Đai ốc Din 934 8 ZP M24</t>
        </is>
      </c>
      <c r="J4112" s="17" t="inlineStr">
        <is>
          <t>Cái</t>
        </is>
      </c>
      <c r="K4112" s="21" t="n">
        <v>3500</v>
      </c>
      <c r="L4112" s="21" t="n"/>
      <c r="M4112" s="22" t="n"/>
      <c r="N4112" s="22" t="n">
        <v>1318</v>
      </c>
      <c r="O4112" s="22" t="n">
        <v>4613000</v>
      </c>
      <c r="P4112" s="22" t="n">
        <v>1318</v>
      </c>
      <c r="Q4112" s="22" t="n">
        <v>4613000</v>
      </c>
      <c r="R4112" s="42">
        <f>+L4112+N4112-P4112</f>
        <v/>
      </c>
      <c r="S4112" s="42">
        <f>+M4112+O4112-Q4112</f>
        <v/>
      </c>
    </row>
    <row r="4113" ht="30" customHeight="1">
      <c r="A4113" s="16" t="n">
        <v>46021</v>
      </c>
      <c r="B4113" s="17" t="inlineStr">
        <is>
          <t>MH2512-51</t>
        </is>
      </c>
      <c r="C4113" s="16" t="n">
        <v>46021</v>
      </c>
      <c r="D4113" s="17" t="inlineStr">
        <is>
          <t>00005218</t>
        </is>
      </c>
      <c r="E4113" s="16" t="n">
        <v>46021</v>
      </c>
      <c r="F4113" s="16" t="inlineStr">
        <is>
          <t>XK2512-36</t>
        </is>
      </c>
      <c r="G4113" s="16" t="n">
        <v>46021</v>
      </c>
      <c r="H4113" s="17" t="inlineStr">
        <is>
          <t>CÔNG TY CỔ PHẦN CÔNG NGHIỆP VÀ THƯƠNG MẠI CƯỜNG THỊNH</t>
        </is>
      </c>
      <c r="I4113" s="17" t="inlineStr">
        <is>
          <t>Long đền thường ZP M24B40-42D2</t>
        </is>
      </c>
      <c r="J4113" s="17" t="inlineStr">
        <is>
          <t>Cái</t>
        </is>
      </c>
      <c r="K4113" s="21" t="n">
        <v>660</v>
      </c>
      <c r="L4113" s="21" t="n"/>
      <c r="M4113" s="22" t="n"/>
      <c r="N4113" s="22" t="n">
        <v>1318</v>
      </c>
      <c r="O4113" s="22" t="n">
        <v>869880</v>
      </c>
      <c r="P4113" s="22" t="n">
        <v>1318</v>
      </c>
      <c r="Q4113" s="22" t="n">
        <v>869880</v>
      </c>
      <c r="R4113" s="42">
        <f>+L4113+N4113-P4113</f>
        <v/>
      </c>
      <c r="S4113" s="42">
        <f>+M4113+O4113-Q4113</f>
        <v/>
      </c>
    </row>
    <row r="4114" ht="30" customHeight="1">
      <c r="A4114" s="16" t="n">
        <v>46021</v>
      </c>
      <c r="B4114" s="17" t="inlineStr">
        <is>
          <t>MH2512-51</t>
        </is>
      </c>
      <c r="C4114" s="16" t="n">
        <v>46021</v>
      </c>
      <c r="D4114" s="17" t="inlineStr">
        <is>
          <t>00005218</t>
        </is>
      </c>
      <c r="E4114" s="16" t="n">
        <v>46021</v>
      </c>
      <c r="F4114" s="16" t="inlineStr">
        <is>
          <t>XK2512-36</t>
        </is>
      </c>
      <c r="G4114" s="16" t="n">
        <v>46021</v>
      </c>
      <c r="H4114" s="17" t="inlineStr">
        <is>
          <t>CÔNG TY CỔ PHẦN CÔNG NGHIỆP VÀ THƯƠNG MẠI CƯỜNG THỊNH</t>
        </is>
      </c>
      <c r="I4114" s="17" t="inlineStr">
        <is>
          <t>Bulong Din 933 8.8 ZP M30x100</t>
        </is>
      </c>
      <c r="J4114" s="17" t="inlineStr">
        <is>
          <t>Cái</t>
        </is>
      </c>
      <c r="K4114" s="21" t="n">
        <v>25460</v>
      </c>
      <c r="L4114" s="21" t="n"/>
      <c r="M4114" s="22" t="n"/>
      <c r="N4114" s="22" t="n">
        <v>667</v>
      </c>
      <c r="O4114" s="22" t="n">
        <v>16981820</v>
      </c>
      <c r="P4114" s="22" t="n">
        <v>667</v>
      </c>
      <c r="Q4114" s="22" t="n">
        <v>16981820</v>
      </c>
      <c r="R4114" s="42">
        <f>+L4114+N4114-P4114</f>
        <v/>
      </c>
      <c r="S4114" s="42">
        <f>+M4114+O4114-Q4114</f>
        <v/>
      </c>
    </row>
    <row r="4115" ht="30" customHeight="1">
      <c r="A4115" s="16" t="n">
        <v>46021</v>
      </c>
      <c r="B4115" s="17" t="inlineStr">
        <is>
          <t>MH2512-51</t>
        </is>
      </c>
      <c r="C4115" s="16" t="n">
        <v>46021</v>
      </c>
      <c r="D4115" s="17" t="inlineStr">
        <is>
          <t>00005218</t>
        </is>
      </c>
      <c r="E4115" s="16" t="n">
        <v>46021</v>
      </c>
      <c r="F4115" s="16" t="inlineStr">
        <is>
          <t>XK2512-36</t>
        </is>
      </c>
      <c r="G4115" s="16" t="n">
        <v>46021</v>
      </c>
      <c r="H4115" s="17" t="inlineStr">
        <is>
          <t>CÔNG TY CỔ PHẦN CÔNG NGHIỆP VÀ THƯƠNG MẠI CƯỜNG THỊNH</t>
        </is>
      </c>
      <c r="I4115" s="17" t="inlineStr">
        <is>
          <t>Đai ốc Din 934 8 ZP M30</t>
        </is>
      </c>
      <c r="J4115" s="17" t="inlineStr">
        <is>
          <t>Cái</t>
        </is>
      </c>
      <c r="K4115" s="21" t="n">
        <v>7750</v>
      </c>
      <c r="L4115" s="21" t="n"/>
      <c r="M4115" s="22" t="n"/>
      <c r="N4115" s="22" t="n">
        <v>667</v>
      </c>
      <c r="O4115" s="22" t="n">
        <v>5169250</v>
      </c>
      <c r="P4115" s="22" t="n">
        <v>667</v>
      </c>
      <c r="Q4115" s="22" t="n">
        <v>5169250</v>
      </c>
      <c r="R4115" s="42">
        <f>+L4115+N4115-P4115</f>
        <v/>
      </c>
      <c r="S4115" s="42">
        <f>+M4115+O4115-Q4115</f>
        <v/>
      </c>
    </row>
    <row r="4116" ht="30" customHeight="1">
      <c r="A4116" s="16" t="n">
        <v>46021</v>
      </c>
      <c r="B4116" s="17" t="inlineStr">
        <is>
          <t>MH2512-51</t>
        </is>
      </c>
      <c r="C4116" s="16" t="n">
        <v>46021</v>
      </c>
      <c r="D4116" s="17" t="inlineStr">
        <is>
          <t>00005218</t>
        </is>
      </c>
      <c r="E4116" s="16" t="n">
        <v>46021</v>
      </c>
      <c r="F4116" s="16" t="inlineStr">
        <is>
          <t>XK2512-36</t>
        </is>
      </c>
      <c r="G4116" s="16" t="n">
        <v>46021</v>
      </c>
      <c r="H4116" s="17" t="inlineStr">
        <is>
          <t>CÔNG TY CỔ PHẦN CÔNG NGHIỆP VÀ THƯƠNG MẠI CƯỜNG THỊNH</t>
        </is>
      </c>
      <c r="I4116" s="17" t="inlineStr">
        <is>
          <t>Long đền thường ZP M30B50D2</t>
        </is>
      </c>
      <c r="J4116" s="17" t="inlineStr">
        <is>
          <t>Cái</t>
        </is>
      </c>
      <c r="K4116" s="21" t="n">
        <v>890</v>
      </c>
      <c r="L4116" s="21" t="n"/>
      <c r="M4116" s="22" t="n"/>
      <c r="N4116" s="22" t="n">
        <v>667</v>
      </c>
      <c r="O4116" s="22" t="n">
        <v>593630</v>
      </c>
      <c r="P4116" s="22" t="n">
        <v>667</v>
      </c>
      <c r="Q4116" s="22" t="n">
        <v>593630</v>
      </c>
      <c r="R4116" s="42">
        <f>+L4116+N4116-P4116</f>
        <v/>
      </c>
      <c r="S4116" s="42">
        <f>+M4116+O4116-Q4116</f>
        <v/>
      </c>
    </row>
    <row r="4117" ht="30" customHeight="1">
      <c r="A4117" s="16" t="n">
        <v>46021</v>
      </c>
      <c r="B4117" s="17" t="inlineStr">
        <is>
          <t>MH2512-51</t>
        </is>
      </c>
      <c r="C4117" s="16" t="n">
        <v>46021</v>
      </c>
      <c r="D4117" s="17" t="inlineStr">
        <is>
          <t>00005218</t>
        </is>
      </c>
      <c r="E4117" s="16" t="n">
        <v>46021</v>
      </c>
      <c r="F4117" s="16" t="inlineStr">
        <is>
          <t>XK2512-36</t>
        </is>
      </c>
      <c r="G4117" s="16" t="n">
        <v>46021</v>
      </c>
      <c r="H4117" s="17" t="inlineStr">
        <is>
          <t>CÔNG TY CỔ PHẦN CÔNG NGHIỆP VÀ THƯƠNG MẠI CƯỜNG THỊNH</t>
        </is>
      </c>
      <c r="I4117" s="17" t="inlineStr">
        <is>
          <t>Bulong Din 933 8.8 ZP M20x40</t>
        </is>
      </c>
      <c r="J4117" s="17" t="inlineStr">
        <is>
          <t>Cái</t>
        </is>
      </c>
      <c r="K4117" s="21" t="n">
        <v>5050</v>
      </c>
      <c r="L4117" s="21" t="n"/>
      <c r="M4117" s="22" t="n"/>
      <c r="N4117" s="22" t="n">
        <v>3065</v>
      </c>
      <c r="O4117" s="22" t="n">
        <v>15478250</v>
      </c>
      <c r="P4117" s="22" t="n">
        <v>3065</v>
      </c>
      <c r="Q4117" s="22" t="n">
        <v>15478250</v>
      </c>
      <c r="R4117" s="42">
        <f>+L4117+N4117-P4117</f>
        <v/>
      </c>
      <c r="S4117" s="42">
        <f>+M4117+O4117-Q4117</f>
        <v/>
      </c>
    </row>
    <row r="4118" ht="30" customHeight="1">
      <c r="A4118" s="16" t="n">
        <v>46021</v>
      </c>
      <c r="B4118" s="17" t="inlineStr">
        <is>
          <t>MH2512-51</t>
        </is>
      </c>
      <c r="C4118" s="16" t="n">
        <v>46021</v>
      </c>
      <c r="D4118" s="17" t="inlineStr">
        <is>
          <t>00005218</t>
        </is>
      </c>
      <c r="E4118" s="16" t="n">
        <v>46021</v>
      </c>
      <c r="F4118" s="16" t="inlineStr">
        <is>
          <t>XK2512-36</t>
        </is>
      </c>
      <c r="G4118" s="16" t="n">
        <v>46021</v>
      </c>
      <c r="H4118" s="17" t="inlineStr">
        <is>
          <t>CÔNG TY CỔ PHẦN CÔNG NGHIỆP VÀ THƯƠNG MẠI CƯỜNG THỊNH</t>
        </is>
      </c>
      <c r="I4118" s="17" t="inlineStr">
        <is>
          <t>Đai ốc Din 934 8 ZP M20</t>
        </is>
      </c>
      <c r="J4118" s="17" t="inlineStr">
        <is>
          <t>Cái</t>
        </is>
      </c>
      <c r="K4118" s="21" t="n">
        <v>2030</v>
      </c>
      <c r="L4118" s="21" t="n"/>
      <c r="M4118" s="22" t="n"/>
      <c r="N4118" s="22" t="n">
        <v>3065</v>
      </c>
      <c r="O4118" s="22" t="n">
        <v>6221950</v>
      </c>
      <c r="P4118" s="22" t="n">
        <v>3065</v>
      </c>
      <c r="Q4118" s="22" t="n">
        <v>6221950</v>
      </c>
      <c r="R4118" s="42">
        <f>+L4118+N4118-P4118</f>
        <v/>
      </c>
      <c r="S4118" s="42">
        <f>+M4118+O4118-Q4118</f>
        <v/>
      </c>
    </row>
    <row r="4119" ht="30" customHeight="1">
      <c r="A4119" s="16" t="n">
        <v>46021</v>
      </c>
      <c r="B4119" s="17" t="inlineStr">
        <is>
          <t>MH2512-51</t>
        </is>
      </c>
      <c r="C4119" s="16" t="n">
        <v>46021</v>
      </c>
      <c r="D4119" s="17" t="inlineStr">
        <is>
          <t>00005218</t>
        </is>
      </c>
      <c r="E4119" s="16" t="n">
        <v>46021</v>
      </c>
      <c r="F4119" s="16" t="inlineStr">
        <is>
          <t>XK2512-36</t>
        </is>
      </c>
      <c r="G4119" s="16" t="n">
        <v>46021</v>
      </c>
      <c r="H4119" s="17" t="inlineStr">
        <is>
          <t>CÔNG TY CỔ PHẦN CÔNG NGHIỆP VÀ THƯƠNG MẠI CƯỜNG THỊNH</t>
        </is>
      </c>
      <c r="I4119" s="17" t="inlineStr">
        <is>
          <t>Long đền thường ZP M20B35D2</t>
        </is>
      </c>
      <c r="J4119" s="17" t="inlineStr">
        <is>
          <t>Cái</t>
        </is>
      </c>
      <c r="K4119" s="21" t="n">
        <v>350</v>
      </c>
      <c r="L4119" s="21" t="n"/>
      <c r="M4119" s="22" t="n"/>
      <c r="N4119" s="22" t="n">
        <v>3065</v>
      </c>
      <c r="O4119" s="22" t="n">
        <v>1072750</v>
      </c>
      <c r="P4119" s="22" t="n">
        <v>3065</v>
      </c>
      <c r="Q4119" s="22" t="n">
        <v>1072750</v>
      </c>
      <c r="R4119" s="42">
        <f>+L4119+N4119-P4119</f>
        <v/>
      </c>
      <c r="S4119" s="42">
        <f>+M4119+O4119-Q4119</f>
        <v/>
      </c>
    </row>
    <row r="4120" ht="30" customHeight="1">
      <c r="A4120" s="16" t="n">
        <v>46021</v>
      </c>
      <c r="B4120" s="17" t="inlineStr">
        <is>
          <t>MH2512-51</t>
        </is>
      </c>
      <c r="C4120" s="16" t="n">
        <v>46021</v>
      </c>
      <c r="D4120" s="17" t="inlineStr">
        <is>
          <t>00005218</t>
        </is>
      </c>
      <c r="E4120" s="16" t="n">
        <v>46021</v>
      </c>
      <c r="F4120" s="16" t="inlineStr">
        <is>
          <t>XK2512-36</t>
        </is>
      </c>
      <c r="G4120" s="16" t="n">
        <v>46021</v>
      </c>
      <c r="H4120" s="17" t="inlineStr">
        <is>
          <t>CÔNG TY CỔ PHẦN CÔNG NGHIỆP VÀ THƯƠNG MẠI CƯỜNG THỊNH</t>
        </is>
      </c>
      <c r="I4120" s="17" t="inlineStr">
        <is>
          <t>Bulong Din 933 8.8 ZP M20x50</t>
        </is>
      </c>
      <c r="J4120" s="17" t="inlineStr">
        <is>
          <t>Cái</t>
        </is>
      </c>
      <c r="K4120" s="21" t="n">
        <v>5760</v>
      </c>
      <c r="L4120" s="21" t="n"/>
      <c r="M4120" s="22" t="n"/>
      <c r="N4120" s="22" t="n">
        <v>176</v>
      </c>
      <c r="O4120" s="22" t="n">
        <v>1013760</v>
      </c>
      <c r="P4120" s="22" t="n">
        <v>176</v>
      </c>
      <c r="Q4120" s="22" t="n">
        <v>1013760</v>
      </c>
      <c r="R4120" s="42">
        <f>+L4120+N4120-P4120</f>
        <v/>
      </c>
      <c r="S4120" s="42">
        <f>+M4120+O4120-Q4120</f>
        <v/>
      </c>
    </row>
    <row r="4121" ht="30" customHeight="1">
      <c r="A4121" s="16" t="n">
        <v>46021</v>
      </c>
      <c r="B4121" s="17" t="inlineStr">
        <is>
          <t>MH2512-51</t>
        </is>
      </c>
      <c r="C4121" s="16" t="n">
        <v>46021</v>
      </c>
      <c r="D4121" s="17" t="inlineStr">
        <is>
          <t>00005218</t>
        </is>
      </c>
      <c r="E4121" s="16" t="n">
        <v>46021</v>
      </c>
      <c r="F4121" s="16" t="inlineStr">
        <is>
          <t>XK2512-36</t>
        </is>
      </c>
      <c r="G4121" s="16" t="n">
        <v>46021</v>
      </c>
      <c r="H4121" s="17" t="inlineStr">
        <is>
          <t>CÔNG TY CỔ PHẦN CÔNG NGHIỆP VÀ THƯƠNG MẠI CƯỜNG THỊNH</t>
        </is>
      </c>
      <c r="I4121" s="17" t="inlineStr">
        <is>
          <t>Đai ốc Din 934 8 ZP M20</t>
        </is>
      </c>
      <c r="J4121" s="17" t="inlineStr">
        <is>
          <t>Cái</t>
        </is>
      </c>
      <c r="K4121" s="21" t="n">
        <v>2030</v>
      </c>
      <c r="L4121" s="21" t="n"/>
      <c r="M4121" s="22" t="n"/>
      <c r="N4121" s="22" t="n">
        <v>176</v>
      </c>
      <c r="O4121" s="22" t="n">
        <v>357280</v>
      </c>
      <c r="P4121" s="22" t="n">
        <v>176</v>
      </c>
      <c r="Q4121" s="22" t="n">
        <v>357280</v>
      </c>
      <c r="R4121" s="42">
        <f>+L4121+N4121-P4121</f>
        <v/>
      </c>
      <c r="S4121" s="42">
        <f>+M4121+O4121-Q4121</f>
        <v/>
      </c>
    </row>
    <row r="4122" ht="30" customHeight="1">
      <c r="A4122" s="16" t="n">
        <v>46021</v>
      </c>
      <c r="B4122" s="17" t="inlineStr">
        <is>
          <t>MH2512-51</t>
        </is>
      </c>
      <c r="C4122" s="16" t="n">
        <v>46021</v>
      </c>
      <c r="D4122" s="17" t="inlineStr">
        <is>
          <t>00005218</t>
        </is>
      </c>
      <c r="E4122" s="16" t="n">
        <v>46021</v>
      </c>
      <c r="F4122" s="16" t="inlineStr">
        <is>
          <t>XK2512-36</t>
        </is>
      </c>
      <c r="G4122" s="16" t="n">
        <v>46021</v>
      </c>
      <c r="H4122" s="17" t="inlineStr">
        <is>
          <t>CÔNG TY CỔ PHẦN CÔNG NGHIỆP VÀ THƯƠNG MẠI CƯỜNG THỊNH</t>
        </is>
      </c>
      <c r="I4122" s="17" t="inlineStr">
        <is>
          <t>Long đền thường ZP M20B35D2</t>
        </is>
      </c>
      <c r="J4122" s="17" t="inlineStr">
        <is>
          <t>Cái</t>
        </is>
      </c>
      <c r="K4122" s="21" t="n">
        <v>350</v>
      </c>
      <c r="L4122" s="21" t="n"/>
      <c r="M4122" s="22" t="n"/>
      <c r="N4122" s="22" t="n">
        <v>176</v>
      </c>
      <c r="O4122" s="22" t="n">
        <v>61600</v>
      </c>
      <c r="P4122" s="22" t="n">
        <v>176</v>
      </c>
      <c r="Q4122" s="22" t="n">
        <v>61600</v>
      </c>
      <c r="R4122" s="42">
        <f>+L4122+N4122-P4122</f>
        <v/>
      </c>
      <c r="S4122" s="42">
        <f>+M4122+O4122-Q4122</f>
        <v/>
      </c>
    </row>
    <row r="4123" ht="30" customHeight="1">
      <c r="A4123" s="16" t="n">
        <v>46021</v>
      </c>
      <c r="B4123" s="17" t="inlineStr">
        <is>
          <t>MH2512-51</t>
        </is>
      </c>
      <c r="C4123" s="16" t="n">
        <v>46021</v>
      </c>
      <c r="D4123" s="17" t="inlineStr">
        <is>
          <t>00005218</t>
        </is>
      </c>
      <c r="E4123" s="16" t="n">
        <v>46021</v>
      </c>
      <c r="F4123" s="16" t="inlineStr">
        <is>
          <t>XK2512-36</t>
        </is>
      </c>
      <c r="G4123" s="16" t="n">
        <v>46021</v>
      </c>
      <c r="H4123" s="17" t="inlineStr">
        <is>
          <t>CÔNG TY CỔ PHẦN CÔNG NGHIỆP VÀ THƯƠNG MẠI CƯỜNG THỊNH</t>
        </is>
      </c>
      <c r="I4123" s="17" t="inlineStr">
        <is>
          <t>Bulong Din 933 8.8 ZP M20x70</t>
        </is>
      </c>
      <c r="J4123" s="17" t="inlineStr">
        <is>
          <t>Cái</t>
        </is>
      </c>
      <c r="K4123" s="21" t="n">
        <v>7010</v>
      </c>
      <c r="L4123" s="21" t="n"/>
      <c r="M4123" s="22" t="n"/>
      <c r="N4123" s="22" t="n">
        <v>1355</v>
      </c>
      <c r="O4123" s="22" t="n">
        <v>9498550</v>
      </c>
      <c r="P4123" s="22" t="n">
        <v>1355</v>
      </c>
      <c r="Q4123" s="22" t="n">
        <v>9498550</v>
      </c>
      <c r="R4123" s="42">
        <f>+L4123+N4123-P4123</f>
        <v/>
      </c>
      <c r="S4123" s="42">
        <f>+M4123+O4123-Q4123</f>
        <v/>
      </c>
    </row>
    <row r="4124" ht="30" customHeight="1">
      <c r="A4124" s="16" t="n">
        <v>46021</v>
      </c>
      <c r="B4124" s="17" t="inlineStr">
        <is>
          <t>MH2512-51</t>
        </is>
      </c>
      <c r="C4124" s="16" t="n">
        <v>46021</v>
      </c>
      <c r="D4124" s="17" t="inlineStr">
        <is>
          <t>00005218</t>
        </is>
      </c>
      <c r="E4124" s="16" t="n">
        <v>46021</v>
      </c>
      <c r="F4124" s="16" t="inlineStr">
        <is>
          <t>XK2512-36</t>
        </is>
      </c>
      <c r="G4124" s="16" t="n">
        <v>46021</v>
      </c>
      <c r="H4124" s="17" t="inlineStr">
        <is>
          <t>CÔNG TY CỔ PHẦN CÔNG NGHIỆP VÀ THƯƠNG MẠI CƯỜNG THỊNH</t>
        </is>
      </c>
      <c r="I4124" s="17" t="inlineStr">
        <is>
          <t>Đai ốc Din 934 8 ZP M20</t>
        </is>
      </c>
      <c r="J4124" s="17" t="inlineStr">
        <is>
          <t>Cái</t>
        </is>
      </c>
      <c r="K4124" s="21" t="n">
        <v>2030</v>
      </c>
      <c r="L4124" s="21" t="n"/>
      <c r="M4124" s="22" t="n"/>
      <c r="N4124" s="22" t="n">
        <v>1355</v>
      </c>
      <c r="O4124" s="22" t="n">
        <v>2750650</v>
      </c>
      <c r="P4124" s="22" t="n">
        <v>1355</v>
      </c>
      <c r="Q4124" s="22" t="n">
        <v>2750650</v>
      </c>
      <c r="R4124" s="42">
        <f>+L4124+N4124-P4124</f>
        <v/>
      </c>
      <c r="S4124" s="42">
        <f>+M4124+O4124-Q4124</f>
        <v/>
      </c>
    </row>
    <row r="4125" ht="30" customHeight="1">
      <c r="A4125" s="16" t="n">
        <v>46021</v>
      </c>
      <c r="B4125" s="17" t="inlineStr">
        <is>
          <t>MH2512-51</t>
        </is>
      </c>
      <c r="C4125" s="16" t="n">
        <v>46021</v>
      </c>
      <c r="D4125" s="17" t="inlineStr">
        <is>
          <t>00005218</t>
        </is>
      </c>
      <c r="E4125" s="16" t="n">
        <v>46021</v>
      </c>
      <c r="F4125" s="16" t="inlineStr">
        <is>
          <t>XK2512-36</t>
        </is>
      </c>
      <c r="G4125" s="16" t="n">
        <v>46021</v>
      </c>
      <c r="H4125" s="17" t="inlineStr">
        <is>
          <t>CÔNG TY CỔ PHẦN CÔNG NGHIỆP VÀ THƯƠNG MẠI CƯỜNG THỊNH</t>
        </is>
      </c>
      <c r="I4125" s="17" t="inlineStr">
        <is>
          <t>Long đền thường ZP M20B35D2</t>
        </is>
      </c>
      <c r="J4125" s="17" t="inlineStr">
        <is>
          <t>Cái</t>
        </is>
      </c>
      <c r="K4125" s="21" t="n">
        <v>350</v>
      </c>
      <c r="L4125" s="21" t="n"/>
      <c r="M4125" s="22" t="n"/>
      <c r="N4125" s="22" t="n">
        <v>1355</v>
      </c>
      <c r="O4125" s="22" t="n">
        <v>474250</v>
      </c>
      <c r="P4125" s="22" t="n">
        <v>1355</v>
      </c>
      <c r="Q4125" s="22" t="n">
        <v>474250</v>
      </c>
      <c r="R4125" s="42">
        <f>+L4125+N4125-P4125</f>
        <v/>
      </c>
      <c r="S4125" s="42">
        <f>+M4125+O4125-Q4125</f>
        <v/>
      </c>
    </row>
    <row r="4126" ht="30" customHeight="1">
      <c r="A4126" s="16" t="n">
        <v>46021</v>
      </c>
      <c r="B4126" s="17" t="inlineStr">
        <is>
          <t>MH2512-51</t>
        </is>
      </c>
      <c r="C4126" s="16" t="n">
        <v>46021</v>
      </c>
      <c r="D4126" s="17" t="inlineStr">
        <is>
          <t>00005218</t>
        </is>
      </c>
      <c r="E4126" s="16" t="n">
        <v>46021</v>
      </c>
      <c r="F4126" s="16" t="inlineStr">
        <is>
          <t>XK2512-36</t>
        </is>
      </c>
      <c r="G4126" s="16" t="n">
        <v>46021</v>
      </c>
      <c r="H4126" s="17" t="inlineStr">
        <is>
          <t>CÔNG TY CỔ PHẦN CÔNG NGHIỆP VÀ THƯƠNG MẠI CƯỜNG THỊNH</t>
        </is>
      </c>
      <c r="I4126" s="17" t="inlineStr">
        <is>
          <t>Bulong Din 933 8.8 ZP M24x80</t>
        </is>
      </c>
      <c r="J4126" s="17" t="inlineStr">
        <is>
          <t>Cái</t>
        </is>
      </c>
      <c r="K4126" s="21" t="n">
        <v>12010</v>
      </c>
      <c r="L4126" s="21" t="n"/>
      <c r="M4126" s="22" t="n"/>
      <c r="N4126" s="22" t="n">
        <v>1627</v>
      </c>
      <c r="O4126" s="22" t="n">
        <v>19540270</v>
      </c>
      <c r="P4126" s="22" t="n">
        <v>1627</v>
      </c>
      <c r="Q4126" s="22" t="n">
        <v>19540270</v>
      </c>
      <c r="R4126" s="42">
        <f>+L4126+N4126-P4126</f>
        <v/>
      </c>
      <c r="S4126" s="42">
        <f>+M4126+O4126-Q4126</f>
        <v/>
      </c>
    </row>
    <row r="4127" ht="30" customHeight="1">
      <c r="A4127" s="16" t="n">
        <v>46021</v>
      </c>
      <c r="B4127" s="17" t="inlineStr">
        <is>
          <t>MH2512-51</t>
        </is>
      </c>
      <c r="C4127" s="16" t="n">
        <v>46021</v>
      </c>
      <c r="D4127" s="17" t="inlineStr">
        <is>
          <t>00005218</t>
        </is>
      </c>
      <c r="E4127" s="16" t="n">
        <v>46021</v>
      </c>
      <c r="F4127" s="16" t="inlineStr">
        <is>
          <t>XK2512-36</t>
        </is>
      </c>
      <c r="G4127" s="16" t="n">
        <v>46021</v>
      </c>
      <c r="H4127" s="17" t="inlineStr">
        <is>
          <t>CÔNG TY CỔ PHẦN CÔNG NGHIỆP VÀ THƯƠNG MẠI CƯỜNG THỊNH</t>
        </is>
      </c>
      <c r="I4127" s="17" t="inlineStr">
        <is>
          <t>Đai ốc Din 934 8 ZP M24</t>
        </is>
      </c>
      <c r="J4127" s="17" t="inlineStr">
        <is>
          <t>Cái</t>
        </is>
      </c>
      <c r="K4127" s="21" t="n">
        <v>3500</v>
      </c>
      <c r="L4127" s="21" t="n"/>
      <c r="M4127" s="22" t="n"/>
      <c r="N4127" s="22" t="n">
        <v>1627</v>
      </c>
      <c r="O4127" s="22" t="n">
        <v>5694500</v>
      </c>
      <c r="P4127" s="22" t="n">
        <v>1627</v>
      </c>
      <c r="Q4127" s="22" t="n">
        <v>5694500</v>
      </c>
      <c r="R4127" s="42">
        <f>+L4127+N4127-P4127</f>
        <v/>
      </c>
      <c r="S4127" s="42">
        <f>+M4127+O4127-Q4127</f>
        <v/>
      </c>
    </row>
    <row r="4128" ht="30" customHeight="1">
      <c r="A4128" s="16" t="n">
        <v>46021</v>
      </c>
      <c r="B4128" s="17" t="inlineStr">
        <is>
          <t>MH2512-51</t>
        </is>
      </c>
      <c r="C4128" s="16" t="n">
        <v>46021</v>
      </c>
      <c r="D4128" s="17" t="inlineStr">
        <is>
          <t>00005218</t>
        </is>
      </c>
      <c r="E4128" s="16" t="n">
        <v>46021</v>
      </c>
      <c r="F4128" s="16" t="inlineStr">
        <is>
          <t>XK2512-36</t>
        </is>
      </c>
      <c r="G4128" s="16" t="n">
        <v>46021</v>
      </c>
      <c r="H4128" s="17" t="inlineStr">
        <is>
          <t>CÔNG TY CỔ PHẦN CÔNG NGHIỆP VÀ THƯƠNG MẠI CƯỜNG THỊNH</t>
        </is>
      </c>
      <c r="I4128" s="17" t="inlineStr">
        <is>
          <t>Long đền thường ZP M24B40-42D2</t>
        </is>
      </c>
      <c r="J4128" s="17" t="inlineStr">
        <is>
          <t>Cái</t>
        </is>
      </c>
      <c r="K4128" s="21" t="n">
        <v>660</v>
      </c>
      <c r="L4128" s="21" t="n"/>
      <c r="M4128" s="22" t="n"/>
      <c r="N4128" s="22" t="n">
        <v>1627</v>
      </c>
      <c r="O4128" s="22" t="n">
        <v>1073820</v>
      </c>
      <c r="P4128" s="22" t="n">
        <v>1627</v>
      </c>
      <c r="Q4128" s="22" t="n">
        <v>1073820</v>
      </c>
      <c r="R4128" s="42">
        <f>+L4128+N4128-P4128</f>
        <v/>
      </c>
      <c r="S4128" s="42">
        <f>+M4128+O4128-Q4128</f>
        <v/>
      </c>
    </row>
    <row r="4129" ht="30" customHeight="1">
      <c r="A4129" s="16" t="n">
        <v>46021</v>
      </c>
      <c r="B4129" s="17" t="inlineStr">
        <is>
          <t>MH2512-51</t>
        </is>
      </c>
      <c r="C4129" s="16" t="n">
        <v>46021</v>
      </c>
      <c r="D4129" s="17" t="inlineStr">
        <is>
          <t>00005218</t>
        </is>
      </c>
      <c r="E4129" s="16" t="n">
        <v>46021</v>
      </c>
      <c r="F4129" s="16" t="inlineStr">
        <is>
          <t>XK2512-36</t>
        </is>
      </c>
      <c r="G4129" s="16" t="n">
        <v>46021</v>
      </c>
      <c r="H4129" s="17" t="inlineStr">
        <is>
          <t>CÔNG TY CỔ PHẦN CÔNG NGHIỆP VÀ THƯƠNG MẠI CƯỜNG THỊNH</t>
        </is>
      </c>
      <c r="I4129" s="17" t="inlineStr">
        <is>
          <t>Bulong Din 933 8.8 ZP M24x100</t>
        </is>
      </c>
      <c r="J4129" s="17" t="inlineStr">
        <is>
          <t>Cái</t>
        </is>
      </c>
      <c r="K4129" s="21" t="n">
        <v>14100</v>
      </c>
      <c r="L4129" s="21" t="n"/>
      <c r="M4129" s="22" t="n"/>
      <c r="N4129" s="22" t="n">
        <v>758</v>
      </c>
      <c r="O4129" s="22" t="n">
        <v>10687800</v>
      </c>
      <c r="P4129" s="22" t="n">
        <v>758</v>
      </c>
      <c r="Q4129" s="22" t="n">
        <v>10687800</v>
      </c>
      <c r="R4129" s="42">
        <f>+L4129+N4129-P4129</f>
        <v/>
      </c>
      <c r="S4129" s="42">
        <f>+M4129+O4129-Q4129</f>
        <v/>
      </c>
    </row>
    <row r="4130" ht="30" customHeight="1">
      <c r="A4130" s="16" t="n">
        <v>46021</v>
      </c>
      <c r="B4130" s="17" t="inlineStr">
        <is>
          <t>MH2512-51</t>
        </is>
      </c>
      <c r="C4130" s="16" t="n">
        <v>46021</v>
      </c>
      <c r="D4130" s="17" t="inlineStr">
        <is>
          <t>00005218</t>
        </is>
      </c>
      <c r="E4130" s="16" t="n">
        <v>46021</v>
      </c>
      <c r="F4130" s="16" t="inlineStr">
        <is>
          <t>XK2512-36</t>
        </is>
      </c>
      <c r="G4130" s="16" t="n">
        <v>46021</v>
      </c>
      <c r="H4130" s="17" t="inlineStr">
        <is>
          <t>CÔNG TY CỔ PHẦN CÔNG NGHIỆP VÀ THƯƠNG MẠI CƯỜNG THỊNH</t>
        </is>
      </c>
      <c r="I4130" s="17" t="inlineStr">
        <is>
          <t>Đai ốc Din 934 8 ZP M24</t>
        </is>
      </c>
      <c r="J4130" s="17" t="inlineStr">
        <is>
          <t>Cái</t>
        </is>
      </c>
      <c r="K4130" s="21" t="n">
        <v>3500</v>
      </c>
      <c r="L4130" s="21" t="n"/>
      <c r="M4130" s="22" t="n"/>
      <c r="N4130" s="22" t="n">
        <v>758</v>
      </c>
      <c r="O4130" s="22" t="n">
        <v>2653000</v>
      </c>
      <c r="P4130" s="22" t="n">
        <v>758</v>
      </c>
      <c r="Q4130" s="22" t="n">
        <v>2653000</v>
      </c>
      <c r="R4130" s="42">
        <f>+L4130+N4130-P4130</f>
        <v/>
      </c>
      <c r="S4130" s="42">
        <f>+M4130+O4130-Q4130</f>
        <v/>
      </c>
    </row>
    <row r="4131" ht="30" customHeight="1">
      <c r="A4131" s="16" t="n">
        <v>46021</v>
      </c>
      <c r="B4131" s="17" t="inlineStr">
        <is>
          <t>MH2512-51</t>
        </is>
      </c>
      <c r="C4131" s="16" t="n">
        <v>46021</v>
      </c>
      <c r="D4131" s="17" t="inlineStr">
        <is>
          <t>00005218</t>
        </is>
      </c>
      <c r="E4131" s="16" t="n">
        <v>46021</v>
      </c>
      <c r="F4131" s="16" t="inlineStr">
        <is>
          <t>XK2512-36</t>
        </is>
      </c>
      <c r="G4131" s="16" t="n">
        <v>46021</v>
      </c>
      <c r="H4131" s="17" t="inlineStr">
        <is>
          <t>CÔNG TY CỔ PHẦN CÔNG NGHIỆP VÀ THƯƠNG MẠI CƯỜNG THỊNH</t>
        </is>
      </c>
      <c r="I4131" s="17" t="inlineStr">
        <is>
          <t>Long đền thường ZP M24B40-42D2</t>
        </is>
      </c>
      <c r="J4131" s="17" t="inlineStr">
        <is>
          <t>Cái</t>
        </is>
      </c>
      <c r="K4131" s="21" t="n">
        <v>660</v>
      </c>
      <c r="L4131" s="21" t="n"/>
      <c r="M4131" s="22" t="n"/>
      <c r="N4131" s="22" t="n">
        <v>758</v>
      </c>
      <c r="O4131" s="22" t="n">
        <v>500280</v>
      </c>
      <c r="P4131" s="22" t="n">
        <v>758</v>
      </c>
      <c r="Q4131" s="22" t="n">
        <v>500280</v>
      </c>
      <c r="R4131" s="42">
        <f>+L4131+N4131-P4131</f>
        <v/>
      </c>
      <c r="S4131" s="42">
        <f>+M4131+O4131-Q4131</f>
        <v/>
      </c>
    </row>
    <row r="4132" ht="30" customHeight="1">
      <c r="A4132" s="16" t="n">
        <v>46021</v>
      </c>
      <c r="B4132" s="17" t="inlineStr">
        <is>
          <t>MH2512-51</t>
        </is>
      </c>
      <c r="C4132" s="16" t="n">
        <v>46021</v>
      </c>
      <c r="D4132" s="17" t="inlineStr">
        <is>
          <t>00005218</t>
        </is>
      </c>
      <c r="E4132" s="16" t="n">
        <v>46021</v>
      </c>
      <c r="F4132" s="16" t="inlineStr">
        <is>
          <t>XK2512-36</t>
        </is>
      </c>
      <c r="G4132" s="16" t="n">
        <v>46021</v>
      </c>
      <c r="H4132" s="17" t="inlineStr">
        <is>
          <t>CÔNG TY CỔ PHẦN CÔNG NGHIỆP VÀ THƯƠNG MẠI CƯỜNG THỊNH</t>
        </is>
      </c>
      <c r="I4132" s="17" t="inlineStr">
        <is>
          <t>Bulong Din 933 8.8 ZP M30x130</t>
        </is>
      </c>
      <c r="J4132" s="17" t="inlineStr">
        <is>
          <t>Cái</t>
        </is>
      </c>
      <c r="K4132" s="21" t="n">
        <v>31820</v>
      </c>
      <c r="L4132" s="21" t="n"/>
      <c r="M4132" s="22" t="n"/>
      <c r="N4132" s="22" t="n">
        <v>99</v>
      </c>
      <c r="O4132" s="22" t="n">
        <v>3150180</v>
      </c>
      <c r="P4132" s="22" t="n">
        <v>99</v>
      </c>
      <c r="Q4132" s="22" t="n">
        <v>3150180</v>
      </c>
      <c r="R4132" s="42">
        <f>+L4132+N4132-P4132</f>
        <v/>
      </c>
      <c r="S4132" s="42">
        <f>+M4132+O4132-Q4132</f>
        <v/>
      </c>
    </row>
    <row r="4133" ht="30" customHeight="1">
      <c r="A4133" s="16" t="n">
        <v>46021</v>
      </c>
      <c r="B4133" s="17" t="inlineStr">
        <is>
          <t>MH2512-51</t>
        </is>
      </c>
      <c r="C4133" s="16" t="n">
        <v>46021</v>
      </c>
      <c r="D4133" s="17" t="inlineStr">
        <is>
          <t>00005218</t>
        </is>
      </c>
      <c r="E4133" s="16" t="n">
        <v>46021</v>
      </c>
      <c r="F4133" s="16" t="inlineStr">
        <is>
          <t>XK2512-36</t>
        </is>
      </c>
      <c r="G4133" s="16" t="n">
        <v>46021</v>
      </c>
      <c r="H4133" s="17" t="inlineStr">
        <is>
          <t>CÔNG TY CỔ PHẦN CÔNG NGHIỆP VÀ THƯƠNG MẠI CƯỜNG THỊNH</t>
        </is>
      </c>
      <c r="I4133" s="17" t="inlineStr">
        <is>
          <t>Đai ốc Din 934 8 ZP M30</t>
        </is>
      </c>
      <c r="J4133" s="17" t="inlineStr">
        <is>
          <t>Cái</t>
        </is>
      </c>
      <c r="K4133" s="21" t="n">
        <v>7750</v>
      </c>
      <c r="L4133" s="21" t="n"/>
      <c r="M4133" s="22" t="n"/>
      <c r="N4133" s="22" t="n">
        <v>99</v>
      </c>
      <c r="O4133" s="22" t="n">
        <v>767250</v>
      </c>
      <c r="P4133" s="22" t="n">
        <v>99</v>
      </c>
      <c r="Q4133" s="22" t="n">
        <v>767250</v>
      </c>
      <c r="R4133" s="42">
        <f>+L4133+N4133-P4133</f>
        <v/>
      </c>
      <c r="S4133" s="42">
        <f>+M4133+O4133-Q4133</f>
        <v/>
      </c>
    </row>
    <row r="4134" ht="30" customHeight="1">
      <c r="A4134" s="16" t="n">
        <v>46021</v>
      </c>
      <c r="B4134" s="17" t="inlineStr">
        <is>
          <t>MH2512-51</t>
        </is>
      </c>
      <c r="C4134" s="16" t="n">
        <v>46021</v>
      </c>
      <c r="D4134" s="17" t="inlineStr">
        <is>
          <t>00005218</t>
        </is>
      </c>
      <c r="E4134" s="16" t="n">
        <v>46021</v>
      </c>
      <c r="F4134" s="16" t="inlineStr">
        <is>
          <t>XK2512-36</t>
        </is>
      </c>
      <c r="G4134" s="16" t="n">
        <v>46021</v>
      </c>
      <c r="H4134" s="17" t="inlineStr">
        <is>
          <t>CÔNG TY CỔ PHẦN CÔNG NGHIỆP VÀ THƯƠNG MẠI CƯỜNG THỊNH</t>
        </is>
      </c>
      <c r="I4134" s="17" t="inlineStr">
        <is>
          <t>Long đền thường ZP M30B50D2</t>
        </is>
      </c>
      <c r="J4134" s="17" t="inlineStr">
        <is>
          <t>Cái</t>
        </is>
      </c>
      <c r="K4134" s="21" t="n">
        <v>890</v>
      </c>
      <c r="L4134" s="21" t="n"/>
      <c r="M4134" s="22" t="n"/>
      <c r="N4134" s="22" t="n">
        <v>99</v>
      </c>
      <c r="O4134" s="22" t="n">
        <v>88110</v>
      </c>
      <c r="P4134" s="22" t="n">
        <v>99</v>
      </c>
      <c r="Q4134" s="22" t="n">
        <v>88110</v>
      </c>
      <c r="R4134" s="42">
        <f>+L4134+N4134-P4134</f>
        <v/>
      </c>
      <c r="S4134" s="42">
        <f>+M4134+O4134-Q4134</f>
        <v/>
      </c>
    </row>
    <row r="4135" ht="30" customHeight="1">
      <c r="A4135" s="16" t="n">
        <v>46021</v>
      </c>
      <c r="B4135" s="17" t="inlineStr">
        <is>
          <t>MH2512-51</t>
        </is>
      </c>
      <c r="C4135" s="16" t="n">
        <v>46021</v>
      </c>
      <c r="D4135" s="17" t="inlineStr">
        <is>
          <t>00005218</t>
        </is>
      </c>
      <c r="E4135" s="16" t="n">
        <v>46021</v>
      </c>
      <c r="F4135" s="16" t="inlineStr">
        <is>
          <t>XK2512-36</t>
        </is>
      </c>
      <c r="G4135" s="16" t="n">
        <v>46021</v>
      </c>
      <c r="H4135" s="17" t="inlineStr">
        <is>
          <t>CÔNG TY CỔ PHẦN CÔNG NGHIỆP VÀ THƯƠNG MẠI CƯỜNG THỊNH</t>
        </is>
      </c>
      <c r="I4135" s="17" t="inlineStr">
        <is>
          <t>Bulong Din 933 8.8 ZP M24x60</t>
        </is>
      </c>
      <c r="J4135" s="17" t="inlineStr">
        <is>
          <t>Cái</t>
        </is>
      </c>
      <c r="K4135" s="21" t="n">
        <v>10030</v>
      </c>
      <c r="L4135" s="21" t="n"/>
      <c r="M4135" s="22" t="n"/>
      <c r="N4135" s="22" t="n">
        <v>4163</v>
      </c>
      <c r="O4135" s="22" t="n">
        <v>41754890</v>
      </c>
      <c r="P4135" s="22" t="n">
        <v>4163</v>
      </c>
      <c r="Q4135" s="22" t="n">
        <v>41754890</v>
      </c>
      <c r="R4135" s="42">
        <f>+L4135+N4135-P4135</f>
        <v/>
      </c>
      <c r="S4135" s="42">
        <f>+M4135+O4135-Q4135</f>
        <v/>
      </c>
    </row>
    <row r="4136" ht="30" customHeight="1">
      <c r="A4136" s="16" t="n">
        <v>46021</v>
      </c>
      <c r="B4136" s="17" t="inlineStr">
        <is>
          <t>MH2512-51</t>
        </is>
      </c>
      <c r="C4136" s="16" t="n">
        <v>46021</v>
      </c>
      <c r="D4136" s="17" t="inlineStr">
        <is>
          <t>00005218</t>
        </is>
      </c>
      <c r="E4136" s="16" t="n">
        <v>46021</v>
      </c>
      <c r="F4136" s="16" t="inlineStr">
        <is>
          <t>XK2512-36</t>
        </is>
      </c>
      <c r="G4136" s="16" t="n">
        <v>46021</v>
      </c>
      <c r="H4136" s="17" t="inlineStr">
        <is>
          <t>CÔNG TY CỔ PHẦN CÔNG NGHIỆP VÀ THƯƠNG MẠI CƯỜNG THỊNH</t>
        </is>
      </c>
      <c r="I4136" s="17" t="inlineStr">
        <is>
          <t>Đai ốc Din 934 8 ZP M24</t>
        </is>
      </c>
      <c r="J4136" s="17" t="inlineStr">
        <is>
          <t>Cái</t>
        </is>
      </c>
      <c r="K4136" s="21" t="n">
        <v>3500</v>
      </c>
      <c r="L4136" s="21" t="n"/>
      <c r="M4136" s="22" t="n"/>
      <c r="N4136" s="22" t="n">
        <v>4163</v>
      </c>
      <c r="O4136" s="22" t="n">
        <v>14570500</v>
      </c>
      <c r="P4136" s="22" t="n">
        <v>4163</v>
      </c>
      <c r="Q4136" s="22" t="n">
        <v>14570500</v>
      </c>
      <c r="R4136" s="42">
        <f>+L4136+N4136-P4136</f>
        <v/>
      </c>
      <c r="S4136" s="42">
        <f>+M4136+O4136-Q4136</f>
        <v/>
      </c>
    </row>
    <row r="4137" ht="30" customHeight="1">
      <c r="A4137" s="16" t="n">
        <v>46021</v>
      </c>
      <c r="B4137" s="17" t="inlineStr">
        <is>
          <t>MH2512-51</t>
        </is>
      </c>
      <c r="C4137" s="16" t="n">
        <v>46021</v>
      </c>
      <c r="D4137" s="17" t="inlineStr">
        <is>
          <t>00005218</t>
        </is>
      </c>
      <c r="E4137" s="16" t="n">
        <v>46021</v>
      </c>
      <c r="F4137" s="16" t="inlineStr">
        <is>
          <t>XK2512-36</t>
        </is>
      </c>
      <c r="G4137" s="16" t="n">
        <v>46021</v>
      </c>
      <c r="H4137" s="17" t="inlineStr">
        <is>
          <t>CÔNG TY CỔ PHẦN CÔNG NGHIỆP VÀ THƯƠNG MẠI CƯỜNG THỊNH</t>
        </is>
      </c>
      <c r="I4137" s="17" t="inlineStr">
        <is>
          <t>Long đền thường ZP M24B40-42D2</t>
        </is>
      </c>
      <c r="J4137" s="17" t="inlineStr">
        <is>
          <t>Cái</t>
        </is>
      </c>
      <c r="K4137" s="21" t="n">
        <v>660</v>
      </c>
      <c r="L4137" s="21" t="n"/>
      <c r="M4137" s="22" t="n"/>
      <c r="N4137" s="22" t="n">
        <v>4163</v>
      </c>
      <c r="O4137" s="22" t="n">
        <v>2747580</v>
      </c>
      <c r="P4137" s="22" t="n">
        <v>4163</v>
      </c>
      <c r="Q4137" s="22" t="n">
        <v>2747580</v>
      </c>
      <c r="R4137" s="42">
        <f>+L4137+N4137-P4137</f>
        <v/>
      </c>
      <c r="S4137" s="42">
        <f>+M4137+O4137-Q4137</f>
        <v/>
      </c>
    </row>
    <row r="4138" ht="30" customHeight="1">
      <c r="A4138" s="16" t="n">
        <v>46021</v>
      </c>
      <c r="B4138" s="17" t="inlineStr">
        <is>
          <t>MH2512-51</t>
        </is>
      </c>
      <c r="C4138" s="16" t="n">
        <v>46021</v>
      </c>
      <c r="D4138" s="17" t="inlineStr">
        <is>
          <t>00005218</t>
        </is>
      </c>
      <c r="E4138" s="16" t="n">
        <v>46021</v>
      </c>
      <c r="F4138" s="16" t="inlineStr">
        <is>
          <t>XK2512-36</t>
        </is>
      </c>
      <c r="G4138" s="16" t="n">
        <v>46021</v>
      </c>
      <c r="H4138" s="17" t="inlineStr">
        <is>
          <t>CÔNG TY CỔ PHẦN CÔNG NGHIỆP VÀ THƯƠNG MẠI CƯỜNG THỊNH</t>
        </is>
      </c>
      <c r="I4138" s="17" t="inlineStr">
        <is>
          <t>Bulong Din 933 8.8 ZP M30x90</t>
        </is>
      </c>
      <c r="J4138" s="17" t="inlineStr">
        <is>
          <t>Cái</t>
        </is>
      </c>
      <c r="K4138" s="21" t="n">
        <v>23590</v>
      </c>
      <c r="L4138" s="21" t="n"/>
      <c r="M4138" s="22" t="n"/>
      <c r="N4138" s="22" t="n">
        <v>103</v>
      </c>
      <c r="O4138" s="22" t="n">
        <v>2429770</v>
      </c>
      <c r="P4138" s="22" t="n">
        <v>103</v>
      </c>
      <c r="Q4138" s="22" t="n">
        <v>2429770</v>
      </c>
      <c r="R4138" s="42">
        <f>+L4138+N4138-P4138</f>
        <v/>
      </c>
      <c r="S4138" s="42">
        <f>+M4138+O4138-Q4138</f>
        <v/>
      </c>
    </row>
    <row r="4139" ht="30" customHeight="1">
      <c r="A4139" s="16" t="n">
        <v>46021</v>
      </c>
      <c r="B4139" s="17" t="inlineStr">
        <is>
          <t>MH2512-51</t>
        </is>
      </c>
      <c r="C4139" s="16" t="n">
        <v>46021</v>
      </c>
      <c r="D4139" s="17" t="inlineStr">
        <is>
          <t>00005218</t>
        </is>
      </c>
      <c r="E4139" s="16" t="n">
        <v>46021</v>
      </c>
      <c r="F4139" s="16" t="inlineStr">
        <is>
          <t>XK2512-36</t>
        </is>
      </c>
      <c r="G4139" s="16" t="n">
        <v>46021</v>
      </c>
      <c r="H4139" s="17" t="inlineStr">
        <is>
          <t>CÔNG TY CỔ PHẦN CÔNG NGHIỆP VÀ THƯƠNG MẠI CƯỜNG THỊNH</t>
        </is>
      </c>
      <c r="I4139" s="17" t="inlineStr">
        <is>
          <t>Đai ốc Din 934 8 ZP M30</t>
        </is>
      </c>
      <c r="J4139" s="17" t="inlineStr">
        <is>
          <t>Cái</t>
        </is>
      </c>
      <c r="K4139" s="21" t="n">
        <v>7750</v>
      </c>
      <c r="L4139" s="21" t="n"/>
      <c r="M4139" s="22" t="n"/>
      <c r="N4139" s="22" t="n">
        <v>103</v>
      </c>
      <c r="O4139" s="22" t="n">
        <v>798250</v>
      </c>
      <c r="P4139" s="22" t="n">
        <v>103</v>
      </c>
      <c r="Q4139" s="22" t="n">
        <v>798250</v>
      </c>
      <c r="R4139" s="42">
        <f>+L4139+N4139-P4139</f>
        <v/>
      </c>
      <c r="S4139" s="42">
        <f>+M4139+O4139-Q4139</f>
        <v/>
      </c>
    </row>
    <row r="4140" ht="30" customHeight="1">
      <c r="A4140" s="16" t="n">
        <v>46021</v>
      </c>
      <c r="B4140" s="17" t="inlineStr">
        <is>
          <t>MH2512-51</t>
        </is>
      </c>
      <c r="C4140" s="16" t="n">
        <v>46021</v>
      </c>
      <c r="D4140" s="17" t="inlineStr">
        <is>
          <t>00005218</t>
        </is>
      </c>
      <c r="E4140" s="16" t="n">
        <v>46021</v>
      </c>
      <c r="F4140" s="16" t="inlineStr">
        <is>
          <t>XK2512-36</t>
        </is>
      </c>
      <c r="G4140" s="16" t="n">
        <v>46021</v>
      </c>
      <c r="H4140" s="17" t="inlineStr">
        <is>
          <t>CÔNG TY CỔ PHẦN CÔNG NGHIỆP VÀ THƯƠNG MẠI CƯỜNG THỊNH</t>
        </is>
      </c>
      <c r="I4140" s="17" t="inlineStr">
        <is>
          <t>Long đền thường ZP M30B50D2</t>
        </is>
      </c>
      <c r="J4140" s="17" t="inlineStr">
        <is>
          <t>Cái</t>
        </is>
      </c>
      <c r="K4140" s="21" t="n">
        <v>890</v>
      </c>
      <c r="L4140" s="21" t="n"/>
      <c r="M4140" s="22" t="n"/>
      <c r="N4140" s="22" t="n">
        <v>103</v>
      </c>
      <c r="O4140" s="22" t="n">
        <v>91670</v>
      </c>
      <c r="P4140" s="22" t="n">
        <v>103</v>
      </c>
      <c r="Q4140" s="22" t="n">
        <v>91670</v>
      </c>
      <c r="R4140" s="42">
        <f>+L4140+N4140-P4140</f>
        <v/>
      </c>
      <c r="S4140" s="42">
        <f>+M4140+O4140-Q4140</f>
        <v/>
      </c>
    </row>
    <row r="4141" ht="15" customHeight="1">
      <c r="A4141" s="16" t="n">
        <v>46021</v>
      </c>
      <c r="B4141" s="17" t="inlineStr">
        <is>
          <t>MH2512-52</t>
        </is>
      </c>
      <c r="C4141" s="16" t="n">
        <v>46021</v>
      </c>
      <c r="D4141" s="17" t="inlineStr">
        <is>
          <t>00012442</t>
        </is>
      </c>
      <c r="E4141" s="16" t="n">
        <v>46021</v>
      </c>
      <c r="F4141" s="16" t="inlineStr">
        <is>
          <t>XK2512-37</t>
        </is>
      </c>
      <c r="G4141" s="16" t="n">
        <v>46021</v>
      </c>
      <c r="H4141" s="17" t="inlineStr">
        <is>
          <t>CÔNG TY TNHH SƠN JOTUN VIỆT NAM</t>
        </is>
      </c>
      <c r="I4141" s="17" t="inlineStr">
        <is>
          <t>SƠN JOTAMASTIC 70 GREY 18L</t>
        </is>
      </c>
      <c r="J4141" s="17" t="inlineStr">
        <is>
          <t>Lít</t>
        </is>
      </c>
      <c r="K4141" s="21" t="n">
        <v>90000</v>
      </c>
      <c r="L4141" s="21" t="n"/>
      <c r="M4141" s="22" t="n"/>
      <c r="N4141" s="22" t="n">
        <v>2160</v>
      </c>
      <c r="O4141" s="22" t="n">
        <v>194400000</v>
      </c>
      <c r="P4141" s="22" t="n">
        <v>2160</v>
      </c>
      <c r="Q4141" s="22" t="n">
        <v>194400000</v>
      </c>
      <c r="R4141" s="42">
        <f>+L4141+N4141-P4141</f>
        <v/>
      </c>
      <c r="S4141" s="42">
        <f>+M4141+O4141-Q4141</f>
        <v/>
      </c>
    </row>
    <row r="4142" ht="15" customHeight="1">
      <c r="A4142" s="16" t="n">
        <v>46021</v>
      </c>
      <c r="B4142" s="17" t="inlineStr">
        <is>
          <t>MH2512-52</t>
        </is>
      </c>
      <c r="C4142" s="16" t="n">
        <v>46021</v>
      </c>
      <c r="D4142" s="17" t="inlineStr">
        <is>
          <t>00012442</t>
        </is>
      </c>
      <c r="E4142" s="16" t="n">
        <v>46021</v>
      </c>
      <c r="F4142" s="16" t="inlineStr">
        <is>
          <t>XK2512-37</t>
        </is>
      </c>
      <c r="G4142" s="16" t="n">
        <v>46021</v>
      </c>
      <c r="H4142" s="17" t="inlineStr">
        <is>
          <t>CÔNG TY TNHH SƠN JOTUN VIỆT NAM</t>
        </is>
      </c>
      <c r="I4142" s="17" t="inlineStr">
        <is>
          <t>SƠN FUTURA CLASSIC RAL 7046 18.94L</t>
        </is>
      </c>
      <c r="J4142" s="17" t="inlineStr">
        <is>
          <t>Lít</t>
        </is>
      </c>
      <c r="K4142" s="21" t="n">
        <v>155000</v>
      </c>
      <c r="L4142" s="21" t="n"/>
      <c r="M4142" s="22" t="n"/>
      <c r="N4142" s="22" t="n">
        <v>568.2</v>
      </c>
      <c r="O4142" s="22" t="n">
        <v>88071000</v>
      </c>
      <c r="P4142" s="22" t="n">
        <v>568.2</v>
      </c>
      <c r="Q4142" s="22" t="n">
        <v>88071000</v>
      </c>
      <c r="R4142" s="42">
        <f>+L4142+N4142-P4142</f>
        <v/>
      </c>
      <c r="S4142" s="42">
        <f>+M4142+O4142-Q4142</f>
        <v/>
      </c>
    </row>
    <row r="4143" ht="15" customHeight="1">
      <c r="A4143" s="16" t="n">
        <v>46021</v>
      </c>
      <c r="B4143" s="17" t="inlineStr">
        <is>
          <t>MH2512-52</t>
        </is>
      </c>
      <c r="C4143" s="16" t="n">
        <v>46021</v>
      </c>
      <c r="D4143" s="17" t="inlineStr">
        <is>
          <t>00012442</t>
        </is>
      </c>
      <c r="E4143" s="16" t="n">
        <v>46021</v>
      </c>
      <c r="F4143" s="16" t="inlineStr">
        <is>
          <t>XK2512-37</t>
        </is>
      </c>
      <c r="G4143" s="16" t="n">
        <v>46021</v>
      </c>
      <c r="H4143" s="17" t="inlineStr">
        <is>
          <t>CÔNG TY TNHH SƠN JOTUN VIỆT NAM</t>
        </is>
      </c>
      <c r="I4143" s="17" t="inlineStr">
        <is>
          <t>SƠN FUTURA CLASSIC RAL 7046 4.73L</t>
        </is>
      </c>
      <c r="J4143" s="17" t="inlineStr">
        <is>
          <t>Lít</t>
        </is>
      </c>
      <c r="K4143" s="21" t="n">
        <v>155000</v>
      </c>
      <c r="L4143" s="21" t="n"/>
      <c r="M4143" s="22" t="n"/>
      <c r="N4143" s="22" t="n">
        <v>56.76</v>
      </c>
      <c r="O4143" s="22" t="n">
        <v>8797800</v>
      </c>
      <c r="P4143" s="22" t="n">
        <v>56.76</v>
      </c>
      <c r="Q4143" s="22" t="n">
        <v>8797800</v>
      </c>
      <c r="R4143" s="42">
        <f>+L4143+N4143-P4143</f>
        <v/>
      </c>
      <c r="S4143" s="42">
        <f>+M4143+O4143-Q4143</f>
        <v/>
      </c>
    </row>
    <row r="4144" ht="15" customHeight="1">
      <c r="A4144" s="16" t="n">
        <v>46021</v>
      </c>
      <c r="B4144" s="17" t="inlineStr">
        <is>
          <t>MH2512-52</t>
        </is>
      </c>
      <c r="C4144" s="16" t="n">
        <v>46021</v>
      </c>
      <c r="D4144" s="17" t="inlineStr">
        <is>
          <t>00012442</t>
        </is>
      </c>
      <c r="E4144" s="16" t="n">
        <v>46021</v>
      </c>
      <c r="F4144" s="16" t="inlineStr">
        <is>
          <t>XK2512-37</t>
        </is>
      </c>
      <c r="G4144" s="16" t="n">
        <v>46021</v>
      </c>
      <c r="H4144" s="17" t="inlineStr">
        <is>
          <t>CÔNG TY TNHH SƠN JOTUN VIỆT NAM</t>
        </is>
      </c>
      <c r="I4144" s="17" t="inlineStr">
        <is>
          <t>DUNG MÔI JOTUN THINNER NO. 10 20L</t>
        </is>
      </c>
      <c r="J4144" s="17" t="inlineStr">
        <is>
          <t>Lít</t>
        </is>
      </c>
      <c r="K4144" s="21" t="n">
        <v>60000</v>
      </c>
      <c r="L4144" s="21" t="n"/>
      <c r="M4144" s="22" t="n"/>
      <c r="N4144" s="22" t="n">
        <v>300</v>
      </c>
      <c r="O4144" s="22" t="n">
        <v>18000000</v>
      </c>
      <c r="P4144" s="22" t="n">
        <v>300</v>
      </c>
      <c r="Q4144" s="22" t="n">
        <v>18000000</v>
      </c>
      <c r="R4144" s="42">
        <f>+L4144+N4144-P4144</f>
        <v/>
      </c>
      <c r="S4144" s="42">
        <f>+M4144+O4144-Q4144</f>
        <v/>
      </c>
    </row>
    <row r="4145" ht="15" customHeight="1">
      <c r="A4145" s="16" t="n">
        <v>46021</v>
      </c>
      <c r="B4145" s="17" t="inlineStr">
        <is>
          <t>MH2512-52</t>
        </is>
      </c>
      <c r="C4145" s="16" t="n">
        <v>46021</v>
      </c>
      <c r="D4145" s="17" t="inlineStr">
        <is>
          <t>00012442</t>
        </is>
      </c>
      <c r="E4145" s="16" t="n">
        <v>46021</v>
      </c>
      <c r="F4145" s="16" t="inlineStr">
        <is>
          <t>XK2512-37</t>
        </is>
      </c>
      <c r="G4145" s="16" t="n">
        <v>46021</v>
      </c>
      <c r="H4145" s="17" t="inlineStr">
        <is>
          <t>CÔNG TY TNHH SƠN JOTUN VIỆT NAM</t>
        </is>
      </c>
      <c r="I4145" s="17" t="inlineStr">
        <is>
          <t>DUNG MÔI JOTUN THINNER NO. 10 5L</t>
        </is>
      </c>
      <c r="J4145" s="17" t="inlineStr">
        <is>
          <t>Lít</t>
        </is>
      </c>
      <c r="K4145" s="21" t="n">
        <v>60000</v>
      </c>
      <c r="L4145" s="21" t="n"/>
      <c r="M4145" s="22" t="n"/>
      <c r="N4145" s="22" t="n">
        <v>10</v>
      </c>
      <c r="O4145" s="22" t="n">
        <v>600000</v>
      </c>
      <c r="P4145" s="22" t="n">
        <v>10</v>
      </c>
      <c r="Q4145" s="22" t="n">
        <v>600000</v>
      </c>
      <c r="R4145" s="42">
        <f>+L4145+N4145-P4145</f>
        <v/>
      </c>
      <c r="S4145" s="42">
        <f>+M4145+O4145-Q4145</f>
        <v/>
      </c>
    </row>
    <row r="4146" ht="15" customHeight="1">
      <c r="A4146" s="16" t="n">
        <v>46021</v>
      </c>
      <c r="B4146" s="17" t="inlineStr">
        <is>
          <t>MH2512-52</t>
        </is>
      </c>
      <c r="C4146" s="16" t="n">
        <v>46021</v>
      </c>
      <c r="D4146" s="17" t="inlineStr">
        <is>
          <t>00012442</t>
        </is>
      </c>
      <c r="E4146" s="16" t="n">
        <v>46021</v>
      </c>
      <c r="F4146" s="16" t="inlineStr">
        <is>
          <t>XK2512-37</t>
        </is>
      </c>
      <c r="G4146" s="16" t="n">
        <v>46021</v>
      </c>
      <c r="H4146" s="17" t="inlineStr">
        <is>
          <t>CÔNG TY TNHH SƠN JOTUN VIỆT NAM</t>
        </is>
      </c>
      <c r="I4146" s="17" t="inlineStr">
        <is>
          <t>DUNG MÔI JOTUN THINNER NO. 17 20L</t>
        </is>
      </c>
      <c r="J4146" s="17" t="inlineStr">
        <is>
          <t>Lít</t>
        </is>
      </c>
      <c r="K4146" s="21" t="n">
        <v>60000</v>
      </c>
      <c r="L4146" s="21" t="n"/>
      <c r="M4146" s="22" t="n"/>
      <c r="N4146" s="22" t="n">
        <v>320</v>
      </c>
      <c r="O4146" s="22" t="n">
        <v>19200000</v>
      </c>
      <c r="P4146" s="22" t="n">
        <v>320</v>
      </c>
      <c r="Q4146" s="22" t="n">
        <v>19200000</v>
      </c>
      <c r="R4146" s="42">
        <f>+L4146+N4146-P4146</f>
        <v/>
      </c>
      <c r="S4146" s="42">
        <f>+M4146+O4146-Q4146</f>
        <v/>
      </c>
    </row>
    <row r="4147" ht="15" customHeight="1">
      <c r="A4147" s="16" t="n">
        <v>46021</v>
      </c>
      <c r="B4147" s="17" t="inlineStr">
        <is>
          <t>MH2512-52</t>
        </is>
      </c>
      <c r="C4147" s="16" t="n">
        <v>46021</v>
      </c>
      <c r="D4147" s="17" t="inlineStr">
        <is>
          <t>00012442</t>
        </is>
      </c>
      <c r="E4147" s="16" t="n">
        <v>46021</v>
      </c>
      <c r="F4147" s="16" t="inlineStr">
        <is>
          <t>XK2512-37</t>
        </is>
      </c>
      <c r="G4147" s="16" t="n">
        <v>46021</v>
      </c>
      <c r="H4147" s="17" t="inlineStr">
        <is>
          <t>CÔNG TY TNHH SƠN JOTUN VIỆT NAM</t>
        </is>
      </c>
      <c r="I4147" s="17" t="inlineStr">
        <is>
          <t>DUNG MÔI JOTUN THINNER NO. 17 5L</t>
        </is>
      </c>
      <c r="J4147" s="17" t="inlineStr">
        <is>
          <t>Lít</t>
        </is>
      </c>
      <c r="K4147" s="21" t="n">
        <v>60000</v>
      </c>
      <c r="L4147" s="21" t="n"/>
      <c r="M4147" s="22" t="n"/>
      <c r="N4147" s="22" t="n">
        <v>5</v>
      </c>
      <c r="O4147" s="22" t="n">
        <v>300000</v>
      </c>
      <c r="P4147" s="22" t="n">
        <v>5</v>
      </c>
      <c r="Q4147" s="22" t="n">
        <v>300000</v>
      </c>
      <c r="R4147" s="42">
        <f>+L4147+N4147-P4147</f>
        <v/>
      </c>
      <c r="S4147" s="42">
        <f>+M4147+O4147-Q4147</f>
        <v/>
      </c>
    </row>
    <row r="4148" ht="15" customHeight="1">
      <c r="A4148" s="16" t="n">
        <v>46021</v>
      </c>
      <c r="B4148" s="17" t="inlineStr">
        <is>
          <t>MH2512-53</t>
        </is>
      </c>
      <c r="C4148" s="16" t="n">
        <v>46021</v>
      </c>
      <c r="D4148" s="17" t="inlineStr">
        <is>
          <t>00012457</t>
        </is>
      </c>
      <c r="E4148" s="16" t="n">
        <v>46021</v>
      </c>
      <c r="F4148" s="16" t="inlineStr">
        <is>
          <t>XK2512-38</t>
        </is>
      </c>
      <c r="G4148" s="16" t="n">
        <v>46021</v>
      </c>
      <c r="H4148" s="17" t="inlineStr">
        <is>
          <t>CÔNG TY TNHH SƠN JOTUN VIỆT NAM</t>
        </is>
      </c>
      <c r="I4148" s="17" t="inlineStr">
        <is>
          <t>SƠN FUTURA CLASSIC RAL 7037 20L</t>
        </is>
      </c>
      <c r="J4148" s="17" t="inlineStr">
        <is>
          <t>Lít</t>
        </is>
      </c>
      <c r="K4148" s="21" t="n">
        <v>155000</v>
      </c>
      <c r="L4148" s="21" t="n"/>
      <c r="M4148" s="22" t="n"/>
      <c r="N4148" s="22" t="n">
        <v>980</v>
      </c>
      <c r="O4148" s="22" t="n">
        <v>151900000</v>
      </c>
      <c r="P4148" s="22" t="n">
        <v>980</v>
      </c>
      <c r="Q4148" s="22" t="n">
        <v>151900000</v>
      </c>
      <c r="R4148" s="42">
        <f>+L4148+N4148-P4148</f>
        <v/>
      </c>
      <c r="S4148" s="42">
        <f>+M4148+O4148-Q4148</f>
        <v/>
      </c>
    </row>
    <row r="4149" ht="15" customHeight="1">
      <c r="A4149" s="16" t="n">
        <v>46022</v>
      </c>
      <c r="B4149" s="17" t="inlineStr">
        <is>
          <t>MH2512-54</t>
        </is>
      </c>
      <c r="C4149" s="16" t="n">
        <v>46022</v>
      </c>
      <c r="D4149" s="17" t="inlineStr">
        <is>
          <t>00012507</t>
        </is>
      </c>
      <c r="E4149" s="16" t="n">
        <v>46022</v>
      </c>
      <c r="F4149" s="16" t="inlineStr">
        <is>
          <t>XK2512-39</t>
        </is>
      </c>
      <c r="G4149" s="16" t="n">
        <v>46022</v>
      </c>
      <c r="H4149" s="17" t="inlineStr">
        <is>
          <t>CÔNG TY TNHH SƠN JOTUN VIỆT NAM</t>
        </is>
      </c>
      <c r="I4149" s="17" t="inlineStr">
        <is>
          <t>SƠN FUTURA CLASSIC RAL 7046 18.94L</t>
        </is>
      </c>
      <c r="J4149" s="17" t="inlineStr">
        <is>
          <t>Lít</t>
        </is>
      </c>
      <c r="K4149" s="21" t="n">
        <v>155000</v>
      </c>
      <c r="L4149" s="21" t="n"/>
      <c r="M4149" s="22" t="n"/>
      <c r="N4149" s="22" t="n">
        <v>1420.5</v>
      </c>
      <c r="O4149" s="22" t="n">
        <v>220177500</v>
      </c>
      <c r="P4149" s="22" t="n">
        <v>1420.5</v>
      </c>
      <c r="Q4149" s="22" t="n">
        <v>220177500</v>
      </c>
      <c r="R4149" s="42">
        <f>+L4149+N4149-P4149</f>
        <v/>
      </c>
      <c r="S4149" s="42">
        <f>+M4149+O4149-Q4149</f>
        <v/>
      </c>
    </row>
    <row r="4150" ht="30" customHeight="1">
      <c r="A4150" s="16" t="n">
        <v>46022</v>
      </c>
      <c r="B4150" s="17" t="inlineStr">
        <is>
          <t>MH2512-55</t>
        </is>
      </c>
      <c r="C4150" s="16" t="n">
        <v>46022</v>
      </c>
      <c r="D4150" s="17" t="inlineStr">
        <is>
          <t>00005227</t>
        </is>
      </c>
      <c r="E4150" s="16" t="n">
        <v>46022</v>
      </c>
      <c r="F4150" s="16" t="inlineStr">
        <is>
          <t>XK2512-40</t>
        </is>
      </c>
      <c r="G4150" s="16" t="n">
        <v>46022</v>
      </c>
      <c r="H4150" s="17" t="inlineStr">
        <is>
          <t>CÔNG TY CỔ PHẦN CÔNG NGHIỆP VÀ THƯƠNG MẠI CƯỜNG THỊNH</t>
        </is>
      </c>
      <c r="I4150" s="17" t="inlineStr">
        <is>
          <t>Fischer Tuýp hóa chất FIS EB II 390S</t>
        </is>
      </c>
      <c r="J4150" s="17" t="inlineStr">
        <is>
          <t>Cái</t>
        </is>
      </c>
      <c r="K4150" s="21" t="n">
        <v>368000</v>
      </c>
      <c r="L4150" s="21" t="n"/>
      <c r="M4150" s="22" t="n"/>
      <c r="N4150" s="22" t="n">
        <v>1300</v>
      </c>
      <c r="O4150" s="22" t="n">
        <v>478400000</v>
      </c>
      <c r="P4150" s="22" t="n">
        <v>1300</v>
      </c>
      <c r="Q4150" s="22" t="n">
        <v>478400000</v>
      </c>
      <c r="R4150" s="42">
        <f>+L4150+N4150-P4150</f>
        <v/>
      </c>
      <c r="S4150" s="42">
        <f>+M4150+O4150-Q4150</f>
        <v/>
      </c>
    </row>
    <row r="4151" ht="30" customHeight="1">
      <c r="A4151" s="16" t="n">
        <v>46022</v>
      </c>
      <c r="B4151" s="17" t="inlineStr">
        <is>
          <t>MH2512-55</t>
        </is>
      </c>
      <c r="C4151" s="16" t="n">
        <v>46022</v>
      </c>
      <c r="D4151" s="17" t="inlineStr">
        <is>
          <t>00005227</t>
        </is>
      </c>
      <c r="E4151" s="16" t="n">
        <v>46022</v>
      </c>
      <c r="F4151" s="16" t="inlineStr">
        <is>
          <t>XK2512-40</t>
        </is>
      </c>
      <c r="G4151" s="16" t="n">
        <v>46022</v>
      </c>
      <c r="H4151" s="17" t="inlineStr">
        <is>
          <t>CÔNG TY CỔ PHẦN CÔNG NGHIỆP VÀ THƯƠNG MẠI CƯỜNG THỊNH</t>
        </is>
      </c>
      <c r="I4151" s="17" t="inlineStr">
        <is>
          <t>Fischer Súng bơm FIS AM</t>
        </is>
      </c>
      <c r="J4151" s="17" t="inlineStr">
        <is>
          <t>Cái</t>
        </is>
      </c>
      <c r="K4151" s="21" t="n">
        <v>1020000</v>
      </c>
      <c r="L4151" s="21" t="n"/>
      <c r="M4151" s="22" t="n"/>
      <c r="N4151" s="22" t="n">
        <v>5</v>
      </c>
      <c r="O4151" s="22" t="n">
        <v>5100000</v>
      </c>
      <c r="P4151" s="22" t="n">
        <v>5</v>
      </c>
      <c r="Q4151" s="22" t="n">
        <v>5100000</v>
      </c>
      <c r="R4151" s="42">
        <f>+L4151+N4151-P4151</f>
        <v/>
      </c>
      <c r="S4151" s="42">
        <f>+M4151+O4151-Q4151</f>
        <v/>
      </c>
    </row>
    <row r="4152" ht="15" customHeight="1">
      <c r="A4152" s="16" t="n">
        <v>46022</v>
      </c>
      <c r="B4152" s="17" t="inlineStr">
        <is>
          <t>MH2512-56</t>
        </is>
      </c>
      <c r="C4152" s="16" t="n">
        <v>46022</v>
      </c>
      <c r="D4152" s="17" t="inlineStr">
        <is>
          <t>3438</t>
        </is>
      </c>
      <c r="E4152" s="16" t="n">
        <v>46022</v>
      </c>
      <c r="F4152" s="16" t="inlineStr">
        <is>
          <t>XK2512-41</t>
        </is>
      </c>
      <c r="G4152" s="16" t="n">
        <v>46022</v>
      </c>
      <c r="H4152" s="17" t="inlineStr">
        <is>
          <t>CÔNG TY TNHH THÉP IPC SÀI GÒN</t>
        </is>
      </c>
      <c r="I4152" s="17" t="inlineStr">
        <is>
          <t>Thép tấm 16x2000x12000</t>
        </is>
      </c>
      <c r="J4152" s="17" t="inlineStr">
        <is>
          <t>kg</t>
        </is>
      </c>
      <c r="K4152" s="21" t="n">
        <v>14409.09</v>
      </c>
      <c r="L4152" s="21" t="n"/>
      <c r="M4152" s="22" t="n"/>
      <c r="N4152" s="22" t="n">
        <v>12057.6</v>
      </c>
      <c r="O4152" s="22" t="n">
        <v>173739044</v>
      </c>
      <c r="P4152" s="22" t="n">
        <v>12057.6</v>
      </c>
      <c r="Q4152" s="22" t="n">
        <v>173739044</v>
      </c>
      <c r="R4152" s="42">
        <f>+L4152+N4152-P4152</f>
        <v/>
      </c>
      <c r="S4152" s="42">
        <f>+M4152+O4152-Q4152</f>
        <v/>
      </c>
    </row>
    <row r="4153" ht="15" customHeight="1">
      <c r="A4153" s="16" t="n">
        <v>46022</v>
      </c>
      <c r="B4153" s="17" t="inlineStr">
        <is>
          <t>MH2512-56</t>
        </is>
      </c>
      <c r="C4153" s="16" t="n">
        <v>46022</v>
      </c>
      <c r="D4153" s="17" t="inlineStr">
        <is>
          <t>3438</t>
        </is>
      </c>
      <c r="E4153" s="16" t="n">
        <v>46022</v>
      </c>
      <c r="F4153" s="16" t="inlineStr">
        <is>
          <t>XK2512-41</t>
        </is>
      </c>
      <c r="G4153" s="16" t="n">
        <v>46022</v>
      </c>
      <c r="H4153" s="17" t="inlineStr">
        <is>
          <t>CÔNG TY TNHH THÉP IPC SÀI GÒN</t>
        </is>
      </c>
      <c r="I4153" s="17" t="inlineStr">
        <is>
          <t>Thép tấm 20x2000x12000</t>
        </is>
      </c>
      <c r="J4153" s="17" t="inlineStr">
        <is>
          <t>kg</t>
        </is>
      </c>
      <c r="K4153" s="21" t="n">
        <v>14409.09</v>
      </c>
      <c r="L4153" s="21" t="n"/>
      <c r="M4153" s="22" t="n"/>
      <c r="N4153" s="22" t="n">
        <v>18840</v>
      </c>
      <c r="O4153" s="22" t="n">
        <v>271467256</v>
      </c>
      <c r="P4153" s="22" t="n">
        <v>18840</v>
      </c>
      <c r="Q4153" s="22" t="n">
        <v>271467256</v>
      </c>
      <c r="R4153" s="42">
        <f>+L4153+N4153-P4153</f>
        <v/>
      </c>
      <c r="S4153" s="42">
        <f>+M4153+O4153-Q4153</f>
        <v/>
      </c>
    </row>
    <row r="4154" ht="30" customHeight="1">
      <c r="A4154" s="16" t="n">
        <v>46022</v>
      </c>
      <c r="B4154" s="17" t="inlineStr">
        <is>
          <t>MH2512-57</t>
        </is>
      </c>
      <c r="C4154" s="16" t="n">
        <v>46022</v>
      </c>
      <c r="D4154" s="17" t="inlineStr">
        <is>
          <t>00003170</t>
        </is>
      </c>
      <c r="E4154" s="16" t="n">
        <v>46022</v>
      </c>
      <c r="F4154" s="16" t="inlineStr">
        <is>
          <t>XK2512-49</t>
        </is>
      </c>
      <c r="G4154" s="16" t="n">
        <v>46022</v>
      </c>
      <c r="H4154" s="17" t="inlineStr">
        <is>
          <t>CÔNG TY TNHH DỊCH VỤ - THƯƠNG MẠI THÉP THIÊN LONG</t>
        </is>
      </c>
      <c r="I4154" s="17" t="inlineStr">
        <is>
          <t>Thép vuông 200</t>
        </is>
      </c>
      <c r="J4154" s="17" t="inlineStr">
        <is>
          <t>kg</t>
        </is>
      </c>
      <c r="K4154" s="21" t="n">
        <v>16181.81</v>
      </c>
      <c r="L4154" s="21" t="n"/>
      <c r="M4154" s="22" t="n"/>
      <c r="N4154" s="22" t="n">
        <v>5043.9</v>
      </c>
      <c r="O4154" s="22" t="n">
        <v>81619431</v>
      </c>
      <c r="P4154" s="22" t="n">
        <v>5043.9</v>
      </c>
      <c r="Q4154" s="22" t="n">
        <v>81619431</v>
      </c>
      <c r="R4154" s="42">
        <f>+L4154+N4154-P4154</f>
        <v/>
      </c>
      <c r="S4154" s="42">
        <f>+M4154+O4154-Q4154</f>
        <v/>
      </c>
    </row>
    <row r="4155" ht="30" customHeight="1">
      <c r="A4155" s="16" t="n">
        <v>46022</v>
      </c>
      <c r="B4155" s="17" t="inlineStr">
        <is>
          <t>MH2512-58</t>
        </is>
      </c>
      <c r="C4155" s="16" t="n">
        <v>46022</v>
      </c>
      <c r="D4155" s="17" t="inlineStr">
        <is>
          <t>3367</t>
        </is>
      </c>
      <c r="E4155" s="16" t="n">
        <v>46022</v>
      </c>
      <c r="F4155" s="16" t="inlineStr">
        <is>
          <t>XK2512-50</t>
        </is>
      </c>
      <c r="G4155" s="16" t="n">
        <v>46022</v>
      </c>
      <c r="H4155" s="17" t="inlineStr">
        <is>
          <t>CÔNG TY TNHH THƯƠNG MẠI THÉP TOÀN THẮNG</t>
        </is>
      </c>
      <c r="I4155" s="17" t="inlineStr">
        <is>
          <t>Thép tấm 50x2000x6000mm A572</t>
        </is>
      </c>
      <c r="J4155" s="17" t="inlineStr">
        <is>
          <t>kg</t>
        </is>
      </c>
      <c r="K4155" s="21" t="n">
        <v>14545</v>
      </c>
      <c r="L4155" s="21" t="n"/>
      <c r="M4155" s="22" t="n"/>
      <c r="N4155" s="22" t="n">
        <v>4710</v>
      </c>
      <c r="O4155" s="22" t="n">
        <v>68506950</v>
      </c>
      <c r="P4155" s="22" t="n">
        <v>4710</v>
      </c>
      <c r="Q4155" s="22" t="n">
        <v>68506950</v>
      </c>
      <c r="R4155" s="42">
        <f>+L4155+N4155-P4155</f>
        <v/>
      </c>
      <c r="S4155" s="42">
        <f>+M4155+O4155-Q4155</f>
        <v/>
      </c>
    </row>
    <row r="4156" ht="30" customHeight="1">
      <c r="A4156" s="16" t="n">
        <v>46022</v>
      </c>
      <c r="B4156" s="17" t="inlineStr">
        <is>
          <t>MH2512-58</t>
        </is>
      </c>
      <c r="C4156" s="16" t="n">
        <v>46022</v>
      </c>
      <c r="D4156" s="17" t="inlineStr">
        <is>
          <t>3367</t>
        </is>
      </c>
      <c r="E4156" s="16" t="n">
        <v>46022</v>
      </c>
      <c r="F4156" s="16" t="inlineStr">
        <is>
          <t>XK2512-50</t>
        </is>
      </c>
      <c r="G4156" s="16" t="n">
        <v>46022</v>
      </c>
      <c r="H4156" s="17" t="inlineStr">
        <is>
          <t>CÔNG TY TNHH THƯƠNG MẠI THÉP TOÀN THẮNG</t>
        </is>
      </c>
      <c r="I4156" s="17" t="inlineStr">
        <is>
          <t>Thép tấm 10x2000x12000mm Q355B</t>
        </is>
      </c>
      <c r="J4156" s="17" t="inlineStr">
        <is>
          <t>kg</t>
        </is>
      </c>
      <c r="K4156" s="21" t="n">
        <v>13636</v>
      </c>
      <c r="L4156" s="21" t="n"/>
      <c r="M4156" s="22" t="n"/>
      <c r="N4156" s="22" t="n">
        <v>11304</v>
      </c>
      <c r="O4156" s="22" t="n">
        <v>154141344</v>
      </c>
      <c r="P4156" s="22" t="n">
        <v>11304</v>
      </c>
      <c r="Q4156" s="22" t="n">
        <v>154141344</v>
      </c>
      <c r="R4156" s="42">
        <f>+L4156+N4156-P4156</f>
        <v/>
      </c>
      <c r="S4156" s="42">
        <f>+M4156+O4156-Q4156</f>
        <v/>
      </c>
    </row>
    <row r="4157" ht="30" customHeight="1">
      <c r="A4157" s="16" t="n">
        <v>46022</v>
      </c>
      <c r="B4157" s="17" t="inlineStr">
        <is>
          <t>MH2512-58</t>
        </is>
      </c>
      <c r="C4157" s="16" t="n">
        <v>46022</v>
      </c>
      <c r="D4157" s="17" t="inlineStr">
        <is>
          <t>3367</t>
        </is>
      </c>
      <c r="E4157" s="16" t="n">
        <v>46022</v>
      </c>
      <c r="F4157" s="16" t="inlineStr">
        <is>
          <t>XK2512-50</t>
        </is>
      </c>
      <c r="G4157" s="16" t="n">
        <v>46022</v>
      </c>
      <c r="H4157" s="17" t="inlineStr">
        <is>
          <t>CÔNG TY TNHH THƯƠNG MẠI THÉP TOÀN THẮNG</t>
        </is>
      </c>
      <c r="I4157" s="17" t="inlineStr">
        <is>
          <t>Thép tấm 12x2000x12000mm Q355B</t>
        </is>
      </c>
      <c r="J4157" s="17" t="inlineStr">
        <is>
          <t>kg</t>
        </is>
      </c>
      <c r="K4157" s="21" t="n">
        <v>13636</v>
      </c>
      <c r="L4157" s="21" t="n"/>
      <c r="M4157" s="22" t="n"/>
      <c r="N4157" s="22" t="n">
        <v>15825.6</v>
      </c>
      <c r="O4157" s="22" t="n">
        <v>215797882</v>
      </c>
      <c r="P4157" s="22" t="n">
        <v>15825.6</v>
      </c>
      <c r="Q4157" s="22" t="n">
        <v>215797882</v>
      </c>
      <c r="R4157" s="42">
        <f>+L4157+N4157-P4157</f>
        <v/>
      </c>
      <c r="S4157" s="42">
        <f>+M4157+O4157-Q4157</f>
        <v/>
      </c>
    </row>
    <row r="4158" ht="30" customHeight="1">
      <c r="A4158" s="16" t="n">
        <v>46022</v>
      </c>
      <c r="B4158" s="17" t="inlineStr">
        <is>
          <t>MH2512-59</t>
        </is>
      </c>
      <c r="C4158" s="16" t="n">
        <v>46022</v>
      </c>
      <c r="D4158" s="17" t="inlineStr">
        <is>
          <t>0000029</t>
        </is>
      </c>
      <c r="E4158" s="16" t="n">
        <v>46022</v>
      </c>
      <c r="F4158" s="16" t="inlineStr">
        <is>
          <t>XK2512-42</t>
        </is>
      </c>
      <c r="G4158" s="16" t="n">
        <v>46022</v>
      </c>
      <c r="H4158" s="17" t="inlineStr">
        <is>
          <t>CÔNG TY TNHH LOTALUX</t>
        </is>
      </c>
      <c r="I4158" s="17" t="inlineStr">
        <is>
          <t>Cung cấp cửa chớp thép theo báo giá số: 014425/BGXK/LTL-RM ký ngày 03/12/2025</t>
        </is>
      </c>
      <c r="J4158" s="17" t="inlineStr">
        <is>
          <t>Bộ</t>
        </is>
      </c>
      <c r="K4158" s="21" t="n">
        <v>13240741</v>
      </c>
      <c r="L4158" s="21" t="n"/>
      <c r="M4158" s="22" t="n"/>
      <c r="N4158" s="22" t="n">
        <v>1</v>
      </c>
      <c r="O4158" s="22" t="n">
        <v>13240741</v>
      </c>
      <c r="P4158" s="22" t="n">
        <v>1</v>
      </c>
      <c r="Q4158" s="22" t="n">
        <v>13240741</v>
      </c>
      <c r="R4158" s="42">
        <f>+L4158+N4158-P4158</f>
        <v/>
      </c>
      <c r="S4158" s="42">
        <f>+M4158+O4158-Q4158</f>
        <v/>
      </c>
    </row>
    <row r="4159">
      <c r="A4159" s="33" t="n"/>
      <c r="B4159" s="33" t="n"/>
      <c r="C4159" s="33" t="n"/>
      <c r="D4159" s="33" t="n"/>
      <c r="E4159" s="33" t="n"/>
      <c r="F4159" s="33" t="n"/>
      <c r="G4159" s="33" t="n"/>
      <c r="H4159" s="67" t="n"/>
      <c r="I4159" s="67" t="n"/>
      <c r="J4159" s="67" t="n"/>
      <c r="K4159" s="33" t="n"/>
      <c r="L4159" s="68">
        <f>SUM(L10:L4158)</f>
        <v/>
      </c>
      <c r="M4159" s="69">
        <f>SUM(M10:M4158)</f>
        <v/>
      </c>
      <c r="N4159" s="69">
        <f>SUM(N10:N4158)</f>
        <v/>
      </c>
      <c r="O4159" s="69">
        <f>SUM(O10:O4158)</f>
        <v/>
      </c>
      <c r="P4159" s="69">
        <f>SUM(P10:P4158)</f>
        <v/>
      </c>
      <c r="Q4159" s="69">
        <f>SUM(Q10:Q4158)</f>
        <v/>
      </c>
      <c r="R4159" s="69">
        <f>SUM(R10:R4158)</f>
        <v/>
      </c>
      <c r="S4159" s="69">
        <f>SUM(S10:S4158)</f>
        <v/>
      </c>
    </row>
  </sheetData>
  <autoFilter ref="A9:X9"/>
  <mergeCells count="15">
    <mergeCell ref="L7:M7"/>
    <mergeCell ref="R7:S7"/>
    <mergeCell ref="P7:Q7"/>
    <mergeCell ref="N7:O7"/>
    <mergeCell ref="C7:C8"/>
    <mergeCell ref="A7:A8"/>
    <mergeCell ref="G7:G8"/>
    <mergeCell ref="B7:B8"/>
    <mergeCell ref="D7:D8"/>
    <mergeCell ref="H7:H8"/>
    <mergeCell ref="F7:F8"/>
    <mergeCell ref="E7:E8"/>
    <mergeCell ref="I7:I8"/>
    <mergeCell ref="J7:J8"/>
    <mergeCell ref="K7:K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R63"/>
  <sheetViews>
    <sheetView tabSelected="1" view="pageBreakPreview" zoomScaleNormal="100" zoomScaleSheetLayoutView="100" workbookViewId="0">
      <selection activeCell="B10" sqref="B10"/>
    </sheetView>
  </sheetViews>
  <sheetFormatPr baseColWidth="8" defaultColWidth="8.85546875" defaultRowHeight="15.75"/>
  <cols>
    <col width="8.85546875" customWidth="1" style="44" min="1" max="1"/>
    <col width="43.28515625" customWidth="1" style="44" min="2" max="2"/>
    <col width="16.140625" bestFit="1" customWidth="1" style="45" min="3" max="3"/>
    <col width="18.28515625" bestFit="1" customWidth="1" style="45" min="4" max="4"/>
    <col width="19" customWidth="1" style="45" min="5" max="5"/>
    <col width="18.140625" customWidth="1" style="45" min="6" max="6"/>
    <col width="8.85546875" customWidth="1" style="44" min="7" max="16384"/>
  </cols>
  <sheetData>
    <row r="1" ht="25.9" customFormat="1" customHeight="1" s="48">
      <c r="A1" s="47" t="inlineStr">
        <is>
          <t>CÔNG TY CỔ PHẦN KẾT CẤU THÉP STEELTECH</t>
        </is>
      </c>
      <c r="B1" s="47" t="n"/>
      <c r="C1" s="47" t="n"/>
      <c r="D1" s="47" t="n"/>
      <c r="E1" s="47" t="n"/>
      <c r="F1" s="47" t="n"/>
      <c r="H1" s="49" t="n"/>
      <c r="I1" s="49" t="n"/>
      <c r="L1" s="50" t="n"/>
      <c r="N1" s="50" t="n"/>
      <c r="O1" s="51" t="n"/>
      <c r="Q1" s="51" t="n"/>
      <c r="R1" s="49" t="n"/>
    </row>
    <row r="2" ht="14.25" customFormat="1" customHeight="1" s="48">
      <c r="A2" s="47" t="inlineStr">
        <is>
          <t>MST: 0319777888</t>
        </is>
      </c>
      <c r="B2" s="47" t="n"/>
      <c r="C2" s="47" t="n"/>
      <c r="D2" s="47" t="n"/>
      <c r="E2" s="47" t="n"/>
      <c r="F2" s="47" t="n"/>
      <c r="H2" s="49" t="n"/>
      <c r="I2" s="49" t="n"/>
      <c r="L2" s="50" t="n"/>
      <c r="N2" s="50" t="n"/>
      <c r="O2" s="51" t="n"/>
      <c r="Q2" s="51" t="n"/>
      <c r="R2" s="49" t="n"/>
    </row>
    <row r="3" ht="12.6" customFormat="1" customHeight="1" s="48">
      <c r="H3" s="49" t="n"/>
      <c r="I3" s="49" t="n"/>
      <c r="L3" s="50" t="n"/>
      <c r="N3" s="50" t="n"/>
      <c r="O3" s="51" t="n"/>
      <c r="Q3" s="51" t="n"/>
      <c r="R3" s="49" t="n"/>
    </row>
    <row r="4" ht="24.95" customFormat="1" customHeight="1" s="48">
      <c r="A4" s="78" t="inlineStr">
        <is>
          <t>BẢNG XUẤT NHẬP TỒN SẢN PHẨM DỞ DANG THEO TỪNG CÔNG TRÌNH</t>
        </is>
      </c>
      <c r="G4" s="65" t="n"/>
      <c r="H4" s="65" t="n"/>
      <c r="I4" s="65" t="n"/>
      <c r="J4" s="65" t="n"/>
      <c r="K4" s="65" t="n"/>
      <c r="L4" s="50" t="n"/>
      <c r="N4" s="50" t="n"/>
      <c r="O4" s="51" t="n"/>
      <c r="Q4" s="51" t="n"/>
      <c r="R4" s="49" t="n"/>
    </row>
    <row r="5" ht="24.95" customFormat="1" customHeight="1" s="48">
      <c r="A5" s="78" t="inlineStr">
        <is>
          <t>Kỳ hoàn thuế 01/2025-12/2025</t>
        </is>
      </c>
      <c r="G5" s="65" t="n"/>
      <c r="H5" s="65" t="n"/>
      <c r="I5" s="65" t="n"/>
      <c r="J5" s="65" t="n"/>
      <c r="K5" s="65" t="n"/>
      <c r="L5" s="50" t="n"/>
      <c r="N5" s="50" t="n"/>
      <c r="O5" s="51" t="n"/>
      <c r="Q5" s="51" t="n"/>
      <c r="R5" s="49" t="n"/>
    </row>
    <row r="6">
      <c r="D6" s="44" t="n"/>
      <c r="E6" s="44" t="n"/>
      <c r="F6" s="44" t="n"/>
    </row>
    <row r="7"/>
    <row r="8" customFormat="1" s="61">
      <c r="A8" s="58" t="inlineStr">
        <is>
          <t>Mã dự án</t>
        </is>
      </c>
      <c r="B8" s="58" t="inlineStr">
        <is>
          <t>Tên dự án</t>
        </is>
      </c>
      <c r="C8" s="59" t="inlineStr">
        <is>
          <t>Đầu kỳ</t>
        </is>
      </c>
      <c r="D8" s="59" t="inlineStr">
        <is>
          <t>Phát sinh nợ</t>
        </is>
      </c>
      <c r="E8" s="59" t="inlineStr">
        <is>
          <t>Phát sinh có</t>
        </is>
      </c>
      <c r="F8" s="59" t="inlineStr">
        <is>
          <t>Cuối kỳ</t>
        </is>
      </c>
    </row>
    <row r="9">
      <c r="A9" s="63" t="inlineStr">
        <is>
          <t>12-24</t>
        </is>
      </c>
      <c r="B9" s="63" t="inlineStr">
        <is>
          <t>Scotland Cold Storage</t>
        </is>
      </c>
      <c r="C9" s="64" t="n">
        <v>577544137</v>
      </c>
      <c r="D9" s="64" t="n">
        <v>4536751540</v>
      </c>
      <c r="E9" s="64" t="n">
        <v>5114295677</v>
      </c>
      <c r="F9" s="64">
        <f>+C9+D9-E9</f>
        <v/>
      </c>
    </row>
    <row r="10">
      <c r="A10" s="63" t="inlineStr">
        <is>
          <t>11-24</t>
        </is>
      </c>
      <c r="B10" s="63" t="inlineStr">
        <is>
          <t>Polyland Distribution Center</t>
        </is>
      </c>
      <c r="C10" s="64" t="n">
        <v>29578184</v>
      </c>
      <c r="D10" s="64" t="n">
        <v>808295652</v>
      </c>
      <c r="E10" s="64" t="n">
        <v>837873836</v>
      </c>
      <c r="F10" s="64">
        <f>+C10+D10-E10</f>
        <v/>
      </c>
    </row>
    <row r="11">
      <c r="A11" s="63" t="inlineStr">
        <is>
          <t>28-24</t>
        </is>
      </c>
      <c r="B11" s="63" t="inlineStr">
        <is>
          <t>GARAGE IN INSULAR VILLAGE</t>
        </is>
      </c>
      <c r="C11" s="64" t="n">
        <v>94489529</v>
      </c>
      <c r="D11" s="64" t="n">
        <v>534653830</v>
      </c>
      <c r="E11" s="64" t="n">
        <v>629143359</v>
      </c>
      <c r="F11" s="64">
        <f>+C11+D11-E11</f>
        <v/>
      </c>
    </row>
    <row r="12">
      <c r="A12" s="63" t="inlineStr">
        <is>
          <t>27-24</t>
        </is>
      </c>
      <c r="B12" s="63" t="inlineStr">
        <is>
          <t>GLAN TRANSPORTATION TERMINAL</t>
        </is>
      </c>
      <c r="C12" s="64" t="n">
        <v>47244460</v>
      </c>
      <c r="D12" s="64" t="n">
        <v>656410416</v>
      </c>
      <c r="E12" s="64" t="n">
        <v>703654876</v>
      </c>
      <c r="F12" s="64">
        <f>+C12+D12-E12</f>
        <v/>
      </c>
    </row>
    <row r="13">
      <c r="A13" s="63" t="inlineStr">
        <is>
          <t>04-25</t>
        </is>
      </c>
      <c r="B13" s="63" t="inlineStr">
        <is>
          <t>WAREHOUSE 1500SQM</t>
        </is>
      </c>
      <c r="C13" s="64" t="n">
        <v>0</v>
      </c>
      <c r="D13" s="64" t="n">
        <v>1038023798</v>
      </c>
      <c r="E13" s="64" t="n">
        <v>1038023798</v>
      </c>
      <c r="F13" s="64">
        <f>+C13+D13-E13</f>
        <v/>
      </c>
    </row>
    <row r="14">
      <c r="A14" s="63" t="inlineStr">
        <is>
          <t>05-24</t>
        </is>
      </c>
      <c r="B14" s="63" t="inlineStr">
        <is>
          <t>2 Unit Building Warehouse</t>
        </is>
      </c>
      <c r="C14" s="64" t="n">
        <v>2898268879</v>
      </c>
      <c r="D14" s="64" t="n">
        <v>8904594888</v>
      </c>
      <c r="E14" s="64" t="n">
        <v>11802863767</v>
      </c>
      <c r="F14" s="64">
        <f>+C14+D14-E14</f>
        <v/>
      </c>
    </row>
    <row r="15">
      <c r="A15" s="63" t="inlineStr">
        <is>
          <t>02-24</t>
        </is>
      </c>
      <c r="B15" s="63" t="inlineStr">
        <is>
          <t>Polylite Tanza Warehouse</t>
        </is>
      </c>
      <c r="C15" s="64" t="n">
        <v>546828485.7</v>
      </c>
      <c r="D15" s="64" t="n">
        <v>2277724486</v>
      </c>
      <c r="E15" s="64" t="n">
        <v>2824552972</v>
      </c>
      <c r="F15" s="64">
        <f>+C15+D15-E15</f>
        <v/>
      </c>
    </row>
    <row r="16">
      <c r="A16" s="63" t="inlineStr">
        <is>
          <t>06-25</t>
        </is>
      </c>
      <c r="B16" s="63" t="inlineStr">
        <is>
          <t xml:space="preserve">STRUMMS RENOVATION </t>
        </is>
      </c>
      <c r="C16" s="64" t="n">
        <v>0</v>
      </c>
      <c r="D16" s="64" t="n">
        <v>673147381</v>
      </c>
      <c r="E16" s="64" t="n">
        <v>673147381</v>
      </c>
      <c r="F16" s="64">
        <f>+C16+D16-E16</f>
        <v/>
      </c>
    </row>
    <row r="17">
      <c r="A17" s="63" t="inlineStr">
        <is>
          <t>05-25</t>
        </is>
      </c>
      <c r="B17" s="63" t="inlineStr">
        <is>
          <t>ONE STOREY</t>
        </is>
      </c>
      <c r="C17" s="64" t="n">
        <v>0</v>
      </c>
      <c r="D17" s="64" t="n">
        <v>381716393</v>
      </c>
      <c r="E17" s="64" t="n">
        <v>381716393</v>
      </c>
      <c r="F17" s="64">
        <f>+C17+D17-E17</f>
        <v/>
      </c>
    </row>
    <row r="18">
      <c r="A18" s="63" t="inlineStr">
        <is>
          <t>19-24</t>
        </is>
      </c>
      <c r="B18" s="63" t="inlineStr">
        <is>
          <t>Medija Residence</t>
        </is>
      </c>
      <c r="C18" s="64" t="n">
        <v>57780000</v>
      </c>
      <c r="D18" s="64" t="n">
        <v>8830851900</v>
      </c>
      <c r="E18" s="64" t="n">
        <v>8888631900</v>
      </c>
      <c r="F18" s="64">
        <f>+C18+D18-E18</f>
        <v/>
      </c>
    </row>
    <row r="19">
      <c r="A19" s="63" t="inlineStr">
        <is>
          <t>02-25</t>
        </is>
      </c>
      <c r="B19" s="63" t="inlineStr">
        <is>
          <t>KALINISAN COMMERCIAL BUILDING</t>
        </is>
      </c>
      <c r="C19" s="64" t="n">
        <v>0</v>
      </c>
      <c r="D19" s="64" t="n">
        <v>1499225883</v>
      </c>
      <c r="E19" s="64" t="n">
        <v>1499225883</v>
      </c>
      <c r="F19" s="64">
        <f>+C19+D19-E19</f>
        <v/>
      </c>
    </row>
    <row r="20">
      <c r="A20" s="63" t="inlineStr">
        <is>
          <t>32-24</t>
        </is>
      </c>
      <c r="B20" s="63" t="inlineStr">
        <is>
          <t>RMM DRY WAREHOUSE</t>
        </is>
      </c>
      <c r="C20" s="64" t="n">
        <v>913784390</v>
      </c>
      <c r="D20" s="64" t="n">
        <v>413219770</v>
      </c>
      <c r="E20" s="64" t="n">
        <v>1327004160</v>
      </c>
      <c r="F20" s="64">
        <f>+C20+D20-E20</f>
        <v/>
      </c>
    </row>
    <row r="21">
      <c r="A21" s="63" t="inlineStr">
        <is>
          <t>21-24</t>
        </is>
      </c>
      <c r="B21" s="63" t="inlineStr">
        <is>
          <t>Crystal in Navotas - extension</t>
        </is>
      </c>
      <c r="C21" s="64" t="n">
        <v>0</v>
      </c>
      <c r="D21" s="64" t="n">
        <v>5306353134</v>
      </c>
      <c r="E21" s="64" t="n">
        <v>5306353134</v>
      </c>
      <c r="F21" s="64">
        <f>+C21+D21-E21</f>
        <v/>
      </c>
    </row>
    <row r="22">
      <c r="A22" s="63" t="inlineStr">
        <is>
          <t>08-25</t>
        </is>
      </c>
      <c r="B22" s="63" t="inlineStr">
        <is>
          <t>BYRON CHIONG COMMERCIAL BLDG</t>
        </is>
      </c>
      <c r="C22" s="64" t="n">
        <v>0</v>
      </c>
      <c r="D22" s="64" t="n">
        <v>751098014</v>
      </c>
      <c r="E22" s="64" t="n">
        <v>751098014</v>
      </c>
      <c r="F22" s="64">
        <f>+C22+D22-E22</f>
        <v/>
      </c>
    </row>
    <row r="23">
      <c r="A23" s="63" t="inlineStr">
        <is>
          <t>11-25</t>
        </is>
      </c>
      <c r="B23" s="63" t="inlineStr">
        <is>
          <t>TOM N TOMS</t>
        </is>
      </c>
      <c r="C23" s="64" t="n">
        <v>0</v>
      </c>
      <c r="D23" s="64" t="n">
        <v>3938399842</v>
      </c>
      <c r="E23" s="64" t="n">
        <v>3938399842</v>
      </c>
      <c r="F23" s="64">
        <f>+C23+D23-E23</f>
        <v/>
      </c>
    </row>
    <row r="24">
      <c r="A24" s="63" t="inlineStr">
        <is>
          <t>33-24</t>
        </is>
      </c>
      <c r="B24" s="63" t="inlineStr">
        <is>
          <t>Angeles Data Center</t>
        </is>
      </c>
      <c r="C24" s="64" t="n">
        <v>0</v>
      </c>
      <c r="D24" s="64" t="n">
        <v>4375896188</v>
      </c>
      <c r="E24" s="64" t="n">
        <v>4375896188</v>
      </c>
      <c r="F24" s="64">
        <f>+C24+D24-E24</f>
        <v/>
      </c>
    </row>
    <row r="25">
      <c r="A25" s="63" t="inlineStr">
        <is>
          <t>01-25</t>
        </is>
      </c>
      <c r="B25" s="63" t="inlineStr">
        <is>
          <t>NOCC</t>
        </is>
      </c>
      <c r="C25" s="64" t="n">
        <v>55020210</v>
      </c>
      <c r="D25" s="64" t="n">
        <v>49268816996</v>
      </c>
      <c r="E25" s="64" t="n">
        <v>49323837206</v>
      </c>
      <c r="F25" s="64">
        <f>+C25+D25-E25</f>
        <v/>
      </c>
    </row>
    <row r="26">
      <c r="A26" s="63" t="inlineStr">
        <is>
          <t>09-25</t>
        </is>
      </c>
      <c r="B26" s="63" t="inlineStr">
        <is>
          <t>FLEET CLUB</t>
        </is>
      </c>
      <c r="C26" s="64" t="n">
        <v>0</v>
      </c>
      <c r="D26" s="64" t="n">
        <v>4080310134</v>
      </c>
      <c r="E26" s="64" t="n">
        <v>4080310134</v>
      </c>
      <c r="F26" s="64">
        <f>+C26+D26-E26</f>
        <v/>
      </c>
    </row>
    <row r="27">
      <c r="A27" s="63" t="inlineStr">
        <is>
          <t>29-24</t>
        </is>
      </c>
      <c r="B27" s="63" t="inlineStr">
        <is>
          <t>Main Crushing Building</t>
        </is>
      </c>
      <c r="C27" s="64" t="n">
        <v>850798772</v>
      </c>
      <c r="D27" s="64" t="n">
        <v>4376520675</v>
      </c>
      <c r="E27" s="64" t="n">
        <v>5227319448</v>
      </c>
      <c r="F27" s="64">
        <f>+C27+D27-E27</f>
        <v/>
      </c>
    </row>
    <row r="28">
      <c r="A28" s="63" t="inlineStr">
        <is>
          <t>14-25</t>
        </is>
      </c>
      <c r="B28" s="63" t="inlineStr">
        <is>
          <t>TOYOTA CALAMBA</t>
        </is>
      </c>
      <c r="C28" s="64" t="n">
        <v>0</v>
      </c>
      <c r="D28" s="64" t="n">
        <v>5007872261</v>
      </c>
      <c r="E28" s="64" t="n">
        <v>5007872261</v>
      </c>
      <c r="F28" s="64">
        <f>+C28+D28-E28</f>
        <v/>
      </c>
    </row>
    <row r="29">
      <c r="A29" s="63" t="inlineStr">
        <is>
          <t>13-25</t>
        </is>
      </c>
      <c r="B29" s="63" t="inlineStr">
        <is>
          <t>STM POWERPLANT 2.0</t>
        </is>
      </c>
      <c r="C29" s="64" t="n">
        <v>0</v>
      </c>
      <c r="D29" s="64" t="n">
        <v>24531406483</v>
      </c>
      <c r="E29" s="64" t="n">
        <v>24531406483</v>
      </c>
      <c r="F29" s="64">
        <f>+C29+D29-E29</f>
        <v/>
      </c>
    </row>
    <row r="30">
      <c r="A30" s="63" t="inlineStr">
        <is>
          <t>12-25</t>
        </is>
      </c>
      <c r="B30" s="63" t="inlineStr">
        <is>
          <t>CALINAN COMMERCIAL BUILDING</t>
        </is>
      </c>
      <c r="C30" s="64" t="n">
        <v>0</v>
      </c>
      <c r="D30" s="64" t="n">
        <v>1103017561</v>
      </c>
      <c r="E30" s="64" t="n">
        <v>1103017561</v>
      </c>
      <c r="F30" s="64">
        <f>+C30+D30-E30</f>
        <v/>
      </c>
    </row>
    <row r="31">
      <c r="A31" s="63" t="inlineStr">
        <is>
          <t>16-25</t>
        </is>
      </c>
      <c r="B31" s="63" t="inlineStr">
        <is>
          <t>BANKEROHAN MARKET</t>
        </is>
      </c>
      <c r="C31" s="64" t="n">
        <v>0</v>
      </c>
      <c r="D31" s="64" t="n">
        <v>5793773002</v>
      </c>
      <c r="E31" s="64" t="n">
        <v>5793773002</v>
      </c>
      <c r="F31" s="64">
        <f>+C31+D31-E31</f>
        <v/>
      </c>
    </row>
    <row r="32">
      <c r="A32" s="63" t="inlineStr">
        <is>
          <t>20-25</t>
        </is>
      </c>
      <c r="B32" s="63" t="inlineStr">
        <is>
          <t>FERNANDO INDUSTRIAL PARK</t>
        </is>
      </c>
      <c r="C32" s="64" t="n">
        <v>0</v>
      </c>
      <c r="D32" s="64" t="n">
        <v>2445551967</v>
      </c>
      <c r="E32" s="64" t="n">
        <v>2445551967</v>
      </c>
      <c r="F32" s="64">
        <f>+C32+D32-E32</f>
        <v/>
      </c>
    </row>
    <row r="33">
      <c r="A33" s="63" t="inlineStr">
        <is>
          <t>03-25</t>
        </is>
      </c>
      <c r="B33" s="63" t="inlineStr">
        <is>
          <t>ADJ</t>
        </is>
      </c>
      <c r="C33" s="64" t="n">
        <v>0</v>
      </c>
      <c r="D33" s="64" t="n">
        <v>1239773822</v>
      </c>
      <c r="E33" s="64" t="n">
        <v>1239773822</v>
      </c>
      <c r="F33" s="64">
        <f>+C33+D33-E33</f>
        <v/>
      </c>
    </row>
    <row r="34">
      <c r="A34" s="63" t="inlineStr">
        <is>
          <t>21-25</t>
        </is>
      </c>
      <c r="B34" s="63" t="inlineStr">
        <is>
          <t>SPEEDEDGE IN ALABANG</t>
        </is>
      </c>
      <c r="C34" s="64" t="n">
        <v>0</v>
      </c>
      <c r="D34" s="64" t="n">
        <v>2192073025</v>
      </c>
      <c r="E34" s="64" t="n">
        <v>2192073025</v>
      </c>
      <c r="F34" s="64">
        <f>+C34+D34-E34</f>
        <v/>
      </c>
    </row>
    <row r="35">
      <c r="A35" s="63" t="inlineStr">
        <is>
          <t>23-25</t>
        </is>
      </c>
      <c r="B35" s="63" t="inlineStr">
        <is>
          <t>Expansion Dry Warehouse Pangasinan</t>
        </is>
      </c>
      <c r="C35" s="64" t="n">
        <v>0</v>
      </c>
      <c r="D35" s="64" t="n">
        <v>3068909520</v>
      </c>
      <c r="E35" s="64" t="n">
        <v>3068909520</v>
      </c>
      <c r="F35" s="64">
        <f>+C35+D35-E35</f>
        <v/>
      </c>
    </row>
    <row r="36">
      <c r="A36" s="63" t="inlineStr">
        <is>
          <t>10-25</t>
        </is>
      </c>
      <c r="B36" s="63" t="inlineStr">
        <is>
          <t>PANABO GAISANO WAREHOUSE</t>
        </is>
      </c>
      <c r="C36" s="64" t="n">
        <v>0</v>
      </c>
      <c r="D36" s="64" t="n">
        <v>5179424070</v>
      </c>
      <c r="E36" s="64" t="n">
        <v>5179424070</v>
      </c>
      <c r="F36" s="64">
        <f>+C36+D36-E36</f>
        <v/>
      </c>
    </row>
    <row r="37">
      <c r="A37" s="63" t="inlineStr">
        <is>
          <t>26-25</t>
        </is>
      </c>
      <c r="B37" s="63" t="inlineStr">
        <is>
          <t>MEDIJA RESIDENCE - PHASE 2</t>
        </is>
      </c>
      <c r="C37" s="64" t="n">
        <v>0</v>
      </c>
      <c r="D37" s="64" t="n">
        <v>8893285150</v>
      </c>
      <c r="E37" s="64" t="n">
        <v>8893285150</v>
      </c>
      <c r="F37" s="64">
        <f>+C37+D37-E37</f>
        <v/>
      </c>
    </row>
    <row r="38">
      <c r="A38" s="63" t="inlineStr">
        <is>
          <t>27-25</t>
        </is>
      </c>
      <c r="B38" s="63" t="inlineStr">
        <is>
          <t>ER MALL 02</t>
        </is>
      </c>
      <c r="C38" s="64" t="n">
        <v>0</v>
      </c>
      <c r="D38" s="64" t="n">
        <v>704145906</v>
      </c>
      <c r="E38" s="64" t="n">
        <v>704145906</v>
      </c>
      <c r="F38" s="64">
        <f>+C38+D38-E38</f>
        <v/>
      </c>
    </row>
    <row r="39">
      <c r="A39" s="63" t="inlineStr">
        <is>
          <t>15-25</t>
        </is>
      </c>
      <c r="B39" s="63" t="inlineStr">
        <is>
          <t>Batangas City South Sports Development Center</t>
        </is>
      </c>
      <c r="C39" s="64" t="n">
        <v>0</v>
      </c>
      <c r="D39" s="64" t="n">
        <v>2079655375</v>
      </c>
      <c r="E39" s="64" t="n">
        <v>2079655375</v>
      </c>
      <c r="F39" s="64">
        <f>+C39+D39-E39</f>
        <v/>
      </c>
    </row>
    <row r="40">
      <c r="A40" s="63" t="inlineStr">
        <is>
          <t>24-25</t>
        </is>
      </c>
      <c r="B40" s="63" t="inlineStr">
        <is>
          <t>NISU</t>
        </is>
      </c>
      <c r="C40" s="64" t="n"/>
      <c r="D40" s="64" t="n">
        <v>3129617086</v>
      </c>
      <c r="E40" s="64" t="n">
        <v>3129617086</v>
      </c>
      <c r="F40" s="64">
        <f>+C40+D40-E40</f>
        <v/>
      </c>
    </row>
    <row r="41">
      <c r="A41" s="63" t="inlineStr">
        <is>
          <t>25-25</t>
        </is>
      </c>
      <c r="B41" s="63" t="inlineStr">
        <is>
          <t>DIAMOND APARTMENT BUILDING</t>
        </is>
      </c>
      <c r="C41" s="64" t="n"/>
      <c r="D41" s="64" t="n">
        <v>612649302</v>
      </c>
      <c r="E41" s="64" t="n">
        <v>612649302</v>
      </c>
      <c r="F41" s="64">
        <f>+C41+D41-E41</f>
        <v/>
      </c>
    </row>
    <row r="42">
      <c r="A42" s="63" t="inlineStr">
        <is>
          <t>17-25</t>
        </is>
      </c>
      <c r="B42" s="63" t="inlineStr">
        <is>
          <t>MATUTUM PINES MEDICAL CENTER</t>
        </is>
      </c>
      <c r="C42" s="64" t="n"/>
      <c r="D42" s="64" t="n">
        <v>1534258493</v>
      </c>
      <c r="E42" s="64" t="n">
        <v>1534258493</v>
      </c>
      <c r="F42" s="64">
        <f>+C42+D42-E42</f>
        <v/>
      </c>
    </row>
    <row r="43">
      <c r="A43" s="63" t="inlineStr">
        <is>
          <t>30-25</t>
        </is>
      </c>
      <c r="B43" s="63" t="inlineStr">
        <is>
          <t>TOYOTA HANGAR</t>
        </is>
      </c>
      <c r="C43" s="64" t="n"/>
      <c r="D43" s="64" t="n">
        <v>627529295</v>
      </c>
      <c r="E43" s="64" t="n">
        <v>627529295</v>
      </c>
      <c r="F43" s="64">
        <f>+C43+D43-E43</f>
        <v/>
      </c>
    </row>
    <row r="44">
      <c r="A44" s="63" t="inlineStr">
        <is>
          <t>28-25</t>
        </is>
      </c>
      <c r="B44" s="63" t="inlineStr">
        <is>
          <t>TOYOTA CPD EXPANSION</t>
        </is>
      </c>
      <c r="C44" s="64" t="n"/>
      <c r="D44" s="64" t="n">
        <v>7170769548</v>
      </c>
      <c r="E44" s="64" t="n">
        <v>7170769548</v>
      </c>
      <c r="F44" s="64">
        <f>+C44+D44-E44</f>
        <v/>
      </c>
    </row>
    <row r="45">
      <c r="A45" s="63" t="inlineStr">
        <is>
          <t>32-25</t>
        </is>
      </c>
      <c r="B45" s="63" t="inlineStr">
        <is>
          <t>NIKE OUTLET IN SUBIC</t>
        </is>
      </c>
      <c r="C45" s="64" t="n"/>
      <c r="D45" s="64" t="n">
        <v>5675112206</v>
      </c>
      <c r="E45" s="64" t="n">
        <v>5675112206</v>
      </c>
      <c r="F45" s="64">
        <f>+C45+D45-E45</f>
        <v/>
      </c>
    </row>
    <row r="46">
      <c r="A46" s="63" t="inlineStr">
        <is>
          <t>31-25</t>
        </is>
      </c>
      <c r="B46" s="63" t="inlineStr">
        <is>
          <t>PROPOSED THREE STOREY STEEL PARKING</t>
        </is>
      </c>
      <c r="C46" s="64" t="n"/>
      <c r="D46" s="64" t="n">
        <v>1625192407</v>
      </c>
      <c r="E46" s="64" t="n">
        <v>1625192407</v>
      </c>
      <c r="F46" s="64">
        <f>+C46+D46-E46</f>
        <v/>
      </c>
    </row>
    <row r="47">
      <c r="A47" s="63" t="inlineStr">
        <is>
          <t>29-25</t>
        </is>
      </c>
      <c r="B47" s="63" t="inlineStr">
        <is>
          <t>CEBU DRY WAREHOUSE</t>
        </is>
      </c>
      <c r="C47" s="64" t="n"/>
      <c r="D47" s="64" t="n">
        <v>2570437536</v>
      </c>
      <c r="E47" s="64" t="n">
        <v>2570437536</v>
      </c>
      <c r="F47" s="64">
        <f>+C47+D47-E47</f>
        <v/>
      </c>
    </row>
    <row r="48">
      <c r="A48" s="63" t="inlineStr">
        <is>
          <t>37-25</t>
        </is>
      </c>
      <c r="B48" s="63" t="inlineStr">
        <is>
          <t>Tacurong Bonifacio Pubic market</t>
        </is>
      </c>
      <c r="C48" s="64" t="n"/>
      <c r="D48" s="64" t="n">
        <v>6577244477</v>
      </c>
      <c r="E48" s="64" t="n">
        <v>6577244477</v>
      </c>
      <c r="F48" s="64">
        <f>+C48+D48-E48</f>
        <v/>
      </c>
    </row>
    <row r="49">
      <c r="A49" s="63" t="inlineStr">
        <is>
          <t>35-25</t>
        </is>
      </c>
      <c r="B49" s="63" t="inlineStr">
        <is>
          <t>Kanthararak Project</t>
        </is>
      </c>
      <c r="C49" s="64" t="n"/>
      <c r="D49" s="64" t="n">
        <v>771127264</v>
      </c>
      <c r="E49" s="64" t="n">
        <v>771127264</v>
      </c>
      <c r="F49" s="64">
        <f>+C49+D49-E49</f>
        <v/>
      </c>
    </row>
    <row r="50">
      <c r="A50" s="63" t="inlineStr">
        <is>
          <t>34-25</t>
        </is>
      </c>
      <c r="B50" s="63" t="inlineStr">
        <is>
          <t>SMX Extension</t>
        </is>
      </c>
      <c r="C50" s="64" t="n"/>
      <c r="D50" s="64" t="n">
        <v>19719228234</v>
      </c>
      <c r="E50" s="64" t="n">
        <v>19719228234</v>
      </c>
      <c r="F50" s="64">
        <f>+C50+D50-E50</f>
        <v/>
      </c>
    </row>
    <row r="51">
      <c r="A51" s="63" t="inlineStr">
        <is>
          <t>42-25</t>
        </is>
      </c>
      <c r="B51" s="63" t="inlineStr">
        <is>
          <t>SUPPORT FRAME</t>
        </is>
      </c>
      <c r="C51" s="64" t="n"/>
      <c r="D51" s="64" t="n">
        <v>287481338</v>
      </c>
      <c r="E51" s="64" t="n">
        <v>287481338</v>
      </c>
      <c r="F51" s="64">
        <f>+C51+D51-E51</f>
        <v/>
      </c>
    </row>
    <row r="52">
      <c r="A52" s="63" t="inlineStr">
        <is>
          <t>39-25</t>
        </is>
      </c>
      <c r="B52" s="63" t="inlineStr">
        <is>
          <t>SM City Sto. Tomas Expansion</t>
        </is>
      </c>
      <c r="C52" s="64" t="n"/>
      <c r="D52" s="64" t="n">
        <v>1471492473</v>
      </c>
      <c r="E52" s="64" t="n">
        <v>0</v>
      </c>
      <c r="F52" s="64">
        <f>+C52+D52-E52</f>
        <v/>
      </c>
    </row>
    <row r="53">
      <c r="A53" s="63" t="n"/>
      <c r="B53" s="58" t="inlineStr">
        <is>
          <t>Tổng</t>
        </is>
      </c>
      <c r="C53" s="59">
        <f>SUM(C9:C52)</f>
        <v/>
      </c>
      <c r="D53" s="59">
        <f>SUM(D9:D52)</f>
        <v/>
      </c>
      <c r="E53" s="59">
        <f>SUM(E9:E52)</f>
        <v/>
      </c>
      <c r="F53" s="59">
        <f>SUM(F9:F52)</f>
        <v/>
      </c>
    </row>
    <row r="54" ht="15" customHeight="1"/>
    <row r="55">
      <c r="D55" s="44" t="n"/>
      <c r="E55" s="44" t="n"/>
      <c r="F55" s="44" t="n"/>
    </row>
    <row r="56">
      <c r="D56" s="44" t="n"/>
      <c r="E56" s="46" t="n"/>
      <c r="F56" s="46" t="inlineStr">
        <is>
          <t>Giám Đốc</t>
        </is>
      </c>
      <c r="I56" s="46" t="n"/>
    </row>
    <row r="57">
      <c r="D57" s="44" t="n"/>
      <c r="E57" s="46" t="n"/>
      <c r="F57" s="46" t="n"/>
      <c r="I57" s="46" t="n"/>
    </row>
    <row r="58">
      <c r="D58" s="44" t="n"/>
      <c r="E58" s="46" t="n"/>
      <c r="F58" s="46" t="n"/>
      <c r="I58" s="46" t="n"/>
    </row>
    <row r="59">
      <c r="D59" s="44" t="n"/>
      <c r="E59" s="46" t="n"/>
      <c r="F59" s="46" t="n"/>
      <c r="I59" s="46" t="n"/>
    </row>
    <row r="60">
      <c r="D60" s="44" t="n"/>
      <c r="E60" s="46" t="n"/>
      <c r="F60" s="46" t="n"/>
      <c r="I60" s="46" t="n"/>
    </row>
    <row r="61">
      <c r="D61" s="44" t="n"/>
      <c r="E61" s="46" t="n"/>
      <c r="F61" s="46" t="n"/>
      <c r="I61" s="46" t="n"/>
    </row>
    <row r="62">
      <c r="D62" s="44" t="n"/>
      <c r="E62" s="46" t="n"/>
      <c r="F62" s="46" t="n"/>
      <c r="I62" s="46" t="n"/>
    </row>
    <row r="63">
      <c r="D63" s="44" t="n"/>
      <c r="E63" s="46" t="n"/>
      <c r="F63" s="46" t="inlineStr">
        <is>
          <t>Nguyễn Văn Steeltech</t>
        </is>
      </c>
      <c r="I63" s="46" t="n"/>
    </row>
  </sheetData>
  <mergeCells count="2">
    <mergeCell ref="A5:F5"/>
    <mergeCell ref="A4:F4"/>
  </mergeCells>
  <pageMargins left="0.7" right="0.7" top="0.75" bottom="0.75" header="0.3" footer="0.3"/>
  <pageSetup orientation="portrait" scale="7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883"/>
  <sheetViews>
    <sheetView showGridLines="0" view="pageBreakPreview" topLeftCell="A867" zoomScaleNormal="85" zoomScaleSheetLayoutView="100" workbookViewId="0">
      <selection activeCell="D881" sqref="D881:F881"/>
    </sheetView>
  </sheetViews>
  <sheetFormatPr baseColWidth="8" defaultColWidth="8.85546875" defaultRowHeight="15.75"/>
  <cols>
    <col width="49.7109375" customWidth="1" style="44" min="1" max="1"/>
    <col width="8.140625" customWidth="1" style="44" min="2" max="2"/>
    <col width="9.7109375" bestFit="1" customWidth="1" style="44" min="3" max="3"/>
    <col width="14.28515625" bestFit="1" customWidth="1" style="44" min="4" max="4"/>
    <col width="18.7109375" bestFit="1" customWidth="1" style="44" min="5" max="6"/>
    <col width="12.7109375" bestFit="1" customWidth="1" style="44" min="7" max="7"/>
    <col width="17.85546875" bestFit="1" customWidth="1" style="44" min="8" max="8"/>
    <col width="10.85546875" bestFit="1" customWidth="1" style="44" min="9" max="9"/>
    <col width="15.5703125" bestFit="1" customWidth="1" style="44" min="10" max="10"/>
    <col width="8.85546875" customWidth="1" style="44" min="11" max="16384"/>
  </cols>
  <sheetData>
    <row r="1" ht="25.9" customFormat="1" customHeight="1" s="48">
      <c r="A1" s="47" t="inlineStr">
        <is>
          <t>CÔNG TY CỔ PHẦN KẾT CẤU THÉP STEELTECH</t>
        </is>
      </c>
      <c r="B1" s="47" t="n"/>
      <c r="C1" s="47" t="n"/>
      <c r="D1" s="47" t="n"/>
      <c r="E1" s="47" t="n"/>
      <c r="G1" s="49" t="n"/>
      <c r="H1" s="49" t="n"/>
      <c r="K1" s="50" t="n"/>
      <c r="M1" s="50" t="n"/>
      <c r="N1" s="51" t="n"/>
      <c r="P1" s="51" t="n"/>
      <c r="Q1" s="49" t="n"/>
    </row>
    <row r="2" ht="14.25" customFormat="1" customHeight="1" s="48">
      <c r="A2" s="47" t="inlineStr">
        <is>
          <t>MST: 0319777888</t>
        </is>
      </c>
      <c r="B2" s="47" t="n"/>
      <c r="C2" s="47" t="n"/>
      <c r="D2" s="47" t="n"/>
      <c r="E2" s="47" t="n"/>
      <c r="G2" s="49" t="n"/>
      <c r="H2" s="49" t="n"/>
      <c r="K2" s="50" t="n"/>
      <c r="M2" s="50" t="n"/>
      <c r="N2" s="51" t="n"/>
      <c r="P2" s="51" t="n"/>
      <c r="Q2" s="49" t="n"/>
    </row>
    <row r="3" ht="12.6" customFormat="1" customHeight="1" s="48">
      <c r="G3" s="49" t="n"/>
      <c r="H3" s="49" t="n"/>
      <c r="K3" s="50" t="n"/>
      <c r="M3" s="50" t="n"/>
      <c r="N3" s="51" t="n"/>
      <c r="P3" s="51" t="n"/>
      <c r="Q3" s="49" t="n"/>
    </row>
    <row r="4" ht="24.95" customFormat="1" customHeight="1" s="48">
      <c r="A4" s="78" t="inlineStr">
        <is>
          <t>BẢNG XUẤT NHẬP TỒN NGUYÊN VẬT LIỆU</t>
        </is>
      </c>
      <c r="K4" s="50" t="n"/>
      <c r="M4" s="50" t="n"/>
      <c r="N4" s="51" t="n"/>
      <c r="P4" s="51" t="n"/>
      <c r="Q4" s="49" t="n"/>
    </row>
    <row r="5" ht="24.95" customFormat="1" customHeight="1" s="48">
      <c r="A5" s="78" t="inlineStr">
        <is>
          <t>Kỳ hoàn thuế 01/2025-12/2025</t>
        </is>
      </c>
      <c r="K5" s="50" t="n"/>
      <c r="M5" s="50" t="n"/>
      <c r="N5" s="51" t="n"/>
      <c r="P5" s="51" t="n"/>
      <c r="Q5" s="49" t="n"/>
    </row>
    <row r="6"/>
    <row r="7"/>
    <row r="8">
      <c r="A8" s="82" t="inlineStr">
        <is>
          <t>Tên hàng</t>
        </is>
      </c>
      <c r="B8" s="82" t="inlineStr">
        <is>
          <t>ĐVT</t>
        </is>
      </c>
      <c r="C8" s="89" t="inlineStr">
        <is>
          <t>Tồn đầu kỳ</t>
        </is>
      </c>
      <c r="D8" s="86" t="n"/>
      <c r="E8" s="90" t="inlineStr">
        <is>
          <t>Nhập trong kỳ</t>
        </is>
      </c>
      <c r="F8" s="86" t="n"/>
      <c r="G8" s="90" t="inlineStr">
        <is>
          <t>Xuất trong kỳ</t>
        </is>
      </c>
      <c r="H8" s="86" t="n"/>
      <c r="I8" s="89" t="inlineStr">
        <is>
          <t>Tồn cuối kỳ</t>
        </is>
      </c>
      <c r="J8" s="86" t="n"/>
    </row>
    <row r="9" ht="31.15" customHeight="1">
      <c r="A9" s="88" t="n"/>
      <c r="B9" s="88" t="n"/>
      <c r="C9" s="82" t="inlineStr">
        <is>
          <t>Số lượng</t>
        </is>
      </c>
      <c r="D9" s="82" t="inlineStr">
        <is>
          <t>Thành tiền</t>
        </is>
      </c>
      <c r="E9" s="53" t="inlineStr">
        <is>
          <t>Số lượng</t>
        </is>
      </c>
      <c r="F9" s="82" t="inlineStr">
        <is>
          <t>Thành tiền</t>
        </is>
      </c>
      <c r="G9" s="53" t="inlineStr">
        <is>
          <t>Số lượng</t>
        </is>
      </c>
      <c r="H9" s="54" t="inlineStr">
        <is>
          <t>Thành tiền</t>
        </is>
      </c>
      <c r="I9" s="82" t="inlineStr">
        <is>
          <t>Số lượng</t>
        </is>
      </c>
      <c r="J9" s="54" t="inlineStr">
        <is>
          <t>Thành tiền</t>
        </is>
      </c>
    </row>
    <row r="10" customFormat="1" s="46">
      <c r="A10" s="55" t="n">
        <v>1</v>
      </c>
      <c r="B10" s="55" t="n">
        <v>2</v>
      </c>
      <c r="C10" s="55" t="n">
        <v>4</v>
      </c>
      <c r="D10" s="55" t="n">
        <v>5</v>
      </c>
      <c r="E10" s="55" t="n">
        <v>6</v>
      </c>
      <c r="F10" s="55" t="n">
        <v>7</v>
      </c>
      <c r="G10" s="55" t="n">
        <v>8</v>
      </c>
      <c r="H10" s="55" t="n">
        <v>9</v>
      </c>
      <c r="I10" s="55" t="n">
        <v>10</v>
      </c>
      <c r="J10" s="55" t="inlineStr">
        <is>
          <t>p</t>
        </is>
      </c>
    </row>
    <row r="11">
      <c r="A11" s="56">
        <f t="array" ref="A11:A872">+_xlfn.UNIQUE('Chi tiết NVL'!I10:I4158)</f>
        <v/>
      </c>
      <c r="B11" s="56">
        <f>+VLOOKUP(A11,'Chi tiết NVL'!$I$10:$J$4158,2,0)</f>
        <v/>
      </c>
      <c r="C11" s="57">
        <f>+SUMIF('Chi tiết NVL'!$I:$I,$A11,'Chi tiết NVL'!L:L)</f>
        <v/>
      </c>
      <c r="D11" s="57">
        <f>+SUMIF('Chi tiết NVL'!$I:$I,$A11,'Chi tiết NVL'!M:M)</f>
        <v/>
      </c>
      <c r="E11" s="57">
        <f>+SUMIF('Chi tiết NVL'!$I:$I,$A11,'Chi tiết NVL'!N:N)</f>
        <v/>
      </c>
      <c r="F11" s="57">
        <f>+SUMIF('Chi tiết NVL'!$I:$I,$A11,'Chi tiết NVL'!O:O)</f>
        <v/>
      </c>
      <c r="G11" s="57">
        <f>+SUMIF('Chi tiết NVL'!$I:$I,$A11,'Chi tiết NVL'!P:P)</f>
        <v/>
      </c>
      <c r="H11" s="57">
        <f>+SUMIF('Chi tiết NVL'!$I:$I,$A11,'Chi tiết NVL'!Q:Q)</f>
        <v/>
      </c>
      <c r="I11" s="57">
        <f>+SUMIF('Chi tiết NVL'!$I:$I,$A11,'Chi tiết NVL'!R:R)</f>
        <v/>
      </c>
      <c r="J11" s="57">
        <f>+SUMIF('Chi tiết NVL'!$I:$I,$A11,'Chi tiết NVL'!S:S)</f>
        <v/>
      </c>
    </row>
    <row r="12">
      <c r="A12" s="56" t="inlineStr">
        <is>
          <t>SƠN FUTURA CLASSIC RAL 9010    20L</t>
        </is>
      </c>
      <c r="B12" s="56">
        <f>+VLOOKUP(A12,'Chi tiết NVL'!$I$10:$J$4158,2,0)</f>
        <v/>
      </c>
      <c r="C12" s="57">
        <f>+SUMIF('Chi tiết NVL'!$I:$I,$A12,'Chi tiết NVL'!L:L)</f>
        <v/>
      </c>
      <c r="D12" s="57">
        <f>+SUMIF('Chi tiết NVL'!$I:$I,$A12,'Chi tiết NVL'!M:M)</f>
        <v/>
      </c>
      <c r="E12" s="57">
        <f>+SUMIF('Chi tiết NVL'!$I:$I,$A12,'Chi tiết NVL'!N:N)</f>
        <v/>
      </c>
      <c r="F12" s="57">
        <f>+SUMIF('Chi tiết NVL'!$I:$I,$A12,'Chi tiết NVL'!O:O)</f>
        <v/>
      </c>
      <c r="G12" s="57">
        <f>+SUMIF('Chi tiết NVL'!$I:$I,$A12,'Chi tiết NVL'!P:P)</f>
        <v/>
      </c>
      <c r="H12" s="57">
        <f>+SUMIF('Chi tiết NVL'!$I:$I,$A12,'Chi tiết NVL'!Q:Q)</f>
        <v/>
      </c>
      <c r="I12" s="57">
        <f>+SUMIF('Chi tiết NVL'!$I:$I,$A12,'Chi tiết NVL'!R:R)</f>
        <v/>
      </c>
      <c r="J12" s="57">
        <f>+SUMIF('Chi tiết NVL'!$I:$I,$A12,'Chi tiết NVL'!S:S)</f>
        <v/>
      </c>
    </row>
    <row r="13">
      <c r="A13" s="56" t="inlineStr">
        <is>
          <t>SƠN FUTURA CLASSIC RAL9010     4.55L</t>
        </is>
      </c>
      <c r="B13" s="56">
        <f>+VLOOKUP(A13,'Chi tiết NVL'!$I$10:$J$4158,2,0)</f>
        <v/>
      </c>
      <c r="C13" s="57">
        <f>+SUMIF('Chi tiết NVL'!$I:$I,$A13,'Chi tiết NVL'!L:L)</f>
        <v/>
      </c>
      <c r="D13" s="57">
        <f>+SUMIF('Chi tiết NVL'!$I:$I,$A13,'Chi tiết NVL'!M:M)</f>
        <v/>
      </c>
      <c r="E13" s="57">
        <f>+SUMIF('Chi tiết NVL'!$I:$I,$A13,'Chi tiết NVL'!N:N)</f>
        <v/>
      </c>
      <c r="F13" s="57">
        <f>+SUMIF('Chi tiết NVL'!$I:$I,$A13,'Chi tiết NVL'!O:O)</f>
        <v/>
      </c>
      <c r="G13" s="57">
        <f>+SUMIF('Chi tiết NVL'!$I:$I,$A13,'Chi tiết NVL'!P:P)</f>
        <v/>
      </c>
      <c r="H13" s="57">
        <f>+SUMIF('Chi tiết NVL'!$I:$I,$A13,'Chi tiết NVL'!Q:Q)</f>
        <v/>
      </c>
      <c r="I13" s="57">
        <f>+SUMIF('Chi tiết NVL'!$I:$I,$A13,'Chi tiết NVL'!R:R)</f>
        <v/>
      </c>
      <c r="J13" s="57">
        <f>+SUMIF('Chi tiết NVL'!$I:$I,$A13,'Chi tiết NVL'!S:S)</f>
        <v/>
      </c>
    </row>
    <row r="14">
      <c r="A14" s="56" t="inlineStr">
        <is>
          <t>DUNG MÔI JOTUN THINNER NO. 17       20L</t>
        </is>
      </c>
      <c r="B14" s="56">
        <f>+VLOOKUP(A14,'Chi tiết NVL'!$I$10:$J$4158,2,0)</f>
        <v/>
      </c>
      <c r="C14" s="57">
        <f>+SUMIF('Chi tiết NVL'!$I:$I,$A14,'Chi tiết NVL'!L:L)</f>
        <v/>
      </c>
      <c r="D14" s="57">
        <f>+SUMIF('Chi tiết NVL'!$I:$I,$A14,'Chi tiết NVL'!M:M)</f>
        <v/>
      </c>
      <c r="E14" s="57">
        <f>+SUMIF('Chi tiết NVL'!$I:$I,$A14,'Chi tiết NVL'!N:N)</f>
        <v/>
      </c>
      <c r="F14" s="57">
        <f>+SUMIF('Chi tiết NVL'!$I:$I,$A14,'Chi tiết NVL'!O:O)</f>
        <v/>
      </c>
      <c r="G14" s="57">
        <f>+SUMIF('Chi tiết NVL'!$I:$I,$A14,'Chi tiết NVL'!P:P)</f>
        <v/>
      </c>
      <c r="H14" s="57">
        <f>+SUMIF('Chi tiết NVL'!$I:$I,$A14,'Chi tiết NVL'!Q:Q)</f>
        <v/>
      </c>
      <c r="I14" s="57">
        <f>+SUMIF('Chi tiết NVL'!$I:$I,$A14,'Chi tiết NVL'!R:R)</f>
        <v/>
      </c>
      <c r="J14" s="57">
        <f>+SUMIF('Chi tiết NVL'!$I:$I,$A14,'Chi tiết NVL'!S:S)</f>
        <v/>
      </c>
    </row>
    <row r="15">
      <c r="A15" s="56" t="inlineStr">
        <is>
          <t>DUNG MÔI JOTUN THINNER NO. 10       20L</t>
        </is>
      </c>
      <c r="B15" s="56">
        <f>+VLOOKUP(A15,'Chi tiết NVL'!$I$10:$J$4158,2,0)</f>
        <v/>
      </c>
      <c r="C15" s="57">
        <f>+SUMIF('Chi tiết NVL'!$I:$I,$A15,'Chi tiết NVL'!L:L)</f>
        <v/>
      </c>
      <c r="D15" s="57">
        <f>+SUMIF('Chi tiết NVL'!$I:$I,$A15,'Chi tiết NVL'!M:M)</f>
        <v/>
      </c>
      <c r="E15" s="57">
        <f>+SUMIF('Chi tiết NVL'!$I:$I,$A15,'Chi tiết NVL'!N:N)</f>
        <v/>
      </c>
      <c r="F15" s="57">
        <f>+SUMIF('Chi tiết NVL'!$I:$I,$A15,'Chi tiết NVL'!O:O)</f>
        <v/>
      </c>
      <c r="G15" s="57">
        <f>+SUMIF('Chi tiết NVL'!$I:$I,$A15,'Chi tiết NVL'!P:P)</f>
        <v/>
      </c>
      <c r="H15" s="57">
        <f>+SUMIF('Chi tiết NVL'!$I:$I,$A15,'Chi tiết NVL'!Q:Q)</f>
        <v/>
      </c>
      <c r="I15" s="57">
        <f>+SUMIF('Chi tiết NVL'!$I:$I,$A15,'Chi tiết NVL'!R:R)</f>
        <v/>
      </c>
      <c r="J15" s="57">
        <f>+SUMIF('Chi tiết NVL'!$I:$I,$A15,'Chi tiết NVL'!S:S)</f>
        <v/>
      </c>
    </row>
    <row r="16">
      <c r="A16" s="56" t="inlineStr">
        <is>
          <t>SƠN FUTURA CLASSIC RAL9010      18.22L</t>
        </is>
      </c>
      <c r="B16" s="56">
        <f>+VLOOKUP(A16,'Chi tiết NVL'!$I$10:$J$4158,2,0)</f>
        <v/>
      </c>
      <c r="C16" s="57">
        <f>+SUMIF('Chi tiết NVL'!$I:$I,$A16,'Chi tiết NVL'!L:L)</f>
        <v/>
      </c>
      <c r="D16" s="57">
        <f>+SUMIF('Chi tiết NVL'!$I:$I,$A16,'Chi tiết NVL'!M:M)</f>
        <v/>
      </c>
      <c r="E16" s="57">
        <f>+SUMIF('Chi tiết NVL'!$I:$I,$A16,'Chi tiết NVL'!N:N)</f>
        <v/>
      </c>
      <c r="F16" s="57">
        <f>+SUMIF('Chi tiết NVL'!$I:$I,$A16,'Chi tiết NVL'!O:O)</f>
        <v/>
      </c>
      <c r="G16" s="57">
        <f>+SUMIF('Chi tiết NVL'!$I:$I,$A16,'Chi tiết NVL'!P:P)</f>
        <v/>
      </c>
      <c r="H16" s="57">
        <f>+SUMIF('Chi tiết NVL'!$I:$I,$A16,'Chi tiết NVL'!Q:Q)</f>
        <v/>
      </c>
      <c r="I16" s="57">
        <f>+SUMIF('Chi tiết NVL'!$I:$I,$A16,'Chi tiết NVL'!R:R)</f>
        <v/>
      </c>
      <c r="J16" s="57">
        <f>+SUMIF('Chi tiết NVL'!$I:$I,$A16,'Chi tiết NVL'!S:S)</f>
        <v/>
      </c>
    </row>
    <row r="17">
      <c r="A17" s="56" t="inlineStr">
        <is>
          <t>SƠN FUTURA CLASSIC RAL7037    19.03L</t>
        </is>
      </c>
      <c r="B17" s="56">
        <f>+VLOOKUP(A17,'Chi tiết NVL'!$I$10:$J$4158,2,0)</f>
        <v/>
      </c>
      <c r="C17" s="57">
        <f>+SUMIF('Chi tiết NVL'!$I:$I,$A17,'Chi tiết NVL'!L:L)</f>
        <v/>
      </c>
      <c r="D17" s="57">
        <f>+SUMIF('Chi tiết NVL'!$I:$I,$A17,'Chi tiết NVL'!M:M)</f>
        <v/>
      </c>
      <c r="E17" s="57">
        <f>+SUMIF('Chi tiết NVL'!$I:$I,$A17,'Chi tiết NVL'!N:N)</f>
        <v/>
      </c>
      <c r="F17" s="57">
        <f>+SUMIF('Chi tiết NVL'!$I:$I,$A17,'Chi tiết NVL'!O:O)</f>
        <v/>
      </c>
      <c r="G17" s="57">
        <f>+SUMIF('Chi tiết NVL'!$I:$I,$A17,'Chi tiết NVL'!P:P)</f>
        <v/>
      </c>
      <c r="H17" s="57">
        <f>+SUMIF('Chi tiết NVL'!$I:$I,$A17,'Chi tiết NVL'!Q:Q)</f>
        <v/>
      </c>
      <c r="I17" s="57">
        <f>+SUMIF('Chi tiết NVL'!$I:$I,$A17,'Chi tiết NVL'!R:R)</f>
        <v/>
      </c>
      <c r="J17" s="57">
        <f>+SUMIF('Chi tiết NVL'!$I:$I,$A17,'Chi tiết NVL'!S:S)</f>
        <v/>
      </c>
    </row>
    <row r="18">
      <c r="A18" s="56" t="inlineStr">
        <is>
          <t>Thép tấm 6lyx1500x6000</t>
        </is>
      </c>
      <c r="B18" s="56">
        <f>+VLOOKUP(A18,'Chi tiết NVL'!$I$10:$J$4158,2,0)</f>
        <v/>
      </c>
      <c r="C18" s="57">
        <f>+SUMIF('Chi tiết NVL'!$I:$I,$A18,'Chi tiết NVL'!L:L)</f>
        <v/>
      </c>
      <c r="D18" s="57">
        <f>+SUMIF('Chi tiết NVL'!$I:$I,$A18,'Chi tiết NVL'!M:M)</f>
        <v/>
      </c>
      <c r="E18" s="57">
        <f>+SUMIF('Chi tiết NVL'!$I:$I,$A18,'Chi tiết NVL'!N:N)</f>
        <v/>
      </c>
      <c r="F18" s="57">
        <f>+SUMIF('Chi tiết NVL'!$I:$I,$A18,'Chi tiết NVL'!O:O)</f>
        <v/>
      </c>
      <c r="G18" s="57">
        <f>+SUMIF('Chi tiết NVL'!$I:$I,$A18,'Chi tiết NVL'!P:P)</f>
        <v/>
      </c>
      <c r="H18" s="57">
        <f>+SUMIF('Chi tiết NVL'!$I:$I,$A18,'Chi tiết NVL'!Q:Q)</f>
        <v/>
      </c>
      <c r="I18" s="57">
        <f>+SUMIF('Chi tiết NVL'!$I:$I,$A18,'Chi tiết NVL'!R:R)</f>
        <v/>
      </c>
      <c r="J18" s="57">
        <f>+SUMIF('Chi tiết NVL'!$I:$I,$A18,'Chi tiết NVL'!S:S)</f>
        <v/>
      </c>
    </row>
    <row r="19">
      <c r="A19" s="56" t="inlineStr">
        <is>
          <t>Vít B2 Dacromet 12-14x20</t>
        </is>
      </c>
      <c r="B19" s="56">
        <f>+VLOOKUP(A19,'Chi tiết NVL'!$I$10:$J$4158,2,0)</f>
        <v/>
      </c>
      <c r="C19" s="57">
        <f>+SUMIF('Chi tiết NVL'!$I:$I,$A19,'Chi tiết NVL'!L:L)</f>
        <v/>
      </c>
      <c r="D19" s="57">
        <f>+SUMIF('Chi tiết NVL'!$I:$I,$A19,'Chi tiết NVL'!M:M)</f>
        <v/>
      </c>
      <c r="E19" s="57">
        <f>+SUMIF('Chi tiết NVL'!$I:$I,$A19,'Chi tiết NVL'!N:N)</f>
        <v/>
      </c>
      <c r="F19" s="57">
        <f>+SUMIF('Chi tiết NVL'!$I:$I,$A19,'Chi tiết NVL'!O:O)</f>
        <v/>
      </c>
      <c r="G19" s="57">
        <f>+SUMIF('Chi tiết NVL'!$I:$I,$A19,'Chi tiết NVL'!P:P)</f>
        <v/>
      </c>
      <c r="H19" s="57">
        <f>+SUMIF('Chi tiết NVL'!$I:$I,$A19,'Chi tiết NVL'!Q:Q)</f>
        <v/>
      </c>
      <c r="I19" s="57">
        <f>+SUMIF('Chi tiết NVL'!$I:$I,$A19,'Chi tiết NVL'!R:R)</f>
        <v/>
      </c>
      <c r="J19" s="57">
        <f>+SUMIF('Chi tiết NVL'!$I:$I,$A19,'Chi tiết NVL'!S:S)</f>
        <v/>
      </c>
    </row>
    <row r="20">
      <c r="A20" s="56" t="inlineStr">
        <is>
          <t>Đinh hàn 4.8 M19x100</t>
        </is>
      </c>
      <c r="B20" s="56">
        <f>+VLOOKUP(A20,'Chi tiết NVL'!$I$10:$J$4158,2,0)</f>
        <v/>
      </c>
      <c r="C20" s="57">
        <f>+SUMIF('Chi tiết NVL'!$I:$I,$A20,'Chi tiết NVL'!L:L)</f>
        <v/>
      </c>
      <c r="D20" s="57">
        <f>+SUMIF('Chi tiết NVL'!$I:$I,$A20,'Chi tiết NVL'!M:M)</f>
        <v/>
      </c>
      <c r="E20" s="57">
        <f>+SUMIF('Chi tiết NVL'!$I:$I,$A20,'Chi tiết NVL'!N:N)</f>
        <v/>
      </c>
      <c r="F20" s="57">
        <f>+SUMIF('Chi tiết NVL'!$I:$I,$A20,'Chi tiết NVL'!O:O)</f>
        <v/>
      </c>
      <c r="G20" s="57">
        <f>+SUMIF('Chi tiết NVL'!$I:$I,$A20,'Chi tiết NVL'!P:P)</f>
        <v/>
      </c>
      <c r="H20" s="57">
        <f>+SUMIF('Chi tiết NVL'!$I:$I,$A20,'Chi tiết NVL'!Q:Q)</f>
        <v/>
      </c>
      <c r="I20" s="57">
        <f>+SUMIF('Chi tiết NVL'!$I:$I,$A20,'Chi tiết NVL'!R:R)</f>
        <v/>
      </c>
      <c r="J20" s="57">
        <f>+SUMIF('Chi tiết NVL'!$I:$I,$A20,'Chi tiết NVL'!S:S)</f>
        <v/>
      </c>
    </row>
    <row r="21">
      <c r="A21" s="56" t="inlineStr">
        <is>
          <t>Vít B2 Dacromet 12-24x38 HWFS (lục giác)</t>
        </is>
      </c>
      <c r="B21" s="56">
        <f>+VLOOKUP(A21,'Chi tiết NVL'!$I$10:$J$4158,2,0)</f>
        <v/>
      </c>
      <c r="C21" s="57">
        <f>+SUMIF('Chi tiết NVL'!$I:$I,$A21,'Chi tiết NVL'!L:L)</f>
        <v/>
      </c>
      <c r="D21" s="57">
        <f>+SUMIF('Chi tiết NVL'!$I:$I,$A21,'Chi tiết NVL'!M:M)</f>
        <v/>
      </c>
      <c r="E21" s="57">
        <f>+SUMIF('Chi tiết NVL'!$I:$I,$A21,'Chi tiết NVL'!N:N)</f>
        <v/>
      </c>
      <c r="F21" s="57">
        <f>+SUMIF('Chi tiết NVL'!$I:$I,$A21,'Chi tiết NVL'!O:O)</f>
        <v/>
      </c>
      <c r="G21" s="57">
        <f>+SUMIF('Chi tiết NVL'!$I:$I,$A21,'Chi tiết NVL'!P:P)</f>
        <v/>
      </c>
      <c r="H21" s="57">
        <f>+SUMIF('Chi tiết NVL'!$I:$I,$A21,'Chi tiết NVL'!Q:Q)</f>
        <v/>
      </c>
      <c r="I21" s="57">
        <f>+SUMIF('Chi tiết NVL'!$I:$I,$A21,'Chi tiết NVL'!R:R)</f>
        <v/>
      </c>
      <c r="J21" s="57">
        <f>+SUMIF('Chi tiết NVL'!$I:$I,$A21,'Chi tiết NVL'!S:S)</f>
        <v/>
      </c>
    </row>
    <row r="22">
      <c r="A22" s="56" t="inlineStr">
        <is>
          <t>Bulong Din 933 8.8 ZP M20x60</t>
        </is>
      </c>
      <c r="B22" s="56">
        <f>+VLOOKUP(A22,'Chi tiết NVL'!$I$10:$J$4158,2,0)</f>
        <v/>
      </c>
      <c r="C22" s="57">
        <f>+SUMIF('Chi tiết NVL'!$I:$I,$A22,'Chi tiết NVL'!L:L)</f>
        <v/>
      </c>
      <c r="D22" s="57">
        <f>+SUMIF('Chi tiết NVL'!$I:$I,$A22,'Chi tiết NVL'!M:M)</f>
        <v/>
      </c>
      <c r="E22" s="57">
        <f>+SUMIF('Chi tiết NVL'!$I:$I,$A22,'Chi tiết NVL'!N:N)</f>
        <v/>
      </c>
      <c r="F22" s="57">
        <f>+SUMIF('Chi tiết NVL'!$I:$I,$A22,'Chi tiết NVL'!O:O)</f>
        <v/>
      </c>
      <c r="G22" s="57">
        <f>+SUMIF('Chi tiết NVL'!$I:$I,$A22,'Chi tiết NVL'!P:P)</f>
        <v/>
      </c>
      <c r="H22" s="57">
        <f>+SUMIF('Chi tiết NVL'!$I:$I,$A22,'Chi tiết NVL'!Q:Q)</f>
        <v/>
      </c>
      <c r="I22" s="57">
        <f>+SUMIF('Chi tiết NVL'!$I:$I,$A22,'Chi tiết NVL'!R:R)</f>
        <v/>
      </c>
      <c r="J22" s="57">
        <f>+SUMIF('Chi tiết NVL'!$I:$I,$A22,'Chi tiết NVL'!S:S)</f>
        <v/>
      </c>
    </row>
    <row r="23">
      <c r="A23" s="56" t="inlineStr">
        <is>
          <t>Đai ốc Din 934 8 ZP M20</t>
        </is>
      </c>
      <c r="B23" s="56">
        <f>+VLOOKUP(A23,'Chi tiết NVL'!$I$10:$J$4158,2,0)</f>
        <v/>
      </c>
      <c r="C23" s="57">
        <f>+SUMIF('Chi tiết NVL'!$I:$I,$A23,'Chi tiết NVL'!L:L)</f>
        <v/>
      </c>
      <c r="D23" s="57">
        <f>+SUMIF('Chi tiết NVL'!$I:$I,$A23,'Chi tiết NVL'!M:M)</f>
        <v/>
      </c>
      <c r="E23" s="57">
        <f>+SUMIF('Chi tiết NVL'!$I:$I,$A23,'Chi tiết NVL'!N:N)</f>
        <v/>
      </c>
      <c r="F23" s="57">
        <f>+SUMIF('Chi tiết NVL'!$I:$I,$A23,'Chi tiết NVL'!O:O)</f>
        <v/>
      </c>
      <c r="G23" s="57">
        <f>+SUMIF('Chi tiết NVL'!$I:$I,$A23,'Chi tiết NVL'!P:P)</f>
        <v/>
      </c>
      <c r="H23" s="57">
        <f>+SUMIF('Chi tiết NVL'!$I:$I,$A23,'Chi tiết NVL'!Q:Q)</f>
        <v/>
      </c>
      <c r="I23" s="57">
        <f>+SUMIF('Chi tiết NVL'!$I:$I,$A23,'Chi tiết NVL'!R:R)</f>
        <v/>
      </c>
      <c r="J23" s="57">
        <f>+SUMIF('Chi tiết NVL'!$I:$I,$A23,'Chi tiết NVL'!S:S)</f>
        <v/>
      </c>
    </row>
    <row r="24">
      <c r="A24" s="56" t="inlineStr">
        <is>
          <t>Long đền thường ZP M20B35D2</t>
        </is>
      </c>
      <c r="B24" s="56">
        <f>+VLOOKUP(A24,'Chi tiết NVL'!$I$10:$J$4158,2,0)</f>
        <v/>
      </c>
      <c r="C24" s="57">
        <f>+SUMIF('Chi tiết NVL'!$I:$I,$A24,'Chi tiết NVL'!L:L)</f>
        <v/>
      </c>
      <c r="D24" s="57">
        <f>+SUMIF('Chi tiết NVL'!$I:$I,$A24,'Chi tiết NVL'!M:M)</f>
        <v/>
      </c>
      <c r="E24" s="57">
        <f>+SUMIF('Chi tiết NVL'!$I:$I,$A24,'Chi tiết NVL'!N:N)</f>
        <v/>
      </c>
      <c r="F24" s="57">
        <f>+SUMIF('Chi tiết NVL'!$I:$I,$A24,'Chi tiết NVL'!O:O)</f>
        <v/>
      </c>
      <c r="G24" s="57">
        <f>+SUMIF('Chi tiết NVL'!$I:$I,$A24,'Chi tiết NVL'!P:P)</f>
        <v/>
      </c>
      <c r="H24" s="57">
        <f>+SUMIF('Chi tiết NVL'!$I:$I,$A24,'Chi tiết NVL'!Q:Q)</f>
        <v/>
      </c>
      <c r="I24" s="57">
        <f>+SUMIF('Chi tiết NVL'!$I:$I,$A24,'Chi tiết NVL'!R:R)</f>
        <v/>
      </c>
      <c r="J24" s="57">
        <f>+SUMIF('Chi tiết NVL'!$I:$I,$A24,'Chi tiết NVL'!S:S)</f>
        <v/>
      </c>
    </row>
    <row r="25">
      <c r="A25" s="56" t="inlineStr">
        <is>
          <t>Bulong Din 933 8.8 ZP M24x70</t>
        </is>
      </c>
      <c r="B25" s="56">
        <f>+VLOOKUP(A25,'Chi tiết NVL'!$I$10:$J$4158,2,0)</f>
        <v/>
      </c>
      <c r="C25" s="57">
        <f>+SUMIF('Chi tiết NVL'!$I:$I,$A25,'Chi tiết NVL'!L:L)</f>
        <v/>
      </c>
      <c r="D25" s="57">
        <f>+SUMIF('Chi tiết NVL'!$I:$I,$A25,'Chi tiết NVL'!M:M)</f>
        <v/>
      </c>
      <c r="E25" s="57">
        <f>+SUMIF('Chi tiết NVL'!$I:$I,$A25,'Chi tiết NVL'!N:N)</f>
        <v/>
      </c>
      <c r="F25" s="57">
        <f>+SUMIF('Chi tiết NVL'!$I:$I,$A25,'Chi tiết NVL'!O:O)</f>
        <v/>
      </c>
      <c r="G25" s="57">
        <f>+SUMIF('Chi tiết NVL'!$I:$I,$A25,'Chi tiết NVL'!P:P)</f>
        <v/>
      </c>
      <c r="H25" s="57">
        <f>+SUMIF('Chi tiết NVL'!$I:$I,$A25,'Chi tiết NVL'!Q:Q)</f>
        <v/>
      </c>
      <c r="I25" s="57">
        <f>+SUMIF('Chi tiết NVL'!$I:$I,$A25,'Chi tiết NVL'!R:R)</f>
        <v/>
      </c>
      <c r="J25" s="57">
        <f>+SUMIF('Chi tiết NVL'!$I:$I,$A25,'Chi tiết NVL'!S:S)</f>
        <v/>
      </c>
    </row>
    <row r="26">
      <c r="A26" s="56" t="inlineStr">
        <is>
          <t>Đai ốc Din 934 8 ZP M24</t>
        </is>
      </c>
      <c r="B26" s="56">
        <f>+VLOOKUP(A26,'Chi tiết NVL'!$I$10:$J$4158,2,0)</f>
        <v/>
      </c>
      <c r="C26" s="57">
        <f>+SUMIF('Chi tiết NVL'!$I:$I,$A26,'Chi tiết NVL'!L:L)</f>
        <v/>
      </c>
      <c r="D26" s="57">
        <f>+SUMIF('Chi tiết NVL'!$I:$I,$A26,'Chi tiết NVL'!M:M)</f>
        <v/>
      </c>
      <c r="E26" s="57">
        <f>+SUMIF('Chi tiết NVL'!$I:$I,$A26,'Chi tiết NVL'!N:N)</f>
        <v/>
      </c>
      <c r="F26" s="57">
        <f>+SUMIF('Chi tiết NVL'!$I:$I,$A26,'Chi tiết NVL'!O:O)</f>
        <v/>
      </c>
      <c r="G26" s="57">
        <f>+SUMIF('Chi tiết NVL'!$I:$I,$A26,'Chi tiết NVL'!P:P)</f>
        <v/>
      </c>
      <c r="H26" s="57">
        <f>+SUMIF('Chi tiết NVL'!$I:$I,$A26,'Chi tiết NVL'!Q:Q)</f>
        <v/>
      </c>
      <c r="I26" s="57">
        <f>+SUMIF('Chi tiết NVL'!$I:$I,$A26,'Chi tiết NVL'!R:R)</f>
        <v/>
      </c>
      <c r="J26" s="57">
        <f>+SUMIF('Chi tiết NVL'!$I:$I,$A26,'Chi tiết NVL'!S:S)</f>
        <v/>
      </c>
    </row>
    <row r="27">
      <c r="A27" s="56" t="inlineStr">
        <is>
          <t>Long đền thường ZP M24B42D2</t>
        </is>
      </c>
      <c r="B27" s="56">
        <f>+VLOOKUP(A27,'Chi tiết NVL'!$I$10:$J$4158,2,0)</f>
        <v/>
      </c>
      <c r="C27" s="57">
        <f>+SUMIF('Chi tiết NVL'!$I:$I,$A27,'Chi tiết NVL'!L:L)</f>
        <v/>
      </c>
      <c r="D27" s="57">
        <f>+SUMIF('Chi tiết NVL'!$I:$I,$A27,'Chi tiết NVL'!M:M)</f>
        <v/>
      </c>
      <c r="E27" s="57">
        <f>+SUMIF('Chi tiết NVL'!$I:$I,$A27,'Chi tiết NVL'!N:N)</f>
        <v/>
      </c>
      <c r="F27" s="57">
        <f>+SUMIF('Chi tiết NVL'!$I:$I,$A27,'Chi tiết NVL'!O:O)</f>
        <v/>
      </c>
      <c r="G27" s="57">
        <f>+SUMIF('Chi tiết NVL'!$I:$I,$A27,'Chi tiết NVL'!P:P)</f>
        <v/>
      </c>
      <c r="H27" s="57">
        <f>+SUMIF('Chi tiết NVL'!$I:$I,$A27,'Chi tiết NVL'!Q:Q)</f>
        <v/>
      </c>
      <c r="I27" s="57">
        <f>+SUMIF('Chi tiết NVL'!$I:$I,$A27,'Chi tiết NVL'!R:R)</f>
        <v/>
      </c>
      <c r="J27" s="57">
        <f>+SUMIF('Chi tiết NVL'!$I:$I,$A27,'Chi tiết NVL'!S:S)</f>
        <v/>
      </c>
    </row>
    <row r="28">
      <c r="A28" s="56" t="inlineStr">
        <is>
          <t>Bulong nở 5.6 ZP M12x120</t>
        </is>
      </c>
      <c r="B28" s="56">
        <f>+VLOOKUP(A28,'Chi tiết NVL'!$I$10:$J$4158,2,0)</f>
        <v/>
      </c>
      <c r="C28" s="57">
        <f>+SUMIF('Chi tiết NVL'!$I:$I,$A28,'Chi tiết NVL'!L:L)</f>
        <v/>
      </c>
      <c r="D28" s="57">
        <f>+SUMIF('Chi tiết NVL'!$I:$I,$A28,'Chi tiết NVL'!M:M)</f>
        <v/>
      </c>
      <c r="E28" s="57">
        <f>+SUMIF('Chi tiết NVL'!$I:$I,$A28,'Chi tiết NVL'!N:N)</f>
        <v/>
      </c>
      <c r="F28" s="57">
        <f>+SUMIF('Chi tiết NVL'!$I:$I,$A28,'Chi tiết NVL'!O:O)</f>
        <v/>
      </c>
      <c r="G28" s="57">
        <f>+SUMIF('Chi tiết NVL'!$I:$I,$A28,'Chi tiết NVL'!P:P)</f>
        <v/>
      </c>
      <c r="H28" s="57">
        <f>+SUMIF('Chi tiết NVL'!$I:$I,$A28,'Chi tiết NVL'!Q:Q)</f>
        <v/>
      </c>
      <c r="I28" s="57">
        <f>+SUMIF('Chi tiết NVL'!$I:$I,$A28,'Chi tiết NVL'!R:R)</f>
        <v/>
      </c>
      <c r="J28" s="57">
        <f>+SUMIF('Chi tiết NVL'!$I:$I,$A28,'Chi tiết NVL'!S:S)</f>
        <v/>
      </c>
    </row>
    <row r="29">
      <c r="A29" s="56" t="inlineStr">
        <is>
          <t>Bulong nở 5.6 ZP M16x200</t>
        </is>
      </c>
      <c r="B29" s="56">
        <f>+VLOOKUP(A29,'Chi tiết NVL'!$I$10:$J$4158,2,0)</f>
        <v/>
      </c>
      <c r="C29" s="57">
        <f>+SUMIF('Chi tiết NVL'!$I:$I,$A29,'Chi tiết NVL'!L:L)</f>
        <v/>
      </c>
      <c r="D29" s="57">
        <f>+SUMIF('Chi tiết NVL'!$I:$I,$A29,'Chi tiết NVL'!M:M)</f>
        <v/>
      </c>
      <c r="E29" s="57">
        <f>+SUMIF('Chi tiết NVL'!$I:$I,$A29,'Chi tiết NVL'!N:N)</f>
        <v/>
      </c>
      <c r="F29" s="57">
        <f>+SUMIF('Chi tiết NVL'!$I:$I,$A29,'Chi tiết NVL'!O:O)</f>
        <v/>
      </c>
      <c r="G29" s="57">
        <f>+SUMIF('Chi tiết NVL'!$I:$I,$A29,'Chi tiết NVL'!P:P)</f>
        <v/>
      </c>
      <c r="H29" s="57">
        <f>+SUMIF('Chi tiết NVL'!$I:$I,$A29,'Chi tiết NVL'!Q:Q)</f>
        <v/>
      </c>
      <c r="I29" s="57">
        <f>+SUMIF('Chi tiết NVL'!$I:$I,$A29,'Chi tiết NVL'!R:R)</f>
        <v/>
      </c>
      <c r="J29" s="57">
        <f>+SUMIF('Chi tiết NVL'!$I:$I,$A29,'Chi tiết NVL'!S:S)</f>
        <v/>
      </c>
    </row>
    <row r="30">
      <c r="A30" s="56" t="inlineStr">
        <is>
          <t>Bulong nở 5.6 ZP M20x250</t>
        </is>
      </c>
      <c r="B30" s="56">
        <f>+VLOOKUP(A30,'Chi tiết NVL'!$I$10:$J$4158,2,0)</f>
        <v/>
      </c>
      <c r="C30" s="57">
        <f>+SUMIF('Chi tiết NVL'!$I:$I,$A30,'Chi tiết NVL'!L:L)</f>
        <v/>
      </c>
      <c r="D30" s="57">
        <f>+SUMIF('Chi tiết NVL'!$I:$I,$A30,'Chi tiết NVL'!M:M)</f>
        <v/>
      </c>
      <c r="E30" s="57">
        <f>+SUMIF('Chi tiết NVL'!$I:$I,$A30,'Chi tiết NVL'!N:N)</f>
        <v/>
      </c>
      <c r="F30" s="57">
        <f>+SUMIF('Chi tiết NVL'!$I:$I,$A30,'Chi tiết NVL'!O:O)</f>
        <v/>
      </c>
      <c r="G30" s="57">
        <f>+SUMIF('Chi tiết NVL'!$I:$I,$A30,'Chi tiết NVL'!P:P)</f>
        <v/>
      </c>
      <c r="H30" s="57">
        <f>+SUMIF('Chi tiết NVL'!$I:$I,$A30,'Chi tiết NVL'!Q:Q)</f>
        <v/>
      </c>
      <c r="I30" s="57">
        <f>+SUMIF('Chi tiết NVL'!$I:$I,$A30,'Chi tiết NVL'!R:R)</f>
        <v/>
      </c>
      <c r="J30" s="57">
        <f>+SUMIF('Chi tiết NVL'!$I:$I,$A30,'Chi tiết NVL'!S:S)</f>
        <v/>
      </c>
    </row>
    <row r="31">
      <c r="A31" s="56" t="inlineStr">
        <is>
          <t>Vít B2 Dacromet 10-24x22 WAF (bake)</t>
        </is>
      </c>
      <c r="B31" s="56">
        <f>+VLOOKUP(A31,'Chi tiết NVL'!$I$10:$J$4158,2,0)</f>
        <v/>
      </c>
      <c r="C31" s="57">
        <f>+SUMIF('Chi tiết NVL'!$I:$I,$A31,'Chi tiết NVL'!L:L)</f>
        <v/>
      </c>
      <c r="D31" s="57">
        <f>+SUMIF('Chi tiết NVL'!$I:$I,$A31,'Chi tiết NVL'!M:M)</f>
        <v/>
      </c>
      <c r="E31" s="57">
        <f>+SUMIF('Chi tiết NVL'!$I:$I,$A31,'Chi tiết NVL'!N:N)</f>
        <v/>
      </c>
      <c r="F31" s="57">
        <f>+SUMIF('Chi tiết NVL'!$I:$I,$A31,'Chi tiết NVL'!O:O)</f>
        <v/>
      </c>
      <c r="G31" s="57">
        <f>+SUMIF('Chi tiết NVL'!$I:$I,$A31,'Chi tiết NVL'!P:P)</f>
        <v/>
      </c>
      <c r="H31" s="57">
        <f>+SUMIF('Chi tiết NVL'!$I:$I,$A31,'Chi tiết NVL'!Q:Q)</f>
        <v/>
      </c>
      <c r="I31" s="57">
        <f>+SUMIF('Chi tiết NVL'!$I:$I,$A31,'Chi tiết NVL'!R:R)</f>
        <v/>
      </c>
      <c r="J31" s="57">
        <f>+SUMIF('Chi tiết NVL'!$I:$I,$A31,'Chi tiết NVL'!S:S)</f>
        <v/>
      </c>
    </row>
    <row r="32">
      <c r="A32" s="56" t="inlineStr">
        <is>
          <t>Đinh hàn 4.8 M16x100</t>
        </is>
      </c>
      <c r="B32" s="56">
        <f>+VLOOKUP(A32,'Chi tiết NVL'!$I$10:$J$4158,2,0)</f>
        <v/>
      </c>
      <c r="C32" s="57">
        <f>+SUMIF('Chi tiết NVL'!$I:$I,$A32,'Chi tiết NVL'!L:L)</f>
        <v/>
      </c>
      <c r="D32" s="57">
        <f>+SUMIF('Chi tiết NVL'!$I:$I,$A32,'Chi tiết NVL'!M:M)</f>
        <v/>
      </c>
      <c r="E32" s="57">
        <f>+SUMIF('Chi tiết NVL'!$I:$I,$A32,'Chi tiết NVL'!N:N)</f>
        <v/>
      </c>
      <c r="F32" s="57">
        <f>+SUMIF('Chi tiết NVL'!$I:$I,$A32,'Chi tiết NVL'!O:O)</f>
        <v/>
      </c>
      <c r="G32" s="57">
        <f>+SUMIF('Chi tiết NVL'!$I:$I,$A32,'Chi tiết NVL'!P:P)</f>
        <v/>
      </c>
      <c r="H32" s="57">
        <f>+SUMIF('Chi tiết NVL'!$I:$I,$A32,'Chi tiết NVL'!Q:Q)</f>
        <v/>
      </c>
      <c r="I32" s="57">
        <f>+SUMIF('Chi tiết NVL'!$I:$I,$A32,'Chi tiết NVL'!R:R)</f>
        <v/>
      </c>
      <c r="J32" s="57">
        <f>+SUMIF('Chi tiết NVL'!$I:$I,$A32,'Chi tiết NVL'!S:S)</f>
        <v/>
      </c>
    </row>
    <row r="33">
      <c r="A33" s="56" t="inlineStr">
        <is>
          <t>Vít B2 Dacromet 15-15x20</t>
        </is>
      </c>
      <c r="B33" s="56">
        <f>+VLOOKUP(A33,'Chi tiết NVL'!$I$10:$J$4158,2,0)</f>
        <v/>
      </c>
      <c r="C33" s="57">
        <f>+SUMIF('Chi tiết NVL'!$I:$I,$A33,'Chi tiết NVL'!L:L)</f>
        <v/>
      </c>
      <c r="D33" s="57">
        <f>+SUMIF('Chi tiết NVL'!$I:$I,$A33,'Chi tiết NVL'!M:M)</f>
        <v/>
      </c>
      <c r="E33" s="57">
        <f>+SUMIF('Chi tiết NVL'!$I:$I,$A33,'Chi tiết NVL'!N:N)</f>
        <v/>
      </c>
      <c r="F33" s="57">
        <f>+SUMIF('Chi tiết NVL'!$I:$I,$A33,'Chi tiết NVL'!O:O)</f>
        <v/>
      </c>
      <c r="G33" s="57">
        <f>+SUMIF('Chi tiết NVL'!$I:$I,$A33,'Chi tiết NVL'!P:P)</f>
        <v/>
      </c>
      <c r="H33" s="57">
        <f>+SUMIF('Chi tiết NVL'!$I:$I,$A33,'Chi tiết NVL'!Q:Q)</f>
        <v/>
      </c>
      <c r="I33" s="57">
        <f>+SUMIF('Chi tiết NVL'!$I:$I,$A33,'Chi tiết NVL'!R:R)</f>
        <v/>
      </c>
      <c r="J33" s="57">
        <f>+SUMIF('Chi tiết NVL'!$I:$I,$A33,'Chi tiết NVL'!S:S)</f>
        <v/>
      </c>
    </row>
    <row r="34">
      <c r="A34" s="56" t="inlineStr">
        <is>
          <t>Bulong Din 933 8.8 ZP M16x50</t>
        </is>
      </c>
      <c r="B34" s="56">
        <f>+VLOOKUP(A34,'Chi tiết NVL'!$I$10:$J$4158,2,0)</f>
        <v/>
      </c>
      <c r="C34" s="57">
        <f>+SUMIF('Chi tiết NVL'!$I:$I,$A34,'Chi tiết NVL'!L:L)</f>
        <v/>
      </c>
      <c r="D34" s="57">
        <f>+SUMIF('Chi tiết NVL'!$I:$I,$A34,'Chi tiết NVL'!M:M)</f>
        <v/>
      </c>
      <c r="E34" s="57">
        <f>+SUMIF('Chi tiết NVL'!$I:$I,$A34,'Chi tiết NVL'!N:N)</f>
        <v/>
      </c>
      <c r="F34" s="57">
        <f>+SUMIF('Chi tiết NVL'!$I:$I,$A34,'Chi tiết NVL'!O:O)</f>
        <v/>
      </c>
      <c r="G34" s="57">
        <f>+SUMIF('Chi tiết NVL'!$I:$I,$A34,'Chi tiết NVL'!P:P)</f>
        <v/>
      </c>
      <c r="H34" s="57">
        <f>+SUMIF('Chi tiết NVL'!$I:$I,$A34,'Chi tiết NVL'!Q:Q)</f>
        <v/>
      </c>
      <c r="I34" s="57">
        <f>+SUMIF('Chi tiết NVL'!$I:$I,$A34,'Chi tiết NVL'!R:R)</f>
        <v/>
      </c>
      <c r="J34" s="57">
        <f>+SUMIF('Chi tiết NVL'!$I:$I,$A34,'Chi tiết NVL'!S:S)</f>
        <v/>
      </c>
    </row>
    <row r="35">
      <c r="A35" s="56" t="inlineStr">
        <is>
          <t>Đai ốc Din 934 8 ZP M16</t>
        </is>
      </c>
      <c r="B35" s="56">
        <f>+VLOOKUP(A35,'Chi tiết NVL'!$I$10:$J$4158,2,0)</f>
        <v/>
      </c>
      <c r="C35" s="57">
        <f>+SUMIF('Chi tiết NVL'!$I:$I,$A35,'Chi tiết NVL'!L:L)</f>
        <v/>
      </c>
      <c r="D35" s="57">
        <f>+SUMIF('Chi tiết NVL'!$I:$I,$A35,'Chi tiết NVL'!M:M)</f>
        <v/>
      </c>
      <c r="E35" s="57">
        <f>+SUMIF('Chi tiết NVL'!$I:$I,$A35,'Chi tiết NVL'!N:N)</f>
        <v/>
      </c>
      <c r="F35" s="57">
        <f>+SUMIF('Chi tiết NVL'!$I:$I,$A35,'Chi tiết NVL'!O:O)</f>
        <v/>
      </c>
      <c r="G35" s="57">
        <f>+SUMIF('Chi tiết NVL'!$I:$I,$A35,'Chi tiết NVL'!P:P)</f>
        <v/>
      </c>
      <c r="H35" s="57">
        <f>+SUMIF('Chi tiết NVL'!$I:$I,$A35,'Chi tiết NVL'!Q:Q)</f>
        <v/>
      </c>
      <c r="I35" s="57">
        <f>+SUMIF('Chi tiết NVL'!$I:$I,$A35,'Chi tiết NVL'!R:R)</f>
        <v/>
      </c>
      <c r="J35" s="57">
        <f>+SUMIF('Chi tiết NVL'!$I:$I,$A35,'Chi tiết NVL'!S:S)</f>
        <v/>
      </c>
    </row>
    <row r="36">
      <c r="A36" s="56" t="inlineStr">
        <is>
          <t>Long đền thường ZP M16B30D2</t>
        </is>
      </c>
      <c r="B36" s="56">
        <f>+VLOOKUP(A36,'Chi tiết NVL'!$I$10:$J$4158,2,0)</f>
        <v/>
      </c>
      <c r="C36" s="57">
        <f>+SUMIF('Chi tiết NVL'!$I:$I,$A36,'Chi tiết NVL'!L:L)</f>
        <v/>
      </c>
      <c r="D36" s="57">
        <f>+SUMIF('Chi tiết NVL'!$I:$I,$A36,'Chi tiết NVL'!M:M)</f>
        <v/>
      </c>
      <c r="E36" s="57">
        <f>+SUMIF('Chi tiết NVL'!$I:$I,$A36,'Chi tiết NVL'!N:N)</f>
        <v/>
      </c>
      <c r="F36" s="57">
        <f>+SUMIF('Chi tiết NVL'!$I:$I,$A36,'Chi tiết NVL'!O:O)</f>
        <v/>
      </c>
      <c r="G36" s="57">
        <f>+SUMIF('Chi tiết NVL'!$I:$I,$A36,'Chi tiết NVL'!P:P)</f>
        <v/>
      </c>
      <c r="H36" s="57">
        <f>+SUMIF('Chi tiết NVL'!$I:$I,$A36,'Chi tiết NVL'!Q:Q)</f>
        <v/>
      </c>
      <c r="I36" s="57">
        <f>+SUMIF('Chi tiết NVL'!$I:$I,$A36,'Chi tiết NVL'!R:R)</f>
        <v/>
      </c>
      <c r="J36" s="57">
        <f>+SUMIF('Chi tiết NVL'!$I:$I,$A36,'Chi tiết NVL'!S:S)</f>
        <v/>
      </c>
    </row>
    <row r="37">
      <c r="A37" s="56" t="inlineStr">
        <is>
          <t>Bulong Din 933 8.8 ZP M20x80</t>
        </is>
      </c>
      <c r="B37" s="56">
        <f>+VLOOKUP(A37,'Chi tiết NVL'!$I$10:$J$4158,2,0)</f>
        <v/>
      </c>
      <c r="C37" s="57">
        <f>+SUMIF('Chi tiết NVL'!$I:$I,$A37,'Chi tiết NVL'!L:L)</f>
        <v/>
      </c>
      <c r="D37" s="57">
        <f>+SUMIF('Chi tiết NVL'!$I:$I,$A37,'Chi tiết NVL'!M:M)</f>
        <v/>
      </c>
      <c r="E37" s="57">
        <f>+SUMIF('Chi tiết NVL'!$I:$I,$A37,'Chi tiết NVL'!N:N)</f>
        <v/>
      </c>
      <c r="F37" s="57">
        <f>+SUMIF('Chi tiết NVL'!$I:$I,$A37,'Chi tiết NVL'!O:O)</f>
        <v/>
      </c>
      <c r="G37" s="57">
        <f>+SUMIF('Chi tiết NVL'!$I:$I,$A37,'Chi tiết NVL'!P:P)</f>
        <v/>
      </c>
      <c r="H37" s="57">
        <f>+SUMIF('Chi tiết NVL'!$I:$I,$A37,'Chi tiết NVL'!Q:Q)</f>
        <v/>
      </c>
      <c r="I37" s="57">
        <f>+SUMIF('Chi tiết NVL'!$I:$I,$A37,'Chi tiết NVL'!R:R)</f>
        <v/>
      </c>
      <c r="J37" s="57">
        <f>+SUMIF('Chi tiết NVL'!$I:$I,$A37,'Chi tiết NVL'!S:S)</f>
        <v/>
      </c>
    </row>
    <row r="38">
      <c r="A38" s="56" t="inlineStr">
        <is>
          <t>Bulong Din 933 8.8 ZP M24x90</t>
        </is>
      </c>
      <c r="B38" s="56">
        <f>+VLOOKUP(A38,'Chi tiết NVL'!$I$10:$J$4158,2,0)</f>
        <v/>
      </c>
      <c r="C38" s="57">
        <f>+SUMIF('Chi tiết NVL'!$I:$I,$A38,'Chi tiết NVL'!L:L)</f>
        <v/>
      </c>
      <c r="D38" s="57">
        <f>+SUMIF('Chi tiết NVL'!$I:$I,$A38,'Chi tiết NVL'!M:M)</f>
        <v/>
      </c>
      <c r="E38" s="57">
        <f>+SUMIF('Chi tiết NVL'!$I:$I,$A38,'Chi tiết NVL'!N:N)</f>
        <v/>
      </c>
      <c r="F38" s="57">
        <f>+SUMIF('Chi tiết NVL'!$I:$I,$A38,'Chi tiết NVL'!O:O)</f>
        <v/>
      </c>
      <c r="G38" s="57">
        <f>+SUMIF('Chi tiết NVL'!$I:$I,$A38,'Chi tiết NVL'!P:P)</f>
        <v/>
      </c>
      <c r="H38" s="57">
        <f>+SUMIF('Chi tiết NVL'!$I:$I,$A38,'Chi tiết NVL'!Q:Q)</f>
        <v/>
      </c>
      <c r="I38" s="57">
        <f>+SUMIF('Chi tiết NVL'!$I:$I,$A38,'Chi tiết NVL'!R:R)</f>
        <v/>
      </c>
      <c r="J38" s="57">
        <f>+SUMIF('Chi tiết NVL'!$I:$I,$A38,'Chi tiết NVL'!S:S)</f>
        <v/>
      </c>
    </row>
    <row r="39">
      <c r="A39" s="56" t="inlineStr">
        <is>
          <t>Bulong thường 4.6 ZP M12x30</t>
        </is>
      </c>
      <c r="B39" s="56">
        <f>+VLOOKUP(A39,'Chi tiết NVL'!$I$10:$J$4158,2,0)</f>
        <v/>
      </c>
      <c r="C39" s="57">
        <f>+SUMIF('Chi tiết NVL'!$I:$I,$A39,'Chi tiết NVL'!L:L)</f>
        <v/>
      </c>
      <c r="D39" s="57">
        <f>+SUMIF('Chi tiết NVL'!$I:$I,$A39,'Chi tiết NVL'!M:M)</f>
        <v/>
      </c>
      <c r="E39" s="57">
        <f>+SUMIF('Chi tiết NVL'!$I:$I,$A39,'Chi tiết NVL'!N:N)</f>
        <v/>
      </c>
      <c r="F39" s="57">
        <f>+SUMIF('Chi tiết NVL'!$I:$I,$A39,'Chi tiết NVL'!O:O)</f>
        <v/>
      </c>
      <c r="G39" s="57">
        <f>+SUMIF('Chi tiết NVL'!$I:$I,$A39,'Chi tiết NVL'!P:P)</f>
        <v/>
      </c>
      <c r="H39" s="57">
        <f>+SUMIF('Chi tiết NVL'!$I:$I,$A39,'Chi tiết NVL'!Q:Q)</f>
        <v/>
      </c>
      <c r="I39" s="57">
        <f>+SUMIF('Chi tiết NVL'!$I:$I,$A39,'Chi tiết NVL'!R:R)</f>
        <v/>
      </c>
      <c r="J39" s="57">
        <f>+SUMIF('Chi tiết NVL'!$I:$I,$A39,'Chi tiết NVL'!S:S)</f>
        <v/>
      </c>
    </row>
    <row r="40">
      <c r="A40" s="56" t="inlineStr">
        <is>
          <t>Đai ốc thường 4 ZP M12 (9mm)</t>
        </is>
      </c>
      <c r="B40" s="56">
        <f>+VLOOKUP(A40,'Chi tiết NVL'!$I$10:$J$4158,2,0)</f>
        <v/>
      </c>
      <c r="C40" s="57">
        <f>+SUMIF('Chi tiết NVL'!$I:$I,$A40,'Chi tiết NVL'!L:L)</f>
        <v/>
      </c>
      <c r="D40" s="57">
        <f>+SUMIF('Chi tiết NVL'!$I:$I,$A40,'Chi tiết NVL'!M:M)</f>
        <v/>
      </c>
      <c r="E40" s="57">
        <f>+SUMIF('Chi tiết NVL'!$I:$I,$A40,'Chi tiết NVL'!N:N)</f>
        <v/>
      </c>
      <c r="F40" s="57">
        <f>+SUMIF('Chi tiết NVL'!$I:$I,$A40,'Chi tiết NVL'!O:O)</f>
        <v/>
      </c>
      <c r="G40" s="57">
        <f>+SUMIF('Chi tiết NVL'!$I:$I,$A40,'Chi tiết NVL'!P:P)</f>
        <v/>
      </c>
      <c r="H40" s="57">
        <f>+SUMIF('Chi tiết NVL'!$I:$I,$A40,'Chi tiết NVL'!Q:Q)</f>
        <v/>
      </c>
      <c r="I40" s="57">
        <f>+SUMIF('Chi tiết NVL'!$I:$I,$A40,'Chi tiết NVL'!R:R)</f>
        <v/>
      </c>
      <c r="J40" s="57">
        <f>+SUMIF('Chi tiết NVL'!$I:$I,$A40,'Chi tiết NVL'!S:S)</f>
        <v/>
      </c>
    </row>
    <row r="41">
      <c r="A41" s="56" t="inlineStr">
        <is>
          <t>Long đền thường ZP M12B23D1</t>
        </is>
      </c>
      <c r="B41" s="56">
        <f>+VLOOKUP(A41,'Chi tiết NVL'!$I$10:$J$4158,2,0)</f>
        <v/>
      </c>
      <c r="C41" s="57">
        <f>+SUMIF('Chi tiết NVL'!$I:$I,$A41,'Chi tiết NVL'!L:L)</f>
        <v/>
      </c>
      <c r="D41" s="57">
        <f>+SUMIF('Chi tiết NVL'!$I:$I,$A41,'Chi tiết NVL'!M:M)</f>
        <v/>
      </c>
      <c r="E41" s="57">
        <f>+SUMIF('Chi tiết NVL'!$I:$I,$A41,'Chi tiết NVL'!N:N)</f>
        <v/>
      </c>
      <c r="F41" s="57">
        <f>+SUMIF('Chi tiết NVL'!$I:$I,$A41,'Chi tiết NVL'!O:O)</f>
        <v/>
      </c>
      <c r="G41" s="57">
        <f>+SUMIF('Chi tiết NVL'!$I:$I,$A41,'Chi tiết NVL'!P:P)</f>
        <v/>
      </c>
      <c r="H41" s="57">
        <f>+SUMIF('Chi tiết NVL'!$I:$I,$A41,'Chi tiết NVL'!Q:Q)</f>
        <v/>
      </c>
      <c r="I41" s="57">
        <f>+SUMIF('Chi tiết NVL'!$I:$I,$A41,'Chi tiết NVL'!R:R)</f>
        <v/>
      </c>
      <c r="J41" s="57">
        <f>+SUMIF('Chi tiết NVL'!$I:$I,$A41,'Chi tiết NVL'!S:S)</f>
        <v/>
      </c>
    </row>
    <row r="42">
      <c r="A42" s="56" t="inlineStr">
        <is>
          <t>Bulong thường 4.6 ZP M12x50</t>
        </is>
      </c>
      <c r="B42" s="56">
        <f>+VLOOKUP(A42,'Chi tiết NVL'!$I$10:$J$4158,2,0)</f>
        <v/>
      </c>
      <c r="C42" s="57">
        <f>+SUMIF('Chi tiết NVL'!$I:$I,$A42,'Chi tiết NVL'!L:L)</f>
        <v/>
      </c>
      <c r="D42" s="57">
        <f>+SUMIF('Chi tiết NVL'!$I:$I,$A42,'Chi tiết NVL'!M:M)</f>
        <v/>
      </c>
      <c r="E42" s="57">
        <f>+SUMIF('Chi tiết NVL'!$I:$I,$A42,'Chi tiết NVL'!N:N)</f>
        <v/>
      </c>
      <c r="F42" s="57">
        <f>+SUMIF('Chi tiết NVL'!$I:$I,$A42,'Chi tiết NVL'!O:O)</f>
        <v/>
      </c>
      <c r="G42" s="57">
        <f>+SUMIF('Chi tiết NVL'!$I:$I,$A42,'Chi tiết NVL'!P:P)</f>
        <v/>
      </c>
      <c r="H42" s="57">
        <f>+SUMIF('Chi tiết NVL'!$I:$I,$A42,'Chi tiết NVL'!Q:Q)</f>
        <v/>
      </c>
      <c r="I42" s="57">
        <f>+SUMIF('Chi tiết NVL'!$I:$I,$A42,'Chi tiết NVL'!R:R)</f>
        <v/>
      </c>
      <c r="J42" s="57">
        <f>+SUMIF('Chi tiết NVL'!$I:$I,$A42,'Chi tiết NVL'!S:S)</f>
        <v/>
      </c>
    </row>
    <row r="43">
      <c r="A43" s="56" t="inlineStr">
        <is>
          <t>Bulong Din 933 8.8 ZP M20x40</t>
        </is>
      </c>
      <c r="B43" s="56">
        <f>+VLOOKUP(A43,'Chi tiết NVL'!$I$10:$J$4158,2,0)</f>
        <v/>
      </c>
      <c r="C43" s="57">
        <f>+SUMIF('Chi tiết NVL'!$I:$I,$A43,'Chi tiết NVL'!L:L)</f>
        <v/>
      </c>
      <c r="D43" s="57">
        <f>+SUMIF('Chi tiết NVL'!$I:$I,$A43,'Chi tiết NVL'!M:M)</f>
        <v/>
      </c>
      <c r="E43" s="57">
        <f>+SUMIF('Chi tiết NVL'!$I:$I,$A43,'Chi tiết NVL'!N:N)</f>
        <v/>
      </c>
      <c r="F43" s="57">
        <f>+SUMIF('Chi tiết NVL'!$I:$I,$A43,'Chi tiết NVL'!O:O)</f>
        <v/>
      </c>
      <c r="G43" s="57">
        <f>+SUMIF('Chi tiết NVL'!$I:$I,$A43,'Chi tiết NVL'!P:P)</f>
        <v/>
      </c>
      <c r="H43" s="57">
        <f>+SUMIF('Chi tiết NVL'!$I:$I,$A43,'Chi tiết NVL'!Q:Q)</f>
        <v/>
      </c>
      <c r="I43" s="57">
        <f>+SUMIF('Chi tiết NVL'!$I:$I,$A43,'Chi tiết NVL'!R:R)</f>
        <v/>
      </c>
      <c r="J43" s="57">
        <f>+SUMIF('Chi tiết NVL'!$I:$I,$A43,'Chi tiết NVL'!S:S)</f>
        <v/>
      </c>
    </row>
    <row r="44">
      <c r="A44" s="56" t="inlineStr">
        <is>
          <t>Bulong Din 933 8.8 ZP M20x50</t>
        </is>
      </c>
      <c r="B44" s="56">
        <f>+VLOOKUP(A44,'Chi tiết NVL'!$I$10:$J$4158,2,0)</f>
        <v/>
      </c>
      <c r="C44" s="57">
        <f>+SUMIF('Chi tiết NVL'!$I:$I,$A44,'Chi tiết NVL'!L:L)</f>
        <v/>
      </c>
      <c r="D44" s="57">
        <f>+SUMIF('Chi tiết NVL'!$I:$I,$A44,'Chi tiết NVL'!M:M)</f>
        <v/>
      </c>
      <c r="E44" s="57">
        <f>+SUMIF('Chi tiết NVL'!$I:$I,$A44,'Chi tiết NVL'!N:N)</f>
        <v/>
      </c>
      <c r="F44" s="57">
        <f>+SUMIF('Chi tiết NVL'!$I:$I,$A44,'Chi tiết NVL'!O:O)</f>
        <v/>
      </c>
      <c r="G44" s="57">
        <f>+SUMIF('Chi tiết NVL'!$I:$I,$A44,'Chi tiết NVL'!P:P)</f>
        <v/>
      </c>
      <c r="H44" s="57">
        <f>+SUMIF('Chi tiết NVL'!$I:$I,$A44,'Chi tiết NVL'!Q:Q)</f>
        <v/>
      </c>
      <c r="I44" s="57">
        <f>+SUMIF('Chi tiết NVL'!$I:$I,$A44,'Chi tiết NVL'!R:R)</f>
        <v/>
      </c>
      <c r="J44" s="57">
        <f>+SUMIF('Chi tiết NVL'!$I:$I,$A44,'Chi tiết NVL'!S:S)</f>
        <v/>
      </c>
    </row>
    <row r="45">
      <c r="A45" s="56" t="inlineStr">
        <is>
          <t>Bulong Din 933 8.8 ZP M20x70</t>
        </is>
      </c>
      <c r="B45" s="56">
        <f>+VLOOKUP(A45,'Chi tiết NVL'!$I$10:$J$4158,2,0)</f>
        <v/>
      </c>
      <c r="C45" s="57">
        <f>+SUMIF('Chi tiết NVL'!$I:$I,$A45,'Chi tiết NVL'!L:L)</f>
        <v/>
      </c>
      <c r="D45" s="57">
        <f>+SUMIF('Chi tiết NVL'!$I:$I,$A45,'Chi tiết NVL'!M:M)</f>
        <v/>
      </c>
      <c r="E45" s="57">
        <f>+SUMIF('Chi tiết NVL'!$I:$I,$A45,'Chi tiết NVL'!N:N)</f>
        <v/>
      </c>
      <c r="F45" s="57">
        <f>+SUMIF('Chi tiết NVL'!$I:$I,$A45,'Chi tiết NVL'!O:O)</f>
        <v/>
      </c>
      <c r="G45" s="57">
        <f>+SUMIF('Chi tiết NVL'!$I:$I,$A45,'Chi tiết NVL'!P:P)</f>
        <v/>
      </c>
      <c r="H45" s="57">
        <f>+SUMIF('Chi tiết NVL'!$I:$I,$A45,'Chi tiết NVL'!Q:Q)</f>
        <v/>
      </c>
      <c r="I45" s="57">
        <f>+SUMIF('Chi tiết NVL'!$I:$I,$A45,'Chi tiết NVL'!R:R)</f>
        <v/>
      </c>
      <c r="J45" s="57">
        <f>+SUMIF('Chi tiết NVL'!$I:$I,$A45,'Chi tiết NVL'!S:S)</f>
        <v/>
      </c>
    </row>
    <row r="46">
      <c r="A46" s="56" t="inlineStr">
        <is>
          <t>Bulong Din 933 8.8 ZP M24x80</t>
        </is>
      </c>
      <c r="B46" s="56">
        <f>+VLOOKUP(A46,'Chi tiết NVL'!$I$10:$J$4158,2,0)</f>
        <v/>
      </c>
      <c r="C46" s="57">
        <f>+SUMIF('Chi tiết NVL'!$I:$I,$A46,'Chi tiết NVL'!L:L)</f>
        <v/>
      </c>
      <c r="D46" s="57">
        <f>+SUMIF('Chi tiết NVL'!$I:$I,$A46,'Chi tiết NVL'!M:M)</f>
        <v/>
      </c>
      <c r="E46" s="57">
        <f>+SUMIF('Chi tiết NVL'!$I:$I,$A46,'Chi tiết NVL'!N:N)</f>
        <v/>
      </c>
      <c r="F46" s="57">
        <f>+SUMIF('Chi tiết NVL'!$I:$I,$A46,'Chi tiết NVL'!O:O)</f>
        <v/>
      </c>
      <c r="G46" s="57">
        <f>+SUMIF('Chi tiết NVL'!$I:$I,$A46,'Chi tiết NVL'!P:P)</f>
        <v/>
      </c>
      <c r="H46" s="57">
        <f>+SUMIF('Chi tiết NVL'!$I:$I,$A46,'Chi tiết NVL'!Q:Q)</f>
        <v/>
      </c>
      <c r="I46" s="57">
        <f>+SUMIF('Chi tiết NVL'!$I:$I,$A46,'Chi tiết NVL'!R:R)</f>
        <v/>
      </c>
      <c r="J46" s="57">
        <f>+SUMIF('Chi tiết NVL'!$I:$I,$A46,'Chi tiết NVL'!S:S)</f>
        <v/>
      </c>
    </row>
    <row r="47">
      <c r="A47" s="56" t="inlineStr">
        <is>
          <t>Ty giằng 2 đầu ren 4.6 ZP M16</t>
        </is>
      </c>
      <c r="B47" s="56">
        <f>+VLOOKUP(A47,'Chi tiết NVL'!$I$10:$J$4158,2,0)</f>
        <v/>
      </c>
      <c r="C47" s="57">
        <f>+SUMIF('Chi tiết NVL'!$I:$I,$A47,'Chi tiết NVL'!L:L)</f>
        <v/>
      </c>
      <c r="D47" s="57">
        <f>+SUMIF('Chi tiết NVL'!$I:$I,$A47,'Chi tiết NVL'!M:M)</f>
        <v/>
      </c>
      <c r="E47" s="57">
        <f>+SUMIF('Chi tiết NVL'!$I:$I,$A47,'Chi tiết NVL'!N:N)</f>
        <v/>
      </c>
      <c r="F47" s="57">
        <f>+SUMIF('Chi tiết NVL'!$I:$I,$A47,'Chi tiết NVL'!O:O)</f>
        <v/>
      </c>
      <c r="G47" s="57">
        <f>+SUMIF('Chi tiết NVL'!$I:$I,$A47,'Chi tiết NVL'!P:P)</f>
        <v/>
      </c>
      <c r="H47" s="57">
        <f>+SUMIF('Chi tiết NVL'!$I:$I,$A47,'Chi tiết NVL'!Q:Q)</f>
        <v/>
      </c>
      <c r="I47" s="57">
        <f>+SUMIF('Chi tiết NVL'!$I:$I,$A47,'Chi tiết NVL'!R:R)</f>
        <v/>
      </c>
      <c r="J47" s="57">
        <f>+SUMIF('Chi tiết NVL'!$I:$I,$A47,'Chi tiết NVL'!S:S)</f>
        <v/>
      </c>
    </row>
    <row r="48">
      <c r="A48" s="56" t="inlineStr">
        <is>
          <t>Đai ốc Din 934 5 ZP M16</t>
        </is>
      </c>
      <c r="B48" s="56">
        <f>+VLOOKUP(A48,'Chi tiết NVL'!$I$10:$J$4158,2,0)</f>
        <v/>
      </c>
      <c r="C48" s="57">
        <f>+SUMIF('Chi tiết NVL'!$I:$I,$A48,'Chi tiết NVL'!L:L)</f>
        <v/>
      </c>
      <c r="D48" s="57">
        <f>+SUMIF('Chi tiết NVL'!$I:$I,$A48,'Chi tiết NVL'!M:M)</f>
        <v/>
      </c>
      <c r="E48" s="57">
        <f>+SUMIF('Chi tiết NVL'!$I:$I,$A48,'Chi tiết NVL'!N:N)</f>
        <v/>
      </c>
      <c r="F48" s="57">
        <f>+SUMIF('Chi tiết NVL'!$I:$I,$A48,'Chi tiết NVL'!O:O)</f>
        <v/>
      </c>
      <c r="G48" s="57">
        <f>+SUMIF('Chi tiết NVL'!$I:$I,$A48,'Chi tiết NVL'!P:P)</f>
        <v/>
      </c>
      <c r="H48" s="57">
        <f>+SUMIF('Chi tiết NVL'!$I:$I,$A48,'Chi tiết NVL'!Q:Q)</f>
        <v/>
      </c>
      <c r="I48" s="57">
        <f>+SUMIF('Chi tiết NVL'!$I:$I,$A48,'Chi tiết NVL'!R:R)</f>
        <v/>
      </c>
      <c r="J48" s="57">
        <f>+SUMIF('Chi tiết NVL'!$I:$I,$A48,'Chi tiết NVL'!S:S)</f>
        <v/>
      </c>
    </row>
    <row r="49">
      <c r="A49" s="56" t="inlineStr">
        <is>
          <t>Long đền thường ZP M16B42D2</t>
        </is>
      </c>
      <c r="B49" s="56">
        <f>+VLOOKUP(A49,'Chi tiết NVL'!$I$10:$J$4158,2,0)</f>
        <v/>
      </c>
      <c r="C49" s="57">
        <f>+SUMIF('Chi tiết NVL'!$I:$I,$A49,'Chi tiết NVL'!L:L)</f>
        <v/>
      </c>
      <c r="D49" s="57">
        <f>+SUMIF('Chi tiết NVL'!$I:$I,$A49,'Chi tiết NVL'!M:M)</f>
        <v/>
      </c>
      <c r="E49" s="57">
        <f>+SUMIF('Chi tiết NVL'!$I:$I,$A49,'Chi tiết NVL'!N:N)</f>
        <v/>
      </c>
      <c r="F49" s="57">
        <f>+SUMIF('Chi tiết NVL'!$I:$I,$A49,'Chi tiết NVL'!O:O)</f>
        <v/>
      </c>
      <c r="G49" s="57">
        <f>+SUMIF('Chi tiết NVL'!$I:$I,$A49,'Chi tiết NVL'!P:P)</f>
        <v/>
      </c>
      <c r="H49" s="57">
        <f>+SUMIF('Chi tiết NVL'!$I:$I,$A49,'Chi tiết NVL'!Q:Q)</f>
        <v/>
      </c>
      <c r="I49" s="57">
        <f>+SUMIF('Chi tiết NVL'!$I:$I,$A49,'Chi tiết NVL'!R:R)</f>
        <v/>
      </c>
      <c r="J49" s="57">
        <f>+SUMIF('Chi tiết NVL'!$I:$I,$A49,'Chi tiết NVL'!S:S)</f>
        <v/>
      </c>
    </row>
    <row r="50">
      <c r="A50" s="56" t="inlineStr">
        <is>
          <t>Long đền móng ngựa ZP M16</t>
        </is>
      </c>
      <c r="B50" s="56">
        <f>+VLOOKUP(A50,'Chi tiết NVL'!$I$10:$J$4158,2,0)</f>
        <v/>
      </c>
      <c r="C50" s="57">
        <f>+SUMIF('Chi tiết NVL'!$I:$I,$A50,'Chi tiết NVL'!L:L)</f>
        <v/>
      </c>
      <c r="D50" s="57">
        <f>+SUMIF('Chi tiết NVL'!$I:$I,$A50,'Chi tiết NVL'!M:M)</f>
        <v/>
      </c>
      <c r="E50" s="57">
        <f>+SUMIF('Chi tiết NVL'!$I:$I,$A50,'Chi tiết NVL'!N:N)</f>
        <v/>
      </c>
      <c r="F50" s="57">
        <f>+SUMIF('Chi tiết NVL'!$I:$I,$A50,'Chi tiết NVL'!O:O)</f>
        <v/>
      </c>
      <c r="G50" s="57">
        <f>+SUMIF('Chi tiết NVL'!$I:$I,$A50,'Chi tiết NVL'!P:P)</f>
        <v/>
      </c>
      <c r="H50" s="57">
        <f>+SUMIF('Chi tiết NVL'!$I:$I,$A50,'Chi tiết NVL'!Q:Q)</f>
        <v/>
      </c>
      <c r="I50" s="57">
        <f>+SUMIF('Chi tiết NVL'!$I:$I,$A50,'Chi tiết NVL'!R:R)</f>
        <v/>
      </c>
      <c r="J50" s="57">
        <f>+SUMIF('Chi tiết NVL'!$I:$I,$A50,'Chi tiết NVL'!S:S)</f>
        <v/>
      </c>
    </row>
    <row r="51">
      <c r="A51" s="56" t="inlineStr">
        <is>
          <t>Nối Ty ZP M16x100 (23mm)</t>
        </is>
      </c>
      <c r="B51" s="56">
        <f>+VLOOKUP(A51,'Chi tiết NVL'!$I$10:$J$4158,2,0)</f>
        <v/>
      </c>
      <c r="C51" s="57">
        <f>+SUMIF('Chi tiết NVL'!$I:$I,$A51,'Chi tiết NVL'!L:L)</f>
        <v/>
      </c>
      <c r="D51" s="57">
        <f>+SUMIF('Chi tiết NVL'!$I:$I,$A51,'Chi tiết NVL'!M:M)</f>
        <v/>
      </c>
      <c r="E51" s="57">
        <f>+SUMIF('Chi tiết NVL'!$I:$I,$A51,'Chi tiết NVL'!N:N)</f>
        <v/>
      </c>
      <c r="F51" s="57">
        <f>+SUMIF('Chi tiết NVL'!$I:$I,$A51,'Chi tiết NVL'!O:O)</f>
        <v/>
      </c>
      <c r="G51" s="57">
        <f>+SUMIF('Chi tiết NVL'!$I:$I,$A51,'Chi tiết NVL'!P:P)</f>
        <v/>
      </c>
      <c r="H51" s="57">
        <f>+SUMIF('Chi tiết NVL'!$I:$I,$A51,'Chi tiết NVL'!Q:Q)</f>
        <v/>
      </c>
      <c r="I51" s="57">
        <f>+SUMIF('Chi tiết NVL'!$I:$I,$A51,'Chi tiết NVL'!R:R)</f>
        <v/>
      </c>
      <c r="J51" s="57">
        <f>+SUMIF('Chi tiết NVL'!$I:$I,$A51,'Chi tiết NVL'!S:S)</f>
        <v/>
      </c>
    </row>
    <row r="52">
      <c r="A52" s="56" t="inlineStr">
        <is>
          <t>Ty giằng 2 đầu ren 4.6 Ф11.3-11.5mm ZP M12</t>
        </is>
      </c>
      <c r="B52" s="56">
        <f>+VLOOKUP(A52,'Chi tiết NVL'!$I$10:$J$4158,2,0)</f>
        <v/>
      </c>
      <c r="C52" s="57">
        <f>+SUMIF('Chi tiết NVL'!$I:$I,$A52,'Chi tiết NVL'!L:L)</f>
        <v/>
      </c>
      <c r="D52" s="57">
        <f>+SUMIF('Chi tiết NVL'!$I:$I,$A52,'Chi tiết NVL'!M:M)</f>
        <v/>
      </c>
      <c r="E52" s="57">
        <f>+SUMIF('Chi tiết NVL'!$I:$I,$A52,'Chi tiết NVL'!N:N)</f>
        <v/>
      </c>
      <c r="F52" s="57">
        <f>+SUMIF('Chi tiết NVL'!$I:$I,$A52,'Chi tiết NVL'!O:O)</f>
        <v/>
      </c>
      <c r="G52" s="57">
        <f>+SUMIF('Chi tiết NVL'!$I:$I,$A52,'Chi tiết NVL'!P:P)</f>
        <v/>
      </c>
      <c r="H52" s="57">
        <f>+SUMIF('Chi tiết NVL'!$I:$I,$A52,'Chi tiết NVL'!Q:Q)</f>
        <v/>
      </c>
      <c r="I52" s="57">
        <f>+SUMIF('Chi tiết NVL'!$I:$I,$A52,'Chi tiết NVL'!R:R)</f>
        <v/>
      </c>
      <c r="J52" s="57">
        <f>+SUMIF('Chi tiết NVL'!$I:$I,$A52,'Chi tiết NVL'!S:S)</f>
        <v/>
      </c>
    </row>
    <row r="53">
      <c r="A53" s="56" t="inlineStr">
        <is>
          <t>Long đền thường ZP M12B26D1.5</t>
        </is>
      </c>
      <c r="B53" s="56">
        <f>+VLOOKUP(A53,'Chi tiết NVL'!$I$10:$J$4158,2,0)</f>
        <v/>
      </c>
      <c r="C53" s="57">
        <f>+SUMIF('Chi tiết NVL'!$I:$I,$A53,'Chi tiết NVL'!L:L)</f>
        <v/>
      </c>
      <c r="D53" s="57">
        <f>+SUMIF('Chi tiết NVL'!$I:$I,$A53,'Chi tiết NVL'!M:M)</f>
        <v/>
      </c>
      <c r="E53" s="57">
        <f>+SUMIF('Chi tiết NVL'!$I:$I,$A53,'Chi tiết NVL'!N:N)</f>
        <v/>
      </c>
      <c r="F53" s="57">
        <f>+SUMIF('Chi tiết NVL'!$I:$I,$A53,'Chi tiết NVL'!O:O)</f>
        <v/>
      </c>
      <c r="G53" s="57">
        <f>+SUMIF('Chi tiết NVL'!$I:$I,$A53,'Chi tiết NVL'!P:P)</f>
        <v/>
      </c>
      <c r="H53" s="57">
        <f>+SUMIF('Chi tiết NVL'!$I:$I,$A53,'Chi tiết NVL'!Q:Q)</f>
        <v/>
      </c>
      <c r="I53" s="57">
        <f>+SUMIF('Chi tiết NVL'!$I:$I,$A53,'Chi tiết NVL'!R:R)</f>
        <v/>
      </c>
      <c r="J53" s="57">
        <f>+SUMIF('Chi tiết NVL'!$I:$I,$A53,'Chi tiết NVL'!S:S)</f>
        <v/>
      </c>
    </row>
    <row r="54">
      <c r="A54" s="56" t="inlineStr">
        <is>
          <t>SƠN FUTURA CLASSIC RAL7046    18.94L</t>
        </is>
      </c>
      <c r="B54" s="56">
        <f>+VLOOKUP(A54,'Chi tiết NVL'!$I$10:$J$4158,2,0)</f>
        <v/>
      </c>
      <c r="C54" s="57">
        <f>+SUMIF('Chi tiết NVL'!$I:$I,$A54,'Chi tiết NVL'!L:L)</f>
        <v/>
      </c>
      <c r="D54" s="57">
        <f>+SUMIF('Chi tiết NVL'!$I:$I,$A54,'Chi tiết NVL'!M:M)</f>
        <v/>
      </c>
      <c r="E54" s="57">
        <f>+SUMIF('Chi tiết NVL'!$I:$I,$A54,'Chi tiết NVL'!N:N)</f>
        <v/>
      </c>
      <c r="F54" s="57">
        <f>+SUMIF('Chi tiết NVL'!$I:$I,$A54,'Chi tiết NVL'!O:O)</f>
        <v/>
      </c>
      <c r="G54" s="57">
        <f>+SUMIF('Chi tiết NVL'!$I:$I,$A54,'Chi tiết NVL'!P:P)</f>
        <v/>
      </c>
      <c r="H54" s="57">
        <f>+SUMIF('Chi tiết NVL'!$I:$I,$A54,'Chi tiết NVL'!Q:Q)</f>
        <v/>
      </c>
      <c r="I54" s="57">
        <f>+SUMIF('Chi tiết NVL'!$I:$I,$A54,'Chi tiết NVL'!R:R)</f>
        <v/>
      </c>
      <c r="J54" s="57">
        <f>+SUMIF('Chi tiết NVL'!$I:$I,$A54,'Chi tiết NVL'!S:S)</f>
        <v/>
      </c>
    </row>
    <row r="55">
      <c r="A55" s="56" t="inlineStr">
        <is>
          <t>SƠN FUTURA CLASSIC RAL7046     4.73L</t>
        </is>
      </c>
      <c r="B55" s="56">
        <f>+VLOOKUP(A55,'Chi tiết NVL'!$I$10:$J$4158,2,0)</f>
        <v/>
      </c>
      <c r="C55" s="57">
        <f>+SUMIF('Chi tiết NVL'!$I:$I,$A55,'Chi tiết NVL'!L:L)</f>
        <v/>
      </c>
      <c r="D55" s="57">
        <f>+SUMIF('Chi tiết NVL'!$I:$I,$A55,'Chi tiết NVL'!M:M)</f>
        <v/>
      </c>
      <c r="E55" s="57">
        <f>+SUMIF('Chi tiết NVL'!$I:$I,$A55,'Chi tiết NVL'!N:N)</f>
        <v/>
      </c>
      <c r="F55" s="57">
        <f>+SUMIF('Chi tiết NVL'!$I:$I,$A55,'Chi tiết NVL'!O:O)</f>
        <v/>
      </c>
      <c r="G55" s="57">
        <f>+SUMIF('Chi tiết NVL'!$I:$I,$A55,'Chi tiết NVL'!P:P)</f>
        <v/>
      </c>
      <c r="H55" s="57">
        <f>+SUMIF('Chi tiết NVL'!$I:$I,$A55,'Chi tiết NVL'!Q:Q)</f>
        <v/>
      </c>
      <c r="I55" s="57">
        <f>+SUMIF('Chi tiết NVL'!$I:$I,$A55,'Chi tiết NVL'!R:R)</f>
        <v/>
      </c>
      <c r="J55" s="57">
        <f>+SUMIF('Chi tiết NVL'!$I:$I,$A55,'Chi tiết NVL'!S:S)</f>
        <v/>
      </c>
    </row>
    <row r="56">
      <c r="A56" s="56" t="inlineStr">
        <is>
          <t>Thép tấm 5ly</t>
        </is>
      </c>
      <c r="B56" s="56">
        <f>+VLOOKUP(A56,'Chi tiết NVL'!$I$10:$J$4158,2,0)</f>
        <v/>
      </c>
      <c r="C56" s="57">
        <f>+SUMIF('Chi tiết NVL'!$I:$I,$A56,'Chi tiết NVL'!L:L)</f>
        <v/>
      </c>
      <c r="D56" s="57">
        <f>+SUMIF('Chi tiết NVL'!$I:$I,$A56,'Chi tiết NVL'!M:M)</f>
        <v/>
      </c>
      <c r="E56" s="57">
        <f>+SUMIF('Chi tiết NVL'!$I:$I,$A56,'Chi tiết NVL'!N:N)</f>
        <v/>
      </c>
      <c r="F56" s="57">
        <f>+SUMIF('Chi tiết NVL'!$I:$I,$A56,'Chi tiết NVL'!O:O)</f>
        <v/>
      </c>
      <c r="G56" s="57">
        <f>+SUMIF('Chi tiết NVL'!$I:$I,$A56,'Chi tiết NVL'!P:P)</f>
        <v/>
      </c>
      <c r="H56" s="57">
        <f>+SUMIF('Chi tiết NVL'!$I:$I,$A56,'Chi tiết NVL'!Q:Q)</f>
        <v/>
      </c>
      <c r="I56" s="57">
        <f>+SUMIF('Chi tiết NVL'!$I:$I,$A56,'Chi tiết NVL'!R:R)</f>
        <v/>
      </c>
      <c r="J56" s="57">
        <f>+SUMIF('Chi tiết NVL'!$I:$I,$A56,'Chi tiết NVL'!S:S)</f>
        <v/>
      </c>
    </row>
    <row r="57">
      <c r="A57" s="56" t="inlineStr">
        <is>
          <t>Thép tấm 6ly</t>
        </is>
      </c>
      <c r="B57" s="56">
        <f>+VLOOKUP(A57,'Chi tiết NVL'!$I$10:$J$4158,2,0)</f>
        <v/>
      </c>
      <c r="C57" s="57">
        <f>+SUMIF('Chi tiết NVL'!$I:$I,$A57,'Chi tiết NVL'!L:L)</f>
        <v/>
      </c>
      <c r="D57" s="57">
        <f>+SUMIF('Chi tiết NVL'!$I:$I,$A57,'Chi tiết NVL'!M:M)</f>
        <v/>
      </c>
      <c r="E57" s="57">
        <f>+SUMIF('Chi tiết NVL'!$I:$I,$A57,'Chi tiết NVL'!N:N)</f>
        <v/>
      </c>
      <c r="F57" s="57">
        <f>+SUMIF('Chi tiết NVL'!$I:$I,$A57,'Chi tiết NVL'!O:O)</f>
        <v/>
      </c>
      <c r="G57" s="57">
        <f>+SUMIF('Chi tiết NVL'!$I:$I,$A57,'Chi tiết NVL'!P:P)</f>
        <v/>
      </c>
      <c r="H57" s="57">
        <f>+SUMIF('Chi tiết NVL'!$I:$I,$A57,'Chi tiết NVL'!Q:Q)</f>
        <v/>
      </c>
      <c r="I57" s="57">
        <f>+SUMIF('Chi tiết NVL'!$I:$I,$A57,'Chi tiết NVL'!R:R)</f>
        <v/>
      </c>
      <c r="J57" s="57">
        <f>+SUMIF('Chi tiết NVL'!$I:$I,$A57,'Chi tiết NVL'!S:S)</f>
        <v/>
      </c>
    </row>
    <row r="58">
      <c r="A58" s="56" t="inlineStr">
        <is>
          <t>Thép tấm 8ly</t>
        </is>
      </c>
      <c r="B58" s="56">
        <f>+VLOOKUP(A58,'Chi tiết NVL'!$I$10:$J$4158,2,0)</f>
        <v/>
      </c>
      <c r="C58" s="57">
        <f>+SUMIF('Chi tiết NVL'!$I:$I,$A58,'Chi tiết NVL'!L:L)</f>
        <v/>
      </c>
      <c r="D58" s="57">
        <f>+SUMIF('Chi tiết NVL'!$I:$I,$A58,'Chi tiết NVL'!M:M)</f>
        <v/>
      </c>
      <c r="E58" s="57">
        <f>+SUMIF('Chi tiết NVL'!$I:$I,$A58,'Chi tiết NVL'!N:N)</f>
        <v/>
      </c>
      <c r="F58" s="57">
        <f>+SUMIF('Chi tiết NVL'!$I:$I,$A58,'Chi tiết NVL'!O:O)</f>
        <v/>
      </c>
      <c r="G58" s="57">
        <f>+SUMIF('Chi tiết NVL'!$I:$I,$A58,'Chi tiết NVL'!P:P)</f>
        <v/>
      </c>
      <c r="H58" s="57">
        <f>+SUMIF('Chi tiết NVL'!$I:$I,$A58,'Chi tiết NVL'!Q:Q)</f>
        <v/>
      </c>
      <c r="I58" s="57">
        <f>+SUMIF('Chi tiết NVL'!$I:$I,$A58,'Chi tiết NVL'!R:R)</f>
        <v/>
      </c>
      <c r="J58" s="57">
        <f>+SUMIF('Chi tiết NVL'!$I:$I,$A58,'Chi tiết NVL'!S:S)</f>
        <v/>
      </c>
    </row>
    <row r="59">
      <c r="A59" s="56" t="inlineStr">
        <is>
          <t>Thép tấm 10ly</t>
        </is>
      </c>
      <c r="B59" s="56">
        <f>+VLOOKUP(A59,'Chi tiết NVL'!$I$10:$J$4158,2,0)</f>
        <v/>
      </c>
      <c r="C59" s="57">
        <f>+SUMIF('Chi tiết NVL'!$I:$I,$A59,'Chi tiết NVL'!L:L)</f>
        <v/>
      </c>
      <c r="D59" s="57">
        <f>+SUMIF('Chi tiết NVL'!$I:$I,$A59,'Chi tiết NVL'!M:M)</f>
        <v/>
      </c>
      <c r="E59" s="57">
        <f>+SUMIF('Chi tiết NVL'!$I:$I,$A59,'Chi tiết NVL'!N:N)</f>
        <v/>
      </c>
      <c r="F59" s="57">
        <f>+SUMIF('Chi tiết NVL'!$I:$I,$A59,'Chi tiết NVL'!O:O)</f>
        <v/>
      </c>
      <c r="G59" s="57">
        <f>+SUMIF('Chi tiết NVL'!$I:$I,$A59,'Chi tiết NVL'!P:P)</f>
        <v/>
      </c>
      <c r="H59" s="57">
        <f>+SUMIF('Chi tiết NVL'!$I:$I,$A59,'Chi tiết NVL'!Q:Q)</f>
        <v/>
      </c>
      <c r="I59" s="57">
        <f>+SUMIF('Chi tiết NVL'!$I:$I,$A59,'Chi tiết NVL'!R:R)</f>
        <v/>
      </c>
      <c r="J59" s="57">
        <f>+SUMIF('Chi tiết NVL'!$I:$I,$A59,'Chi tiết NVL'!S:S)</f>
        <v/>
      </c>
    </row>
    <row r="60">
      <c r="A60" s="56" t="inlineStr">
        <is>
          <t>Thép tấm 16ly</t>
        </is>
      </c>
      <c r="B60" s="56">
        <f>+VLOOKUP(A60,'Chi tiết NVL'!$I$10:$J$4158,2,0)</f>
        <v/>
      </c>
      <c r="C60" s="57">
        <f>+SUMIF('Chi tiết NVL'!$I:$I,$A60,'Chi tiết NVL'!L:L)</f>
        <v/>
      </c>
      <c r="D60" s="57">
        <f>+SUMIF('Chi tiết NVL'!$I:$I,$A60,'Chi tiết NVL'!M:M)</f>
        <v/>
      </c>
      <c r="E60" s="57">
        <f>+SUMIF('Chi tiết NVL'!$I:$I,$A60,'Chi tiết NVL'!N:N)</f>
        <v/>
      </c>
      <c r="F60" s="57">
        <f>+SUMIF('Chi tiết NVL'!$I:$I,$A60,'Chi tiết NVL'!O:O)</f>
        <v/>
      </c>
      <c r="G60" s="57">
        <f>+SUMIF('Chi tiết NVL'!$I:$I,$A60,'Chi tiết NVL'!P:P)</f>
        <v/>
      </c>
      <c r="H60" s="57">
        <f>+SUMIF('Chi tiết NVL'!$I:$I,$A60,'Chi tiết NVL'!Q:Q)</f>
        <v/>
      </c>
      <c r="I60" s="57">
        <f>+SUMIF('Chi tiết NVL'!$I:$I,$A60,'Chi tiết NVL'!R:R)</f>
        <v/>
      </c>
      <c r="J60" s="57">
        <f>+SUMIF('Chi tiết NVL'!$I:$I,$A60,'Chi tiết NVL'!S:S)</f>
        <v/>
      </c>
    </row>
    <row r="61">
      <c r="A61" s="56" t="inlineStr">
        <is>
          <t>Thép góc V63</t>
        </is>
      </c>
      <c r="B61" s="56">
        <f>+VLOOKUP(A61,'Chi tiết NVL'!$I$10:$J$4158,2,0)</f>
        <v/>
      </c>
      <c r="C61" s="57">
        <f>+SUMIF('Chi tiết NVL'!$I:$I,$A61,'Chi tiết NVL'!L:L)</f>
        <v/>
      </c>
      <c r="D61" s="57">
        <f>+SUMIF('Chi tiết NVL'!$I:$I,$A61,'Chi tiết NVL'!M:M)</f>
        <v/>
      </c>
      <c r="E61" s="57">
        <f>+SUMIF('Chi tiết NVL'!$I:$I,$A61,'Chi tiết NVL'!N:N)</f>
        <v/>
      </c>
      <c r="F61" s="57">
        <f>+SUMIF('Chi tiết NVL'!$I:$I,$A61,'Chi tiết NVL'!O:O)</f>
        <v/>
      </c>
      <c r="G61" s="57">
        <f>+SUMIF('Chi tiết NVL'!$I:$I,$A61,'Chi tiết NVL'!P:P)</f>
        <v/>
      </c>
      <c r="H61" s="57">
        <f>+SUMIF('Chi tiết NVL'!$I:$I,$A61,'Chi tiết NVL'!Q:Q)</f>
        <v/>
      </c>
      <c r="I61" s="57">
        <f>+SUMIF('Chi tiết NVL'!$I:$I,$A61,'Chi tiết NVL'!R:R)</f>
        <v/>
      </c>
      <c r="J61" s="57">
        <f>+SUMIF('Chi tiết NVL'!$I:$I,$A61,'Chi tiết NVL'!S:S)</f>
        <v/>
      </c>
    </row>
    <row r="62">
      <c r="A62" s="56" t="inlineStr">
        <is>
          <t>Thép góc V75</t>
        </is>
      </c>
      <c r="B62" s="56">
        <f>+VLOOKUP(A62,'Chi tiết NVL'!$I$10:$J$4158,2,0)</f>
        <v/>
      </c>
      <c r="C62" s="57">
        <f>+SUMIF('Chi tiết NVL'!$I:$I,$A62,'Chi tiết NVL'!L:L)</f>
        <v/>
      </c>
      <c r="D62" s="57">
        <f>+SUMIF('Chi tiết NVL'!$I:$I,$A62,'Chi tiết NVL'!M:M)</f>
        <v/>
      </c>
      <c r="E62" s="57">
        <f>+SUMIF('Chi tiết NVL'!$I:$I,$A62,'Chi tiết NVL'!N:N)</f>
        <v/>
      </c>
      <c r="F62" s="57">
        <f>+SUMIF('Chi tiết NVL'!$I:$I,$A62,'Chi tiết NVL'!O:O)</f>
        <v/>
      </c>
      <c r="G62" s="57">
        <f>+SUMIF('Chi tiết NVL'!$I:$I,$A62,'Chi tiết NVL'!P:P)</f>
        <v/>
      </c>
      <c r="H62" s="57">
        <f>+SUMIF('Chi tiết NVL'!$I:$I,$A62,'Chi tiết NVL'!Q:Q)</f>
        <v/>
      </c>
      <c r="I62" s="57">
        <f>+SUMIF('Chi tiết NVL'!$I:$I,$A62,'Chi tiết NVL'!R:R)</f>
        <v/>
      </c>
      <c r="J62" s="57">
        <f>+SUMIF('Chi tiết NVL'!$I:$I,$A62,'Chi tiết NVL'!S:S)</f>
        <v/>
      </c>
    </row>
    <row r="63">
      <c r="A63" s="56" t="inlineStr">
        <is>
          <t>Thép tấm 12ly</t>
        </is>
      </c>
      <c r="B63" s="56">
        <f>+VLOOKUP(A63,'Chi tiết NVL'!$I$10:$J$4158,2,0)</f>
        <v/>
      </c>
      <c r="C63" s="57">
        <f>+SUMIF('Chi tiết NVL'!$I:$I,$A63,'Chi tiết NVL'!L:L)</f>
        <v/>
      </c>
      <c r="D63" s="57">
        <f>+SUMIF('Chi tiết NVL'!$I:$I,$A63,'Chi tiết NVL'!M:M)</f>
        <v/>
      </c>
      <c r="E63" s="57">
        <f>+SUMIF('Chi tiết NVL'!$I:$I,$A63,'Chi tiết NVL'!N:N)</f>
        <v/>
      </c>
      <c r="F63" s="57">
        <f>+SUMIF('Chi tiết NVL'!$I:$I,$A63,'Chi tiết NVL'!O:O)</f>
        <v/>
      </c>
      <c r="G63" s="57">
        <f>+SUMIF('Chi tiết NVL'!$I:$I,$A63,'Chi tiết NVL'!P:P)</f>
        <v/>
      </c>
      <c r="H63" s="57">
        <f>+SUMIF('Chi tiết NVL'!$I:$I,$A63,'Chi tiết NVL'!Q:Q)</f>
        <v/>
      </c>
      <c r="I63" s="57">
        <f>+SUMIF('Chi tiết NVL'!$I:$I,$A63,'Chi tiết NVL'!R:R)</f>
        <v/>
      </c>
      <c r="J63" s="57">
        <f>+SUMIF('Chi tiết NVL'!$I:$I,$A63,'Chi tiết NVL'!S:S)</f>
        <v/>
      </c>
    </row>
    <row r="64">
      <c r="A64" s="56" t="inlineStr">
        <is>
          <t>Thép tấm 14ly</t>
        </is>
      </c>
      <c r="B64" s="56">
        <f>+VLOOKUP(A64,'Chi tiết NVL'!$I$10:$J$4158,2,0)</f>
        <v/>
      </c>
      <c r="C64" s="57">
        <f>+SUMIF('Chi tiết NVL'!$I:$I,$A64,'Chi tiết NVL'!L:L)</f>
        <v/>
      </c>
      <c r="D64" s="57">
        <f>+SUMIF('Chi tiết NVL'!$I:$I,$A64,'Chi tiết NVL'!M:M)</f>
        <v/>
      </c>
      <c r="E64" s="57">
        <f>+SUMIF('Chi tiết NVL'!$I:$I,$A64,'Chi tiết NVL'!N:N)</f>
        <v/>
      </c>
      <c r="F64" s="57">
        <f>+SUMIF('Chi tiết NVL'!$I:$I,$A64,'Chi tiết NVL'!O:O)</f>
        <v/>
      </c>
      <c r="G64" s="57">
        <f>+SUMIF('Chi tiết NVL'!$I:$I,$A64,'Chi tiết NVL'!P:P)</f>
        <v/>
      </c>
      <c r="H64" s="57">
        <f>+SUMIF('Chi tiết NVL'!$I:$I,$A64,'Chi tiết NVL'!Q:Q)</f>
        <v/>
      </c>
      <c r="I64" s="57">
        <f>+SUMIF('Chi tiết NVL'!$I:$I,$A64,'Chi tiết NVL'!R:R)</f>
        <v/>
      </c>
      <c r="J64" s="57">
        <f>+SUMIF('Chi tiết NVL'!$I:$I,$A64,'Chi tiết NVL'!S:S)</f>
        <v/>
      </c>
    </row>
    <row r="65">
      <c r="A65" s="56" t="inlineStr">
        <is>
          <t>Thép vuông 100</t>
        </is>
      </c>
      <c r="B65" s="56">
        <f>+VLOOKUP(A65,'Chi tiết NVL'!$I$10:$J$4158,2,0)</f>
        <v/>
      </c>
      <c r="C65" s="57">
        <f>+SUMIF('Chi tiết NVL'!$I:$I,$A65,'Chi tiết NVL'!L:L)</f>
        <v/>
      </c>
      <c r="D65" s="57">
        <f>+SUMIF('Chi tiết NVL'!$I:$I,$A65,'Chi tiết NVL'!M:M)</f>
        <v/>
      </c>
      <c r="E65" s="57">
        <f>+SUMIF('Chi tiết NVL'!$I:$I,$A65,'Chi tiết NVL'!N:N)</f>
        <v/>
      </c>
      <c r="F65" s="57">
        <f>+SUMIF('Chi tiết NVL'!$I:$I,$A65,'Chi tiết NVL'!O:O)</f>
        <v/>
      </c>
      <c r="G65" s="57">
        <f>+SUMIF('Chi tiết NVL'!$I:$I,$A65,'Chi tiết NVL'!P:P)</f>
        <v/>
      </c>
      <c r="H65" s="57">
        <f>+SUMIF('Chi tiết NVL'!$I:$I,$A65,'Chi tiết NVL'!Q:Q)</f>
        <v/>
      </c>
      <c r="I65" s="57">
        <f>+SUMIF('Chi tiết NVL'!$I:$I,$A65,'Chi tiết NVL'!R:R)</f>
        <v/>
      </c>
      <c r="J65" s="57">
        <f>+SUMIF('Chi tiết NVL'!$I:$I,$A65,'Chi tiết NVL'!S:S)</f>
        <v/>
      </c>
    </row>
    <row r="66">
      <c r="A66" s="56" t="inlineStr">
        <is>
          <t>Thép tấm 4ly</t>
        </is>
      </c>
      <c r="B66" s="56">
        <f>+VLOOKUP(A66,'Chi tiết NVL'!$I$10:$J$4158,2,0)</f>
        <v/>
      </c>
      <c r="C66" s="57">
        <f>+SUMIF('Chi tiết NVL'!$I:$I,$A66,'Chi tiết NVL'!L:L)</f>
        <v/>
      </c>
      <c r="D66" s="57">
        <f>+SUMIF('Chi tiết NVL'!$I:$I,$A66,'Chi tiết NVL'!M:M)</f>
        <v/>
      </c>
      <c r="E66" s="57">
        <f>+SUMIF('Chi tiết NVL'!$I:$I,$A66,'Chi tiết NVL'!N:N)</f>
        <v/>
      </c>
      <c r="F66" s="57">
        <f>+SUMIF('Chi tiết NVL'!$I:$I,$A66,'Chi tiết NVL'!O:O)</f>
        <v/>
      </c>
      <c r="G66" s="57">
        <f>+SUMIF('Chi tiết NVL'!$I:$I,$A66,'Chi tiết NVL'!P:P)</f>
        <v/>
      </c>
      <c r="H66" s="57">
        <f>+SUMIF('Chi tiết NVL'!$I:$I,$A66,'Chi tiết NVL'!Q:Q)</f>
        <v/>
      </c>
      <c r="I66" s="57">
        <f>+SUMIF('Chi tiết NVL'!$I:$I,$A66,'Chi tiết NVL'!R:R)</f>
        <v/>
      </c>
      <c r="J66" s="57">
        <f>+SUMIF('Chi tiết NVL'!$I:$I,$A66,'Chi tiết NVL'!S:S)</f>
        <v/>
      </c>
    </row>
    <row r="67">
      <c r="A67" s="56" t="inlineStr">
        <is>
          <t>Thép tấm 20ly</t>
        </is>
      </c>
      <c r="B67" s="56">
        <f>+VLOOKUP(A67,'Chi tiết NVL'!$I$10:$J$4158,2,0)</f>
        <v/>
      </c>
      <c r="C67" s="57">
        <f>+SUMIF('Chi tiết NVL'!$I:$I,$A67,'Chi tiết NVL'!L:L)</f>
        <v/>
      </c>
      <c r="D67" s="57">
        <f>+SUMIF('Chi tiết NVL'!$I:$I,$A67,'Chi tiết NVL'!M:M)</f>
        <v/>
      </c>
      <c r="E67" s="57">
        <f>+SUMIF('Chi tiết NVL'!$I:$I,$A67,'Chi tiết NVL'!N:N)</f>
        <v/>
      </c>
      <c r="F67" s="57">
        <f>+SUMIF('Chi tiết NVL'!$I:$I,$A67,'Chi tiết NVL'!O:O)</f>
        <v/>
      </c>
      <c r="G67" s="57">
        <f>+SUMIF('Chi tiết NVL'!$I:$I,$A67,'Chi tiết NVL'!P:P)</f>
        <v/>
      </c>
      <c r="H67" s="57">
        <f>+SUMIF('Chi tiết NVL'!$I:$I,$A67,'Chi tiết NVL'!Q:Q)</f>
        <v/>
      </c>
      <c r="I67" s="57">
        <f>+SUMIF('Chi tiết NVL'!$I:$I,$A67,'Chi tiết NVL'!R:R)</f>
        <v/>
      </c>
      <c r="J67" s="57">
        <f>+SUMIF('Chi tiết NVL'!$I:$I,$A67,'Chi tiết NVL'!S:S)</f>
        <v/>
      </c>
    </row>
    <row r="68">
      <c r="A68" s="56" t="inlineStr">
        <is>
          <t>Ty giằng 2 đầu ren 4.6 ZP M20</t>
        </is>
      </c>
      <c r="B68" s="56">
        <f>+VLOOKUP(A68,'Chi tiết NVL'!$I$10:$J$4158,2,0)</f>
        <v/>
      </c>
      <c r="C68" s="57">
        <f>+SUMIF('Chi tiết NVL'!$I:$I,$A68,'Chi tiết NVL'!L:L)</f>
        <v/>
      </c>
      <c r="D68" s="57">
        <f>+SUMIF('Chi tiết NVL'!$I:$I,$A68,'Chi tiết NVL'!M:M)</f>
        <v/>
      </c>
      <c r="E68" s="57">
        <f>+SUMIF('Chi tiết NVL'!$I:$I,$A68,'Chi tiết NVL'!N:N)</f>
        <v/>
      </c>
      <c r="F68" s="57">
        <f>+SUMIF('Chi tiết NVL'!$I:$I,$A68,'Chi tiết NVL'!O:O)</f>
        <v/>
      </c>
      <c r="G68" s="57">
        <f>+SUMIF('Chi tiết NVL'!$I:$I,$A68,'Chi tiết NVL'!P:P)</f>
        <v/>
      </c>
      <c r="H68" s="57">
        <f>+SUMIF('Chi tiết NVL'!$I:$I,$A68,'Chi tiết NVL'!Q:Q)</f>
        <v/>
      </c>
      <c r="I68" s="57">
        <f>+SUMIF('Chi tiết NVL'!$I:$I,$A68,'Chi tiết NVL'!R:R)</f>
        <v/>
      </c>
      <c r="J68" s="57">
        <f>+SUMIF('Chi tiết NVL'!$I:$I,$A68,'Chi tiết NVL'!S:S)</f>
        <v/>
      </c>
    </row>
    <row r="69">
      <c r="A69" s="56" t="inlineStr">
        <is>
          <t>Đai ốc Din 934 5 ZP M20</t>
        </is>
      </c>
      <c r="B69" s="56">
        <f>+VLOOKUP(A69,'Chi tiết NVL'!$I$10:$J$4158,2,0)</f>
        <v/>
      </c>
      <c r="C69" s="57">
        <f>+SUMIF('Chi tiết NVL'!$I:$I,$A69,'Chi tiết NVL'!L:L)</f>
        <v/>
      </c>
      <c r="D69" s="57">
        <f>+SUMIF('Chi tiết NVL'!$I:$I,$A69,'Chi tiết NVL'!M:M)</f>
        <v/>
      </c>
      <c r="E69" s="57">
        <f>+SUMIF('Chi tiết NVL'!$I:$I,$A69,'Chi tiết NVL'!N:N)</f>
        <v/>
      </c>
      <c r="F69" s="57">
        <f>+SUMIF('Chi tiết NVL'!$I:$I,$A69,'Chi tiết NVL'!O:O)</f>
        <v/>
      </c>
      <c r="G69" s="57">
        <f>+SUMIF('Chi tiết NVL'!$I:$I,$A69,'Chi tiết NVL'!P:P)</f>
        <v/>
      </c>
      <c r="H69" s="57">
        <f>+SUMIF('Chi tiết NVL'!$I:$I,$A69,'Chi tiết NVL'!Q:Q)</f>
        <v/>
      </c>
      <c r="I69" s="57">
        <f>+SUMIF('Chi tiết NVL'!$I:$I,$A69,'Chi tiết NVL'!R:R)</f>
        <v/>
      </c>
      <c r="J69" s="57">
        <f>+SUMIF('Chi tiết NVL'!$I:$I,$A69,'Chi tiết NVL'!S:S)</f>
        <v/>
      </c>
    </row>
    <row r="70">
      <c r="A70" s="56" t="inlineStr">
        <is>
          <t>Long đền thường ZP M20B42D2</t>
        </is>
      </c>
      <c r="B70" s="56">
        <f>+VLOOKUP(A70,'Chi tiết NVL'!$I$10:$J$4158,2,0)</f>
        <v/>
      </c>
      <c r="C70" s="57">
        <f>+SUMIF('Chi tiết NVL'!$I:$I,$A70,'Chi tiết NVL'!L:L)</f>
        <v/>
      </c>
      <c r="D70" s="57">
        <f>+SUMIF('Chi tiết NVL'!$I:$I,$A70,'Chi tiết NVL'!M:M)</f>
        <v/>
      </c>
      <c r="E70" s="57">
        <f>+SUMIF('Chi tiết NVL'!$I:$I,$A70,'Chi tiết NVL'!N:N)</f>
        <v/>
      </c>
      <c r="F70" s="57">
        <f>+SUMIF('Chi tiết NVL'!$I:$I,$A70,'Chi tiết NVL'!O:O)</f>
        <v/>
      </c>
      <c r="G70" s="57">
        <f>+SUMIF('Chi tiết NVL'!$I:$I,$A70,'Chi tiết NVL'!P:P)</f>
        <v/>
      </c>
      <c r="H70" s="57">
        <f>+SUMIF('Chi tiết NVL'!$I:$I,$A70,'Chi tiết NVL'!Q:Q)</f>
        <v/>
      </c>
      <c r="I70" s="57">
        <f>+SUMIF('Chi tiết NVL'!$I:$I,$A70,'Chi tiết NVL'!R:R)</f>
        <v/>
      </c>
      <c r="J70" s="57">
        <f>+SUMIF('Chi tiết NVL'!$I:$I,$A70,'Chi tiết NVL'!S:S)</f>
        <v/>
      </c>
    </row>
    <row r="71">
      <c r="A71" s="56" t="inlineStr">
        <is>
          <t>Long đền móng ngựa ZP M20</t>
        </is>
      </c>
      <c r="B71" s="56">
        <f>+VLOOKUP(A71,'Chi tiết NVL'!$I$10:$J$4158,2,0)</f>
        <v/>
      </c>
      <c r="C71" s="57">
        <f>+SUMIF('Chi tiết NVL'!$I:$I,$A71,'Chi tiết NVL'!L:L)</f>
        <v/>
      </c>
      <c r="D71" s="57">
        <f>+SUMIF('Chi tiết NVL'!$I:$I,$A71,'Chi tiết NVL'!M:M)</f>
        <v/>
      </c>
      <c r="E71" s="57">
        <f>+SUMIF('Chi tiết NVL'!$I:$I,$A71,'Chi tiết NVL'!N:N)</f>
        <v/>
      </c>
      <c r="F71" s="57">
        <f>+SUMIF('Chi tiết NVL'!$I:$I,$A71,'Chi tiết NVL'!O:O)</f>
        <v/>
      </c>
      <c r="G71" s="57">
        <f>+SUMIF('Chi tiết NVL'!$I:$I,$A71,'Chi tiết NVL'!P:P)</f>
        <v/>
      </c>
      <c r="H71" s="57">
        <f>+SUMIF('Chi tiết NVL'!$I:$I,$A71,'Chi tiết NVL'!Q:Q)</f>
        <v/>
      </c>
      <c r="I71" s="57">
        <f>+SUMIF('Chi tiết NVL'!$I:$I,$A71,'Chi tiết NVL'!R:R)</f>
        <v/>
      </c>
      <c r="J71" s="57">
        <f>+SUMIF('Chi tiết NVL'!$I:$I,$A71,'Chi tiết NVL'!S:S)</f>
        <v/>
      </c>
    </row>
    <row r="72">
      <c r="A72" s="56" t="inlineStr">
        <is>
          <t>Nối Ty ZP M20x100(28mm)</t>
        </is>
      </c>
      <c r="B72" s="56">
        <f>+VLOOKUP(A72,'Chi tiết NVL'!$I$10:$J$4158,2,0)</f>
        <v/>
      </c>
      <c r="C72" s="57">
        <f>+SUMIF('Chi tiết NVL'!$I:$I,$A72,'Chi tiết NVL'!L:L)</f>
        <v/>
      </c>
      <c r="D72" s="57">
        <f>+SUMIF('Chi tiết NVL'!$I:$I,$A72,'Chi tiết NVL'!M:M)</f>
        <v/>
      </c>
      <c r="E72" s="57">
        <f>+SUMIF('Chi tiết NVL'!$I:$I,$A72,'Chi tiết NVL'!N:N)</f>
        <v/>
      </c>
      <c r="F72" s="57">
        <f>+SUMIF('Chi tiết NVL'!$I:$I,$A72,'Chi tiết NVL'!O:O)</f>
        <v/>
      </c>
      <c r="G72" s="57">
        <f>+SUMIF('Chi tiết NVL'!$I:$I,$A72,'Chi tiết NVL'!P:P)</f>
        <v/>
      </c>
      <c r="H72" s="57">
        <f>+SUMIF('Chi tiết NVL'!$I:$I,$A72,'Chi tiết NVL'!Q:Q)</f>
        <v/>
      </c>
      <c r="I72" s="57">
        <f>+SUMIF('Chi tiết NVL'!$I:$I,$A72,'Chi tiết NVL'!R:R)</f>
        <v/>
      </c>
      <c r="J72" s="57">
        <f>+SUMIF('Chi tiết NVL'!$I:$I,$A72,'Chi tiết NVL'!S:S)</f>
        <v/>
      </c>
    </row>
    <row r="73">
      <c r="A73" s="56" t="inlineStr">
        <is>
          <t>Đai ốc Din 934 5 ZP M24</t>
        </is>
      </c>
      <c r="B73" s="56">
        <f>+VLOOKUP(A73,'Chi tiết NVL'!$I$10:$J$4158,2,0)</f>
        <v/>
      </c>
      <c r="C73" s="57">
        <f>+SUMIF('Chi tiết NVL'!$I:$I,$A73,'Chi tiết NVL'!L:L)</f>
        <v/>
      </c>
      <c r="D73" s="57">
        <f>+SUMIF('Chi tiết NVL'!$I:$I,$A73,'Chi tiết NVL'!M:M)</f>
        <v/>
      </c>
      <c r="E73" s="57">
        <f>+SUMIF('Chi tiết NVL'!$I:$I,$A73,'Chi tiết NVL'!N:N)</f>
        <v/>
      </c>
      <c r="F73" s="57">
        <f>+SUMIF('Chi tiết NVL'!$I:$I,$A73,'Chi tiết NVL'!O:O)</f>
        <v/>
      </c>
      <c r="G73" s="57">
        <f>+SUMIF('Chi tiết NVL'!$I:$I,$A73,'Chi tiết NVL'!P:P)</f>
        <v/>
      </c>
      <c r="H73" s="57">
        <f>+SUMIF('Chi tiết NVL'!$I:$I,$A73,'Chi tiết NVL'!Q:Q)</f>
        <v/>
      </c>
      <c r="I73" s="57">
        <f>+SUMIF('Chi tiết NVL'!$I:$I,$A73,'Chi tiết NVL'!R:R)</f>
        <v/>
      </c>
      <c r="J73" s="57">
        <f>+SUMIF('Chi tiết NVL'!$I:$I,$A73,'Chi tiết NVL'!S:S)</f>
        <v/>
      </c>
    </row>
    <row r="74">
      <c r="A74" s="56" t="inlineStr">
        <is>
          <t>Long đền thường ZP M24B45D2</t>
        </is>
      </c>
      <c r="B74" s="56">
        <f>+VLOOKUP(A74,'Chi tiết NVL'!$I$10:$J$4158,2,0)</f>
        <v/>
      </c>
      <c r="C74" s="57">
        <f>+SUMIF('Chi tiết NVL'!$I:$I,$A74,'Chi tiết NVL'!L:L)</f>
        <v/>
      </c>
      <c r="D74" s="57">
        <f>+SUMIF('Chi tiết NVL'!$I:$I,$A74,'Chi tiết NVL'!M:M)</f>
        <v/>
      </c>
      <c r="E74" s="57">
        <f>+SUMIF('Chi tiết NVL'!$I:$I,$A74,'Chi tiết NVL'!N:N)</f>
        <v/>
      </c>
      <c r="F74" s="57">
        <f>+SUMIF('Chi tiết NVL'!$I:$I,$A74,'Chi tiết NVL'!O:O)</f>
        <v/>
      </c>
      <c r="G74" s="57">
        <f>+SUMIF('Chi tiết NVL'!$I:$I,$A74,'Chi tiết NVL'!P:P)</f>
        <v/>
      </c>
      <c r="H74" s="57">
        <f>+SUMIF('Chi tiết NVL'!$I:$I,$A74,'Chi tiết NVL'!Q:Q)</f>
        <v/>
      </c>
      <c r="I74" s="57">
        <f>+SUMIF('Chi tiết NVL'!$I:$I,$A74,'Chi tiết NVL'!R:R)</f>
        <v/>
      </c>
      <c r="J74" s="57">
        <f>+SUMIF('Chi tiết NVL'!$I:$I,$A74,'Chi tiết NVL'!S:S)</f>
        <v/>
      </c>
    </row>
    <row r="75">
      <c r="A75" s="56" t="inlineStr">
        <is>
          <t>Nối Ty ZP M24x100 (34mm)</t>
        </is>
      </c>
      <c r="B75" s="56">
        <f>+VLOOKUP(A75,'Chi tiết NVL'!$I$10:$J$4158,2,0)</f>
        <v/>
      </c>
      <c r="C75" s="57">
        <f>+SUMIF('Chi tiết NVL'!$I:$I,$A75,'Chi tiết NVL'!L:L)</f>
        <v/>
      </c>
      <c r="D75" s="57">
        <f>+SUMIF('Chi tiết NVL'!$I:$I,$A75,'Chi tiết NVL'!M:M)</f>
        <v/>
      </c>
      <c r="E75" s="57">
        <f>+SUMIF('Chi tiết NVL'!$I:$I,$A75,'Chi tiết NVL'!N:N)</f>
        <v/>
      </c>
      <c r="F75" s="57">
        <f>+SUMIF('Chi tiết NVL'!$I:$I,$A75,'Chi tiết NVL'!O:O)</f>
        <v/>
      </c>
      <c r="G75" s="57">
        <f>+SUMIF('Chi tiết NVL'!$I:$I,$A75,'Chi tiết NVL'!P:P)</f>
        <v/>
      </c>
      <c r="H75" s="57">
        <f>+SUMIF('Chi tiết NVL'!$I:$I,$A75,'Chi tiết NVL'!Q:Q)</f>
        <v/>
      </c>
      <c r="I75" s="57">
        <f>+SUMIF('Chi tiết NVL'!$I:$I,$A75,'Chi tiết NVL'!R:R)</f>
        <v/>
      </c>
      <c r="J75" s="57">
        <f>+SUMIF('Chi tiết NVL'!$I:$I,$A75,'Chi tiết NVL'!S:S)</f>
        <v/>
      </c>
    </row>
    <row r="76">
      <c r="A76" s="56" t="inlineStr">
        <is>
          <t>Long đền móng ngựa ZP M24</t>
        </is>
      </c>
      <c r="B76" s="56">
        <f>+VLOOKUP(A76,'Chi tiết NVL'!$I$10:$J$4158,2,0)</f>
        <v/>
      </c>
      <c r="C76" s="57">
        <f>+SUMIF('Chi tiết NVL'!$I:$I,$A76,'Chi tiết NVL'!L:L)</f>
        <v/>
      </c>
      <c r="D76" s="57">
        <f>+SUMIF('Chi tiết NVL'!$I:$I,$A76,'Chi tiết NVL'!M:M)</f>
        <v/>
      </c>
      <c r="E76" s="57">
        <f>+SUMIF('Chi tiết NVL'!$I:$I,$A76,'Chi tiết NVL'!N:N)</f>
        <v/>
      </c>
      <c r="F76" s="57">
        <f>+SUMIF('Chi tiết NVL'!$I:$I,$A76,'Chi tiết NVL'!O:O)</f>
        <v/>
      </c>
      <c r="G76" s="57">
        <f>+SUMIF('Chi tiết NVL'!$I:$I,$A76,'Chi tiết NVL'!P:P)</f>
        <v/>
      </c>
      <c r="H76" s="57">
        <f>+SUMIF('Chi tiết NVL'!$I:$I,$A76,'Chi tiết NVL'!Q:Q)</f>
        <v/>
      </c>
      <c r="I76" s="57">
        <f>+SUMIF('Chi tiết NVL'!$I:$I,$A76,'Chi tiết NVL'!R:R)</f>
        <v/>
      </c>
      <c r="J76" s="57">
        <f>+SUMIF('Chi tiết NVL'!$I:$I,$A76,'Chi tiết NVL'!S:S)</f>
        <v/>
      </c>
    </row>
    <row r="77">
      <c r="A77" s="56" t="inlineStr">
        <is>
          <t>Ty giằng 2 đầu ren 4.6 ZP M25</t>
        </is>
      </c>
      <c r="B77" s="56">
        <f>+VLOOKUP(A77,'Chi tiết NVL'!$I$10:$J$4158,2,0)</f>
        <v/>
      </c>
      <c r="C77" s="57">
        <f>+SUMIF('Chi tiết NVL'!$I:$I,$A77,'Chi tiết NVL'!L:L)</f>
        <v/>
      </c>
      <c r="D77" s="57">
        <f>+SUMIF('Chi tiết NVL'!$I:$I,$A77,'Chi tiết NVL'!M:M)</f>
        <v/>
      </c>
      <c r="E77" s="57">
        <f>+SUMIF('Chi tiết NVL'!$I:$I,$A77,'Chi tiết NVL'!N:N)</f>
        <v/>
      </c>
      <c r="F77" s="57">
        <f>+SUMIF('Chi tiết NVL'!$I:$I,$A77,'Chi tiết NVL'!O:O)</f>
        <v/>
      </c>
      <c r="G77" s="57">
        <f>+SUMIF('Chi tiết NVL'!$I:$I,$A77,'Chi tiết NVL'!P:P)</f>
        <v/>
      </c>
      <c r="H77" s="57">
        <f>+SUMIF('Chi tiết NVL'!$I:$I,$A77,'Chi tiết NVL'!Q:Q)</f>
        <v/>
      </c>
      <c r="I77" s="57">
        <f>+SUMIF('Chi tiết NVL'!$I:$I,$A77,'Chi tiết NVL'!R:R)</f>
        <v/>
      </c>
      <c r="J77" s="57">
        <f>+SUMIF('Chi tiết NVL'!$I:$I,$A77,'Chi tiết NVL'!S:S)</f>
        <v/>
      </c>
    </row>
    <row r="78">
      <c r="A78" s="56" t="inlineStr">
        <is>
          <t>Bulong nở 5.6 ZP M16x150</t>
        </is>
      </c>
      <c r="B78" s="56">
        <f>+VLOOKUP(A78,'Chi tiết NVL'!$I$10:$J$4158,2,0)</f>
        <v/>
      </c>
      <c r="C78" s="57">
        <f>+SUMIF('Chi tiết NVL'!$I:$I,$A78,'Chi tiết NVL'!L:L)</f>
        <v/>
      </c>
      <c r="D78" s="57">
        <f>+SUMIF('Chi tiết NVL'!$I:$I,$A78,'Chi tiết NVL'!M:M)</f>
        <v/>
      </c>
      <c r="E78" s="57">
        <f>+SUMIF('Chi tiết NVL'!$I:$I,$A78,'Chi tiết NVL'!N:N)</f>
        <v/>
      </c>
      <c r="F78" s="57">
        <f>+SUMIF('Chi tiết NVL'!$I:$I,$A78,'Chi tiết NVL'!O:O)</f>
        <v/>
      </c>
      <c r="G78" s="57">
        <f>+SUMIF('Chi tiết NVL'!$I:$I,$A78,'Chi tiết NVL'!P:P)</f>
        <v/>
      </c>
      <c r="H78" s="57">
        <f>+SUMIF('Chi tiết NVL'!$I:$I,$A78,'Chi tiết NVL'!Q:Q)</f>
        <v/>
      </c>
      <c r="I78" s="57">
        <f>+SUMIF('Chi tiết NVL'!$I:$I,$A78,'Chi tiết NVL'!R:R)</f>
        <v/>
      </c>
      <c r="J78" s="57">
        <f>+SUMIF('Chi tiết NVL'!$I:$I,$A78,'Chi tiết NVL'!S:S)</f>
        <v/>
      </c>
    </row>
    <row r="79">
      <c r="A79" s="56" t="inlineStr">
        <is>
          <t>Vít B2 Dacromet 12-24x32</t>
        </is>
      </c>
      <c r="B79" s="56">
        <f>+VLOOKUP(A79,'Chi tiết NVL'!$I$10:$J$4158,2,0)</f>
        <v/>
      </c>
      <c r="C79" s="57">
        <f>+SUMIF('Chi tiết NVL'!$I:$I,$A79,'Chi tiết NVL'!L:L)</f>
        <v/>
      </c>
      <c r="D79" s="57">
        <f>+SUMIF('Chi tiết NVL'!$I:$I,$A79,'Chi tiết NVL'!M:M)</f>
        <v/>
      </c>
      <c r="E79" s="57">
        <f>+SUMIF('Chi tiết NVL'!$I:$I,$A79,'Chi tiết NVL'!N:N)</f>
        <v/>
      </c>
      <c r="F79" s="57">
        <f>+SUMIF('Chi tiết NVL'!$I:$I,$A79,'Chi tiết NVL'!O:O)</f>
        <v/>
      </c>
      <c r="G79" s="57">
        <f>+SUMIF('Chi tiết NVL'!$I:$I,$A79,'Chi tiết NVL'!P:P)</f>
        <v/>
      </c>
      <c r="H79" s="57">
        <f>+SUMIF('Chi tiết NVL'!$I:$I,$A79,'Chi tiết NVL'!Q:Q)</f>
        <v/>
      </c>
      <c r="I79" s="57">
        <f>+SUMIF('Chi tiết NVL'!$I:$I,$A79,'Chi tiết NVL'!R:R)</f>
        <v/>
      </c>
      <c r="J79" s="57">
        <f>+SUMIF('Chi tiết NVL'!$I:$I,$A79,'Chi tiết NVL'!S:S)</f>
        <v/>
      </c>
    </row>
    <row r="80">
      <c r="A80" s="56" t="inlineStr">
        <is>
          <t>Bulong Din 933 8.8 ZP M30x100</t>
        </is>
      </c>
      <c r="B80" s="56">
        <f>+VLOOKUP(A80,'Chi tiết NVL'!$I$10:$J$4158,2,0)</f>
        <v/>
      </c>
      <c r="C80" s="57">
        <f>+SUMIF('Chi tiết NVL'!$I:$I,$A80,'Chi tiết NVL'!L:L)</f>
        <v/>
      </c>
      <c r="D80" s="57">
        <f>+SUMIF('Chi tiết NVL'!$I:$I,$A80,'Chi tiết NVL'!M:M)</f>
        <v/>
      </c>
      <c r="E80" s="57">
        <f>+SUMIF('Chi tiết NVL'!$I:$I,$A80,'Chi tiết NVL'!N:N)</f>
        <v/>
      </c>
      <c r="F80" s="57">
        <f>+SUMIF('Chi tiết NVL'!$I:$I,$A80,'Chi tiết NVL'!O:O)</f>
        <v/>
      </c>
      <c r="G80" s="57">
        <f>+SUMIF('Chi tiết NVL'!$I:$I,$A80,'Chi tiết NVL'!P:P)</f>
        <v/>
      </c>
      <c r="H80" s="57">
        <f>+SUMIF('Chi tiết NVL'!$I:$I,$A80,'Chi tiết NVL'!Q:Q)</f>
        <v/>
      </c>
      <c r="I80" s="57">
        <f>+SUMIF('Chi tiết NVL'!$I:$I,$A80,'Chi tiết NVL'!R:R)</f>
        <v/>
      </c>
      <c r="J80" s="57">
        <f>+SUMIF('Chi tiết NVL'!$I:$I,$A80,'Chi tiết NVL'!S:S)</f>
        <v/>
      </c>
    </row>
    <row r="81">
      <c r="A81" s="56" t="inlineStr">
        <is>
          <t>Đai ốc Din 934 8 ZP M30</t>
        </is>
      </c>
      <c r="B81" s="56">
        <f>+VLOOKUP(A81,'Chi tiết NVL'!$I$10:$J$4158,2,0)</f>
        <v/>
      </c>
      <c r="C81" s="57">
        <f>+SUMIF('Chi tiết NVL'!$I:$I,$A81,'Chi tiết NVL'!L:L)</f>
        <v/>
      </c>
      <c r="D81" s="57">
        <f>+SUMIF('Chi tiết NVL'!$I:$I,$A81,'Chi tiết NVL'!M:M)</f>
        <v/>
      </c>
      <c r="E81" s="57">
        <f>+SUMIF('Chi tiết NVL'!$I:$I,$A81,'Chi tiết NVL'!N:N)</f>
        <v/>
      </c>
      <c r="F81" s="57">
        <f>+SUMIF('Chi tiết NVL'!$I:$I,$A81,'Chi tiết NVL'!O:O)</f>
        <v/>
      </c>
      <c r="G81" s="57">
        <f>+SUMIF('Chi tiết NVL'!$I:$I,$A81,'Chi tiết NVL'!P:P)</f>
        <v/>
      </c>
      <c r="H81" s="57">
        <f>+SUMIF('Chi tiết NVL'!$I:$I,$A81,'Chi tiết NVL'!Q:Q)</f>
        <v/>
      </c>
      <c r="I81" s="57">
        <f>+SUMIF('Chi tiết NVL'!$I:$I,$A81,'Chi tiết NVL'!R:R)</f>
        <v/>
      </c>
      <c r="J81" s="57">
        <f>+SUMIF('Chi tiết NVL'!$I:$I,$A81,'Chi tiết NVL'!S:S)</f>
        <v/>
      </c>
    </row>
    <row r="82">
      <c r="A82" s="56" t="inlineStr">
        <is>
          <t>Long đền thường ZP M30B50D2</t>
        </is>
      </c>
      <c r="B82" s="56">
        <f>+VLOOKUP(A82,'Chi tiết NVL'!$I$10:$J$4158,2,0)</f>
        <v/>
      </c>
      <c r="C82" s="57">
        <f>+SUMIF('Chi tiết NVL'!$I:$I,$A82,'Chi tiết NVL'!L:L)</f>
        <v/>
      </c>
      <c r="D82" s="57">
        <f>+SUMIF('Chi tiết NVL'!$I:$I,$A82,'Chi tiết NVL'!M:M)</f>
        <v/>
      </c>
      <c r="E82" s="57">
        <f>+SUMIF('Chi tiết NVL'!$I:$I,$A82,'Chi tiết NVL'!N:N)</f>
        <v/>
      </c>
      <c r="F82" s="57">
        <f>+SUMIF('Chi tiết NVL'!$I:$I,$A82,'Chi tiết NVL'!O:O)</f>
        <v/>
      </c>
      <c r="G82" s="57">
        <f>+SUMIF('Chi tiết NVL'!$I:$I,$A82,'Chi tiết NVL'!P:P)</f>
        <v/>
      </c>
      <c r="H82" s="57">
        <f>+SUMIF('Chi tiết NVL'!$I:$I,$A82,'Chi tiết NVL'!Q:Q)</f>
        <v/>
      </c>
      <c r="I82" s="57">
        <f>+SUMIF('Chi tiết NVL'!$I:$I,$A82,'Chi tiết NVL'!R:R)</f>
        <v/>
      </c>
      <c r="J82" s="57">
        <f>+SUMIF('Chi tiết NVL'!$I:$I,$A82,'Chi tiết NVL'!S:S)</f>
        <v/>
      </c>
    </row>
    <row r="83">
      <c r="A83" s="56" t="inlineStr">
        <is>
          <t>Bulong thường 4.6 ZP M12x40</t>
        </is>
      </c>
      <c r="B83" s="56">
        <f>+VLOOKUP(A83,'Chi tiết NVL'!$I$10:$J$4158,2,0)</f>
        <v/>
      </c>
      <c r="C83" s="57">
        <f>+SUMIF('Chi tiết NVL'!$I:$I,$A83,'Chi tiết NVL'!L:L)</f>
        <v/>
      </c>
      <c r="D83" s="57">
        <f>+SUMIF('Chi tiết NVL'!$I:$I,$A83,'Chi tiết NVL'!M:M)</f>
        <v/>
      </c>
      <c r="E83" s="57">
        <f>+SUMIF('Chi tiết NVL'!$I:$I,$A83,'Chi tiết NVL'!N:N)</f>
        <v/>
      </c>
      <c r="F83" s="57">
        <f>+SUMIF('Chi tiết NVL'!$I:$I,$A83,'Chi tiết NVL'!O:O)</f>
        <v/>
      </c>
      <c r="G83" s="57">
        <f>+SUMIF('Chi tiết NVL'!$I:$I,$A83,'Chi tiết NVL'!P:P)</f>
        <v/>
      </c>
      <c r="H83" s="57">
        <f>+SUMIF('Chi tiết NVL'!$I:$I,$A83,'Chi tiết NVL'!Q:Q)</f>
        <v/>
      </c>
      <c r="I83" s="57">
        <f>+SUMIF('Chi tiết NVL'!$I:$I,$A83,'Chi tiết NVL'!R:R)</f>
        <v/>
      </c>
      <c r="J83" s="57">
        <f>+SUMIF('Chi tiết NVL'!$I:$I,$A83,'Chi tiết NVL'!S:S)</f>
        <v/>
      </c>
    </row>
    <row r="84">
      <c r="A84" s="56" t="inlineStr">
        <is>
          <t>Cung cấp vật tư , nhân công gia công</t>
        </is>
      </c>
      <c r="B84" s="56">
        <f>+VLOOKUP(A84,'Chi tiết NVL'!$I$10:$J$4158,2,0)</f>
        <v/>
      </c>
      <c r="C84" s="57">
        <f>+SUMIF('Chi tiết NVL'!$I:$I,$A84,'Chi tiết NVL'!L:L)</f>
        <v/>
      </c>
      <c r="D84" s="57">
        <f>+SUMIF('Chi tiết NVL'!$I:$I,$A84,'Chi tiết NVL'!M:M)</f>
        <v/>
      </c>
      <c r="E84" s="57">
        <f>+SUMIF('Chi tiết NVL'!$I:$I,$A84,'Chi tiết NVL'!N:N)</f>
        <v/>
      </c>
      <c r="F84" s="57">
        <f>+SUMIF('Chi tiết NVL'!$I:$I,$A84,'Chi tiết NVL'!O:O)</f>
        <v/>
      </c>
      <c r="G84" s="57">
        <f>+SUMIF('Chi tiết NVL'!$I:$I,$A84,'Chi tiết NVL'!P:P)</f>
        <v/>
      </c>
      <c r="H84" s="57">
        <f>+SUMIF('Chi tiết NVL'!$I:$I,$A84,'Chi tiết NVL'!Q:Q)</f>
        <v/>
      </c>
      <c r="I84" s="57">
        <f>+SUMIF('Chi tiết NVL'!$I:$I,$A84,'Chi tiết NVL'!R:R)</f>
        <v/>
      </c>
      <c r="J84" s="57">
        <f>+SUMIF('Chi tiết NVL'!$I:$I,$A84,'Chi tiết NVL'!S:S)</f>
        <v/>
      </c>
    </row>
    <row r="85">
      <c r="A85" s="56" t="inlineStr">
        <is>
          <t>SƠN FUTURA CLASSIC RAL9005   19.06L</t>
        </is>
      </c>
      <c r="B85" s="56">
        <f>+VLOOKUP(A85,'Chi tiết NVL'!$I$10:$J$4158,2,0)</f>
        <v/>
      </c>
      <c r="C85" s="57">
        <f>+SUMIF('Chi tiết NVL'!$I:$I,$A85,'Chi tiết NVL'!L:L)</f>
        <v/>
      </c>
      <c r="D85" s="57">
        <f>+SUMIF('Chi tiết NVL'!$I:$I,$A85,'Chi tiết NVL'!M:M)</f>
        <v/>
      </c>
      <c r="E85" s="57">
        <f>+SUMIF('Chi tiết NVL'!$I:$I,$A85,'Chi tiết NVL'!N:N)</f>
        <v/>
      </c>
      <c r="F85" s="57">
        <f>+SUMIF('Chi tiết NVL'!$I:$I,$A85,'Chi tiết NVL'!O:O)</f>
        <v/>
      </c>
      <c r="G85" s="57">
        <f>+SUMIF('Chi tiết NVL'!$I:$I,$A85,'Chi tiết NVL'!P:P)</f>
        <v/>
      </c>
      <c r="H85" s="57">
        <f>+SUMIF('Chi tiết NVL'!$I:$I,$A85,'Chi tiết NVL'!Q:Q)</f>
        <v/>
      </c>
      <c r="I85" s="57">
        <f>+SUMIF('Chi tiết NVL'!$I:$I,$A85,'Chi tiết NVL'!R:R)</f>
        <v/>
      </c>
      <c r="J85" s="57">
        <f>+SUMIF('Chi tiết NVL'!$I:$I,$A85,'Chi tiết NVL'!S:S)</f>
        <v/>
      </c>
    </row>
    <row r="86">
      <c r="A86" s="56" t="inlineStr">
        <is>
          <t>SƠN FUTURA CLASSIC RAL9005      4.77L</t>
        </is>
      </c>
      <c r="B86" s="56">
        <f>+VLOOKUP(A86,'Chi tiết NVL'!$I$10:$J$4158,2,0)</f>
        <v/>
      </c>
      <c r="C86" s="57">
        <f>+SUMIF('Chi tiết NVL'!$I:$I,$A86,'Chi tiết NVL'!L:L)</f>
        <v/>
      </c>
      <c r="D86" s="57">
        <f>+SUMIF('Chi tiết NVL'!$I:$I,$A86,'Chi tiết NVL'!M:M)</f>
        <v/>
      </c>
      <c r="E86" s="57">
        <f>+SUMIF('Chi tiết NVL'!$I:$I,$A86,'Chi tiết NVL'!N:N)</f>
        <v/>
      </c>
      <c r="F86" s="57">
        <f>+SUMIF('Chi tiết NVL'!$I:$I,$A86,'Chi tiết NVL'!O:O)</f>
        <v/>
      </c>
      <c r="G86" s="57">
        <f>+SUMIF('Chi tiết NVL'!$I:$I,$A86,'Chi tiết NVL'!P:P)</f>
        <v/>
      </c>
      <c r="H86" s="57">
        <f>+SUMIF('Chi tiết NVL'!$I:$I,$A86,'Chi tiết NVL'!Q:Q)</f>
        <v/>
      </c>
      <c r="I86" s="57">
        <f>+SUMIF('Chi tiết NVL'!$I:$I,$A86,'Chi tiết NVL'!R:R)</f>
        <v/>
      </c>
      <c r="J86" s="57">
        <f>+SUMIF('Chi tiết NVL'!$I:$I,$A86,'Chi tiết NVL'!S:S)</f>
        <v/>
      </c>
    </row>
    <row r="87">
      <c r="A87" s="56" t="inlineStr">
        <is>
          <t>SƠN FUTURA CLASSIC STD 0139   18.81L</t>
        </is>
      </c>
      <c r="B87" s="56">
        <f>+VLOOKUP(A87,'Chi tiết NVL'!$I$10:$J$4158,2,0)</f>
        <v/>
      </c>
      <c r="C87" s="57">
        <f>+SUMIF('Chi tiết NVL'!$I:$I,$A87,'Chi tiết NVL'!L:L)</f>
        <v/>
      </c>
      <c r="D87" s="57">
        <f>+SUMIF('Chi tiết NVL'!$I:$I,$A87,'Chi tiết NVL'!M:M)</f>
        <v/>
      </c>
      <c r="E87" s="57">
        <f>+SUMIF('Chi tiết NVL'!$I:$I,$A87,'Chi tiết NVL'!N:N)</f>
        <v/>
      </c>
      <c r="F87" s="57">
        <f>+SUMIF('Chi tiết NVL'!$I:$I,$A87,'Chi tiết NVL'!O:O)</f>
        <v/>
      </c>
      <c r="G87" s="57">
        <f>+SUMIF('Chi tiết NVL'!$I:$I,$A87,'Chi tiết NVL'!P:P)</f>
        <v/>
      </c>
      <c r="H87" s="57">
        <f>+SUMIF('Chi tiết NVL'!$I:$I,$A87,'Chi tiết NVL'!Q:Q)</f>
        <v/>
      </c>
      <c r="I87" s="57">
        <f>+SUMIF('Chi tiết NVL'!$I:$I,$A87,'Chi tiết NVL'!R:R)</f>
        <v/>
      </c>
      <c r="J87" s="57">
        <f>+SUMIF('Chi tiết NVL'!$I:$I,$A87,'Chi tiết NVL'!S:S)</f>
        <v/>
      </c>
    </row>
    <row r="88">
      <c r="A88" s="56" t="inlineStr">
        <is>
          <t>SƠN FUTURA CLASSIC STD 0139    4.97L</t>
        </is>
      </c>
      <c r="B88" s="56">
        <f>+VLOOKUP(A88,'Chi tiết NVL'!$I$10:$J$4158,2,0)</f>
        <v/>
      </c>
      <c r="C88" s="57">
        <f>+SUMIF('Chi tiết NVL'!$I:$I,$A88,'Chi tiết NVL'!L:L)</f>
        <v/>
      </c>
      <c r="D88" s="57">
        <f>+SUMIF('Chi tiết NVL'!$I:$I,$A88,'Chi tiết NVL'!M:M)</f>
        <v/>
      </c>
      <c r="E88" s="57">
        <f>+SUMIF('Chi tiết NVL'!$I:$I,$A88,'Chi tiết NVL'!N:N)</f>
        <v/>
      </c>
      <c r="F88" s="57">
        <f>+SUMIF('Chi tiết NVL'!$I:$I,$A88,'Chi tiết NVL'!O:O)</f>
        <v/>
      </c>
      <c r="G88" s="57">
        <f>+SUMIF('Chi tiết NVL'!$I:$I,$A88,'Chi tiết NVL'!P:P)</f>
        <v/>
      </c>
      <c r="H88" s="57">
        <f>+SUMIF('Chi tiết NVL'!$I:$I,$A88,'Chi tiết NVL'!Q:Q)</f>
        <v/>
      </c>
      <c r="I88" s="57">
        <f>+SUMIF('Chi tiết NVL'!$I:$I,$A88,'Chi tiết NVL'!R:R)</f>
        <v/>
      </c>
      <c r="J88" s="57">
        <f>+SUMIF('Chi tiết NVL'!$I:$I,$A88,'Chi tiết NVL'!S:S)</f>
        <v/>
      </c>
    </row>
    <row r="89">
      <c r="A89" s="56" t="inlineStr">
        <is>
          <t>Thép dày mạ kẽm</t>
        </is>
      </c>
      <c r="B89" s="56">
        <f>+VLOOKUP(A89,'Chi tiết NVL'!$I$10:$J$4158,2,0)</f>
        <v/>
      </c>
      <c r="C89" s="57">
        <f>+SUMIF('Chi tiết NVL'!$I:$I,$A89,'Chi tiết NVL'!L:L)</f>
        <v/>
      </c>
      <c r="D89" s="57">
        <f>+SUMIF('Chi tiết NVL'!$I:$I,$A89,'Chi tiết NVL'!M:M)</f>
        <v/>
      </c>
      <c r="E89" s="57">
        <f>+SUMIF('Chi tiết NVL'!$I:$I,$A89,'Chi tiết NVL'!N:N)</f>
        <v/>
      </c>
      <c r="F89" s="57">
        <f>+SUMIF('Chi tiết NVL'!$I:$I,$A89,'Chi tiết NVL'!O:O)</f>
        <v/>
      </c>
      <c r="G89" s="57">
        <f>+SUMIF('Chi tiết NVL'!$I:$I,$A89,'Chi tiết NVL'!P:P)</f>
        <v/>
      </c>
      <c r="H89" s="57">
        <f>+SUMIF('Chi tiết NVL'!$I:$I,$A89,'Chi tiết NVL'!Q:Q)</f>
        <v/>
      </c>
      <c r="I89" s="57">
        <f>+SUMIF('Chi tiết NVL'!$I:$I,$A89,'Chi tiết NVL'!R:R)</f>
        <v/>
      </c>
      <c r="J89" s="57">
        <f>+SUMIF('Chi tiết NVL'!$I:$I,$A89,'Chi tiết NVL'!S:S)</f>
        <v/>
      </c>
    </row>
    <row r="90">
      <c r="A90" s="56" t="inlineStr">
        <is>
          <t>Tôn mạ kẽm</t>
        </is>
      </c>
      <c r="B90" s="56">
        <f>+VLOOKUP(A90,'Chi tiết NVL'!$I$10:$J$4158,2,0)</f>
        <v/>
      </c>
      <c r="C90" s="57">
        <f>+SUMIF('Chi tiết NVL'!$I:$I,$A90,'Chi tiết NVL'!L:L)</f>
        <v/>
      </c>
      <c r="D90" s="57">
        <f>+SUMIF('Chi tiết NVL'!$I:$I,$A90,'Chi tiết NVL'!M:M)</f>
        <v/>
      </c>
      <c r="E90" s="57">
        <f>+SUMIF('Chi tiết NVL'!$I:$I,$A90,'Chi tiết NVL'!N:N)</f>
        <v/>
      </c>
      <c r="F90" s="57">
        <f>+SUMIF('Chi tiết NVL'!$I:$I,$A90,'Chi tiết NVL'!O:O)</f>
        <v/>
      </c>
      <c r="G90" s="57">
        <f>+SUMIF('Chi tiết NVL'!$I:$I,$A90,'Chi tiết NVL'!P:P)</f>
        <v/>
      </c>
      <c r="H90" s="57">
        <f>+SUMIF('Chi tiết NVL'!$I:$I,$A90,'Chi tiết NVL'!Q:Q)</f>
        <v/>
      </c>
      <c r="I90" s="57">
        <f>+SUMIF('Chi tiết NVL'!$I:$I,$A90,'Chi tiết NVL'!R:R)</f>
        <v/>
      </c>
      <c r="J90" s="57">
        <f>+SUMIF('Chi tiết NVL'!$I:$I,$A90,'Chi tiết NVL'!S:S)</f>
        <v/>
      </c>
    </row>
    <row r="91">
      <c r="A91" s="56" t="inlineStr">
        <is>
          <t>Xà gồ kẽm Z</t>
        </is>
      </c>
      <c r="B91" s="56">
        <f>+VLOOKUP(A91,'Chi tiết NVL'!$I$10:$J$4158,2,0)</f>
        <v/>
      </c>
      <c r="C91" s="57">
        <f>+SUMIF('Chi tiết NVL'!$I:$I,$A91,'Chi tiết NVL'!L:L)</f>
        <v/>
      </c>
      <c r="D91" s="57">
        <f>+SUMIF('Chi tiết NVL'!$I:$I,$A91,'Chi tiết NVL'!M:M)</f>
        <v/>
      </c>
      <c r="E91" s="57">
        <f>+SUMIF('Chi tiết NVL'!$I:$I,$A91,'Chi tiết NVL'!N:N)</f>
        <v/>
      </c>
      <c r="F91" s="57">
        <f>+SUMIF('Chi tiết NVL'!$I:$I,$A91,'Chi tiết NVL'!O:O)</f>
        <v/>
      </c>
      <c r="G91" s="57">
        <f>+SUMIF('Chi tiết NVL'!$I:$I,$A91,'Chi tiết NVL'!P:P)</f>
        <v/>
      </c>
      <c r="H91" s="57">
        <f>+SUMIF('Chi tiết NVL'!$I:$I,$A91,'Chi tiết NVL'!Q:Q)</f>
        <v/>
      </c>
      <c r="I91" s="57">
        <f>+SUMIF('Chi tiết NVL'!$I:$I,$A91,'Chi tiết NVL'!R:R)</f>
        <v/>
      </c>
      <c r="J91" s="57">
        <f>+SUMIF('Chi tiết NVL'!$I:$I,$A91,'Chi tiết NVL'!S:S)</f>
        <v/>
      </c>
    </row>
    <row r="92">
      <c r="A92" s="56" t="inlineStr">
        <is>
          <t>Bulong nở 5.6 ZP M12x100</t>
        </is>
      </c>
      <c r="B92" s="56">
        <f>+VLOOKUP(A92,'Chi tiết NVL'!$I$10:$J$4158,2,0)</f>
        <v/>
      </c>
      <c r="C92" s="57">
        <f>+SUMIF('Chi tiết NVL'!$I:$I,$A92,'Chi tiết NVL'!L:L)</f>
        <v/>
      </c>
      <c r="D92" s="57">
        <f>+SUMIF('Chi tiết NVL'!$I:$I,$A92,'Chi tiết NVL'!M:M)</f>
        <v/>
      </c>
      <c r="E92" s="57">
        <f>+SUMIF('Chi tiết NVL'!$I:$I,$A92,'Chi tiết NVL'!N:N)</f>
        <v/>
      </c>
      <c r="F92" s="57">
        <f>+SUMIF('Chi tiết NVL'!$I:$I,$A92,'Chi tiết NVL'!O:O)</f>
        <v/>
      </c>
      <c r="G92" s="57">
        <f>+SUMIF('Chi tiết NVL'!$I:$I,$A92,'Chi tiết NVL'!P:P)</f>
        <v/>
      </c>
      <c r="H92" s="57">
        <f>+SUMIF('Chi tiết NVL'!$I:$I,$A92,'Chi tiết NVL'!Q:Q)</f>
        <v/>
      </c>
      <c r="I92" s="57">
        <f>+SUMIF('Chi tiết NVL'!$I:$I,$A92,'Chi tiết NVL'!R:R)</f>
        <v/>
      </c>
      <c r="J92" s="57">
        <f>+SUMIF('Chi tiết NVL'!$I:$I,$A92,'Chi tiết NVL'!S:S)</f>
        <v/>
      </c>
    </row>
    <row r="93">
      <c r="A93" s="56" t="inlineStr">
        <is>
          <t>Bulong nở 5.6 ZP M16x180</t>
        </is>
      </c>
      <c r="B93" s="56">
        <f>+VLOOKUP(A93,'Chi tiết NVL'!$I$10:$J$4158,2,0)</f>
        <v/>
      </c>
      <c r="C93" s="57">
        <f>+SUMIF('Chi tiết NVL'!$I:$I,$A93,'Chi tiết NVL'!L:L)</f>
        <v/>
      </c>
      <c r="D93" s="57">
        <f>+SUMIF('Chi tiết NVL'!$I:$I,$A93,'Chi tiết NVL'!M:M)</f>
        <v/>
      </c>
      <c r="E93" s="57">
        <f>+SUMIF('Chi tiết NVL'!$I:$I,$A93,'Chi tiết NVL'!N:N)</f>
        <v/>
      </c>
      <c r="F93" s="57">
        <f>+SUMIF('Chi tiết NVL'!$I:$I,$A93,'Chi tiết NVL'!O:O)</f>
        <v/>
      </c>
      <c r="G93" s="57">
        <f>+SUMIF('Chi tiết NVL'!$I:$I,$A93,'Chi tiết NVL'!P:P)</f>
        <v/>
      </c>
      <c r="H93" s="57">
        <f>+SUMIF('Chi tiết NVL'!$I:$I,$A93,'Chi tiết NVL'!Q:Q)</f>
        <v/>
      </c>
      <c r="I93" s="57">
        <f>+SUMIF('Chi tiết NVL'!$I:$I,$A93,'Chi tiết NVL'!R:R)</f>
        <v/>
      </c>
      <c r="J93" s="57">
        <f>+SUMIF('Chi tiết NVL'!$I:$I,$A93,'Chi tiết NVL'!S:S)</f>
        <v/>
      </c>
    </row>
    <row r="94">
      <c r="A94" s="56" t="inlineStr">
        <is>
          <t>Bulong Din 933 8.8 ZP M16x40</t>
        </is>
      </c>
      <c r="B94" s="56">
        <f>+VLOOKUP(A94,'Chi tiết NVL'!$I$10:$J$4158,2,0)</f>
        <v/>
      </c>
      <c r="C94" s="57">
        <f>+SUMIF('Chi tiết NVL'!$I:$I,$A94,'Chi tiết NVL'!L:L)</f>
        <v/>
      </c>
      <c r="D94" s="57">
        <f>+SUMIF('Chi tiết NVL'!$I:$I,$A94,'Chi tiết NVL'!M:M)</f>
        <v/>
      </c>
      <c r="E94" s="57">
        <f>+SUMIF('Chi tiết NVL'!$I:$I,$A94,'Chi tiết NVL'!N:N)</f>
        <v/>
      </c>
      <c r="F94" s="57">
        <f>+SUMIF('Chi tiết NVL'!$I:$I,$A94,'Chi tiết NVL'!O:O)</f>
        <v/>
      </c>
      <c r="G94" s="57">
        <f>+SUMIF('Chi tiết NVL'!$I:$I,$A94,'Chi tiết NVL'!P:P)</f>
        <v/>
      </c>
      <c r="H94" s="57">
        <f>+SUMIF('Chi tiết NVL'!$I:$I,$A94,'Chi tiết NVL'!Q:Q)</f>
        <v/>
      </c>
      <c r="I94" s="57">
        <f>+SUMIF('Chi tiết NVL'!$I:$I,$A94,'Chi tiết NVL'!R:R)</f>
        <v/>
      </c>
      <c r="J94" s="57">
        <f>+SUMIF('Chi tiết NVL'!$I:$I,$A94,'Chi tiết NVL'!S:S)</f>
        <v/>
      </c>
    </row>
    <row r="95">
      <c r="A95" s="56" t="inlineStr">
        <is>
          <t>Đinh hàn 4.8 M16x70</t>
        </is>
      </c>
      <c r="B95" s="56">
        <f>+VLOOKUP(A95,'Chi tiết NVL'!$I$10:$J$4158,2,0)</f>
        <v/>
      </c>
      <c r="C95" s="57">
        <f>+SUMIF('Chi tiết NVL'!$I:$I,$A95,'Chi tiết NVL'!L:L)</f>
        <v/>
      </c>
      <c r="D95" s="57">
        <f>+SUMIF('Chi tiết NVL'!$I:$I,$A95,'Chi tiết NVL'!M:M)</f>
        <v/>
      </c>
      <c r="E95" s="57">
        <f>+SUMIF('Chi tiết NVL'!$I:$I,$A95,'Chi tiết NVL'!N:N)</f>
        <v/>
      </c>
      <c r="F95" s="57">
        <f>+SUMIF('Chi tiết NVL'!$I:$I,$A95,'Chi tiết NVL'!O:O)</f>
        <v/>
      </c>
      <c r="G95" s="57">
        <f>+SUMIF('Chi tiết NVL'!$I:$I,$A95,'Chi tiết NVL'!P:P)</f>
        <v/>
      </c>
      <c r="H95" s="57">
        <f>+SUMIF('Chi tiết NVL'!$I:$I,$A95,'Chi tiết NVL'!Q:Q)</f>
        <v/>
      </c>
      <c r="I95" s="57">
        <f>+SUMIF('Chi tiết NVL'!$I:$I,$A95,'Chi tiết NVL'!R:R)</f>
        <v/>
      </c>
      <c r="J95" s="57">
        <f>+SUMIF('Chi tiết NVL'!$I:$I,$A95,'Chi tiết NVL'!S:S)</f>
        <v/>
      </c>
    </row>
    <row r="96">
      <c r="A96" s="56" t="inlineStr">
        <is>
          <t>Vít B3 Dacromet 12-14x20</t>
        </is>
      </c>
      <c r="B96" s="56">
        <f>+VLOOKUP(A96,'Chi tiết NVL'!$I$10:$J$4158,2,0)</f>
        <v/>
      </c>
      <c r="C96" s="57">
        <f>+SUMIF('Chi tiết NVL'!$I:$I,$A96,'Chi tiết NVL'!L:L)</f>
        <v/>
      </c>
      <c r="D96" s="57">
        <f>+SUMIF('Chi tiết NVL'!$I:$I,$A96,'Chi tiết NVL'!M:M)</f>
        <v/>
      </c>
      <c r="E96" s="57">
        <f>+SUMIF('Chi tiết NVL'!$I:$I,$A96,'Chi tiết NVL'!N:N)</f>
        <v/>
      </c>
      <c r="F96" s="57">
        <f>+SUMIF('Chi tiết NVL'!$I:$I,$A96,'Chi tiết NVL'!O:O)</f>
        <v/>
      </c>
      <c r="G96" s="57">
        <f>+SUMIF('Chi tiết NVL'!$I:$I,$A96,'Chi tiết NVL'!P:P)</f>
        <v/>
      </c>
      <c r="H96" s="57">
        <f>+SUMIF('Chi tiết NVL'!$I:$I,$A96,'Chi tiết NVL'!Q:Q)</f>
        <v/>
      </c>
      <c r="I96" s="57">
        <f>+SUMIF('Chi tiết NVL'!$I:$I,$A96,'Chi tiết NVL'!R:R)</f>
        <v/>
      </c>
      <c r="J96" s="57">
        <f>+SUMIF('Chi tiết NVL'!$I:$I,$A96,'Chi tiết NVL'!S:S)</f>
        <v/>
      </c>
    </row>
    <row r="97">
      <c r="A97" s="56" t="inlineStr">
        <is>
          <t>Ty ren suốt 5.6 (đầu vát-đầu lục giác) ZP M24x250</t>
        </is>
      </c>
      <c r="B97" s="56">
        <f>+VLOOKUP(A97,'Chi tiết NVL'!$I$10:$J$4158,2,0)</f>
        <v/>
      </c>
      <c r="C97" s="57">
        <f>+SUMIF('Chi tiết NVL'!$I:$I,$A97,'Chi tiết NVL'!L:L)</f>
        <v/>
      </c>
      <c r="D97" s="57">
        <f>+SUMIF('Chi tiết NVL'!$I:$I,$A97,'Chi tiết NVL'!M:M)</f>
        <v/>
      </c>
      <c r="E97" s="57">
        <f>+SUMIF('Chi tiết NVL'!$I:$I,$A97,'Chi tiết NVL'!N:N)</f>
        <v/>
      </c>
      <c r="F97" s="57">
        <f>+SUMIF('Chi tiết NVL'!$I:$I,$A97,'Chi tiết NVL'!O:O)</f>
        <v/>
      </c>
      <c r="G97" s="57">
        <f>+SUMIF('Chi tiết NVL'!$I:$I,$A97,'Chi tiết NVL'!P:P)</f>
        <v/>
      </c>
      <c r="H97" s="57">
        <f>+SUMIF('Chi tiết NVL'!$I:$I,$A97,'Chi tiết NVL'!Q:Q)</f>
        <v/>
      </c>
      <c r="I97" s="57">
        <f>+SUMIF('Chi tiết NVL'!$I:$I,$A97,'Chi tiết NVL'!R:R)</f>
        <v/>
      </c>
      <c r="J97" s="57">
        <f>+SUMIF('Chi tiết NVL'!$I:$I,$A97,'Chi tiết NVL'!S:S)</f>
        <v/>
      </c>
    </row>
    <row r="98">
      <c r="A98" s="56" t="inlineStr">
        <is>
          <t>Hóa chất HIT-RE 500 V4</t>
        </is>
      </c>
      <c r="B98" s="56">
        <f>+VLOOKUP(A98,'Chi tiết NVL'!$I$10:$J$4158,2,0)</f>
        <v/>
      </c>
      <c r="C98" s="57">
        <f>+SUMIF('Chi tiết NVL'!$I:$I,$A98,'Chi tiết NVL'!L:L)</f>
        <v/>
      </c>
      <c r="D98" s="57">
        <f>+SUMIF('Chi tiết NVL'!$I:$I,$A98,'Chi tiết NVL'!M:M)</f>
        <v/>
      </c>
      <c r="E98" s="57">
        <f>+SUMIF('Chi tiết NVL'!$I:$I,$A98,'Chi tiết NVL'!N:N)</f>
        <v/>
      </c>
      <c r="F98" s="57">
        <f>+SUMIF('Chi tiết NVL'!$I:$I,$A98,'Chi tiết NVL'!O:O)</f>
        <v/>
      </c>
      <c r="G98" s="57">
        <f>+SUMIF('Chi tiết NVL'!$I:$I,$A98,'Chi tiết NVL'!P:P)</f>
        <v/>
      </c>
      <c r="H98" s="57">
        <f>+SUMIF('Chi tiết NVL'!$I:$I,$A98,'Chi tiết NVL'!Q:Q)</f>
        <v/>
      </c>
      <c r="I98" s="57">
        <f>+SUMIF('Chi tiết NVL'!$I:$I,$A98,'Chi tiết NVL'!R:R)</f>
        <v/>
      </c>
      <c r="J98" s="57">
        <f>+SUMIF('Chi tiết NVL'!$I:$I,$A98,'Chi tiết NVL'!S:S)</f>
        <v/>
      </c>
    </row>
    <row r="99">
      <c r="A99" s="56" t="inlineStr">
        <is>
          <t>SƠN FUTURA CLASSIC STD0139     18.81L</t>
        </is>
      </c>
      <c r="B99" s="56">
        <f>+VLOOKUP(A99,'Chi tiết NVL'!$I$10:$J$4158,2,0)</f>
        <v/>
      </c>
      <c r="C99" s="57">
        <f>+SUMIF('Chi tiết NVL'!$I:$I,$A99,'Chi tiết NVL'!L:L)</f>
        <v/>
      </c>
      <c r="D99" s="57">
        <f>+SUMIF('Chi tiết NVL'!$I:$I,$A99,'Chi tiết NVL'!M:M)</f>
        <v/>
      </c>
      <c r="E99" s="57">
        <f>+SUMIF('Chi tiết NVL'!$I:$I,$A99,'Chi tiết NVL'!N:N)</f>
        <v/>
      </c>
      <c r="F99" s="57">
        <f>+SUMIF('Chi tiết NVL'!$I:$I,$A99,'Chi tiết NVL'!O:O)</f>
        <v/>
      </c>
      <c r="G99" s="57">
        <f>+SUMIF('Chi tiết NVL'!$I:$I,$A99,'Chi tiết NVL'!P:P)</f>
        <v/>
      </c>
      <c r="H99" s="57">
        <f>+SUMIF('Chi tiết NVL'!$I:$I,$A99,'Chi tiết NVL'!Q:Q)</f>
        <v/>
      </c>
      <c r="I99" s="57">
        <f>+SUMIF('Chi tiết NVL'!$I:$I,$A99,'Chi tiết NVL'!R:R)</f>
        <v/>
      </c>
      <c r="J99" s="57">
        <f>+SUMIF('Chi tiết NVL'!$I:$I,$A99,'Chi tiết NVL'!S:S)</f>
        <v/>
      </c>
    </row>
    <row r="100">
      <c r="A100" s="56" t="inlineStr">
        <is>
          <t>Thép ống 26.65x2.0x6m - Đen</t>
        </is>
      </c>
      <c r="B100" s="56">
        <f>+VLOOKUP(A100,'Chi tiết NVL'!$I$10:$J$4158,2,0)</f>
        <v/>
      </c>
      <c r="C100" s="57">
        <f>+SUMIF('Chi tiết NVL'!$I:$I,$A100,'Chi tiết NVL'!L:L)</f>
        <v/>
      </c>
      <c r="D100" s="57">
        <f>+SUMIF('Chi tiết NVL'!$I:$I,$A100,'Chi tiết NVL'!M:M)</f>
        <v/>
      </c>
      <c r="E100" s="57">
        <f>+SUMIF('Chi tiết NVL'!$I:$I,$A100,'Chi tiết NVL'!N:N)</f>
        <v/>
      </c>
      <c r="F100" s="57">
        <f>+SUMIF('Chi tiết NVL'!$I:$I,$A100,'Chi tiết NVL'!O:O)</f>
        <v/>
      </c>
      <c r="G100" s="57">
        <f>+SUMIF('Chi tiết NVL'!$I:$I,$A100,'Chi tiết NVL'!P:P)</f>
        <v/>
      </c>
      <c r="H100" s="57">
        <f>+SUMIF('Chi tiết NVL'!$I:$I,$A100,'Chi tiết NVL'!Q:Q)</f>
        <v/>
      </c>
      <c r="I100" s="57">
        <f>+SUMIF('Chi tiết NVL'!$I:$I,$A100,'Chi tiết NVL'!R:R)</f>
        <v/>
      </c>
      <c r="J100" s="57">
        <f>+SUMIF('Chi tiết NVL'!$I:$I,$A100,'Chi tiết NVL'!S:S)</f>
        <v/>
      </c>
    </row>
    <row r="101">
      <c r="A101" s="56" t="inlineStr">
        <is>
          <t>Thép ống 42.2x3.0x6m - Đen</t>
        </is>
      </c>
      <c r="B101" s="56">
        <f>+VLOOKUP(A101,'Chi tiết NVL'!$I$10:$J$4158,2,0)</f>
        <v/>
      </c>
      <c r="C101" s="57">
        <f>+SUMIF('Chi tiết NVL'!$I:$I,$A101,'Chi tiết NVL'!L:L)</f>
        <v/>
      </c>
      <c r="D101" s="57">
        <f>+SUMIF('Chi tiết NVL'!$I:$I,$A101,'Chi tiết NVL'!M:M)</f>
        <v/>
      </c>
      <c r="E101" s="57">
        <f>+SUMIF('Chi tiết NVL'!$I:$I,$A101,'Chi tiết NVL'!N:N)</f>
        <v/>
      </c>
      <c r="F101" s="57">
        <f>+SUMIF('Chi tiết NVL'!$I:$I,$A101,'Chi tiết NVL'!O:O)</f>
        <v/>
      </c>
      <c r="G101" s="57">
        <f>+SUMIF('Chi tiết NVL'!$I:$I,$A101,'Chi tiết NVL'!P:P)</f>
        <v/>
      </c>
      <c r="H101" s="57">
        <f>+SUMIF('Chi tiết NVL'!$I:$I,$A101,'Chi tiết NVL'!Q:Q)</f>
        <v/>
      </c>
      <c r="I101" s="57">
        <f>+SUMIF('Chi tiết NVL'!$I:$I,$A101,'Chi tiết NVL'!R:R)</f>
        <v/>
      </c>
      <c r="J101" s="57">
        <f>+SUMIF('Chi tiết NVL'!$I:$I,$A101,'Chi tiết NVL'!S:S)</f>
        <v/>
      </c>
    </row>
    <row r="102">
      <c r="A102" s="56" t="inlineStr">
        <is>
          <t>Thép Hình I150x75x5x6m</t>
        </is>
      </c>
      <c r="B102" s="56">
        <f>+VLOOKUP(A102,'Chi tiết NVL'!$I$10:$J$4158,2,0)</f>
        <v/>
      </c>
      <c r="C102" s="57">
        <f>+SUMIF('Chi tiết NVL'!$I:$I,$A102,'Chi tiết NVL'!L:L)</f>
        <v/>
      </c>
      <c r="D102" s="57">
        <f>+SUMIF('Chi tiết NVL'!$I:$I,$A102,'Chi tiết NVL'!M:M)</f>
        <v/>
      </c>
      <c r="E102" s="57">
        <f>+SUMIF('Chi tiết NVL'!$I:$I,$A102,'Chi tiết NVL'!N:N)</f>
        <v/>
      </c>
      <c r="F102" s="57">
        <f>+SUMIF('Chi tiết NVL'!$I:$I,$A102,'Chi tiết NVL'!O:O)</f>
        <v/>
      </c>
      <c r="G102" s="57">
        <f>+SUMIF('Chi tiết NVL'!$I:$I,$A102,'Chi tiết NVL'!P:P)</f>
        <v/>
      </c>
      <c r="H102" s="57">
        <f>+SUMIF('Chi tiết NVL'!$I:$I,$A102,'Chi tiết NVL'!Q:Q)</f>
        <v/>
      </c>
      <c r="I102" s="57">
        <f>+SUMIF('Chi tiết NVL'!$I:$I,$A102,'Chi tiết NVL'!R:R)</f>
        <v/>
      </c>
      <c r="J102" s="57">
        <f>+SUMIF('Chi tiết NVL'!$I:$I,$A102,'Chi tiết NVL'!S:S)</f>
        <v/>
      </c>
    </row>
    <row r="103">
      <c r="A103" s="56" t="inlineStr">
        <is>
          <t>Thép hình V50x50x4x6m</t>
        </is>
      </c>
      <c r="B103" s="56">
        <f>+VLOOKUP(A103,'Chi tiết NVL'!$I$10:$J$4158,2,0)</f>
        <v/>
      </c>
      <c r="C103" s="57">
        <f>+SUMIF('Chi tiết NVL'!$I:$I,$A103,'Chi tiết NVL'!L:L)</f>
        <v/>
      </c>
      <c r="D103" s="57">
        <f>+SUMIF('Chi tiết NVL'!$I:$I,$A103,'Chi tiết NVL'!M:M)</f>
        <v/>
      </c>
      <c r="E103" s="57">
        <f>+SUMIF('Chi tiết NVL'!$I:$I,$A103,'Chi tiết NVL'!N:N)</f>
        <v/>
      </c>
      <c r="F103" s="57">
        <f>+SUMIF('Chi tiết NVL'!$I:$I,$A103,'Chi tiết NVL'!O:O)</f>
        <v/>
      </c>
      <c r="G103" s="57">
        <f>+SUMIF('Chi tiết NVL'!$I:$I,$A103,'Chi tiết NVL'!P:P)</f>
        <v/>
      </c>
      <c r="H103" s="57">
        <f>+SUMIF('Chi tiết NVL'!$I:$I,$A103,'Chi tiết NVL'!Q:Q)</f>
        <v/>
      </c>
      <c r="I103" s="57">
        <f>+SUMIF('Chi tiết NVL'!$I:$I,$A103,'Chi tiết NVL'!R:R)</f>
        <v/>
      </c>
      <c r="J103" s="57">
        <f>+SUMIF('Chi tiết NVL'!$I:$I,$A103,'Chi tiết NVL'!S:S)</f>
        <v/>
      </c>
    </row>
    <row r="104">
      <c r="A104" s="56" t="inlineStr">
        <is>
          <t>Thép hình V63x63x5x6m</t>
        </is>
      </c>
      <c r="B104" s="56">
        <f>+VLOOKUP(A104,'Chi tiết NVL'!$I$10:$J$4158,2,0)</f>
        <v/>
      </c>
      <c r="C104" s="57">
        <f>+SUMIF('Chi tiết NVL'!$I:$I,$A104,'Chi tiết NVL'!L:L)</f>
        <v/>
      </c>
      <c r="D104" s="57">
        <f>+SUMIF('Chi tiết NVL'!$I:$I,$A104,'Chi tiết NVL'!M:M)</f>
        <v/>
      </c>
      <c r="E104" s="57">
        <f>+SUMIF('Chi tiết NVL'!$I:$I,$A104,'Chi tiết NVL'!N:N)</f>
        <v/>
      </c>
      <c r="F104" s="57">
        <f>+SUMIF('Chi tiết NVL'!$I:$I,$A104,'Chi tiết NVL'!O:O)</f>
        <v/>
      </c>
      <c r="G104" s="57">
        <f>+SUMIF('Chi tiết NVL'!$I:$I,$A104,'Chi tiết NVL'!P:P)</f>
        <v/>
      </c>
      <c r="H104" s="57">
        <f>+SUMIF('Chi tiết NVL'!$I:$I,$A104,'Chi tiết NVL'!Q:Q)</f>
        <v/>
      </c>
      <c r="I104" s="57">
        <f>+SUMIF('Chi tiết NVL'!$I:$I,$A104,'Chi tiết NVL'!R:R)</f>
        <v/>
      </c>
      <c r="J104" s="57">
        <f>+SUMIF('Chi tiết NVL'!$I:$I,$A104,'Chi tiết NVL'!S:S)</f>
        <v/>
      </c>
    </row>
    <row r="105">
      <c r="A105" s="56" t="inlineStr">
        <is>
          <t>Hộp vuông 100x100x2.5x6m - Đen</t>
        </is>
      </c>
      <c r="B105" s="56">
        <f>+VLOOKUP(A105,'Chi tiết NVL'!$I$10:$J$4158,2,0)</f>
        <v/>
      </c>
      <c r="C105" s="57">
        <f>+SUMIF('Chi tiết NVL'!$I:$I,$A105,'Chi tiết NVL'!L:L)</f>
        <v/>
      </c>
      <c r="D105" s="57">
        <f>+SUMIF('Chi tiết NVL'!$I:$I,$A105,'Chi tiết NVL'!M:M)</f>
        <v/>
      </c>
      <c r="E105" s="57">
        <f>+SUMIF('Chi tiết NVL'!$I:$I,$A105,'Chi tiết NVL'!N:N)</f>
        <v/>
      </c>
      <c r="F105" s="57">
        <f>+SUMIF('Chi tiết NVL'!$I:$I,$A105,'Chi tiết NVL'!O:O)</f>
        <v/>
      </c>
      <c r="G105" s="57">
        <f>+SUMIF('Chi tiết NVL'!$I:$I,$A105,'Chi tiết NVL'!P:P)</f>
        <v/>
      </c>
      <c r="H105" s="57">
        <f>+SUMIF('Chi tiết NVL'!$I:$I,$A105,'Chi tiết NVL'!Q:Q)</f>
        <v/>
      </c>
      <c r="I105" s="57">
        <f>+SUMIF('Chi tiết NVL'!$I:$I,$A105,'Chi tiết NVL'!R:R)</f>
        <v/>
      </c>
      <c r="J105" s="57">
        <f>+SUMIF('Chi tiết NVL'!$I:$I,$A105,'Chi tiết NVL'!S:S)</f>
        <v/>
      </c>
    </row>
    <row r="106">
      <c r="A106" s="56" t="inlineStr">
        <is>
          <t>Thép hình U120x47x3.5x6m</t>
        </is>
      </c>
      <c r="B106" s="56">
        <f>+VLOOKUP(A106,'Chi tiết NVL'!$I$10:$J$4158,2,0)</f>
        <v/>
      </c>
      <c r="C106" s="57">
        <f>+SUMIF('Chi tiết NVL'!$I:$I,$A106,'Chi tiết NVL'!L:L)</f>
        <v/>
      </c>
      <c r="D106" s="57">
        <f>+SUMIF('Chi tiết NVL'!$I:$I,$A106,'Chi tiết NVL'!M:M)</f>
        <v/>
      </c>
      <c r="E106" s="57">
        <f>+SUMIF('Chi tiết NVL'!$I:$I,$A106,'Chi tiết NVL'!N:N)</f>
        <v/>
      </c>
      <c r="F106" s="57">
        <f>+SUMIF('Chi tiết NVL'!$I:$I,$A106,'Chi tiết NVL'!O:O)</f>
        <v/>
      </c>
      <c r="G106" s="57">
        <f>+SUMIF('Chi tiết NVL'!$I:$I,$A106,'Chi tiết NVL'!P:P)</f>
        <v/>
      </c>
      <c r="H106" s="57">
        <f>+SUMIF('Chi tiết NVL'!$I:$I,$A106,'Chi tiết NVL'!Q:Q)</f>
        <v/>
      </c>
      <c r="I106" s="57">
        <f>+SUMIF('Chi tiết NVL'!$I:$I,$A106,'Chi tiết NVL'!R:R)</f>
        <v/>
      </c>
      <c r="J106" s="57">
        <f>+SUMIF('Chi tiết NVL'!$I:$I,$A106,'Chi tiết NVL'!S:S)</f>
        <v/>
      </c>
    </row>
    <row r="107">
      <c r="A107" s="56" t="inlineStr">
        <is>
          <t>Thép hình U250x76x6x12m</t>
        </is>
      </c>
      <c r="B107" s="56">
        <f>+VLOOKUP(A107,'Chi tiết NVL'!$I$10:$J$4158,2,0)</f>
        <v/>
      </c>
      <c r="C107" s="57">
        <f>+SUMIF('Chi tiết NVL'!$I:$I,$A107,'Chi tiết NVL'!L:L)</f>
        <v/>
      </c>
      <c r="D107" s="57">
        <f>+SUMIF('Chi tiết NVL'!$I:$I,$A107,'Chi tiết NVL'!M:M)</f>
        <v/>
      </c>
      <c r="E107" s="57">
        <f>+SUMIF('Chi tiết NVL'!$I:$I,$A107,'Chi tiết NVL'!N:N)</f>
        <v/>
      </c>
      <c r="F107" s="57">
        <f>+SUMIF('Chi tiết NVL'!$I:$I,$A107,'Chi tiết NVL'!O:O)</f>
        <v/>
      </c>
      <c r="G107" s="57">
        <f>+SUMIF('Chi tiết NVL'!$I:$I,$A107,'Chi tiết NVL'!P:P)</f>
        <v/>
      </c>
      <c r="H107" s="57">
        <f>+SUMIF('Chi tiết NVL'!$I:$I,$A107,'Chi tiết NVL'!Q:Q)</f>
        <v/>
      </c>
      <c r="I107" s="57">
        <f>+SUMIF('Chi tiết NVL'!$I:$I,$A107,'Chi tiết NVL'!R:R)</f>
        <v/>
      </c>
      <c r="J107" s="57">
        <f>+SUMIF('Chi tiết NVL'!$I:$I,$A107,'Chi tiết NVL'!S:S)</f>
        <v/>
      </c>
    </row>
    <row r="108">
      <c r="A108" s="56" t="inlineStr">
        <is>
          <t>Thép tấm gân 5lyx1500x6000</t>
        </is>
      </c>
      <c r="B108" s="56">
        <f>+VLOOKUP(A108,'Chi tiết NVL'!$I$10:$J$4158,2,0)</f>
        <v/>
      </c>
      <c r="C108" s="57">
        <f>+SUMIF('Chi tiết NVL'!$I:$I,$A108,'Chi tiết NVL'!L:L)</f>
        <v/>
      </c>
      <c r="D108" s="57">
        <f>+SUMIF('Chi tiết NVL'!$I:$I,$A108,'Chi tiết NVL'!M:M)</f>
        <v/>
      </c>
      <c r="E108" s="57">
        <f>+SUMIF('Chi tiết NVL'!$I:$I,$A108,'Chi tiết NVL'!N:N)</f>
        <v/>
      </c>
      <c r="F108" s="57">
        <f>+SUMIF('Chi tiết NVL'!$I:$I,$A108,'Chi tiết NVL'!O:O)</f>
        <v/>
      </c>
      <c r="G108" s="57">
        <f>+SUMIF('Chi tiết NVL'!$I:$I,$A108,'Chi tiết NVL'!P:P)</f>
        <v/>
      </c>
      <c r="H108" s="57">
        <f>+SUMIF('Chi tiết NVL'!$I:$I,$A108,'Chi tiết NVL'!Q:Q)</f>
        <v/>
      </c>
      <c r="I108" s="57">
        <f>+SUMIF('Chi tiết NVL'!$I:$I,$A108,'Chi tiết NVL'!R:R)</f>
        <v/>
      </c>
      <c r="J108" s="57">
        <f>+SUMIF('Chi tiết NVL'!$I:$I,$A108,'Chi tiết NVL'!S:S)</f>
        <v/>
      </c>
    </row>
    <row r="109">
      <c r="A109" s="56" t="inlineStr">
        <is>
          <t>Thép tấm 5lyx1500x6000</t>
        </is>
      </c>
      <c r="B109" s="56">
        <f>+VLOOKUP(A109,'Chi tiết NVL'!$I$10:$J$4158,2,0)</f>
        <v/>
      </c>
      <c r="C109" s="57">
        <f>+SUMIF('Chi tiết NVL'!$I:$I,$A109,'Chi tiết NVL'!L:L)</f>
        <v/>
      </c>
      <c r="D109" s="57">
        <f>+SUMIF('Chi tiết NVL'!$I:$I,$A109,'Chi tiết NVL'!M:M)</f>
        <v/>
      </c>
      <c r="E109" s="57">
        <f>+SUMIF('Chi tiết NVL'!$I:$I,$A109,'Chi tiết NVL'!N:N)</f>
        <v/>
      </c>
      <c r="F109" s="57">
        <f>+SUMIF('Chi tiết NVL'!$I:$I,$A109,'Chi tiết NVL'!O:O)</f>
        <v/>
      </c>
      <c r="G109" s="57">
        <f>+SUMIF('Chi tiết NVL'!$I:$I,$A109,'Chi tiết NVL'!P:P)</f>
        <v/>
      </c>
      <c r="H109" s="57">
        <f>+SUMIF('Chi tiết NVL'!$I:$I,$A109,'Chi tiết NVL'!Q:Q)</f>
        <v/>
      </c>
      <c r="I109" s="57">
        <f>+SUMIF('Chi tiết NVL'!$I:$I,$A109,'Chi tiết NVL'!R:R)</f>
        <v/>
      </c>
      <c r="J109" s="57">
        <f>+SUMIF('Chi tiết NVL'!$I:$I,$A109,'Chi tiết NVL'!S:S)</f>
        <v/>
      </c>
    </row>
    <row r="110">
      <c r="A110" s="56" t="inlineStr">
        <is>
          <t>Thép tấm 8lyx1500x12000</t>
        </is>
      </c>
      <c r="B110" s="56">
        <f>+VLOOKUP(A110,'Chi tiết NVL'!$I$10:$J$4158,2,0)</f>
        <v/>
      </c>
      <c r="C110" s="57">
        <f>+SUMIF('Chi tiết NVL'!$I:$I,$A110,'Chi tiết NVL'!L:L)</f>
        <v/>
      </c>
      <c r="D110" s="57">
        <f>+SUMIF('Chi tiết NVL'!$I:$I,$A110,'Chi tiết NVL'!M:M)</f>
        <v/>
      </c>
      <c r="E110" s="57">
        <f>+SUMIF('Chi tiết NVL'!$I:$I,$A110,'Chi tiết NVL'!N:N)</f>
        <v/>
      </c>
      <c r="F110" s="57">
        <f>+SUMIF('Chi tiết NVL'!$I:$I,$A110,'Chi tiết NVL'!O:O)</f>
        <v/>
      </c>
      <c r="G110" s="57">
        <f>+SUMIF('Chi tiết NVL'!$I:$I,$A110,'Chi tiết NVL'!P:P)</f>
        <v/>
      </c>
      <c r="H110" s="57">
        <f>+SUMIF('Chi tiết NVL'!$I:$I,$A110,'Chi tiết NVL'!Q:Q)</f>
        <v/>
      </c>
      <c r="I110" s="57">
        <f>+SUMIF('Chi tiết NVL'!$I:$I,$A110,'Chi tiết NVL'!R:R)</f>
        <v/>
      </c>
      <c r="J110" s="57">
        <f>+SUMIF('Chi tiết NVL'!$I:$I,$A110,'Chi tiết NVL'!S:S)</f>
        <v/>
      </c>
    </row>
    <row r="111">
      <c r="A111" s="56" t="inlineStr">
        <is>
          <t>Thép tấm 10lyx1500x6000</t>
        </is>
      </c>
      <c r="B111" s="56">
        <f>+VLOOKUP(A111,'Chi tiết NVL'!$I$10:$J$4158,2,0)</f>
        <v/>
      </c>
      <c r="C111" s="57">
        <f>+SUMIF('Chi tiết NVL'!$I:$I,$A111,'Chi tiết NVL'!L:L)</f>
        <v/>
      </c>
      <c r="D111" s="57">
        <f>+SUMIF('Chi tiết NVL'!$I:$I,$A111,'Chi tiết NVL'!M:M)</f>
        <v/>
      </c>
      <c r="E111" s="57">
        <f>+SUMIF('Chi tiết NVL'!$I:$I,$A111,'Chi tiết NVL'!N:N)</f>
        <v/>
      </c>
      <c r="F111" s="57">
        <f>+SUMIF('Chi tiết NVL'!$I:$I,$A111,'Chi tiết NVL'!O:O)</f>
        <v/>
      </c>
      <c r="G111" s="57">
        <f>+SUMIF('Chi tiết NVL'!$I:$I,$A111,'Chi tiết NVL'!P:P)</f>
        <v/>
      </c>
      <c r="H111" s="57">
        <f>+SUMIF('Chi tiết NVL'!$I:$I,$A111,'Chi tiết NVL'!Q:Q)</f>
        <v/>
      </c>
      <c r="I111" s="57">
        <f>+SUMIF('Chi tiết NVL'!$I:$I,$A111,'Chi tiết NVL'!R:R)</f>
        <v/>
      </c>
      <c r="J111" s="57">
        <f>+SUMIF('Chi tiết NVL'!$I:$I,$A111,'Chi tiết NVL'!S:S)</f>
        <v/>
      </c>
    </row>
    <row r="112">
      <c r="A112" s="56" t="inlineStr">
        <is>
          <t>Thép tấm 12lyx1500x12000</t>
        </is>
      </c>
      <c r="B112" s="56">
        <f>+VLOOKUP(A112,'Chi tiết NVL'!$I$10:$J$4158,2,0)</f>
        <v/>
      </c>
      <c r="C112" s="57">
        <f>+SUMIF('Chi tiết NVL'!$I:$I,$A112,'Chi tiết NVL'!L:L)</f>
        <v/>
      </c>
      <c r="D112" s="57">
        <f>+SUMIF('Chi tiết NVL'!$I:$I,$A112,'Chi tiết NVL'!M:M)</f>
        <v/>
      </c>
      <c r="E112" s="57">
        <f>+SUMIF('Chi tiết NVL'!$I:$I,$A112,'Chi tiết NVL'!N:N)</f>
        <v/>
      </c>
      <c r="F112" s="57">
        <f>+SUMIF('Chi tiết NVL'!$I:$I,$A112,'Chi tiết NVL'!O:O)</f>
        <v/>
      </c>
      <c r="G112" s="57">
        <f>+SUMIF('Chi tiết NVL'!$I:$I,$A112,'Chi tiết NVL'!P:P)</f>
        <v/>
      </c>
      <c r="H112" s="57">
        <f>+SUMIF('Chi tiết NVL'!$I:$I,$A112,'Chi tiết NVL'!Q:Q)</f>
        <v/>
      </c>
      <c r="I112" s="57">
        <f>+SUMIF('Chi tiết NVL'!$I:$I,$A112,'Chi tiết NVL'!R:R)</f>
        <v/>
      </c>
      <c r="J112" s="57">
        <f>+SUMIF('Chi tiết NVL'!$I:$I,$A112,'Chi tiết NVL'!S:S)</f>
        <v/>
      </c>
    </row>
    <row r="113">
      <c r="A113" s="56" t="inlineStr">
        <is>
          <t>Hộp vuông 150x150x2.5x6m - Đen</t>
        </is>
      </c>
      <c r="B113" s="56">
        <f>+VLOOKUP(A113,'Chi tiết NVL'!$I$10:$J$4158,2,0)</f>
        <v/>
      </c>
      <c r="C113" s="57">
        <f>+SUMIF('Chi tiết NVL'!$I:$I,$A113,'Chi tiết NVL'!L:L)</f>
        <v/>
      </c>
      <c r="D113" s="57">
        <f>+SUMIF('Chi tiết NVL'!$I:$I,$A113,'Chi tiết NVL'!M:M)</f>
        <v/>
      </c>
      <c r="E113" s="57">
        <f>+SUMIF('Chi tiết NVL'!$I:$I,$A113,'Chi tiết NVL'!N:N)</f>
        <v/>
      </c>
      <c r="F113" s="57">
        <f>+SUMIF('Chi tiết NVL'!$I:$I,$A113,'Chi tiết NVL'!O:O)</f>
        <v/>
      </c>
      <c r="G113" s="57">
        <f>+SUMIF('Chi tiết NVL'!$I:$I,$A113,'Chi tiết NVL'!P:P)</f>
        <v/>
      </c>
      <c r="H113" s="57">
        <f>+SUMIF('Chi tiết NVL'!$I:$I,$A113,'Chi tiết NVL'!Q:Q)</f>
        <v/>
      </c>
      <c r="I113" s="57">
        <f>+SUMIF('Chi tiết NVL'!$I:$I,$A113,'Chi tiết NVL'!R:R)</f>
        <v/>
      </c>
      <c r="J113" s="57">
        <f>+SUMIF('Chi tiết NVL'!$I:$I,$A113,'Chi tiết NVL'!S:S)</f>
        <v/>
      </c>
    </row>
    <row r="114">
      <c r="A114" s="56" t="inlineStr">
        <is>
          <t>Thép tấm 10lyx1500x12000</t>
        </is>
      </c>
      <c r="B114" s="56">
        <f>+VLOOKUP(A114,'Chi tiết NVL'!$I$10:$J$4158,2,0)</f>
        <v/>
      </c>
      <c r="C114" s="57">
        <f>+SUMIF('Chi tiết NVL'!$I:$I,$A114,'Chi tiết NVL'!L:L)</f>
        <v/>
      </c>
      <c r="D114" s="57">
        <f>+SUMIF('Chi tiết NVL'!$I:$I,$A114,'Chi tiết NVL'!M:M)</f>
        <v/>
      </c>
      <c r="E114" s="57">
        <f>+SUMIF('Chi tiết NVL'!$I:$I,$A114,'Chi tiết NVL'!N:N)</f>
        <v/>
      </c>
      <c r="F114" s="57">
        <f>+SUMIF('Chi tiết NVL'!$I:$I,$A114,'Chi tiết NVL'!O:O)</f>
        <v/>
      </c>
      <c r="G114" s="57">
        <f>+SUMIF('Chi tiết NVL'!$I:$I,$A114,'Chi tiết NVL'!P:P)</f>
        <v/>
      </c>
      <c r="H114" s="57">
        <f>+SUMIF('Chi tiết NVL'!$I:$I,$A114,'Chi tiết NVL'!Q:Q)</f>
        <v/>
      </c>
      <c r="I114" s="57">
        <f>+SUMIF('Chi tiết NVL'!$I:$I,$A114,'Chi tiết NVL'!R:R)</f>
        <v/>
      </c>
      <c r="J114" s="57">
        <f>+SUMIF('Chi tiết NVL'!$I:$I,$A114,'Chi tiết NVL'!S:S)</f>
        <v/>
      </c>
    </row>
    <row r="115">
      <c r="A115" s="56" t="inlineStr">
        <is>
          <t>Thép tấm 12lyx1500x6000</t>
        </is>
      </c>
      <c r="B115" s="56">
        <f>+VLOOKUP(A115,'Chi tiết NVL'!$I$10:$J$4158,2,0)</f>
        <v/>
      </c>
      <c r="C115" s="57">
        <f>+SUMIF('Chi tiết NVL'!$I:$I,$A115,'Chi tiết NVL'!L:L)</f>
        <v/>
      </c>
      <c r="D115" s="57">
        <f>+SUMIF('Chi tiết NVL'!$I:$I,$A115,'Chi tiết NVL'!M:M)</f>
        <v/>
      </c>
      <c r="E115" s="57">
        <f>+SUMIF('Chi tiết NVL'!$I:$I,$A115,'Chi tiết NVL'!N:N)</f>
        <v/>
      </c>
      <c r="F115" s="57">
        <f>+SUMIF('Chi tiết NVL'!$I:$I,$A115,'Chi tiết NVL'!O:O)</f>
        <v/>
      </c>
      <c r="G115" s="57">
        <f>+SUMIF('Chi tiết NVL'!$I:$I,$A115,'Chi tiết NVL'!P:P)</f>
        <v/>
      </c>
      <c r="H115" s="57">
        <f>+SUMIF('Chi tiết NVL'!$I:$I,$A115,'Chi tiết NVL'!Q:Q)</f>
        <v/>
      </c>
      <c r="I115" s="57">
        <f>+SUMIF('Chi tiết NVL'!$I:$I,$A115,'Chi tiết NVL'!R:R)</f>
        <v/>
      </c>
      <c r="J115" s="57">
        <f>+SUMIF('Chi tiết NVL'!$I:$I,$A115,'Chi tiết NVL'!S:S)</f>
        <v/>
      </c>
    </row>
    <row r="116">
      <c r="A116" s="56" t="inlineStr">
        <is>
          <t>SƠN JOTAMASTIC 70 RED          18L</t>
        </is>
      </c>
      <c r="B116" s="56">
        <f>+VLOOKUP(A116,'Chi tiết NVL'!$I$10:$J$4158,2,0)</f>
        <v/>
      </c>
      <c r="C116" s="57">
        <f>+SUMIF('Chi tiết NVL'!$I:$I,$A116,'Chi tiết NVL'!L:L)</f>
        <v/>
      </c>
      <c r="D116" s="57">
        <f>+SUMIF('Chi tiết NVL'!$I:$I,$A116,'Chi tiết NVL'!M:M)</f>
        <v/>
      </c>
      <c r="E116" s="57">
        <f>+SUMIF('Chi tiết NVL'!$I:$I,$A116,'Chi tiết NVL'!N:N)</f>
        <v/>
      </c>
      <c r="F116" s="57">
        <f>+SUMIF('Chi tiết NVL'!$I:$I,$A116,'Chi tiết NVL'!O:O)</f>
        <v/>
      </c>
      <c r="G116" s="57">
        <f>+SUMIF('Chi tiết NVL'!$I:$I,$A116,'Chi tiết NVL'!P:P)</f>
        <v/>
      </c>
      <c r="H116" s="57">
        <f>+SUMIF('Chi tiết NVL'!$I:$I,$A116,'Chi tiết NVL'!Q:Q)</f>
        <v/>
      </c>
      <c r="I116" s="57">
        <f>+SUMIF('Chi tiết NVL'!$I:$I,$A116,'Chi tiết NVL'!R:R)</f>
        <v/>
      </c>
      <c r="J116" s="57">
        <f>+SUMIF('Chi tiết NVL'!$I:$I,$A116,'Chi tiết NVL'!S:S)</f>
        <v/>
      </c>
    </row>
    <row r="117">
      <c r="A117" s="56" t="inlineStr">
        <is>
          <t>DUNG MÔI JOTUN THINNER NO. 17        5L</t>
        </is>
      </c>
      <c r="B117" s="56">
        <f>+VLOOKUP(A117,'Chi tiết NVL'!$I$10:$J$4158,2,0)</f>
        <v/>
      </c>
      <c r="C117" s="57">
        <f>+SUMIF('Chi tiết NVL'!$I:$I,$A117,'Chi tiết NVL'!L:L)</f>
        <v/>
      </c>
      <c r="D117" s="57">
        <f>+SUMIF('Chi tiết NVL'!$I:$I,$A117,'Chi tiết NVL'!M:M)</f>
        <v/>
      </c>
      <c r="E117" s="57">
        <f>+SUMIF('Chi tiết NVL'!$I:$I,$A117,'Chi tiết NVL'!N:N)</f>
        <v/>
      </c>
      <c r="F117" s="57">
        <f>+SUMIF('Chi tiết NVL'!$I:$I,$A117,'Chi tiết NVL'!O:O)</f>
        <v/>
      </c>
      <c r="G117" s="57">
        <f>+SUMIF('Chi tiết NVL'!$I:$I,$A117,'Chi tiết NVL'!P:P)</f>
        <v/>
      </c>
      <c r="H117" s="57">
        <f>+SUMIF('Chi tiết NVL'!$I:$I,$A117,'Chi tiết NVL'!Q:Q)</f>
        <v/>
      </c>
      <c r="I117" s="57">
        <f>+SUMIF('Chi tiết NVL'!$I:$I,$A117,'Chi tiết NVL'!R:R)</f>
        <v/>
      </c>
      <c r="J117" s="57">
        <f>+SUMIF('Chi tiết NVL'!$I:$I,$A117,'Chi tiết NVL'!S:S)</f>
        <v/>
      </c>
    </row>
    <row r="118">
      <c r="A118" s="56" t="inlineStr">
        <is>
          <t>Bulong neo M24x530mm, 4.6, DIN976</t>
        </is>
      </c>
      <c r="B118" s="56">
        <f>+VLOOKUP(A118,'Chi tiết NVL'!$I$10:$J$4158,2,0)</f>
        <v/>
      </c>
      <c r="C118" s="57">
        <f>+SUMIF('Chi tiết NVL'!$I:$I,$A118,'Chi tiết NVL'!L:L)</f>
        <v/>
      </c>
      <c r="D118" s="57">
        <f>+SUMIF('Chi tiết NVL'!$I:$I,$A118,'Chi tiết NVL'!M:M)</f>
        <v/>
      </c>
      <c r="E118" s="57">
        <f>+SUMIF('Chi tiết NVL'!$I:$I,$A118,'Chi tiết NVL'!N:N)</f>
        <v/>
      </c>
      <c r="F118" s="57">
        <f>+SUMIF('Chi tiết NVL'!$I:$I,$A118,'Chi tiết NVL'!O:O)</f>
        <v/>
      </c>
      <c r="G118" s="57">
        <f>+SUMIF('Chi tiết NVL'!$I:$I,$A118,'Chi tiết NVL'!P:P)</f>
        <v/>
      </c>
      <c r="H118" s="57">
        <f>+SUMIF('Chi tiết NVL'!$I:$I,$A118,'Chi tiết NVL'!Q:Q)</f>
        <v/>
      </c>
      <c r="I118" s="57">
        <f>+SUMIF('Chi tiết NVL'!$I:$I,$A118,'Chi tiết NVL'!R:R)</f>
        <v/>
      </c>
      <c r="J118" s="57">
        <f>+SUMIF('Chi tiết NVL'!$I:$I,$A118,'Chi tiết NVL'!S:S)</f>
        <v/>
      </c>
    </row>
    <row r="119">
      <c r="A119" s="56" t="inlineStr">
        <is>
          <t>Bulong neo M20x445mm, 4.6, DIN976</t>
        </is>
      </c>
      <c r="B119" s="56">
        <f>+VLOOKUP(A119,'Chi tiết NVL'!$I$10:$J$4158,2,0)</f>
        <v/>
      </c>
      <c r="C119" s="57">
        <f>+SUMIF('Chi tiết NVL'!$I:$I,$A119,'Chi tiết NVL'!L:L)</f>
        <v/>
      </c>
      <c r="D119" s="57">
        <f>+SUMIF('Chi tiết NVL'!$I:$I,$A119,'Chi tiết NVL'!M:M)</f>
        <v/>
      </c>
      <c r="E119" s="57">
        <f>+SUMIF('Chi tiết NVL'!$I:$I,$A119,'Chi tiết NVL'!N:N)</f>
        <v/>
      </c>
      <c r="F119" s="57">
        <f>+SUMIF('Chi tiết NVL'!$I:$I,$A119,'Chi tiết NVL'!O:O)</f>
        <v/>
      </c>
      <c r="G119" s="57">
        <f>+SUMIF('Chi tiết NVL'!$I:$I,$A119,'Chi tiết NVL'!P:P)</f>
        <v/>
      </c>
      <c r="H119" s="57">
        <f>+SUMIF('Chi tiết NVL'!$I:$I,$A119,'Chi tiết NVL'!Q:Q)</f>
        <v/>
      </c>
      <c r="I119" s="57">
        <f>+SUMIF('Chi tiết NVL'!$I:$I,$A119,'Chi tiết NVL'!R:R)</f>
        <v/>
      </c>
      <c r="J119" s="57">
        <f>+SUMIF('Chi tiết NVL'!$I:$I,$A119,'Chi tiết NVL'!S:S)</f>
        <v/>
      </c>
    </row>
    <row r="120">
      <c r="A120" s="56" t="inlineStr">
        <is>
          <t>Xà gồ kẽm C</t>
        </is>
      </c>
      <c r="B120" s="56">
        <f>+VLOOKUP(A120,'Chi tiết NVL'!$I$10:$J$4158,2,0)</f>
        <v/>
      </c>
      <c r="C120" s="57">
        <f>+SUMIF('Chi tiết NVL'!$I:$I,$A120,'Chi tiết NVL'!L:L)</f>
        <v/>
      </c>
      <c r="D120" s="57">
        <f>+SUMIF('Chi tiết NVL'!$I:$I,$A120,'Chi tiết NVL'!M:M)</f>
        <v/>
      </c>
      <c r="E120" s="57">
        <f>+SUMIF('Chi tiết NVL'!$I:$I,$A120,'Chi tiết NVL'!N:N)</f>
        <v/>
      </c>
      <c r="F120" s="57">
        <f>+SUMIF('Chi tiết NVL'!$I:$I,$A120,'Chi tiết NVL'!O:O)</f>
        <v/>
      </c>
      <c r="G120" s="57">
        <f>+SUMIF('Chi tiết NVL'!$I:$I,$A120,'Chi tiết NVL'!P:P)</f>
        <v/>
      </c>
      <c r="H120" s="57">
        <f>+SUMIF('Chi tiết NVL'!$I:$I,$A120,'Chi tiết NVL'!Q:Q)</f>
        <v/>
      </c>
      <c r="I120" s="57">
        <f>+SUMIF('Chi tiết NVL'!$I:$I,$A120,'Chi tiết NVL'!R:R)</f>
        <v/>
      </c>
      <c r="J120" s="57">
        <f>+SUMIF('Chi tiết NVL'!$I:$I,$A120,'Chi tiết NVL'!S:S)</f>
        <v/>
      </c>
    </row>
    <row r="121">
      <c r="A121" s="56" t="inlineStr">
        <is>
          <t>Thanh ren HAS-U 8.8 M24x300</t>
        </is>
      </c>
      <c r="B121" s="56">
        <f>+VLOOKUP(A121,'Chi tiết NVL'!$I$10:$J$4158,2,0)</f>
        <v/>
      </c>
      <c r="C121" s="57">
        <f>+SUMIF('Chi tiết NVL'!$I:$I,$A121,'Chi tiết NVL'!L:L)</f>
        <v/>
      </c>
      <c r="D121" s="57">
        <f>+SUMIF('Chi tiết NVL'!$I:$I,$A121,'Chi tiết NVL'!M:M)</f>
        <v/>
      </c>
      <c r="E121" s="57">
        <f>+SUMIF('Chi tiết NVL'!$I:$I,$A121,'Chi tiết NVL'!N:N)</f>
        <v/>
      </c>
      <c r="F121" s="57">
        <f>+SUMIF('Chi tiết NVL'!$I:$I,$A121,'Chi tiết NVL'!O:O)</f>
        <v/>
      </c>
      <c r="G121" s="57">
        <f>+SUMIF('Chi tiết NVL'!$I:$I,$A121,'Chi tiết NVL'!P:P)</f>
        <v/>
      </c>
      <c r="H121" s="57">
        <f>+SUMIF('Chi tiết NVL'!$I:$I,$A121,'Chi tiết NVL'!Q:Q)</f>
        <v/>
      </c>
      <c r="I121" s="57">
        <f>+SUMIF('Chi tiết NVL'!$I:$I,$A121,'Chi tiết NVL'!R:R)</f>
        <v/>
      </c>
      <c r="J121" s="57">
        <f>+SUMIF('Chi tiết NVL'!$I:$I,$A121,'Chi tiết NVL'!S:S)</f>
        <v/>
      </c>
    </row>
    <row r="122">
      <c r="A122" s="56" t="inlineStr">
        <is>
          <t>Xà gồ mạ kẽm</t>
        </is>
      </c>
      <c r="B122" s="56">
        <f>+VLOOKUP(A122,'Chi tiết NVL'!$I$10:$J$4158,2,0)</f>
        <v/>
      </c>
      <c r="C122" s="57">
        <f>+SUMIF('Chi tiết NVL'!$I:$I,$A122,'Chi tiết NVL'!L:L)</f>
        <v/>
      </c>
      <c r="D122" s="57">
        <f>+SUMIF('Chi tiết NVL'!$I:$I,$A122,'Chi tiết NVL'!M:M)</f>
        <v/>
      </c>
      <c r="E122" s="57">
        <f>+SUMIF('Chi tiết NVL'!$I:$I,$A122,'Chi tiết NVL'!N:N)</f>
        <v/>
      </c>
      <c r="F122" s="57">
        <f>+SUMIF('Chi tiết NVL'!$I:$I,$A122,'Chi tiết NVL'!O:O)</f>
        <v/>
      </c>
      <c r="G122" s="57">
        <f>+SUMIF('Chi tiết NVL'!$I:$I,$A122,'Chi tiết NVL'!P:P)</f>
        <v/>
      </c>
      <c r="H122" s="57">
        <f>+SUMIF('Chi tiết NVL'!$I:$I,$A122,'Chi tiết NVL'!Q:Q)</f>
        <v/>
      </c>
      <c r="I122" s="57">
        <f>+SUMIF('Chi tiết NVL'!$I:$I,$A122,'Chi tiết NVL'!R:R)</f>
        <v/>
      </c>
      <c r="J122" s="57">
        <f>+SUMIF('Chi tiết NVL'!$I:$I,$A122,'Chi tiết NVL'!S:S)</f>
        <v/>
      </c>
    </row>
    <row r="123">
      <c r="A123" s="56" t="inlineStr">
        <is>
          <t>Thép hình H150x75x5x7x12000</t>
        </is>
      </c>
      <c r="B123" s="56">
        <f>+VLOOKUP(A123,'Chi tiết NVL'!$I$10:$J$4158,2,0)</f>
        <v/>
      </c>
      <c r="C123" s="57">
        <f>+SUMIF('Chi tiết NVL'!$I:$I,$A123,'Chi tiết NVL'!L:L)</f>
        <v/>
      </c>
      <c r="D123" s="57">
        <f>+SUMIF('Chi tiết NVL'!$I:$I,$A123,'Chi tiết NVL'!M:M)</f>
        <v/>
      </c>
      <c r="E123" s="57">
        <f>+SUMIF('Chi tiết NVL'!$I:$I,$A123,'Chi tiết NVL'!N:N)</f>
        <v/>
      </c>
      <c r="F123" s="57">
        <f>+SUMIF('Chi tiết NVL'!$I:$I,$A123,'Chi tiết NVL'!O:O)</f>
        <v/>
      </c>
      <c r="G123" s="57">
        <f>+SUMIF('Chi tiết NVL'!$I:$I,$A123,'Chi tiết NVL'!P:P)</f>
        <v/>
      </c>
      <c r="H123" s="57">
        <f>+SUMIF('Chi tiết NVL'!$I:$I,$A123,'Chi tiết NVL'!Q:Q)</f>
        <v/>
      </c>
      <c r="I123" s="57">
        <f>+SUMIF('Chi tiết NVL'!$I:$I,$A123,'Chi tiết NVL'!R:R)</f>
        <v/>
      </c>
      <c r="J123" s="57">
        <f>+SUMIF('Chi tiết NVL'!$I:$I,$A123,'Chi tiết NVL'!S:S)</f>
        <v/>
      </c>
    </row>
    <row r="124">
      <c r="A124" s="56" t="inlineStr">
        <is>
          <t>Thép V63</t>
        </is>
      </c>
      <c r="B124" s="56">
        <f>+VLOOKUP(A124,'Chi tiết NVL'!$I$10:$J$4158,2,0)</f>
        <v/>
      </c>
      <c r="C124" s="57">
        <f>+SUMIF('Chi tiết NVL'!$I:$I,$A124,'Chi tiết NVL'!L:L)</f>
        <v/>
      </c>
      <c r="D124" s="57">
        <f>+SUMIF('Chi tiết NVL'!$I:$I,$A124,'Chi tiết NVL'!M:M)</f>
        <v/>
      </c>
      <c r="E124" s="57">
        <f>+SUMIF('Chi tiết NVL'!$I:$I,$A124,'Chi tiết NVL'!N:N)</f>
        <v/>
      </c>
      <c r="F124" s="57">
        <f>+SUMIF('Chi tiết NVL'!$I:$I,$A124,'Chi tiết NVL'!O:O)</f>
        <v/>
      </c>
      <c r="G124" s="57">
        <f>+SUMIF('Chi tiết NVL'!$I:$I,$A124,'Chi tiết NVL'!P:P)</f>
        <v/>
      </c>
      <c r="H124" s="57">
        <f>+SUMIF('Chi tiết NVL'!$I:$I,$A124,'Chi tiết NVL'!Q:Q)</f>
        <v/>
      </c>
      <c r="I124" s="57">
        <f>+SUMIF('Chi tiết NVL'!$I:$I,$A124,'Chi tiết NVL'!R:R)</f>
        <v/>
      </c>
      <c r="J124" s="57">
        <f>+SUMIF('Chi tiết NVL'!$I:$I,$A124,'Chi tiết NVL'!S:S)</f>
        <v/>
      </c>
    </row>
    <row r="125">
      <c r="A125" s="56" t="inlineStr">
        <is>
          <t>Ống thép vuông 100x2.5x6.0</t>
        </is>
      </c>
      <c r="B125" s="56">
        <f>+VLOOKUP(A125,'Chi tiết NVL'!$I$10:$J$4158,2,0)</f>
        <v/>
      </c>
      <c r="C125" s="57">
        <f>+SUMIF('Chi tiết NVL'!$I:$I,$A125,'Chi tiết NVL'!L:L)</f>
        <v/>
      </c>
      <c r="D125" s="57">
        <f>+SUMIF('Chi tiết NVL'!$I:$I,$A125,'Chi tiết NVL'!M:M)</f>
        <v/>
      </c>
      <c r="E125" s="57">
        <f>+SUMIF('Chi tiết NVL'!$I:$I,$A125,'Chi tiết NVL'!N:N)</f>
        <v/>
      </c>
      <c r="F125" s="57">
        <f>+SUMIF('Chi tiết NVL'!$I:$I,$A125,'Chi tiết NVL'!O:O)</f>
        <v/>
      </c>
      <c r="G125" s="57">
        <f>+SUMIF('Chi tiết NVL'!$I:$I,$A125,'Chi tiết NVL'!P:P)</f>
        <v/>
      </c>
      <c r="H125" s="57">
        <f>+SUMIF('Chi tiết NVL'!$I:$I,$A125,'Chi tiết NVL'!Q:Q)</f>
        <v/>
      </c>
      <c r="I125" s="57">
        <f>+SUMIF('Chi tiết NVL'!$I:$I,$A125,'Chi tiết NVL'!R:R)</f>
        <v/>
      </c>
      <c r="J125" s="57">
        <f>+SUMIF('Chi tiết NVL'!$I:$I,$A125,'Chi tiết NVL'!S:S)</f>
        <v/>
      </c>
    </row>
    <row r="126">
      <c r="A126" s="56" t="inlineStr">
        <is>
          <t>Thép tấm 5 ly</t>
        </is>
      </c>
      <c r="B126" s="56">
        <f>+VLOOKUP(A126,'Chi tiết NVL'!$I$10:$J$4158,2,0)</f>
        <v/>
      </c>
      <c r="C126" s="57">
        <f>+SUMIF('Chi tiết NVL'!$I:$I,$A126,'Chi tiết NVL'!L:L)</f>
        <v/>
      </c>
      <c r="D126" s="57">
        <f>+SUMIF('Chi tiết NVL'!$I:$I,$A126,'Chi tiết NVL'!M:M)</f>
        <v/>
      </c>
      <c r="E126" s="57">
        <f>+SUMIF('Chi tiết NVL'!$I:$I,$A126,'Chi tiết NVL'!N:N)</f>
        <v/>
      </c>
      <c r="F126" s="57">
        <f>+SUMIF('Chi tiết NVL'!$I:$I,$A126,'Chi tiết NVL'!O:O)</f>
        <v/>
      </c>
      <c r="G126" s="57">
        <f>+SUMIF('Chi tiết NVL'!$I:$I,$A126,'Chi tiết NVL'!P:P)</f>
        <v/>
      </c>
      <c r="H126" s="57">
        <f>+SUMIF('Chi tiết NVL'!$I:$I,$A126,'Chi tiết NVL'!Q:Q)</f>
        <v/>
      </c>
      <c r="I126" s="57">
        <f>+SUMIF('Chi tiết NVL'!$I:$I,$A126,'Chi tiết NVL'!R:R)</f>
        <v/>
      </c>
      <c r="J126" s="57">
        <f>+SUMIF('Chi tiết NVL'!$I:$I,$A126,'Chi tiết NVL'!S:S)</f>
        <v/>
      </c>
    </row>
    <row r="127">
      <c r="A127" s="56" t="inlineStr">
        <is>
          <t>Thép tấm 6 ly</t>
        </is>
      </c>
      <c r="B127" s="56">
        <f>+VLOOKUP(A127,'Chi tiết NVL'!$I$10:$J$4158,2,0)</f>
        <v/>
      </c>
      <c r="C127" s="57">
        <f>+SUMIF('Chi tiết NVL'!$I:$I,$A127,'Chi tiết NVL'!L:L)</f>
        <v/>
      </c>
      <c r="D127" s="57">
        <f>+SUMIF('Chi tiết NVL'!$I:$I,$A127,'Chi tiết NVL'!M:M)</f>
        <v/>
      </c>
      <c r="E127" s="57">
        <f>+SUMIF('Chi tiết NVL'!$I:$I,$A127,'Chi tiết NVL'!N:N)</f>
        <v/>
      </c>
      <c r="F127" s="57">
        <f>+SUMIF('Chi tiết NVL'!$I:$I,$A127,'Chi tiết NVL'!O:O)</f>
        <v/>
      </c>
      <c r="G127" s="57">
        <f>+SUMIF('Chi tiết NVL'!$I:$I,$A127,'Chi tiết NVL'!P:P)</f>
        <v/>
      </c>
      <c r="H127" s="57">
        <f>+SUMIF('Chi tiết NVL'!$I:$I,$A127,'Chi tiết NVL'!Q:Q)</f>
        <v/>
      </c>
      <c r="I127" s="57">
        <f>+SUMIF('Chi tiết NVL'!$I:$I,$A127,'Chi tiết NVL'!R:R)</f>
        <v/>
      </c>
      <c r="J127" s="57">
        <f>+SUMIF('Chi tiết NVL'!$I:$I,$A127,'Chi tiết NVL'!S:S)</f>
        <v/>
      </c>
    </row>
    <row r="128">
      <c r="A128" s="56" t="inlineStr">
        <is>
          <t>Thép tấm 8 ly</t>
        </is>
      </c>
      <c r="B128" s="56">
        <f>+VLOOKUP(A128,'Chi tiết NVL'!$I$10:$J$4158,2,0)</f>
        <v/>
      </c>
      <c r="C128" s="57">
        <f>+SUMIF('Chi tiết NVL'!$I:$I,$A128,'Chi tiết NVL'!L:L)</f>
        <v/>
      </c>
      <c r="D128" s="57">
        <f>+SUMIF('Chi tiết NVL'!$I:$I,$A128,'Chi tiết NVL'!M:M)</f>
        <v/>
      </c>
      <c r="E128" s="57">
        <f>+SUMIF('Chi tiết NVL'!$I:$I,$A128,'Chi tiết NVL'!N:N)</f>
        <v/>
      </c>
      <c r="F128" s="57">
        <f>+SUMIF('Chi tiết NVL'!$I:$I,$A128,'Chi tiết NVL'!O:O)</f>
        <v/>
      </c>
      <c r="G128" s="57">
        <f>+SUMIF('Chi tiết NVL'!$I:$I,$A128,'Chi tiết NVL'!P:P)</f>
        <v/>
      </c>
      <c r="H128" s="57">
        <f>+SUMIF('Chi tiết NVL'!$I:$I,$A128,'Chi tiết NVL'!Q:Q)</f>
        <v/>
      </c>
      <c r="I128" s="57">
        <f>+SUMIF('Chi tiết NVL'!$I:$I,$A128,'Chi tiết NVL'!R:R)</f>
        <v/>
      </c>
      <c r="J128" s="57">
        <f>+SUMIF('Chi tiết NVL'!$I:$I,$A128,'Chi tiết NVL'!S:S)</f>
        <v/>
      </c>
    </row>
    <row r="129">
      <c r="A129" s="56" t="inlineStr">
        <is>
          <t>Thép tấm 12 ly</t>
        </is>
      </c>
      <c r="B129" s="56">
        <f>+VLOOKUP(A129,'Chi tiết NVL'!$I$10:$J$4158,2,0)</f>
        <v/>
      </c>
      <c r="C129" s="57">
        <f>+SUMIF('Chi tiết NVL'!$I:$I,$A129,'Chi tiết NVL'!L:L)</f>
        <v/>
      </c>
      <c r="D129" s="57">
        <f>+SUMIF('Chi tiết NVL'!$I:$I,$A129,'Chi tiết NVL'!M:M)</f>
        <v/>
      </c>
      <c r="E129" s="57">
        <f>+SUMIF('Chi tiết NVL'!$I:$I,$A129,'Chi tiết NVL'!N:N)</f>
        <v/>
      </c>
      <c r="F129" s="57">
        <f>+SUMIF('Chi tiết NVL'!$I:$I,$A129,'Chi tiết NVL'!O:O)</f>
        <v/>
      </c>
      <c r="G129" s="57">
        <f>+SUMIF('Chi tiết NVL'!$I:$I,$A129,'Chi tiết NVL'!P:P)</f>
        <v/>
      </c>
      <c r="H129" s="57">
        <f>+SUMIF('Chi tiết NVL'!$I:$I,$A129,'Chi tiết NVL'!Q:Q)</f>
        <v/>
      </c>
      <c r="I129" s="57">
        <f>+SUMIF('Chi tiết NVL'!$I:$I,$A129,'Chi tiết NVL'!R:R)</f>
        <v/>
      </c>
      <c r="J129" s="57">
        <f>+SUMIF('Chi tiết NVL'!$I:$I,$A129,'Chi tiết NVL'!S:S)</f>
        <v/>
      </c>
    </row>
    <row r="130">
      <c r="A130" s="56" t="inlineStr">
        <is>
          <t>Thép tấm 14 ly</t>
        </is>
      </c>
      <c r="B130" s="56">
        <f>+VLOOKUP(A130,'Chi tiết NVL'!$I$10:$J$4158,2,0)</f>
        <v/>
      </c>
      <c r="C130" s="57">
        <f>+SUMIF('Chi tiết NVL'!$I:$I,$A130,'Chi tiết NVL'!L:L)</f>
        <v/>
      </c>
      <c r="D130" s="57">
        <f>+SUMIF('Chi tiết NVL'!$I:$I,$A130,'Chi tiết NVL'!M:M)</f>
        <v/>
      </c>
      <c r="E130" s="57">
        <f>+SUMIF('Chi tiết NVL'!$I:$I,$A130,'Chi tiết NVL'!N:N)</f>
        <v/>
      </c>
      <c r="F130" s="57">
        <f>+SUMIF('Chi tiết NVL'!$I:$I,$A130,'Chi tiết NVL'!O:O)</f>
        <v/>
      </c>
      <c r="G130" s="57">
        <f>+SUMIF('Chi tiết NVL'!$I:$I,$A130,'Chi tiết NVL'!P:P)</f>
        <v/>
      </c>
      <c r="H130" s="57">
        <f>+SUMIF('Chi tiết NVL'!$I:$I,$A130,'Chi tiết NVL'!Q:Q)</f>
        <v/>
      </c>
      <c r="I130" s="57">
        <f>+SUMIF('Chi tiết NVL'!$I:$I,$A130,'Chi tiết NVL'!R:R)</f>
        <v/>
      </c>
      <c r="J130" s="57">
        <f>+SUMIF('Chi tiết NVL'!$I:$I,$A130,'Chi tiết NVL'!S:S)</f>
        <v/>
      </c>
    </row>
    <row r="131">
      <c r="A131" s="56" t="inlineStr">
        <is>
          <t>Bulong Din 933 8.8 ZP M16x70</t>
        </is>
      </c>
      <c r="B131" s="56">
        <f>+VLOOKUP(A131,'Chi tiết NVL'!$I$10:$J$4158,2,0)</f>
        <v/>
      </c>
      <c r="C131" s="57">
        <f>+SUMIF('Chi tiết NVL'!$I:$I,$A131,'Chi tiết NVL'!L:L)</f>
        <v/>
      </c>
      <c r="D131" s="57">
        <f>+SUMIF('Chi tiết NVL'!$I:$I,$A131,'Chi tiết NVL'!M:M)</f>
        <v/>
      </c>
      <c r="E131" s="57">
        <f>+SUMIF('Chi tiết NVL'!$I:$I,$A131,'Chi tiết NVL'!N:N)</f>
        <v/>
      </c>
      <c r="F131" s="57">
        <f>+SUMIF('Chi tiết NVL'!$I:$I,$A131,'Chi tiết NVL'!O:O)</f>
        <v/>
      </c>
      <c r="G131" s="57">
        <f>+SUMIF('Chi tiết NVL'!$I:$I,$A131,'Chi tiết NVL'!P:P)</f>
        <v/>
      </c>
      <c r="H131" s="57">
        <f>+SUMIF('Chi tiết NVL'!$I:$I,$A131,'Chi tiết NVL'!Q:Q)</f>
        <v/>
      </c>
      <c r="I131" s="57">
        <f>+SUMIF('Chi tiết NVL'!$I:$I,$A131,'Chi tiết NVL'!R:R)</f>
        <v/>
      </c>
      <c r="J131" s="57">
        <f>+SUMIF('Chi tiết NVL'!$I:$I,$A131,'Chi tiết NVL'!S:S)</f>
        <v/>
      </c>
    </row>
    <row r="132">
      <c r="A132" s="56" t="inlineStr">
        <is>
          <t>SƠN FUTURA CLASSIC STD7395 19.15L</t>
        </is>
      </c>
      <c r="B132" s="56">
        <f>+VLOOKUP(A132,'Chi tiết NVL'!$I$10:$J$4158,2,0)</f>
        <v/>
      </c>
      <c r="C132" s="57">
        <f>+SUMIF('Chi tiết NVL'!$I:$I,$A132,'Chi tiết NVL'!L:L)</f>
        <v/>
      </c>
      <c r="D132" s="57">
        <f>+SUMIF('Chi tiết NVL'!$I:$I,$A132,'Chi tiết NVL'!M:M)</f>
        <v/>
      </c>
      <c r="E132" s="57">
        <f>+SUMIF('Chi tiết NVL'!$I:$I,$A132,'Chi tiết NVL'!N:N)</f>
        <v/>
      </c>
      <c r="F132" s="57">
        <f>+SUMIF('Chi tiết NVL'!$I:$I,$A132,'Chi tiết NVL'!O:O)</f>
        <v/>
      </c>
      <c r="G132" s="57">
        <f>+SUMIF('Chi tiết NVL'!$I:$I,$A132,'Chi tiết NVL'!P:P)</f>
        <v/>
      </c>
      <c r="H132" s="57">
        <f>+SUMIF('Chi tiết NVL'!$I:$I,$A132,'Chi tiết NVL'!Q:Q)</f>
        <v/>
      </c>
      <c r="I132" s="57">
        <f>+SUMIF('Chi tiết NVL'!$I:$I,$A132,'Chi tiết NVL'!R:R)</f>
        <v/>
      </c>
      <c r="J132" s="57">
        <f>+SUMIF('Chi tiết NVL'!$I:$I,$A132,'Chi tiết NVL'!S:S)</f>
        <v/>
      </c>
    </row>
    <row r="133">
      <c r="A133" s="56" t="inlineStr">
        <is>
          <t>SƠN FUTURA CLASSIC STD7395 4.79L</t>
        </is>
      </c>
      <c r="B133" s="56">
        <f>+VLOOKUP(A133,'Chi tiết NVL'!$I$10:$J$4158,2,0)</f>
        <v/>
      </c>
      <c r="C133" s="57">
        <f>+SUMIF('Chi tiết NVL'!$I:$I,$A133,'Chi tiết NVL'!L:L)</f>
        <v/>
      </c>
      <c r="D133" s="57">
        <f>+SUMIF('Chi tiết NVL'!$I:$I,$A133,'Chi tiết NVL'!M:M)</f>
        <v/>
      </c>
      <c r="E133" s="57">
        <f>+SUMIF('Chi tiết NVL'!$I:$I,$A133,'Chi tiết NVL'!N:N)</f>
        <v/>
      </c>
      <c r="F133" s="57">
        <f>+SUMIF('Chi tiết NVL'!$I:$I,$A133,'Chi tiết NVL'!O:O)</f>
        <v/>
      </c>
      <c r="G133" s="57">
        <f>+SUMIF('Chi tiết NVL'!$I:$I,$A133,'Chi tiết NVL'!P:P)</f>
        <v/>
      </c>
      <c r="H133" s="57">
        <f>+SUMIF('Chi tiết NVL'!$I:$I,$A133,'Chi tiết NVL'!Q:Q)</f>
        <v/>
      </c>
      <c r="I133" s="57">
        <f>+SUMIF('Chi tiết NVL'!$I:$I,$A133,'Chi tiết NVL'!R:R)</f>
        <v/>
      </c>
      <c r="J133" s="57">
        <f>+SUMIF('Chi tiết NVL'!$I:$I,$A133,'Chi tiết NVL'!S:S)</f>
        <v/>
      </c>
    </row>
    <row r="134">
      <c r="A134" s="56" t="inlineStr">
        <is>
          <t>SƠN JOTAMASTIC 70 GREY 18L</t>
        </is>
      </c>
      <c r="B134" s="56">
        <f>+VLOOKUP(A134,'Chi tiết NVL'!$I$10:$J$4158,2,0)</f>
        <v/>
      </c>
      <c r="C134" s="57">
        <f>+SUMIF('Chi tiết NVL'!$I:$I,$A134,'Chi tiết NVL'!L:L)</f>
        <v/>
      </c>
      <c r="D134" s="57">
        <f>+SUMIF('Chi tiết NVL'!$I:$I,$A134,'Chi tiết NVL'!M:M)</f>
        <v/>
      </c>
      <c r="E134" s="57">
        <f>+SUMIF('Chi tiết NVL'!$I:$I,$A134,'Chi tiết NVL'!N:N)</f>
        <v/>
      </c>
      <c r="F134" s="57">
        <f>+SUMIF('Chi tiết NVL'!$I:$I,$A134,'Chi tiết NVL'!O:O)</f>
        <v/>
      </c>
      <c r="G134" s="57">
        <f>+SUMIF('Chi tiết NVL'!$I:$I,$A134,'Chi tiết NVL'!P:P)</f>
        <v/>
      </c>
      <c r="H134" s="57">
        <f>+SUMIF('Chi tiết NVL'!$I:$I,$A134,'Chi tiết NVL'!Q:Q)</f>
        <v/>
      </c>
      <c r="I134" s="57">
        <f>+SUMIF('Chi tiết NVL'!$I:$I,$A134,'Chi tiết NVL'!R:R)</f>
        <v/>
      </c>
      <c r="J134" s="57">
        <f>+SUMIF('Chi tiết NVL'!$I:$I,$A134,'Chi tiết NVL'!S:S)</f>
        <v/>
      </c>
    </row>
    <row r="135">
      <c r="A135" s="56" t="inlineStr">
        <is>
          <t>Thép tấm</t>
        </is>
      </c>
      <c r="B135" s="56">
        <f>+VLOOKUP(A135,'Chi tiết NVL'!$I$10:$J$4158,2,0)</f>
        <v/>
      </c>
      <c r="C135" s="57">
        <f>+SUMIF('Chi tiết NVL'!$I:$I,$A135,'Chi tiết NVL'!L:L)</f>
        <v/>
      </c>
      <c r="D135" s="57">
        <f>+SUMIF('Chi tiết NVL'!$I:$I,$A135,'Chi tiết NVL'!M:M)</f>
        <v/>
      </c>
      <c r="E135" s="57">
        <f>+SUMIF('Chi tiết NVL'!$I:$I,$A135,'Chi tiết NVL'!N:N)</f>
        <v/>
      </c>
      <c r="F135" s="57">
        <f>+SUMIF('Chi tiết NVL'!$I:$I,$A135,'Chi tiết NVL'!O:O)</f>
        <v/>
      </c>
      <c r="G135" s="57">
        <f>+SUMIF('Chi tiết NVL'!$I:$I,$A135,'Chi tiết NVL'!P:P)</f>
        <v/>
      </c>
      <c r="H135" s="57">
        <f>+SUMIF('Chi tiết NVL'!$I:$I,$A135,'Chi tiết NVL'!Q:Q)</f>
        <v/>
      </c>
      <c r="I135" s="57">
        <f>+SUMIF('Chi tiết NVL'!$I:$I,$A135,'Chi tiết NVL'!R:R)</f>
        <v/>
      </c>
      <c r="J135" s="57">
        <f>+SUMIF('Chi tiết NVL'!$I:$I,$A135,'Chi tiết NVL'!S:S)</f>
        <v/>
      </c>
    </row>
    <row r="136">
      <c r="A136" s="56" t="inlineStr">
        <is>
          <t>SƠN JOTAMASTIC 70 RED 18L</t>
        </is>
      </c>
      <c r="B136" s="56">
        <f>+VLOOKUP(A136,'Chi tiết NVL'!$I$10:$J$4158,2,0)</f>
        <v/>
      </c>
      <c r="C136" s="57">
        <f>+SUMIF('Chi tiết NVL'!$I:$I,$A136,'Chi tiết NVL'!L:L)</f>
        <v/>
      </c>
      <c r="D136" s="57">
        <f>+SUMIF('Chi tiết NVL'!$I:$I,$A136,'Chi tiết NVL'!M:M)</f>
        <v/>
      </c>
      <c r="E136" s="57">
        <f>+SUMIF('Chi tiết NVL'!$I:$I,$A136,'Chi tiết NVL'!N:N)</f>
        <v/>
      </c>
      <c r="F136" s="57">
        <f>+SUMIF('Chi tiết NVL'!$I:$I,$A136,'Chi tiết NVL'!O:O)</f>
        <v/>
      </c>
      <c r="G136" s="57">
        <f>+SUMIF('Chi tiết NVL'!$I:$I,$A136,'Chi tiết NVL'!P:P)</f>
        <v/>
      </c>
      <c r="H136" s="57">
        <f>+SUMIF('Chi tiết NVL'!$I:$I,$A136,'Chi tiết NVL'!Q:Q)</f>
        <v/>
      </c>
      <c r="I136" s="57">
        <f>+SUMIF('Chi tiết NVL'!$I:$I,$A136,'Chi tiết NVL'!R:R)</f>
        <v/>
      </c>
      <c r="J136" s="57">
        <f>+SUMIF('Chi tiết NVL'!$I:$I,$A136,'Chi tiết NVL'!S:S)</f>
        <v/>
      </c>
    </row>
    <row r="137">
      <c r="A137" s="56" t="inlineStr">
        <is>
          <t>DUNG MÔI JOTUN THINNER NO. 17 20L</t>
        </is>
      </c>
      <c r="B137" s="56">
        <f>+VLOOKUP(A137,'Chi tiết NVL'!$I$10:$J$4158,2,0)</f>
        <v/>
      </c>
      <c r="C137" s="57">
        <f>+SUMIF('Chi tiết NVL'!$I:$I,$A137,'Chi tiết NVL'!L:L)</f>
        <v/>
      </c>
      <c r="D137" s="57">
        <f>+SUMIF('Chi tiết NVL'!$I:$I,$A137,'Chi tiết NVL'!M:M)</f>
        <v/>
      </c>
      <c r="E137" s="57">
        <f>+SUMIF('Chi tiết NVL'!$I:$I,$A137,'Chi tiết NVL'!N:N)</f>
        <v/>
      </c>
      <c r="F137" s="57">
        <f>+SUMIF('Chi tiết NVL'!$I:$I,$A137,'Chi tiết NVL'!O:O)</f>
        <v/>
      </c>
      <c r="G137" s="57">
        <f>+SUMIF('Chi tiết NVL'!$I:$I,$A137,'Chi tiết NVL'!P:P)</f>
        <v/>
      </c>
      <c r="H137" s="57">
        <f>+SUMIF('Chi tiết NVL'!$I:$I,$A137,'Chi tiết NVL'!Q:Q)</f>
        <v/>
      </c>
      <c r="I137" s="57">
        <f>+SUMIF('Chi tiết NVL'!$I:$I,$A137,'Chi tiết NVL'!R:R)</f>
        <v/>
      </c>
      <c r="J137" s="57">
        <f>+SUMIF('Chi tiết NVL'!$I:$I,$A137,'Chi tiết NVL'!S:S)</f>
        <v/>
      </c>
    </row>
    <row r="138">
      <c r="A138" s="56" t="inlineStr">
        <is>
          <t>DUNG MÔI JOTUN THINNER NO. 17 5L</t>
        </is>
      </c>
      <c r="B138" s="56">
        <f>+VLOOKUP(A138,'Chi tiết NVL'!$I$10:$J$4158,2,0)</f>
        <v/>
      </c>
      <c r="C138" s="57">
        <f>+SUMIF('Chi tiết NVL'!$I:$I,$A138,'Chi tiết NVL'!L:L)</f>
        <v/>
      </c>
      <c r="D138" s="57">
        <f>+SUMIF('Chi tiết NVL'!$I:$I,$A138,'Chi tiết NVL'!M:M)</f>
        <v/>
      </c>
      <c r="E138" s="57">
        <f>+SUMIF('Chi tiết NVL'!$I:$I,$A138,'Chi tiết NVL'!N:N)</f>
        <v/>
      </c>
      <c r="F138" s="57">
        <f>+SUMIF('Chi tiết NVL'!$I:$I,$A138,'Chi tiết NVL'!O:O)</f>
        <v/>
      </c>
      <c r="G138" s="57">
        <f>+SUMIF('Chi tiết NVL'!$I:$I,$A138,'Chi tiết NVL'!P:P)</f>
        <v/>
      </c>
      <c r="H138" s="57">
        <f>+SUMIF('Chi tiết NVL'!$I:$I,$A138,'Chi tiết NVL'!Q:Q)</f>
        <v/>
      </c>
      <c r="I138" s="57">
        <f>+SUMIF('Chi tiết NVL'!$I:$I,$A138,'Chi tiết NVL'!R:R)</f>
        <v/>
      </c>
      <c r="J138" s="57">
        <f>+SUMIF('Chi tiết NVL'!$I:$I,$A138,'Chi tiết NVL'!S:S)</f>
        <v/>
      </c>
    </row>
    <row r="139">
      <c r="A139" s="56" t="inlineStr">
        <is>
          <t>SƠN FUTURA CLASSIC RAL5011 19.97L</t>
        </is>
      </c>
      <c r="B139" s="56">
        <f>+VLOOKUP(A139,'Chi tiết NVL'!$I$10:$J$4158,2,0)</f>
        <v/>
      </c>
      <c r="C139" s="57">
        <f>+SUMIF('Chi tiết NVL'!$I:$I,$A139,'Chi tiết NVL'!L:L)</f>
        <v/>
      </c>
      <c r="D139" s="57">
        <f>+SUMIF('Chi tiết NVL'!$I:$I,$A139,'Chi tiết NVL'!M:M)</f>
        <v/>
      </c>
      <c r="E139" s="57">
        <f>+SUMIF('Chi tiết NVL'!$I:$I,$A139,'Chi tiết NVL'!N:N)</f>
        <v/>
      </c>
      <c r="F139" s="57">
        <f>+SUMIF('Chi tiết NVL'!$I:$I,$A139,'Chi tiết NVL'!O:O)</f>
        <v/>
      </c>
      <c r="G139" s="57">
        <f>+SUMIF('Chi tiết NVL'!$I:$I,$A139,'Chi tiết NVL'!P:P)</f>
        <v/>
      </c>
      <c r="H139" s="57">
        <f>+SUMIF('Chi tiết NVL'!$I:$I,$A139,'Chi tiết NVL'!Q:Q)</f>
        <v/>
      </c>
      <c r="I139" s="57">
        <f>+SUMIF('Chi tiết NVL'!$I:$I,$A139,'Chi tiết NVL'!R:R)</f>
        <v/>
      </c>
      <c r="J139" s="57">
        <f>+SUMIF('Chi tiết NVL'!$I:$I,$A139,'Chi tiết NVL'!S:S)</f>
        <v/>
      </c>
    </row>
    <row r="140">
      <c r="A140" s="56" t="inlineStr">
        <is>
          <t>SƠN FUTURA CLASSIC RAL 5011 4.99L</t>
        </is>
      </c>
      <c r="B140" s="56">
        <f>+VLOOKUP(A140,'Chi tiết NVL'!$I$10:$J$4158,2,0)</f>
        <v/>
      </c>
      <c r="C140" s="57">
        <f>+SUMIF('Chi tiết NVL'!$I:$I,$A140,'Chi tiết NVL'!L:L)</f>
        <v/>
      </c>
      <c r="D140" s="57">
        <f>+SUMIF('Chi tiết NVL'!$I:$I,$A140,'Chi tiết NVL'!M:M)</f>
        <v/>
      </c>
      <c r="E140" s="57">
        <f>+SUMIF('Chi tiết NVL'!$I:$I,$A140,'Chi tiết NVL'!N:N)</f>
        <v/>
      </c>
      <c r="F140" s="57">
        <f>+SUMIF('Chi tiết NVL'!$I:$I,$A140,'Chi tiết NVL'!O:O)</f>
        <v/>
      </c>
      <c r="G140" s="57">
        <f>+SUMIF('Chi tiết NVL'!$I:$I,$A140,'Chi tiết NVL'!P:P)</f>
        <v/>
      </c>
      <c r="H140" s="57">
        <f>+SUMIF('Chi tiết NVL'!$I:$I,$A140,'Chi tiết NVL'!Q:Q)</f>
        <v/>
      </c>
      <c r="I140" s="57">
        <f>+SUMIF('Chi tiết NVL'!$I:$I,$A140,'Chi tiết NVL'!R:R)</f>
        <v/>
      </c>
      <c r="J140" s="57">
        <f>+SUMIF('Chi tiết NVL'!$I:$I,$A140,'Chi tiết NVL'!S:S)</f>
        <v/>
      </c>
    </row>
    <row r="141">
      <c r="A141" s="56" t="inlineStr">
        <is>
          <t>DUNG MÔI JOTUN THINNER NO. 10 20L</t>
        </is>
      </c>
      <c r="B141" s="56">
        <f>+VLOOKUP(A141,'Chi tiết NVL'!$I$10:$J$4158,2,0)</f>
        <v/>
      </c>
      <c r="C141" s="57">
        <f>+SUMIF('Chi tiết NVL'!$I:$I,$A141,'Chi tiết NVL'!L:L)</f>
        <v/>
      </c>
      <c r="D141" s="57">
        <f>+SUMIF('Chi tiết NVL'!$I:$I,$A141,'Chi tiết NVL'!M:M)</f>
        <v/>
      </c>
      <c r="E141" s="57">
        <f>+SUMIF('Chi tiết NVL'!$I:$I,$A141,'Chi tiết NVL'!N:N)</f>
        <v/>
      </c>
      <c r="F141" s="57">
        <f>+SUMIF('Chi tiết NVL'!$I:$I,$A141,'Chi tiết NVL'!O:O)</f>
        <v/>
      </c>
      <c r="G141" s="57">
        <f>+SUMIF('Chi tiết NVL'!$I:$I,$A141,'Chi tiết NVL'!P:P)</f>
        <v/>
      </c>
      <c r="H141" s="57">
        <f>+SUMIF('Chi tiết NVL'!$I:$I,$A141,'Chi tiết NVL'!Q:Q)</f>
        <v/>
      </c>
      <c r="I141" s="57">
        <f>+SUMIF('Chi tiết NVL'!$I:$I,$A141,'Chi tiết NVL'!R:R)</f>
        <v/>
      </c>
      <c r="J141" s="57">
        <f>+SUMIF('Chi tiết NVL'!$I:$I,$A141,'Chi tiết NVL'!S:S)</f>
        <v/>
      </c>
    </row>
    <row r="142">
      <c r="A142" s="56" t="inlineStr">
        <is>
          <t>Thép tấm Q355/A572 5lyx1500x6000</t>
        </is>
      </c>
      <c r="B142" s="56">
        <f>+VLOOKUP(A142,'Chi tiết NVL'!$I$10:$J$4158,2,0)</f>
        <v/>
      </c>
      <c r="C142" s="57">
        <f>+SUMIF('Chi tiết NVL'!$I:$I,$A142,'Chi tiết NVL'!L:L)</f>
        <v/>
      </c>
      <c r="D142" s="57">
        <f>+SUMIF('Chi tiết NVL'!$I:$I,$A142,'Chi tiết NVL'!M:M)</f>
        <v/>
      </c>
      <c r="E142" s="57">
        <f>+SUMIF('Chi tiết NVL'!$I:$I,$A142,'Chi tiết NVL'!N:N)</f>
        <v/>
      </c>
      <c r="F142" s="57">
        <f>+SUMIF('Chi tiết NVL'!$I:$I,$A142,'Chi tiết NVL'!O:O)</f>
        <v/>
      </c>
      <c r="G142" s="57">
        <f>+SUMIF('Chi tiết NVL'!$I:$I,$A142,'Chi tiết NVL'!P:P)</f>
        <v/>
      </c>
      <c r="H142" s="57">
        <f>+SUMIF('Chi tiết NVL'!$I:$I,$A142,'Chi tiết NVL'!Q:Q)</f>
        <v/>
      </c>
      <c r="I142" s="57">
        <f>+SUMIF('Chi tiết NVL'!$I:$I,$A142,'Chi tiết NVL'!R:R)</f>
        <v/>
      </c>
      <c r="J142" s="57">
        <f>+SUMIF('Chi tiết NVL'!$I:$I,$A142,'Chi tiết NVL'!S:S)</f>
        <v/>
      </c>
    </row>
    <row r="143">
      <c r="A143" s="56" t="inlineStr">
        <is>
          <t>Thép tấm Q355/A572 6lyx1500x6000</t>
        </is>
      </c>
      <c r="B143" s="56">
        <f>+VLOOKUP(A143,'Chi tiết NVL'!$I$10:$J$4158,2,0)</f>
        <v/>
      </c>
      <c r="C143" s="57">
        <f>+SUMIF('Chi tiết NVL'!$I:$I,$A143,'Chi tiết NVL'!L:L)</f>
        <v/>
      </c>
      <c r="D143" s="57">
        <f>+SUMIF('Chi tiết NVL'!$I:$I,$A143,'Chi tiết NVL'!M:M)</f>
        <v/>
      </c>
      <c r="E143" s="57">
        <f>+SUMIF('Chi tiết NVL'!$I:$I,$A143,'Chi tiết NVL'!N:N)</f>
        <v/>
      </c>
      <c r="F143" s="57">
        <f>+SUMIF('Chi tiết NVL'!$I:$I,$A143,'Chi tiết NVL'!O:O)</f>
        <v/>
      </c>
      <c r="G143" s="57">
        <f>+SUMIF('Chi tiết NVL'!$I:$I,$A143,'Chi tiết NVL'!P:P)</f>
        <v/>
      </c>
      <c r="H143" s="57">
        <f>+SUMIF('Chi tiết NVL'!$I:$I,$A143,'Chi tiết NVL'!Q:Q)</f>
        <v/>
      </c>
      <c r="I143" s="57">
        <f>+SUMIF('Chi tiết NVL'!$I:$I,$A143,'Chi tiết NVL'!R:R)</f>
        <v/>
      </c>
      <c r="J143" s="57">
        <f>+SUMIF('Chi tiết NVL'!$I:$I,$A143,'Chi tiết NVL'!S:S)</f>
        <v/>
      </c>
    </row>
    <row r="144">
      <c r="A144" s="56" t="inlineStr">
        <is>
          <t>Thép tấm Q355/A572 8lyx1500x6000</t>
        </is>
      </c>
      <c r="B144" s="56">
        <f>+VLOOKUP(A144,'Chi tiết NVL'!$I$10:$J$4158,2,0)</f>
        <v/>
      </c>
      <c r="C144" s="57">
        <f>+SUMIF('Chi tiết NVL'!$I:$I,$A144,'Chi tiết NVL'!L:L)</f>
        <v/>
      </c>
      <c r="D144" s="57">
        <f>+SUMIF('Chi tiết NVL'!$I:$I,$A144,'Chi tiết NVL'!M:M)</f>
        <v/>
      </c>
      <c r="E144" s="57">
        <f>+SUMIF('Chi tiết NVL'!$I:$I,$A144,'Chi tiết NVL'!N:N)</f>
        <v/>
      </c>
      <c r="F144" s="57">
        <f>+SUMIF('Chi tiết NVL'!$I:$I,$A144,'Chi tiết NVL'!O:O)</f>
        <v/>
      </c>
      <c r="G144" s="57">
        <f>+SUMIF('Chi tiết NVL'!$I:$I,$A144,'Chi tiết NVL'!P:P)</f>
        <v/>
      </c>
      <c r="H144" s="57">
        <f>+SUMIF('Chi tiết NVL'!$I:$I,$A144,'Chi tiết NVL'!Q:Q)</f>
        <v/>
      </c>
      <c r="I144" s="57">
        <f>+SUMIF('Chi tiết NVL'!$I:$I,$A144,'Chi tiết NVL'!R:R)</f>
        <v/>
      </c>
      <c r="J144" s="57">
        <f>+SUMIF('Chi tiết NVL'!$I:$I,$A144,'Chi tiết NVL'!S:S)</f>
        <v/>
      </c>
    </row>
    <row r="145">
      <c r="A145" s="56" t="inlineStr">
        <is>
          <t>Thép tấm Q355/A572 12lyx1.500x12000</t>
        </is>
      </c>
      <c r="B145" s="56">
        <f>+VLOOKUP(A145,'Chi tiết NVL'!$I$10:$J$4158,2,0)</f>
        <v/>
      </c>
      <c r="C145" s="57">
        <f>+SUMIF('Chi tiết NVL'!$I:$I,$A145,'Chi tiết NVL'!L:L)</f>
        <v/>
      </c>
      <c r="D145" s="57">
        <f>+SUMIF('Chi tiết NVL'!$I:$I,$A145,'Chi tiết NVL'!M:M)</f>
        <v/>
      </c>
      <c r="E145" s="57">
        <f>+SUMIF('Chi tiết NVL'!$I:$I,$A145,'Chi tiết NVL'!N:N)</f>
        <v/>
      </c>
      <c r="F145" s="57">
        <f>+SUMIF('Chi tiết NVL'!$I:$I,$A145,'Chi tiết NVL'!O:O)</f>
        <v/>
      </c>
      <c r="G145" s="57">
        <f>+SUMIF('Chi tiết NVL'!$I:$I,$A145,'Chi tiết NVL'!P:P)</f>
        <v/>
      </c>
      <c r="H145" s="57">
        <f>+SUMIF('Chi tiết NVL'!$I:$I,$A145,'Chi tiết NVL'!Q:Q)</f>
        <v/>
      </c>
      <c r="I145" s="57">
        <f>+SUMIF('Chi tiết NVL'!$I:$I,$A145,'Chi tiết NVL'!R:R)</f>
        <v/>
      </c>
      <c r="J145" s="57">
        <f>+SUMIF('Chi tiết NVL'!$I:$I,$A145,'Chi tiết NVL'!S:S)</f>
        <v/>
      </c>
    </row>
    <row r="146">
      <c r="A146" s="56" t="inlineStr">
        <is>
          <t>Thép tấm Q355/A572 14lyx2000x12000</t>
        </is>
      </c>
      <c r="B146" s="56">
        <f>+VLOOKUP(A146,'Chi tiết NVL'!$I$10:$J$4158,2,0)</f>
        <v/>
      </c>
      <c r="C146" s="57">
        <f>+SUMIF('Chi tiết NVL'!$I:$I,$A146,'Chi tiết NVL'!L:L)</f>
        <v/>
      </c>
      <c r="D146" s="57">
        <f>+SUMIF('Chi tiết NVL'!$I:$I,$A146,'Chi tiết NVL'!M:M)</f>
        <v/>
      </c>
      <c r="E146" s="57">
        <f>+SUMIF('Chi tiết NVL'!$I:$I,$A146,'Chi tiết NVL'!N:N)</f>
        <v/>
      </c>
      <c r="F146" s="57">
        <f>+SUMIF('Chi tiết NVL'!$I:$I,$A146,'Chi tiết NVL'!O:O)</f>
        <v/>
      </c>
      <c r="G146" s="57">
        <f>+SUMIF('Chi tiết NVL'!$I:$I,$A146,'Chi tiết NVL'!P:P)</f>
        <v/>
      </c>
      <c r="H146" s="57">
        <f>+SUMIF('Chi tiết NVL'!$I:$I,$A146,'Chi tiết NVL'!Q:Q)</f>
        <v/>
      </c>
      <c r="I146" s="57">
        <f>+SUMIF('Chi tiết NVL'!$I:$I,$A146,'Chi tiết NVL'!R:R)</f>
        <v/>
      </c>
      <c r="J146" s="57">
        <f>+SUMIF('Chi tiết NVL'!$I:$I,$A146,'Chi tiết NVL'!S:S)</f>
        <v/>
      </c>
    </row>
    <row r="147">
      <c r="A147" s="56" t="inlineStr">
        <is>
          <t>Thép Hình I150x75x5x7x12m</t>
        </is>
      </c>
      <c r="B147" s="56">
        <f>+VLOOKUP(A147,'Chi tiết NVL'!$I$10:$J$4158,2,0)</f>
        <v/>
      </c>
      <c r="C147" s="57">
        <f>+SUMIF('Chi tiết NVL'!$I:$I,$A147,'Chi tiết NVL'!L:L)</f>
        <v/>
      </c>
      <c r="D147" s="57">
        <f>+SUMIF('Chi tiết NVL'!$I:$I,$A147,'Chi tiết NVL'!M:M)</f>
        <v/>
      </c>
      <c r="E147" s="57">
        <f>+SUMIF('Chi tiết NVL'!$I:$I,$A147,'Chi tiết NVL'!N:N)</f>
        <v/>
      </c>
      <c r="F147" s="57">
        <f>+SUMIF('Chi tiết NVL'!$I:$I,$A147,'Chi tiết NVL'!O:O)</f>
        <v/>
      </c>
      <c r="G147" s="57">
        <f>+SUMIF('Chi tiết NVL'!$I:$I,$A147,'Chi tiết NVL'!P:P)</f>
        <v/>
      </c>
      <c r="H147" s="57">
        <f>+SUMIF('Chi tiết NVL'!$I:$I,$A147,'Chi tiết NVL'!Q:Q)</f>
        <v/>
      </c>
      <c r="I147" s="57">
        <f>+SUMIF('Chi tiết NVL'!$I:$I,$A147,'Chi tiết NVL'!R:R)</f>
        <v/>
      </c>
      <c r="J147" s="57">
        <f>+SUMIF('Chi tiết NVL'!$I:$I,$A147,'Chi tiết NVL'!S:S)</f>
        <v/>
      </c>
    </row>
    <row r="148">
      <c r="A148" s="56" t="inlineStr">
        <is>
          <t>Thép hình V90x90x7x6m</t>
        </is>
      </c>
      <c r="B148" s="56">
        <f>+VLOOKUP(A148,'Chi tiết NVL'!$I$10:$J$4158,2,0)</f>
        <v/>
      </c>
      <c r="C148" s="57">
        <f>+SUMIF('Chi tiết NVL'!$I:$I,$A148,'Chi tiết NVL'!L:L)</f>
        <v/>
      </c>
      <c r="D148" s="57">
        <f>+SUMIF('Chi tiết NVL'!$I:$I,$A148,'Chi tiết NVL'!M:M)</f>
        <v/>
      </c>
      <c r="E148" s="57">
        <f>+SUMIF('Chi tiết NVL'!$I:$I,$A148,'Chi tiết NVL'!N:N)</f>
        <v/>
      </c>
      <c r="F148" s="57">
        <f>+SUMIF('Chi tiết NVL'!$I:$I,$A148,'Chi tiết NVL'!O:O)</f>
        <v/>
      </c>
      <c r="G148" s="57">
        <f>+SUMIF('Chi tiết NVL'!$I:$I,$A148,'Chi tiết NVL'!P:P)</f>
        <v/>
      </c>
      <c r="H148" s="57">
        <f>+SUMIF('Chi tiết NVL'!$I:$I,$A148,'Chi tiết NVL'!Q:Q)</f>
        <v/>
      </c>
      <c r="I148" s="57">
        <f>+SUMIF('Chi tiết NVL'!$I:$I,$A148,'Chi tiết NVL'!R:R)</f>
        <v/>
      </c>
      <c r="J148" s="57">
        <f>+SUMIF('Chi tiết NVL'!$I:$I,$A148,'Chi tiết NVL'!S:S)</f>
        <v/>
      </c>
    </row>
    <row r="149">
      <c r="A149" s="56" t="inlineStr">
        <is>
          <t>Thép tấm Q355/A572 4lyx1500x6000</t>
        </is>
      </c>
      <c r="B149" s="56">
        <f>+VLOOKUP(A149,'Chi tiết NVL'!$I$10:$J$4158,2,0)</f>
        <v/>
      </c>
      <c r="C149" s="57">
        <f>+SUMIF('Chi tiết NVL'!$I:$I,$A149,'Chi tiết NVL'!L:L)</f>
        <v/>
      </c>
      <c r="D149" s="57">
        <f>+SUMIF('Chi tiết NVL'!$I:$I,$A149,'Chi tiết NVL'!M:M)</f>
        <v/>
      </c>
      <c r="E149" s="57">
        <f>+SUMIF('Chi tiết NVL'!$I:$I,$A149,'Chi tiết NVL'!N:N)</f>
        <v/>
      </c>
      <c r="F149" s="57">
        <f>+SUMIF('Chi tiết NVL'!$I:$I,$A149,'Chi tiết NVL'!O:O)</f>
        <v/>
      </c>
      <c r="G149" s="57">
        <f>+SUMIF('Chi tiết NVL'!$I:$I,$A149,'Chi tiết NVL'!P:P)</f>
        <v/>
      </c>
      <c r="H149" s="57">
        <f>+SUMIF('Chi tiết NVL'!$I:$I,$A149,'Chi tiết NVL'!Q:Q)</f>
        <v/>
      </c>
      <c r="I149" s="57">
        <f>+SUMIF('Chi tiết NVL'!$I:$I,$A149,'Chi tiết NVL'!R:R)</f>
        <v/>
      </c>
      <c r="J149" s="57">
        <f>+SUMIF('Chi tiết NVL'!$I:$I,$A149,'Chi tiết NVL'!S:S)</f>
        <v/>
      </c>
    </row>
    <row r="150">
      <c r="A150" s="56" t="inlineStr">
        <is>
          <t>Thép tấm Q355/A572 8lyx1500x12000</t>
        </is>
      </c>
      <c r="B150" s="56">
        <f>+VLOOKUP(A150,'Chi tiết NVL'!$I$10:$J$4158,2,0)</f>
        <v/>
      </c>
      <c r="C150" s="57">
        <f>+SUMIF('Chi tiết NVL'!$I:$I,$A150,'Chi tiết NVL'!L:L)</f>
        <v/>
      </c>
      <c r="D150" s="57">
        <f>+SUMIF('Chi tiết NVL'!$I:$I,$A150,'Chi tiết NVL'!M:M)</f>
        <v/>
      </c>
      <c r="E150" s="57">
        <f>+SUMIF('Chi tiết NVL'!$I:$I,$A150,'Chi tiết NVL'!N:N)</f>
        <v/>
      </c>
      <c r="F150" s="57">
        <f>+SUMIF('Chi tiết NVL'!$I:$I,$A150,'Chi tiết NVL'!O:O)</f>
        <v/>
      </c>
      <c r="G150" s="57">
        <f>+SUMIF('Chi tiết NVL'!$I:$I,$A150,'Chi tiết NVL'!P:P)</f>
        <v/>
      </c>
      <c r="H150" s="57">
        <f>+SUMIF('Chi tiết NVL'!$I:$I,$A150,'Chi tiết NVL'!Q:Q)</f>
        <v/>
      </c>
      <c r="I150" s="57">
        <f>+SUMIF('Chi tiết NVL'!$I:$I,$A150,'Chi tiết NVL'!R:R)</f>
        <v/>
      </c>
      <c r="J150" s="57">
        <f>+SUMIF('Chi tiết NVL'!$I:$I,$A150,'Chi tiết NVL'!S:S)</f>
        <v/>
      </c>
    </row>
    <row r="151">
      <c r="A151" s="56" t="inlineStr">
        <is>
          <t>Thép tấm Q355/A572 10lyx1500x12000</t>
        </is>
      </c>
      <c r="B151" s="56">
        <f>+VLOOKUP(A151,'Chi tiết NVL'!$I$10:$J$4158,2,0)</f>
        <v/>
      </c>
      <c r="C151" s="57">
        <f>+SUMIF('Chi tiết NVL'!$I:$I,$A151,'Chi tiết NVL'!L:L)</f>
        <v/>
      </c>
      <c r="D151" s="57">
        <f>+SUMIF('Chi tiết NVL'!$I:$I,$A151,'Chi tiết NVL'!M:M)</f>
        <v/>
      </c>
      <c r="E151" s="57">
        <f>+SUMIF('Chi tiết NVL'!$I:$I,$A151,'Chi tiết NVL'!N:N)</f>
        <v/>
      </c>
      <c r="F151" s="57">
        <f>+SUMIF('Chi tiết NVL'!$I:$I,$A151,'Chi tiết NVL'!O:O)</f>
        <v/>
      </c>
      <c r="G151" s="57">
        <f>+SUMIF('Chi tiết NVL'!$I:$I,$A151,'Chi tiết NVL'!P:P)</f>
        <v/>
      </c>
      <c r="H151" s="57">
        <f>+SUMIF('Chi tiết NVL'!$I:$I,$A151,'Chi tiết NVL'!Q:Q)</f>
        <v/>
      </c>
      <c r="I151" s="57">
        <f>+SUMIF('Chi tiết NVL'!$I:$I,$A151,'Chi tiết NVL'!R:R)</f>
        <v/>
      </c>
      <c r="J151" s="57">
        <f>+SUMIF('Chi tiết NVL'!$I:$I,$A151,'Chi tiết NVL'!S:S)</f>
        <v/>
      </c>
    </row>
    <row r="152">
      <c r="A152" s="56" t="inlineStr">
        <is>
          <t>Thép tấm Q355/A572 16lyx2000x12000</t>
        </is>
      </c>
      <c r="B152" s="56">
        <f>+VLOOKUP(A152,'Chi tiết NVL'!$I$10:$J$4158,2,0)</f>
        <v/>
      </c>
      <c r="C152" s="57">
        <f>+SUMIF('Chi tiết NVL'!$I:$I,$A152,'Chi tiết NVL'!L:L)</f>
        <v/>
      </c>
      <c r="D152" s="57">
        <f>+SUMIF('Chi tiết NVL'!$I:$I,$A152,'Chi tiết NVL'!M:M)</f>
        <v/>
      </c>
      <c r="E152" s="57">
        <f>+SUMIF('Chi tiết NVL'!$I:$I,$A152,'Chi tiết NVL'!N:N)</f>
        <v/>
      </c>
      <c r="F152" s="57">
        <f>+SUMIF('Chi tiết NVL'!$I:$I,$A152,'Chi tiết NVL'!O:O)</f>
        <v/>
      </c>
      <c r="G152" s="57">
        <f>+SUMIF('Chi tiết NVL'!$I:$I,$A152,'Chi tiết NVL'!P:P)</f>
        <v/>
      </c>
      <c r="H152" s="57">
        <f>+SUMIF('Chi tiết NVL'!$I:$I,$A152,'Chi tiết NVL'!Q:Q)</f>
        <v/>
      </c>
      <c r="I152" s="57">
        <f>+SUMIF('Chi tiết NVL'!$I:$I,$A152,'Chi tiết NVL'!R:R)</f>
        <v/>
      </c>
      <c r="J152" s="57">
        <f>+SUMIF('Chi tiết NVL'!$I:$I,$A152,'Chi tiết NVL'!S:S)</f>
        <v/>
      </c>
    </row>
    <row r="153">
      <c r="A153" s="56" t="inlineStr">
        <is>
          <t>Thép tấm Q355/A572 20lyx2000x12000</t>
        </is>
      </c>
      <c r="B153" s="56">
        <f>+VLOOKUP(A153,'Chi tiết NVL'!$I$10:$J$4158,2,0)</f>
        <v/>
      </c>
      <c r="C153" s="57">
        <f>+SUMIF('Chi tiết NVL'!$I:$I,$A153,'Chi tiết NVL'!L:L)</f>
        <v/>
      </c>
      <c r="D153" s="57">
        <f>+SUMIF('Chi tiết NVL'!$I:$I,$A153,'Chi tiết NVL'!M:M)</f>
        <v/>
      </c>
      <c r="E153" s="57">
        <f>+SUMIF('Chi tiết NVL'!$I:$I,$A153,'Chi tiết NVL'!N:N)</f>
        <v/>
      </c>
      <c r="F153" s="57">
        <f>+SUMIF('Chi tiết NVL'!$I:$I,$A153,'Chi tiết NVL'!O:O)</f>
        <v/>
      </c>
      <c r="G153" s="57">
        <f>+SUMIF('Chi tiết NVL'!$I:$I,$A153,'Chi tiết NVL'!P:P)</f>
        <v/>
      </c>
      <c r="H153" s="57">
        <f>+SUMIF('Chi tiết NVL'!$I:$I,$A153,'Chi tiết NVL'!Q:Q)</f>
        <v/>
      </c>
      <c r="I153" s="57">
        <f>+SUMIF('Chi tiết NVL'!$I:$I,$A153,'Chi tiết NVL'!R:R)</f>
        <v/>
      </c>
      <c r="J153" s="57">
        <f>+SUMIF('Chi tiết NVL'!$I:$I,$A153,'Chi tiết NVL'!S:S)</f>
        <v/>
      </c>
    </row>
    <row r="154">
      <c r="A154" s="56" t="inlineStr">
        <is>
          <t>Thép hình U120x6m</t>
        </is>
      </c>
      <c r="B154" s="56">
        <f>+VLOOKUP(A154,'Chi tiết NVL'!$I$10:$J$4158,2,0)</f>
        <v/>
      </c>
      <c r="C154" s="57">
        <f>+SUMIF('Chi tiết NVL'!$I:$I,$A154,'Chi tiết NVL'!L:L)</f>
        <v/>
      </c>
      <c r="D154" s="57">
        <f>+SUMIF('Chi tiết NVL'!$I:$I,$A154,'Chi tiết NVL'!M:M)</f>
        <v/>
      </c>
      <c r="E154" s="57">
        <f>+SUMIF('Chi tiết NVL'!$I:$I,$A154,'Chi tiết NVL'!N:N)</f>
        <v/>
      </c>
      <c r="F154" s="57">
        <f>+SUMIF('Chi tiết NVL'!$I:$I,$A154,'Chi tiết NVL'!O:O)</f>
        <v/>
      </c>
      <c r="G154" s="57">
        <f>+SUMIF('Chi tiết NVL'!$I:$I,$A154,'Chi tiết NVL'!P:P)</f>
        <v/>
      </c>
      <c r="H154" s="57">
        <f>+SUMIF('Chi tiết NVL'!$I:$I,$A154,'Chi tiết NVL'!Q:Q)</f>
        <v/>
      </c>
      <c r="I154" s="57">
        <f>+SUMIF('Chi tiết NVL'!$I:$I,$A154,'Chi tiết NVL'!R:R)</f>
        <v/>
      </c>
      <c r="J154" s="57">
        <f>+SUMIF('Chi tiết NVL'!$I:$I,$A154,'Chi tiết NVL'!S:S)</f>
        <v/>
      </c>
    </row>
    <row r="155">
      <c r="A155" s="56" t="inlineStr">
        <is>
          <t>Thép hình V50x50x5x6m</t>
        </is>
      </c>
      <c r="B155" s="56">
        <f>+VLOOKUP(A155,'Chi tiết NVL'!$I$10:$J$4158,2,0)</f>
        <v/>
      </c>
      <c r="C155" s="57">
        <f>+SUMIF('Chi tiết NVL'!$I:$I,$A155,'Chi tiết NVL'!L:L)</f>
        <v/>
      </c>
      <c r="D155" s="57">
        <f>+SUMIF('Chi tiết NVL'!$I:$I,$A155,'Chi tiết NVL'!M:M)</f>
        <v/>
      </c>
      <c r="E155" s="57">
        <f>+SUMIF('Chi tiết NVL'!$I:$I,$A155,'Chi tiết NVL'!N:N)</f>
        <v/>
      </c>
      <c r="F155" s="57">
        <f>+SUMIF('Chi tiết NVL'!$I:$I,$A155,'Chi tiết NVL'!O:O)</f>
        <v/>
      </c>
      <c r="G155" s="57">
        <f>+SUMIF('Chi tiết NVL'!$I:$I,$A155,'Chi tiết NVL'!P:P)</f>
        <v/>
      </c>
      <c r="H155" s="57">
        <f>+SUMIF('Chi tiết NVL'!$I:$I,$A155,'Chi tiết NVL'!Q:Q)</f>
        <v/>
      </c>
      <c r="I155" s="57">
        <f>+SUMIF('Chi tiết NVL'!$I:$I,$A155,'Chi tiết NVL'!R:R)</f>
        <v/>
      </c>
      <c r="J155" s="57">
        <f>+SUMIF('Chi tiết NVL'!$I:$I,$A155,'Chi tiết NVL'!S:S)</f>
        <v/>
      </c>
    </row>
    <row r="156">
      <c r="A156" s="56" t="inlineStr">
        <is>
          <t>Thép hình V75x75x6x6m</t>
        </is>
      </c>
      <c r="B156" s="56">
        <f>+VLOOKUP(A156,'Chi tiết NVL'!$I$10:$J$4158,2,0)</f>
        <v/>
      </c>
      <c r="C156" s="57">
        <f>+SUMIF('Chi tiết NVL'!$I:$I,$A156,'Chi tiết NVL'!L:L)</f>
        <v/>
      </c>
      <c r="D156" s="57">
        <f>+SUMIF('Chi tiết NVL'!$I:$I,$A156,'Chi tiết NVL'!M:M)</f>
        <v/>
      </c>
      <c r="E156" s="57">
        <f>+SUMIF('Chi tiết NVL'!$I:$I,$A156,'Chi tiết NVL'!N:N)</f>
        <v/>
      </c>
      <c r="F156" s="57">
        <f>+SUMIF('Chi tiết NVL'!$I:$I,$A156,'Chi tiết NVL'!O:O)</f>
        <v/>
      </c>
      <c r="G156" s="57">
        <f>+SUMIF('Chi tiết NVL'!$I:$I,$A156,'Chi tiết NVL'!P:P)</f>
        <v/>
      </c>
      <c r="H156" s="57">
        <f>+SUMIF('Chi tiết NVL'!$I:$I,$A156,'Chi tiết NVL'!Q:Q)</f>
        <v/>
      </c>
      <c r="I156" s="57">
        <f>+SUMIF('Chi tiết NVL'!$I:$I,$A156,'Chi tiết NVL'!R:R)</f>
        <v/>
      </c>
      <c r="J156" s="57">
        <f>+SUMIF('Chi tiết NVL'!$I:$I,$A156,'Chi tiết NVL'!S:S)</f>
        <v/>
      </c>
    </row>
    <row r="157">
      <c r="A157" s="56" t="inlineStr">
        <is>
          <t>Thép hình U250x78x7x12m</t>
        </is>
      </c>
      <c r="B157" s="56">
        <f>+VLOOKUP(A157,'Chi tiết NVL'!$I$10:$J$4158,2,0)</f>
        <v/>
      </c>
      <c r="C157" s="57">
        <f>+SUMIF('Chi tiết NVL'!$I:$I,$A157,'Chi tiết NVL'!L:L)</f>
        <v/>
      </c>
      <c r="D157" s="57">
        <f>+SUMIF('Chi tiết NVL'!$I:$I,$A157,'Chi tiết NVL'!M:M)</f>
        <v/>
      </c>
      <c r="E157" s="57">
        <f>+SUMIF('Chi tiết NVL'!$I:$I,$A157,'Chi tiết NVL'!N:N)</f>
        <v/>
      </c>
      <c r="F157" s="57">
        <f>+SUMIF('Chi tiết NVL'!$I:$I,$A157,'Chi tiết NVL'!O:O)</f>
        <v/>
      </c>
      <c r="G157" s="57">
        <f>+SUMIF('Chi tiết NVL'!$I:$I,$A157,'Chi tiết NVL'!P:P)</f>
        <v/>
      </c>
      <c r="H157" s="57">
        <f>+SUMIF('Chi tiết NVL'!$I:$I,$A157,'Chi tiết NVL'!Q:Q)</f>
        <v/>
      </c>
      <c r="I157" s="57">
        <f>+SUMIF('Chi tiết NVL'!$I:$I,$A157,'Chi tiết NVL'!R:R)</f>
        <v/>
      </c>
      <c r="J157" s="57">
        <f>+SUMIF('Chi tiết NVL'!$I:$I,$A157,'Chi tiết NVL'!S:S)</f>
        <v/>
      </c>
    </row>
    <row r="158">
      <c r="A158" s="56" t="inlineStr">
        <is>
          <t>Thép ống 141.3x3.96x6m - Đen</t>
        </is>
      </c>
      <c r="B158" s="56">
        <f>+VLOOKUP(A158,'Chi tiết NVL'!$I$10:$J$4158,2,0)</f>
        <v/>
      </c>
      <c r="C158" s="57">
        <f>+SUMIF('Chi tiết NVL'!$I:$I,$A158,'Chi tiết NVL'!L:L)</f>
        <v/>
      </c>
      <c r="D158" s="57">
        <f>+SUMIF('Chi tiết NVL'!$I:$I,$A158,'Chi tiết NVL'!M:M)</f>
        <v/>
      </c>
      <c r="E158" s="57">
        <f>+SUMIF('Chi tiết NVL'!$I:$I,$A158,'Chi tiết NVL'!N:N)</f>
        <v/>
      </c>
      <c r="F158" s="57">
        <f>+SUMIF('Chi tiết NVL'!$I:$I,$A158,'Chi tiết NVL'!O:O)</f>
        <v/>
      </c>
      <c r="G158" s="57">
        <f>+SUMIF('Chi tiết NVL'!$I:$I,$A158,'Chi tiết NVL'!P:P)</f>
        <v/>
      </c>
      <c r="H158" s="57">
        <f>+SUMIF('Chi tiết NVL'!$I:$I,$A158,'Chi tiết NVL'!Q:Q)</f>
        <v/>
      </c>
      <c r="I158" s="57">
        <f>+SUMIF('Chi tiết NVL'!$I:$I,$A158,'Chi tiết NVL'!R:R)</f>
        <v/>
      </c>
      <c r="J158" s="57">
        <f>+SUMIF('Chi tiết NVL'!$I:$I,$A158,'Chi tiết NVL'!S:S)</f>
        <v/>
      </c>
    </row>
    <row r="159">
      <c r="A159" s="56" t="inlineStr">
        <is>
          <t>Hộp vuông 150x150x3.5x6m - Đen</t>
        </is>
      </c>
      <c r="B159" s="56">
        <f>+VLOOKUP(A159,'Chi tiết NVL'!$I$10:$J$4158,2,0)</f>
        <v/>
      </c>
      <c r="C159" s="57">
        <f>+SUMIF('Chi tiết NVL'!$I:$I,$A159,'Chi tiết NVL'!L:L)</f>
        <v/>
      </c>
      <c r="D159" s="57">
        <f>+SUMIF('Chi tiết NVL'!$I:$I,$A159,'Chi tiết NVL'!M:M)</f>
        <v/>
      </c>
      <c r="E159" s="57">
        <f>+SUMIF('Chi tiết NVL'!$I:$I,$A159,'Chi tiết NVL'!N:N)</f>
        <v/>
      </c>
      <c r="F159" s="57">
        <f>+SUMIF('Chi tiết NVL'!$I:$I,$A159,'Chi tiết NVL'!O:O)</f>
        <v/>
      </c>
      <c r="G159" s="57">
        <f>+SUMIF('Chi tiết NVL'!$I:$I,$A159,'Chi tiết NVL'!P:P)</f>
        <v/>
      </c>
      <c r="H159" s="57">
        <f>+SUMIF('Chi tiết NVL'!$I:$I,$A159,'Chi tiết NVL'!Q:Q)</f>
        <v/>
      </c>
      <c r="I159" s="57">
        <f>+SUMIF('Chi tiết NVL'!$I:$I,$A159,'Chi tiết NVL'!R:R)</f>
        <v/>
      </c>
      <c r="J159" s="57">
        <f>+SUMIF('Chi tiết NVL'!$I:$I,$A159,'Chi tiết NVL'!S:S)</f>
        <v/>
      </c>
    </row>
    <row r="160">
      <c r="A160" s="56" t="inlineStr">
        <is>
          <t>SƠN FUTURA CLASSIC RAL9010 18.22L</t>
        </is>
      </c>
      <c r="B160" s="56">
        <f>+VLOOKUP(A160,'Chi tiết NVL'!$I$10:$J$4158,2,0)</f>
        <v/>
      </c>
      <c r="C160" s="57">
        <f>+SUMIF('Chi tiết NVL'!$I:$I,$A160,'Chi tiết NVL'!L:L)</f>
        <v/>
      </c>
      <c r="D160" s="57">
        <f>+SUMIF('Chi tiết NVL'!$I:$I,$A160,'Chi tiết NVL'!M:M)</f>
        <v/>
      </c>
      <c r="E160" s="57">
        <f>+SUMIF('Chi tiết NVL'!$I:$I,$A160,'Chi tiết NVL'!N:N)</f>
        <v/>
      </c>
      <c r="F160" s="57">
        <f>+SUMIF('Chi tiết NVL'!$I:$I,$A160,'Chi tiết NVL'!O:O)</f>
        <v/>
      </c>
      <c r="G160" s="57">
        <f>+SUMIF('Chi tiết NVL'!$I:$I,$A160,'Chi tiết NVL'!P:P)</f>
        <v/>
      </c>
      <c r="H160" s="57">
        <f>+SUMIF('Chi tiết NVL'!$I:$I,$A160,'Chi tiết NVL'!Q:Q)</f>
        <v/>
      </c>
      <c r="I160" s="57">
        <f>+SUMIF('Chi tiết NVL'!$I:$I,$A160,'Chi tiết NVL'!R:R)</f>
        <v/>
      </c>
      <c r="J160" s="57">
        <f>+SUMIF('Chi tiết NVL'!$I:$I,$A160,'Chi tiết NVL'!S:S)</f>
        <v/>
      </c>
    </row>
    <row r="161">
      <c r="A161" s="56" t="inlineStr">
        <is>
          <t>Bulong nở 5.6 ZP M16x100</t>
        </is>
      </c>
      <c r="B161" s="56">
        <f>+VLOOKUP(A161,'Chi tiết NVL'!$I$10:$J$4158,2,0)</f>
        <v/>
      </c>
      <c r="C161" s="57">
        <f>+SUMIF('Chi tiết NVL'!$I:$I,$A161,'Chi tiết NVL'!L:L)</f>
        <v/>
      </c>
      <c r="D161" s="57">
        <f>+SUMIF('Chi tiết NVL'!$I:$I,$A161,'Chi tiết NVL'!M:M)</f>
        <v/>
      </c>
      <c r="E161" s="57">
        <f>+SUMIF('Chi tiết NVL'!$I:$I,$A161,'Chi tiết NVL'!N:N)</f>
        <v/>
      </c>
      <c r="F161" s="57">
        <f>+SUMIF('Chi tiết NVL'!$I:$I,$A161,'Chi tiết NVL'!O:O)</f>
        <v/>
      </c>
      <c r="G161" s="57">
        <f>+SUMIF('Chi tiết NVL'!$I:$I,$A161,'Chi tiết NVL'!P:P)</f>
        <v/>
      </c>
      <c r="H161" s="57">
        <f>+SUMIF('Chi tiết NVL'!$I:$I,$A161,'Chi tiết NVL'!Q:Q)</f>
        <v/>
      </c>
      <c r="I161" s="57">
        <f>+SUMIF('Chi tiết NVL'!$I:$I,$A161,'Chi tiết NVL'!R:R)</f>
        <v/>
      </c>
      <c r="J161" s="57">
        <f>+SUMIF('Chi tiết NVL'!$I:$I,$A161,'Chi tiết NVL'!S:S)</f>
        <v/>
      </c>
    </row>
    <row r="162">
      <c r="A162" s="56" t="inlineStr">
        <is>
          <t>Tắc kê ZP (Cr+6) M8x100</t>
        </is>
      </c>
      <c r="B162" s="56">
        <f>+VLOOKUP(A162,'Chi tiết NVL'!$I$10:$J$4158,2,0)</f>
        <v/>
      </c>
      <c r="C162" s="57">
        <f>+SUMIF('Chi tiết NVL'!$I:$I,$A162,'Chi tiết NVL'!L:L)</f>
        <v/>
      </c>
      <c r="D162" s="57">
        <f>+SUMIF('Chi tiết NVL'!$I:$I,$A162,'Chi tiết NVL'!M:M)</f>
        <v/>
      </c>
      <c r="E162" s="57">
        <f>+SUMIF('Chi tiết NVL'!$I:$I,$A162,'Chi tiết NVL'!N:N)</f>
        <v/>
      </c>
      <c r="F162" s="57">
        <f>+SUMIF('Chi tiết NVL'!$I:$I,$A162,'Chi tiết NVL'!O:O)</f>
        <v/>
      </c>
      <c r="G162" s="57">
        <f>+SUMIF('Chi tiết NVL'!$I:$I,$A162,'Chi tiết NVL'!P:P)</f>
        <v/>
      </c>
      <c r="H162" s="57">
        <f>+SUMIF('Chi tiết NVL'!$I:$I,$A162,'Chi tiết NVL'!Q:Q)</f>
        <v/>
      </c>
      <c r="I162" s="57">
        <f>+SUMIF('Chi tiết NVL'!$I:$I,$A162,'Chi tiết NVL'!R:R)</f>
        <v/>
      </c>
      <c r="J162" s="57">
        <f>+SUMIF('Chi tiết NVL'!$I:$I,$A162,'Chi tiết NVL'!S:S)</f>
        <v/>
      </c>
    </row>
    <row r="163">
      <c r="A163" s="56" t="inlineStr">
        <is>
          <t>Bulong Din 933 8.8 ZP M8x30</t>
        </is>
      </c>
      <c r="B163" s="56">
        <f>+VLOOKUP(A163,'Chi tiết NVL'!$I$10:$J$4158,2,0)</f>
        <v/>
      </c>
      <c r="C163" s="57">
        <f>+SUMIF('Chi tiết NVL'!$I:$I,$A163,'Chi tiết NVL'!L:L)</f>
        <v/>
      </c>
      <c r="D163" s="57">
        <f>+SUMIF('Chi tiết NVL'!$I:$I,$A163,'Chi tiết NVL'!M:M)</f>
        <v/>
      </c>
      <c r="E163" s="57">
        <f>+SUMIF('Chi tiết NVL'!$I:$I,$A163,'Chi tiết NVL'!N:N)</f>
        <v/>
      </c>
      <c r="F163" s="57">
        <f>+SUMIF('Chi tiết NVL'!$I:$I,$A163,'Chi tiết NVL'!O:O)</f>
        <v/>
      </c>
      <c r="G163" s="57">
        <f>+SUMIF('Chi tiết NVL'!$I:$I,$A163,'Chi tiết NVL'!P:P)</f>
        <v/>
      </c>
      <c r="H163" s="57">
        <f>+SUMIF('Chi tiết NVL'!$I:$I,$A163,'Chi tiết NVL'!Q:Q)</f>
        <v/>
      </c>
      <c r="I163" s="57">
        <f>+SUMIF('Chi tiết NVL'!$I:$I,$A163,'Chi tiết NVL'!R:R)</f>
        <v/>
      </c>
      <c r="J163" s="57">
        <f>+SUMIF('Chi tiết NVL'!$I:$I,$A163,'Chi tiết NVL'!S:S)</f>
        <v/>
      </c>
    </row>
    <row r="164">
      <c r="A164" s="56" t="inlineStr">
        <is>
          <t>Đai ốc ISO 4032 8 ZP M8</t>
        </is>
      </c>
      <c r="B164" s="56">
        <f>+VLOOKUP(A164,'Chi tiết NVL'!$I$10:$J$4158,2,0)</f>
        <v/>
      </c>
      <c r="C164" s="57">
        <f>+SUMIF('Chi tiết NVL'!$I:$I,$A164,'Chi tiết NVL'!L:L)</f>
        <v/>
      </c>
      <c r="D164" s="57">
        <f>+SUMIF('Chi tiết NVL'!$I:$I,$A164,'Chi tiết NVL'!M:M)</f>
        <v/>
      </c>
      <c r="E164" s="57">
        <f>+SUMIF('Chi tiết NVL'!$I:$I,$A164,'Chi tiết NVL'!N:N)</f>
        <v/>
      </c>
      <c r="F164" s="57">
        <f>+SUMIF('Chi tiết NVL'!$I:$I,$A164,'Chi tiết NVL'!O:O)</f>
        <v/>
      </c>
      <c r="G164" s="57">
        <f>+SUMIF('Chi tiết NVL'!$I:$I,$A164,'Chi tiết NVL'!P:P)</f>
        <v/>
      </c>
      <c r="H164" s="57">
        <f>+SUMIF('Chi tiết NVL'!$I:$I,$A164,'Chi tiết NVL'!Q:Q)</f>
        <v/>
      </c>
      <c r="I164" s="57">
        <f>+SUMIF('Chi tiết NVL'!$I:$I,$A164,'Chi tiết NVL'!R:R)</f>
        <v/>
      </c>
      <c r="J164" s="57">
        <f>+SUMIF('Chi tiết NVL'!$I:$I,$A164,'Chi tiết NVL'!S:S)</f>
        <v/>
      </c>
    </row>
    <row r="165">
      <c r="A165" s="56" t="inlineStr">
        <is>
          <t>Long đền thường ZP M8B19D1</t>
        </is>
      </c>
      <c r="B165" s="56">
        <f>+VLOOKUP(A165,'Chi tiết NVL'!$I$10:$J$4158,2,0)</f>
        <v/>
      </c>
      <c r="C165" s="57">
        <f>+SUMIF('Chi tiết NVL'!$I:$I,$A165,'Chi tiết NVL'!L:L)</f>
        <v/>
      </c>
      <c r="D165" s="57">
        <f>+SUMIF('Chi tiết NVL'!$I:$I,$A165,'Chi tiết NVL'!M:M)</f>
        <v/>
      </c>
      <c r="E165" s="57">
        <f>+SUMIF('Chi tiết NVL'!$I:$I,$A165,'Chi tiết NVL'!N:N)</f>
        <v/>
      </c>
      <c r="F165" s="57">
        <f>+SUMIF('Chi tiết NVL'!$I:$I,$A165,'Chi tiết NVL'!O:O)</f>
        <v/>
      </c>
      <c r="G165" s="57">
        <f>+SUMIF('Chi tiết NVL'!$I:$I,$A165,'Chi tiết NVL'!P:P)</f>
        <v/>
      </c>
      <c r="H165" s="57">
        <f>+SUMIF('Chi tiết NVL'!$I:$I,$A165,'Chi tiết NVL'!Q:Q)</f>
        <v/>
      </c>
      <c r="I165" s="57">
        <f>+SUMIF('Chi tiết NVL'!$I:$I,$A165,'Chi tiết NVL'!R:R)</f>
        <v/>
      </c>
      <c r="J165" s="57">
        <f>+SUMIF('Chi tiết NVL'!$I:$I,$A165,'Chi tiết NVL'!S:S)</f>
        <v/>
      </c>
    </row>
    <row r="166">
      <c r="A166" s="56" t="inlineStr">
        <is>
          <t>Bulong thường ZP M6x40</t>
        </is>
      </c>
      <c r="B166" s="56">
        <f>+VLOOKUP(A166,'Chi tiết NVL'!$I$10:$J$4158,2,0)</f>
        <v/>
      </c>
      <c r="C166" s="57">
        <f>+SUMIF('Chi tiết NVL'!$I:$I,$A166,'Chi tiết NVL'!L:L)</f>
        <v/>
      </c>
      <c r="D166" s="57">
        <f>+SUMIF('Chi tiết NVL'!$I:$I,$A166,'Chi tiết NVL'!M:M)</f>
        <v/>
      </c>
      <c r="E166" s="57">
        <f>+SUMIF('Chi tiết NVL'!$I:$I,$A166,'Chi tiết NVL'!N:N)</f>
        <v/>
      </c>
      <c r="F166" s="57">
        <f>+SUMIF('Chi tiết NVL'!$I:$I,$A166,'Chi tiết NVL'!O:O)</f>
        <v/>
      </c>
      <c r="G166" s="57">
        <f>+SUMIF('Chi tiết NVL'!$I:$I,$A166,'Chi tiết NVL'!P:P)</f>
        <v/>
      </c>
      <c r="H166" s="57">
        <f>+SUMIF('Chi tiết NVL'!$I:$I,$A166,'Chi tiết NVL'!Q:Q)</f>
        <v/>
      </c>
      <c r="I166" s="57">
        <f>+SUMIF('Chi tiết NVL'!$I:$I,$A166,'Chi tiết NVL'!R:R)</f>
        <v/>
      </c>
      <c r="J166" s="57">
        <f>+SUMIF('Chi tiết NVL'!$I:$I,$A166,'Chi tiết NVL'!S:S)</f>
        <v/>
      </c>
    </row>
    <row r="167">
      <c r="A167" s="56" t="inlineStr">
        <is>
          <t>Đai ốc thường ZP M6</t>
        </is>
      </c>
      <c r="B167" s="56">
        <f>+VLOOKUP(A167,'Chi tiết NVL'!$I$10:$J$4158,2,0)</f>
        <v/>
      </c>
      <c r="C167" s="57">
        <f>+SUMIF('Chi tiết NVL'!$I:$I,$A167,'Chi tiết NVL'!L:L)</f>
        <v/>
      </c>
      <c r="D167" s="57">
        <f>+SUMIF('Chi tiết NVL'!$I:$I,$A167,'Chi tiết NVL'!M:M)</f>
        <v/>
      </c>
      <c r="E167" s="57">
        <f>+SUMIF('Chi tiết NVL'!$I:$I,$A167,'Chi tiết NVL'!N:N)</f>
        <v/>
      </c>
      <c r="F167" s="57">
        <f>+SUMIF('Chi tiết NVL'!$I:$I,$A167,'Chi tiết NVL'!O:O)</f>
        <v/>
      </c>
      <c r="G167" s="57">
        <f>+SUMIF('Chi tiết NVL'!$I:$I,$A167,'Chi tiết NVL'!P:P)</f>
        <v/>
      </c>
      <c r="H167" s="57">
        <f>+SUMIF('Chi tiết NVL'!$I:$I,$A167,'Chi tiết NVL'!Q:Q)</f>
        <v/>
      </c>
      <c r="I167" s="57">
        <f>+SUMIF('Chi tiết NVL'!$I:$I,$A167,'Chi tiết NVL'!R:R)</f>
        <v/>
      </c>
      <c r="J167" s="57">
        <f>+SUMIF('Chi tiết NVL'!$I:$I,$A167,'Chi tiết NVL'!S:S)</f>
        <v/>
      </c>
    </row>
    <row r="168">
      <c r="A168" s="56" t="inlineStr">
        <is>
          <t>Long đền thường ZP M6B17D2</t>
        </is>
      </c>
      <c r="B168" s="56">
        <f>+VLOOKUP(A168,'Chi tiết NVL'!$I$10:$J$4158,2,0)</f>
        <v/>
      </c>
      <c r="C168" s="57">
        <f>+SUMIF('Chi tiết NVL'!$I:$I,$A168,'Chi tiết NVL'!L:L)</f>
        <v/>
      </c>
      <c r="D168" s="57">
        <f>+SUMIF('Chi tiết NVL'!$I:$I,$A168,'Chi tiết NVL'!M:M)</f>
        <v/>
      </c>
      <c r="E168" s="57">
        <f>+SUMIF('Chi tiết NVL'!$I:$I,$A168,'Chi tiết NVL'!N:N)</f>
        <v/>
      </c>
      <c r="F168" s="57">
        <f>+SUMIF('Chi tiết NVL'!$I:$I,$A168,'Chi tiết NVL'!O:O)</f>
        <v/>
      </c>
      <c r="G168" s="57">
        <f>+SUMIF('Chi tiết NVL'!$I:$I,$A168,'Chi tiết NVL'!P:P)</f>
        <v/>
      </c>
      <c r="H168" s="57">
        <f>+SUMIF('Chi tiết NVL'!$I:$I,$A168,'Chi tiết NVL'!Q:Q)</f>
        <v/>
      </c>
      <c r="I168" s="57">
        <f>+SUMIF('Chi tiết NVL'!$I:$I,$A168,'Chi tiết NVL'!R:R)</f>
        <v/>
      </c>
      <c r="J168" s="57">
        <f>+SUMIF('Chi tiết NVL'!$I:$I,$A168,'Chi tiết NVL'!S:S)</f>
        <v/>
      </c>
    </row>
    <row r="169">
      <c r="A169" s="56" t="inlineStr">
        <is>
          <t>Thép dày mạ kẽm Z350 phủ CR:2.40mmx1120</t>
        </is>
      </c>
      <c r="B169" s="56">
        <f>+VLOOKUP(A169,'Chi tiết NVL'!$I$10:$J$4158,2,0)</f>
        <v/>
      </c>
      <c r="C169" s="57">
        <f>+SUMIF('Chi tiết NVL'!$I:$I,$A169,'Chi tiết NVL'!L:L)</f>
        <v/>
      </c>
      <c r="D169" s="57">
        <f>+SUMIF('Chi tiết NVL'!$I:$I,$A169,'Chi tiết NVL'!M:M)</f>
        <v/>
      </c>
      <c r="E169" s="57">
        <f>+SUMIF('Chi tiết NVL'!$I:$I,$A169,'Chi tiết NVL'!N:N)</f>
        <v/>
      </c>
      <c r="F169" s="57">
        <f>+SUMIF('Chi tiết NVL'!$I:$I,$A169,'Chi tiết NVL'!O:O)</f>
        <v/>
      </c>
      <c r="G169" s="57">
        <f>+SUMIF('Chi tiết NVL'!$I:$I,$A169,'Chi tiết NVL'!P:P)</f>
        <v/>
      </c>
      <c r="H169" s="57">
        <f>+SUMIF('Chi tiết NVL'!$I:$I,$A169,'Chi tiết NVL'!Q:Q)</f>
        <v/>
      </c>
      <c r="I169" s="57">
        <f>+SUMIF('Chi tiết NVL'!$I:$I,$A169,'Chi tiết NVL'!R:R)</f>
        <v/>
      </c>
      <c r="J169" s="57">
        <f>+SUMIF('Chi tiết NVL'!$I:$I,$A169,'Chi tiết NVL'!S:S)</f>
        <v/>
      </c>
    </row>
    <row r="170">
      <c r="A170" s="56" t="inlineStr">
        <is>
          <t>Vít B2stek 12-14x20 HWFS</t>
        </is>
      </c>
      <c r="B170" s="56">
        <f>+VLOOKUP(A170,'Chi tiết NVL'!$I$10:$J$4158,2,0)</f>
        <v/>
      </c>
      <c r="C170" s="57">
        <f>+SUMIF('Chi tiết NVL'!$I:$I,$A170,'Chi tiết NVL'!L:L)</f>
        <v/>
      </c>
      <c r="D170" s="57">
        <f>+SUMIF('Chi tiết NVL'!$I:$I,$A170,'Chi tiết NVL'!M:M)</f>
        <v/>
      </c>
      <c r="E170" s="57">
        <f>+SUMIF('Chi tiết NVL'!$I:$I,$A170,'Chi tiết NVL'!N:N)</f>
        <v/>
      </c>
      <c r="F170" s="57">
        <f>+SUMIF('Chi tiết NVL'!$I:$I,$A170,'Chi tiết NVL'!O:O)</f>
        <v/>
      </c>
      <c r="G170" s="57">
        <f>+SUMIF('Chi tiết NVL'!$I:$I,$A170,'Chi tiết NVL'!P:P)</f>
        <v/>
      </c>
      <c r="H170" s="57">
        <f>+SUMIF('Chi tiết NVL'!$I:$I,$A170,'Chi tiết NVL'!Q:Q)</f>
        <v/>
      </c>
      <c r="I170" s="57">
        <f>+SUMIF('Chi tiết NVL'!$I:$I,$A170,'Chi tiết NVL'!R:R)</f>
        <v/>
      </c>
      <c r="J170" s="57">
        <f>+SUMIF('Chi tiết NVL'!$I:$I,$A170,'Chi tiết NVL'!S:S)</f>
        <v/>
      </c>
    </row>
    <row r="171">
      <c r="A171" s="56" t="inlineStr">
        <is>
          <t>Vít B2stek 12-14x30 HWFS</t>
        </is>
      </c>
      <c r="B171" s="56">
        <f>+VLOOKUP(A171,'Chi tiết NVL'!$I$10:$J$4158,2,0)</f>
        <v/>
      </c>
      <c r="C171" s="57">
        <f>+SUMIF('Chi tiết NVL'!$I:$I,$A171,'Chi tiết NVL'!L:L)</f>
        <v/>
      </c>
      <c r="D171" s="57">
        <f>+SUMIF('Chi tiết NVL'!$I:$I,$A171,'Chi tiết NVL'!M:M)</f>
        <v/>
      </c>
      <c r="E171" s="57">
        <f>+SUMIF('Chi tiết NVL'!$I:$I,$A171,'Chi tiết NVL'!N:N)</f>
        <v/>
      </c>
      <c r="F171" s="57">
        <f>+SUMIF('Chi tiết NVL'!$I:$I,$A171,'Chi tiết NVL'!O:O)</f>
        <v/>
      </c>
      <c r="G171" s="57">
        <f>+SUMIF('Chi tiết NVL'!$I:$I,$A171,'Chi tiết NVL'!P:P)</f>
        <v/>
      </c>
      <c r="H171" s="57">
        <f>+SUMIF('Chi tiết NVL'!$I:$I,$A171,'Chi tiết NVL'!Q:Q)</f>
        <v/>
      </c>
      <c r="I171" s="57">
        <f>+SUMIF('Chi tiết NVL'!$I:$I,$A171,'Chi tiết NVL'!R:R)</f>
        <v/>
      </c>
      <c r="J171" s="57">
        <f>+SUMIF('Chi tiết NVL'!$I:$I,$A171,'Chi tiết NVL'!S:S)</f>
        <v/>
      </c>
    </row>
    <row r="172">
      <c r="A172" s="56" t="inlineStr">
        <is>
          <t>Vít B2stek 12-14x55 HWB</t>
        </is>
      </c>
      <c r="B172" s="56">
        <f>+VLOOKUP(A172,'Chi tiết NVL'!$I$10:$J$4158,2,0)</f>
        <v/>
      </c>
      <c r="C172" s="57">
        <f>+SUMIF('Chi tiết NVL'!$I:$I,$A172,'Chi tiết NVL'!L:L)</f>
        <v/>
      </c>
      <c r="D172" s="57">
        <f>+SUMIF('Chi tiết NVL'!$I:$I,$A172,'Chi tiết NVL'!M:M)</f>
        <v/>
      </c>
      <c r="E172" s="57">
        <f>+SUMIF('Chi tiết NVL'!$I:$I,$A172,'Chi tiết NVL'!N:N)</f>
        <v/>
      </c>
      <c r="F172" s="57">
        <f>+SUMIF('Chi tiết NVL'!$I:$I,$A172,'Chi tiết NVL'!O:O)</f>
        <v/>
      </c>
      <c r="G172" s="57">
        <f>+SUMIF('Chi tiết NVL'!$I:$I,$A172,'Chi tiết NVL'!P:P)</f>
        <v/>
      </c>
      <c r="H172" s="57">
        <f>+SUMIF('Chi tiết NVL'!$I:$I,$A172,'Chi tiết NVL'!Q:Q)</f>
        <v/>
      </c>
      <c r="I172" s="57">
        <f>+SUMIF('Chi tiết NVL'!$I:$I,$A172,'Chi tiết NVL'!R:R)</f>
        <v/>
      </c>
      <c r="J172" s="57">
        <f>+SUMIF('Chi tiết NVL'!$I:$I,$A172,'Chi tiết NVL'!S:S)</f>
        <v/>
      </c>
    </row>
    <row r="173">
      <c r="A173" s="56" t="inlineStr">
        <is>
          <t>Vít B3stek 12-24x32 HWFS</t>
        </is>
      </c>
      <c r="B173" s="56">
        <f>+VLOOKUP(A173,'Chi tiết NVL'!$I$10:$J$4158,2,0)</f>
        <v/>
      </c>
      <c r="C173" s="57">
        <f>+SUMIF('Chi tiết NVL'!$I:$I,$A173,'Chi tiết NVL'!L:L)</f>
        <v/>
      </c>
      <c r="D173" s="57">
        <f>+SUMIF('Chi tiết NVL'!$I:$I,$A173,'Chi tiết NVL'!M:M)</f>
        <v/>
      </c>
      <c r="E173" s="57">
        <f>+SUMIF('Chi tiết NVL'!$I:$I,$A173,'Chi tiết NVL'!N:N)</f>
        <v/>
      </c>
      <c r="F173" s="57">
        <f>+SUMIF('Chi tiết NVL'!$I:$I,$A173,'Chi tiết NVL'!O:O)</f>
        <v/>
      </c>
      <c r="G173" s="57">
        <f>+SUMIF('Chi tiết NVL'!$I:$I,$A173,'Chi tiết NVL'!P:P)</f>
        <v/>
      </c>
      <c r="H173" s="57">
        <f>+SUMIF('Chi tiết NVL'!$I:$I,$A173,'Chi tiết NVL'!Q:Q)</f>
        <v/>
      </c>
      <c r="I173" s="57">
        <f>+SUMIF('Chi tiết NVL'!$I:$I,$A173,'Chi tiết NVL'!R:R)</f>
        <v/>
      </c>
      <c r="J173" s="57">
        <f>+SUMIF('Chi tiết NVL'!$I:$I,$A173,'Chi tiết NVL'!S:S)</f>
        <v/>
      </c>
    </row>
    <row r="174">
      <c r="A174" s="56" t="inlineStr">
        <is>
          <t>Vít B2stek 10-24x22 WAF</t>
        </is>
      </c>
      <c r="B174" s="56">
        <f>+VLOOKUP(A174,'Chi tiết NVL'!$I$10:$J$4158,2,0)</f>
        <v/>
      </c>
      <c r="C174" s="57">
        <f>+SUMIF('Chi tiết NVL'!$I:$I,$A174,'Chi tiết NVL'!L:L)</f>
        <v/>
      </c>
      <c r="D174" s="57">
        <f>+SUMIF('Chi tiết NVL'!$I:$I,$A174,'Chi tiết NVL'!M:M)</f>
        <v/>
      </c>
      <c r="E174" s="57">
        <f>+SUMIF('Chi tiết NVL'!$I:$I,$A174,'Chi tiết NVL'!N:N)</f>
        <v/>
      </c>
      <c r="F174" s="57">
        <f>+SUMIF('Chi tiết NVL'!$I:$I,$A174,'Chi tiết NVL'!O:O)</f>
        <v/>
      </c>
      <c r="G174" s="57">
        <f>+SUMIF('Chi tiết NVL'!$I:$I,$A174,'Chi tiết NVL'!P:P)</f>
        <v/>
      </c>
      <c r="H174" s="57">
        <f>+SUMIF('Chi tiết NVL'!$I:$I,$A174,'Chi tiết NVL'!Q:Q)</f>
        <v/>
      </c>
      <c r="I174" s="57">
        <f>+SUMIF('Chi tiết NVL'!$I:$I,$A174,'Chi tiết NVL'!R:R)</f>
        <v/>
      </c>
      <c r="J174" s="57">
        <f>+SUMIF('Chi tiết NVL'!$I:$I,$A174,'Chi tiết NVL'!S:S)</f>
        <v/>
      </c>
    </row>
    <row r="175">
      <c r="A175" s="56" t="inlineStr">
        <is>
          <t>Vít B2smtek 15-15x20 HWFS</t>
        </is>
      </c>
      <c r="B175" s="56">
        <f>+VLOOKUP(A175,'Chi tiết NVL'!$I$10:$J$4158,2,0)</f>
        <v/>
      </c>
      <c r="C175" s="57">
        <f>+SUMIF('Chi tiết NVL'!$I:$I,$A175,'Chi tiết NVL'!L:L)</f>
        <v/>
      </c>
      <c r="D175" s="57">
        <f>+SUMIF('Chi tiết NVL'!$I:$I,$A175,'Chi tiết NVL'!M:M)</f>
        <v/>
      </c>
      <c r="E175" s="57">
        <f>+SUMIF('Chi tiết NVL'!$I:$I,$A175,'Chi tiết NVL'!N:N)</f>
        <v/>
      </c>
      <c r="F175" s="57">
        <f>+SUMIF('Chi tiết NVL'!$I:$I,$A175,'Chi tiết NVL'!O:O)</f>
        <v/>
      </c>
      <c r="G175" s="57">
        <f>+SUMIF('Chi tiết NVL'!$I:$I,$A175,'Chi tiết NVL'!P:P)</f>
        <v/>
      </c>
      <c r="H175" s="57">
        <f>+SUMIF('Chi tiết NVL'!$I:$I,$A175,'Chi tiết NVL'!Q:Q)</f>
        <v/>
      </c>
      <c r="I175" s="57">
        <f>+SUMIF('Chi tiết NVL'!$I:$I,$A175,'Chi tiết NVL'!R:R)</f>
        <v/>
      </c>
      <c r="J175" s="57">
        <f>+SUMIF('Chi tiết NVL'!$I:$I,$A175,'Chi tiết NVL'!S:S)</f>
        <v/>
      </c>
    </row>
    <row r="176">
      <c r="A176" s="56" t="inlineStr">
        <is>
          <t>Rive 4x 10</t>
        </is>
      </c>
      <c r="B176" s="56">
        <f>+VLOOKUP(A176,'Chi tiết NVL'!$I$10:$J$4158,2,0)</f>
        <v/>
      </c>
      <c r="C176" s="57">
        <f>+SUMIF('Chi tiết NVL'!$I:$I,$A176,'Chi tiết NVL'!L:L)</f>
        <v/>
      </c>
      <c r="D176" s="57">
        <f>+SUMIF('Chi tiết NVL'!$I:$I,$A176,'Chi tiết NVL'!M:M)</f>
        <v/>
      </c>
      <c r="E176" s="57">
        <f>+SUMIF('Chi tiết NVL'!$I:$I,$A176,'Chi tiết NVL'!N:N)</f>
        <v/>
      </c>
      <c r="F176" s="57">
        <f>+SUMIF('Chi tiết NVL'!$I:$I,$A176,'Chi tiết NVL'!O:O)</f>
        <v/>
      </c>
      <c r="G176" s="57">
        <f>+SUMIF('Chi tiết NVL'!$I:$I,$A176,'Chi tiết NVL'!P:P)</f>
        <v/>
      </c>
      <c r="H176" s="57">
        <f>+SUMIF('Chi tiết NVL'!$I:$I,$A176,'Chi tiết NVL'!Q:Q)</f>
        <v/>
      </c>
      <c r="I176" s="57">
        <f>+SUMIF('Chi tiết NVL'!$I:$I,$A176,'Chi tiết NVL'!R:R)</f>
        <v/>
      </c>
      <c r="J176" s="57">
        <f>+SUMIF('Chi tiết NVL'!$I:$I,$A176,'Chi tiết NVL'!S:S)</f>
        <v/>
      </c>
    </row>
    <row r="177">
      <c r="A177" s="56" t="inlineStr">
        <is>
          <t>Keo cuộn Selant Tape IBF 6797</t>
        </is>
      </c>
      <c r="B177" s="56">
        <f>+VLOOKUP(A177,'Chi tiết NVL'!$I$10:$J$4158,2,0)</f>
        <v/>
      </c>
      <c r="C177" s="57">
        <f>+SUMIF('Chi tiết NVL'!$I:$I,$A177,'Chi tiết NVL'!L:L)</f>
        <v/>
      </c>
      <c r="D177" s="57">
        <f>+SUMIF('Chi tiết NVL'!$I:$I,$A177,'Chi tiết NVL'!M:M)</f>
        <v/>
      </c>
      <c r="E177" s="57">
        <f>+SUMIF('Chi tiết NVL'!$I:$I,$A177,'Chi tiết NVL'!N:N)</f>
        <v/>
      </c>
      <c r="F177" s="57">
        <f>+SUMIF('Chi tiết NVL'!$I:$I,$A177,'Chi tiết NVL'!O:O)</f>
        <v/>
      </c>
      <c r="G177" s="57">
        <f>+SUMIF('Chi tiết NVL'!$I:$I,$A177,'Chi tiết NVL'!P:P)</f>
        <v/>
      </c>
      <c r="H177" s="57">
        <f>+SUMIF('Chi tiết NVL'!$I:$I,$A177,'Chi tiết NVL'!Q:Q)</f>
        <v/>
      </c>
      <c r="I177" s="57">
        <f>+SUMIF('Chi tiết NVL'!$I:$I,$A177,'Chi tiết NVL'!R:R)</f>
        <v/>
      </c>
      <c r="J177" s="57">
        <f>+SUMIF('Chi tiết NVL'!$I:$I,$A177,'Chi tiết NVL'!S:S)</f>
        <v/>
      </c>
    </row>
    <row r="178">
      <c r="A178" s="56" t="inlineStr">
        <is>
          <t>Keo Silicon Sealant NNH T</t>
        </is>
      </c>
      <c r="B178" s="56">
        <f>+VLOOKUP(A178,'Chi tiết NVL'!$I$10:$J$4158,2,0)</f>
        <v/>
      </c>
      <c r="C178" s="57">
        <f>+SUMIF('Chi tiết NVL'!$I:$I,$A178,'Chi tiết NVL'!L:L)</f>
        <v/>
      </c>
      <c r="D178" s="57">
        <f>+SUMIF('Chi tiết NVL'!$I:$I,$A178,'Chi tiết NVL'!M:M)</f>
        <v/>
      </c>
      <c r="E178" s="57">
        <f>+SUMIF('Chi tiết NVL'!$I:$I,$A178,'Chi tiết NVL'!N:N)</f>
        <v/>
      </c>
      <c r="F178" s="57">
        <f>+SUMIF('Chi tiết NVL'!$I:$I,$A178,'Chi tiết NVL'!O:O)</f>
        <v/>
      </c>
      <c r="G178" s="57">
        <f>+SUMIF('Chi tiết NVL'!$I:$I,$A178,'Chi tiết NVL'!P:P)</f>
        <v/>
      </c>
      <c r="H178" s="57">
        <f>+SUMIF('Chi tiết NVL'!$I:$I,$A178,'Chi tiết NVL'!Q:Q)</f>
        <v/>
      </c>
      <c r="I178" s="57">
        <f>+SUMIF('Chi tiết NVL'!$I:$I,$A178,'Chi tiết NVL'!R:R)</f>
        <v/>
      </c>
      <c r="J178" s="57">
        <f>+SUMIF('Chi tiết NVL'!$I:$I,$A178,'Chi tiết NVL'!S:S)</f>
        <v/>
      </c>
    </row>
    <row r="179">
      <c r="A179" s="56" t="inlineStr">
        <is>
          <t>Vít B2stek17 12-11x50 HGS</t>
        </is>
      </c>
      <c r="B179" s="56">
        <f>+VLOOKUP(A179,'Chi tiết NVL'!$I$10:$J$4158,2,0)</f>
        <v/>
      </c>
      <c r="C179" s="57">
        <f>+SUMIF('Chi tiết NVL'!$I:$I,$A179,'Chi tiết NVL'!L:L)</f>
        <v/>
      </c>
      <c r="D179" s="57">
        <f>+SUMIF('Chi tiết NVL'!$I:$I,$A179,'Chi tiết NVL'!M:M)</f>
        <v/>
      </c>
      <c r="E179" s="57">
        <f>+SUMIF('Chi tiết NVL'!$I:$I,$A179,'Chi tiết NVL'!N:N)</f>
        <v/>
      </c>
      <c r="F179" s="57">
        <f>+SUMIF('Chi tiết NVL'!$I:$I,$A179,'Chi tiết NVL'!O:O)</f>
        <v/>
      </c>
      <c r="G179" s="57">
        <f>+SUMIF('Chi tiết NVL'!$I:$I,$A179,'Chi tiết NVL'!P:P)</f>
        <v/>
      </c>
      <c r="H179" s="57">
        <f>+SUMIF('Chi tiết NVL'!$I:$I,$A179,'Chi tiết NVL'!Q:Q)</f>
        <v/>
      </c>
      <c r="I179" s="57">
        <f>+SUMIF('Chi tiết NVL'!$I:$I,$A179,'Chi tiết NVL'!R:R)</f>
        <v/>
      </c>
      <c r="J179" s="57">
        <f>+SUMIF('Chi tiết NVL'!$I:$I,$A179,'Chi tiết NVL'!S:S)</f>
        <v/>
      </c>
    </row>
    <row r="180">
      <c r="A180" s="56" t="inlineStr">
        <is>
          <t>Tắc kê 10x50</t>
        </is>
      </c>
      <c r="B180" s="56">
        <f>+VLOOKUP(A180,'Chi tiết NVL'!$I$10:$J$4158,2,0)</f>
        <v/>
      </c>
      <c r="C180" s="57">
        <f>+SUMIF('Chi tiết NVL'!$I:$I,$A180,'Chi tiết NVL'!L:L)</f>
        <v/>
      </c>
      <c r="D180" s="57">
        <f>+SUMIF('Chi tiết NVL'!$I:$I,$A180,'Chi tiết NVL'!M:M)</f>
        <v/>
      </c>
      <c r="E180" s="57">
        <f>+SUMIF('Chi tiết NVL'!$I:$I,$A180,'Chi tiết NVL'!N:N)</f>
        <v/>
      </c>
      <c r="F180" s="57">
        <f>+SUMIF('Chi tiết NVL'!$I:$I,$A180,'Chi tiết NVL'!O:O)</f>
        <v/>
      </c>
      <c r="G180" s="57">
        <f>+SUMIF('Chi tiết NVL'!$I:$I,$A180,'Chi tiết NVL'!P:P)</f>
        <v/>
      </c>
      <c r="H180" s="57">
        <f>+SUMIF('Chi tiết NVL'!$I:$I,$A180,'Chi tiết NVL'!Q:Q)</f>
        <v/>
      </c>
      <c r="I180" s="57">
        <f>+SUMIF('Chi tiết NVL'!$I:$I,$A180,'Chi tiết NVL'!R:R)</f>
        <v/>
      </c>
      <c r="J180" s="57">
        <f>+SUMIF('Chi tiết NVL'!$I:$I,$A180,'Chi tiết NVL'!S:S)</f>
        <v/>
      </c>
    </row>
    <row r="181">
      <c r="A181" s="56" t="inlineStr">
        <is>
          <t>Lưới inox</t>
        </is>
      </c>
      <c r="B181" s="56">
        <f>+VLOOKUP(A181,'Chi tiết NVL'!$I$10:$J$4158,2,0)</f>
        <v/>
      </c>
      <c r="C181" s="57">
        <f>+SUMIF('Chi tiết NVL'!$I:$I,$A181,'Chi tiết NVL'!L:L)</f>
        <v/>
      </c>
      <c r="D181" s="57">
        <f>+SUMIF('Chi tiết NVL'!$I:$I,$A181,'Chi tiết NVL'!M:M)</f>
        <v/>
      </c>
      <c r="E181" s="57">
        <f>+SUMIF('Chi tiết NVL'!$I:$I,$A181,'Chi tiết NVL'!N:N)</f>
        <v/>
      </c>
      <c r="F181" s="57">
        <f>+SUMIF('Chi tiết NVL'!$I:$I,$A181,'Chi tiết NVL'!O:O)</f>
        <v/>
      </c>
      <c r="G181" s="57">
        <f>+SUMIF('Chi tiết NVL'!$I:$I,$A181,'Chi tiết NVL'!P:P)</f>
        <v/>
      </c>
      <c r="H181" s="57">
        <f>+SUMIF('Chi tiết NVL'!$I:$I,$A181,'Chi tiết NVL'!Q:Q)</f>
        <v/>
      </c>
      <c r="I181" s="57">
        <f>+SUMIF('Chi tiết NVL'!$I:$I,$A181,'Chi tiết NVL'!R:R)</f>
        <v/>
      </c>
      <c r="J181" s="57">
        <f>+SUMIF('Chi tiết NVL'!$I:$I,$A181,'Chi tiết NVL'!S:S)</f>
        <v/>
      </c>
    </row>
    <row r="182">
      <c r="A182" s="56" t="inlineStr">
        <is>
          <t>Thép hình U120</t>
        </is>
      </c>
      <c r="B182" s="56">
        <f>+VLOOKUP(A182,'Chi tiết NVL'!$I$10:$J$4158,2,0)</f>
        <v/>
      </c>
      <c r="C182" s="57">
        <f>+SUMIF('Chi tiết NVL'!$I:$I,$A182,'Chi tiết NVL'!L:L)</f>
        <v/>
      </c>
      <c r="D182" s="57">
        <f>+SUMIF('Chi tiết NVL'!$I:$I,$A182,'Chi tiết NVL'!M:M)</f>
        <v/>
      </c>
      <c r="E182" s="57">
        <f>+SUMIF('Chi tiết NVL'!$I:$I,$A182,'Chi tiết NVL'!N:N)</f>
        <v/>
      </c>
      <c r="F182" s="57">
        <f>+SUMIF('Chi tiết NVL'!$I:$I,$A182,'Chi tiết NVL'!O:O)</f>
        <v/>
      </c>
      <c r="G182" s="57">
        <f>+SUMIF('Chi tiết NVL'!$I:$I,$A182,'Chi tiết NVL'!P:P)</f>
        <v/>
      </c>
      <c r="H182" s="57">
        <f>+SUMIF('Chi tiết NVL'!$I:$I,$A182,'Chi tiết NVL'!Q:Q)</f>
        <v/>
      </c>
      <c r="I182" s="57">
        <f>+SUMIF('Chi tiết NVL'!$I:$I,$A182,'Chi tiết NVL'!R:R)</f>
        <v/>
      </c>
      <c r="J182" s="57">
        <f>+SUMIF('Chi tiết NVL'!$I:$I,$A182,'Chi tiết NVL'!S:S)</f>
        <v/>
      </c>
    </row>
    <row r="183">
      <c r="A183" s="56" t="inlineStr">
        <is>
          <t>Thép góc V50</t>
        </is>
      </c>
      <c r="B183" s="56">
        <f>+VLOOKUP(A183,'Chi tiết NVL'!$I$10:$J$4158,2,0)</f>
        <v/>
      </c>
      <c r="C183" s="57">
        <f>+SUMIF('Chi tiết NVL'!$I:$I,$A183,'Chi tiết NVL'!L:L)</f>
        <v/>
      </c>
      <c r="D183" s="57">
        <f>+SUMIF('Chi tiết NVL'!$I:$I,$A183,'Chi tiết NVL'!M:M)</f>
        <v/>
      </c>
      <c r="E183" s="57">
        <f>+SUMIF('Chi tiết NVL'!$I:$I,$A183,'Chi tiết NVL'!N:N)</f>
        <v/>
      </c>
      <c r="F183" s="57">
        <f>+SUMIF('Chi tiết NVL'!$I:$I,$A183,'Chi tiết NVL'!O:O)</f>
        <v/>
      </c>
      <c r="G183" s="57">
        <f>+SUMIF('Chi tiết NVL'!$I:$I,$A183,'Chi tiết NVL'!P:P)</f>
        <v/>
      </c>
      <c r="H183" s="57">
        <f>+SUMIF('Chi tiết NVL'!$I:$I,$A183,'Chi tiết NVL'!Q:Q)</f>
        <v/>
      </c>
      <c r="I183" s="57">
        <f>+SUMIF('Chi tiết NVL'!$I:$I,$A183,'Chi tiết NVL'!R:R)</f>
        <v/>
      </c>
      <c r="J183" s="57">
        <f>+SUMIF('Chi tiết NVL'!$I:$I,$A183,'Chi tiết NVL'!S:S)</f>
        <v/>
      </c>
    </row>
    <row r="184">
      <c r="A184" s="56" t="inlineStr">
        <is>
          <t>Thép hình I150</t>
        </is>
      </c>
      <c r="B184" s="56">
        <f>+VLOOKUP(A184,'Chi tiết NVL'!$I$10:$J$4158,2,0)</f>
        <v/>
      </c>
      <c r="C184" s="57">
        <f>+SUMIF('Chi tiết NVL'!$I:$I,$A184,'Chi tiết NVL'!L:L)</f>
        <v/>
      </c>
      <c r="D184" s="57">
        <f>+SUMIF('Chi tiết NVL'!$I:$I,$A184,'Chi tiết NVL'!M:M)</f>
        <v/>
      </c>
      <c r="E184" s="57">
        <f>+SUMIF('Chi tiết NVL'!$I:$I,$A184,'Chi tiết NVL'!N:N)</f>
        <v/>
      </c>
      <c r="F184" s="57">
        <f>+SUMIF('Chi tiết NVL'!$I:$I,$A184,'Chi tiết NVL'!O:O)</f>
        <v/>
      </c>
      <c r="G184" s="57">
        <f>+SUMIF('Chi tiết NVL'!$I:$I,$A184,'Chi tiết NVL'!P:P)</f>
        <v/>
      </c>
      <c r="H184" s="57">
        <f>+SUMIF('Chi tiết NVL'!$I:$I,$A184,'Chi tiết NVL'!Q:Q)</f>
        <v/>
      </c>
      <c r="I184" s="57">
        <f>+SUMIF('Chi tiết NVL'!$I:$I,$A184,'Chi tiết NVL'!R:R)</f>
        <v/>
      </c>
      <c r="J184" s="57">
        <f>+SUMIF('Chi tiết NVL'!$I:$I,$A184,'Chi tiết NVL'!S:S)</f>
        <v/>
      </c>
    </row>
    <row r="185">
      <c r="A185" s="56" t="inlineStr">
        <is>
          <t>Cóc kẹp thép mạ kẽm dày 3.0mm</t>
        </is>
      </c>
      <c r="B185" s="56">
        <f>+VLOOKUP(A185,'Chi tiết NVL'!$I$10:$J$4158,2,0)</f>
        <v/>
      </c>
      <c r="C185" s="57">
        <f>+SUMIF('Chi tiết NVL'!$I:$I,$A185,'Chi tiết NVL'!L:L)</f>
        <v/>
      </c>
      <c r="D185" s="57">
        <f>+SUMIF('Chi tiết NVL'!$I:$I,$A185,'Chi tiết NVL'!M:M)</f>
        <v/>
      </c>
      <c r="E185" s="57">
        <f>+SUMIF('Chi tiết NVL'!$I:$I,$A185,'Chi tiết NVL'!N:N)</f>
        <v/>
      </c>
      <c r="F185" s="57">
        <f>+SUMIF('Chi tiết NVL'!$I:$I,$A185,'Chi tiết NVL'!O:O)</f>
        <v/>
      </c>
      <c r="G185" s="57">
        <f>+SUMIF('Chi tiết NVL'!$I:$I,$A185,'Chi tiết NVL'!P:P)</f>
        <v/>
      </c>
      <c r="H185" s="57">
        <f>+SUMIF('Chi tiết NVL'!$I:$I,$A185,'Chi tiết NVL'!Q:Q)</f>
        <v/>
      </c>
      <c r="I185" s="57">
        <f>+SUMIF('Chi tiết NVL'!$I:$I,$A185,'Chi tiết NVL'!R:R)</f>
        <v/>
      </c>
      <c r="J185" s="57">
        <f>+SUMIF('Chi tiết NVL'!$I:$I,$A185,'Chi tiết NVL'!S:S)</f>
        <v/>
      </c>
    </row>
    <row r="186">
      <c r="A186" s="56" t="inlineStr">
        <is>
          <t>Đai kẹp Seamlock H62</t>
        </is>
      </c>
      <c r="B186" s="56">
        <f>+VLOOKUP(A186,'Chi tiết NVL'!$I$10:$J$4158,2,0)</f>
        <v/>
      </c>
      <c r="C186" s="57">
        <f>+SUMIF('Chi tiết NVL'!$I:$I,$A186,'Chi tiết NVL'!L:L)</f>
        <v/>
      </c>
      <c r="D186" s="57">
        <f>+SUMIF('Chi tiết NVL'!$I:$I,$A186,'Chi tiết NVL'!M:M)</f>
        <v/>
      </c>
      <c r="E186" s="57">
        <f>+SUMIF('Chi tiết NVL'!$I:$I,$A186,'Chi tiết NVL'!N:N)</f>
        <v/>
      </c>
      <c r="F186" s="57">
        <f>+SUMIF('Chi tiết NVL'!$I:$I,$A186,'Chi tiết NVL'!O:O)</f>
        <v/>
      </c>
      <c r="G186" s="57">
        <f>+SUMIF('Chi tiết NVL'!$I:$I,$A186,'Chi tiết NVL'!P:P)</f>
        <v/>
      </c>
      <c r="H186" s="57">
        <f>+SUMIF('Chi tiết NVL'!$I:$I,$A186,'Chi tiết NVL'!Q:Q)</f>
        <v/>
      </c>
      <c r="I186" s="57">
        <f>+SUMIF('Chi tiết NVL'!$I:$I,$A186,'Chi tiết NVL'!R:R)</f>
        <v/>
      </c>
      <c r="J186" s="57">
        <f>+SUMIF('Chi tiết NVL'!$I:$I,$A186,'Chi tiết NVL'!S:S)</f>
        <v/>
      </c>
    </row>
    <row r="187">
      <c r="A187" s="56" t="inlineStr">
        <is>
          <t>SƠN FUTURA CLASSIC RAL 9005 19.06L</t>
        </is>
      </c>
      <c r="B187" s="56">
        <f>+VLOOKUP(A187,'Chi tiết NVL'!$I$10:$J$4158,2,0)</f>
        <v/>
      </c>
      <c r="C187" s="57">
        <f>+SUMIF('Chi tiết NVL'!$I:$I,$A187,'Chi tiết NVL'!L:L)</f>
        <v/>
      </c>
      <c r="D187" s="57">
        <f>+SUMIF('Chi tiết NVL'!$I:$I,$A187,'Chi tiết NVL'!M:M)</f>
        <v/>
      </c>
      <c r="E187" s="57">
        <f>+SUMIF('Chi tiết NVL'!$I:$I,$A187,'Chi tiết NVL'!N:N)</f>
        <v/>
      </c>
      <c r="F187" s="57">
        <f>+SUMIF('Chi tiết NVL'!$I:$I,$A187,'Chi tiết NVL'!O:O)</f>
        <v/>
      </c>
      <c r="G187" s="57">
        <f>+SUMIF('Chi tiết NVL'!$I:$I,$A187,'Chi tiết NVL'!P:P)</f>
        <v/>
      </c>
      <c r="H187" s="57">
        <f>+SUMIF('Chi tiết NVL'!$I:$I,$A187,'Chi tiết NVL'!Q:Q)</f>
        <v/>
      </c>
      <c r="I187" s="57">
        <f>+SUMIF('Chi tiết NVL'!$I:$I,$A187,'Chi tiết NVL'!R:R)</f>
        <v/>
      </c>
      <c r="J187" s="57">
        <f>+SUMIF('Chi tiết NVL'!$I:$I,$A187,'Chi tiết NVL'!S:S)</f>
        <v/>
      </c>
    </row>
    <row r="188">
      <c r="A188" s="56" t="inlineStr">
        <is>
          <t>SƠN FUTURA CLASSIC RAL9005 4.77L</t>
        </is>
      </c>
      <c r="B188" s="56">
        <f>+VLOOKUP(A188,'Chi tiết NVL'!$I$10:$J$4158,2,0)</f>
        <v/>
      </c>
      <c r="C188" s="57">
        <f>+SUMIF('Chi tiết NVL'!$I:$I,$A188,'Chi tiết NVL'!L:L)</f>
        <v/>
      </c>
      <c r="D188" s="57">
        <f>+SUMIF('Chi tiết NVL'!$I:$I,$A188,'Chi tiết NVL'!M:M)</f>
        <v/>
      </c>
      <c r="E188" s="57">
        <f>+SUMIF('Chi tiết NVL'!$I:$I,$A188,'Chi tiết NVL'!N:N)</f>
        <v/>
      </c>
      <c r="F188" s="57">
        <f>+SUMIF('Chi tiết NVL'!$I:$I,$A188,'Chi tiết NVL'!O:O)</f>
        <v/>
      </c>
      <c r="G188" s="57">
        <f>+SUMIF('Chi tiết NVL'!$I:$I,$A188,'Chi tiết NVL'!P:P)</f>
        <v/>
      </c>
      <c r="H188" s="57">
        <f>+SUMIF('Chi tiết NVL'!$I:$I,$A188,'Chi tiết NVL'!Q:Q)</f>
        <v/>
      </c>
      <c r="I188" s="57">
        <f>+SUMIF('Chi tiết NVL'!$I:$I,$A188,'Chi tiết NVL'!R:R)</f>
        <v/>
      </c>
      <c r="J188" s="57">
        <f>+SUMIF('Chi tiết NVL'!$I:$I,$A188,'Chi tiết NVL'!S:S)</f>
        <v/>
      </c>
    </row>
    <row r="189">
      <c r="A189" s="56" t="inlineStr">
        <is>
          <t>DUNG MÔI JOTUN THINNER NO. 10 5L</t>
        </is>
      </c>
      <c r="B189" s="56">
        <f>+VLOOKUP(A189,'Chi tiết NVL'!$I$10:$J$4158,2,0)</f>
        <v/>
      </c>
      <c r="C189" s="57">
        <f>+SUMIF('Chi tiết NVL'!$I:$I,$A189,'Chi tiết NVL'!L:L)</f>
        <v/>
      </c>
      <c r="D189" s="57">
        <f>+SUMIF('Chi tiết NVL'!$I:$I,$A189,'Chi tiết NVL'!M:M)</f>
        <v/>
      </c>
      <c r="E189" s="57">
        <f>+SUMIF('Chi tiết NVL'!$I:$I,$A189,'Chi tiết NVL'!N:N)</f>
        <v/>
      </c>
      <c r="F189" s="57">
        <f>+SUMIF('Chi tiết NVL'!$I:$I,$A189,'Chi tiết NVL'!O:O)</f>
        <v/>
      </c>
      <c r="G189" s="57">
        <f>+SUMIF('Chi tiết NVL'!$I:$I,$A189,'Chi tiết NVL'!P:P)</f>
        <v/>
      </c>
      <c r="H189" s="57">
        <f>+SUMIF('Chi tiết NVL'!$I:$I,$A189,'Chi tiết NVL'!Q:Q)</f>
        <v/>
      </c>
      <c r="I189" s="57">
        <f>+SUMIF('Chi tiết NVL'!$I:$I,$A189,'Chi tiết NVL'!R:R)</f>
        <v/>
      </c>
      <c r="J189" s="57">
        <f>+SUMIF('Chi tiết NVL'!$I:$I,$A189,'Chi tiết NVL'!S:S)</f>
        <v/>
      </c>
    </row>
    <row r="190" ht="31.5" customHeight="1">
      <c r="A190" s="56" t="inlineStr">
        <is>
          <t>Tấm Tole PC đặc Opal 2 sóng Seamlock 470 1.5 ly   9,60m x 15T</t>
        </is>
      </c>
      <c r="B190" s="56">
        <f>+VLOOKUP(A190,'Chi tiết NVL'!$I$10:$J$4158,2,0)</f>
        <v/>
      </c>
      <c r="C190" s="57">
        <f>+SUMIF('Chi tiết NVL'!$I:$I,$A190,'Chi tiết NVL'!L:L)</f>
        <v/>
      </c>
      <c r="D190" s="57">
        <f>+SUMIF('Chi tiết NVL'!$I:$I,$A190,'Chi tiết NVL'!M:M)</f>
        <v/>
      </c>
      <c r="E190" s="57">
        <f>+SUMIF('Chi tiết NVL'!$I:$I,$A190,'Chi tiết NVL'!N:N)</f>
        <v/>
      </c>
      <c r="F190" s="57">
        <f>+SUMIF('Chi tiết NVL'!$I:$I,$A190,'Chi tiết NVL'!O:O)</f>
        <v/>
      </c>
      <c r="G190" s="57">
        <f>+SUMIF('Chi tiết NVL'!$I:$I,$A190,'Chi tiết NVL'!P:P)</f>
        <v/>
      </c>
      <c r="H190" s="57">
        <f>+SUMIF('Chi tiết NVL'!$I:$I,$A190,'Chi tiết NVL'!Q:Q)</f>
        <v/>
      </c>
      <c r="I190" s="57">
        <f>+SUMIF('Chi tiết NVL'!$I:$I,$A190,'Chi tiết NVL'!R:R)</f>
        <v/>
      </c>
      <c r="J190" s="57">
        <f>+SUMIF('Chi tiết NVL'!$I:$I,$A190,'Chi tiết NVL'!S:S)</f>
        <v/>
      </c>
    </row>
    <row r="191" ht="31.5" customHeight="1">
      <c r="A191" s="56" t="inlineStr">
        <is>
          <t>Tấm Tole PC đặc Opal 2 sóng Seamlock 470 1.5 ly   8,80m x 40T</t>
        </is>
      </c>
      <c r="B191" s="56">
        <f>+VLOOKUP(A191,'Chi tiết NVL'!$I$10:$J$4158,2,0)</f>
        <v/>
      </c>
      <c r="C191" s="57">
        <f>+SUMIF('Chi tiết NVL'!$I:$I,$A191,'Chi tiết NVL'!L:L)</f>
        <v/>
      </c>
      <c r="D191" s="57">
        <f>+SUMIF('Chi tiết NVL'!$I:$I,$A191,'Chi tiết NVL'!M:M)</f>
        <v/>
      </c>
      <c r="E191" s="57">
        <f>+SUMIF('Chi tiết NVL'!$I:$I,$A191,'Chi tiết NVL'!N:N)</f>
        <v/>
      </c>
      <c r="F191" s="57">
        <f>+SUMIF('Chi tiết NVL'!$I:$I,$A191,'Chi tiết NVL'!O:O)</f>
        <v/>
      </c>
      <c r="G191" s="57">
        <f>+SUMIF('Chi tiết NVL'!$I:$I,$A191,'Chi tiết NVL'!P:P)</f>
        <v/>
      </c>
      <c r="H191" s="57">
        <f>+SUMIF('Chi tiết NVL'!$I:$I,$A191,'Chi tiết NVL'!Q:Q)</f>
        <v/>
      </c>
      <c r="I191" s="57">
        <f>+SUMIF('Chi tiết NVL'!$I:$I,$A191,'Chi tiết NVL'!R:R)</f>
        <v/>
      </c>
      <c r="J191" s="57">
        <f>+SUMIF('Chi tiết NVL'!$I:$I,$A191,'Chi tiết NVL'!S:S)</f>
        <v/>
      </c>
    </row>
    <row r="192" ht="31.5" customHeight="1">
      <c r="A192" s="56" t="inlineStr">
        <is>
          <t>Tấm Tole PC đặc Opal 2 sóng Seamlock 470 1.5 ly   8,77m x 32T</t>
        </is>
      </c>
      <c r="B192" s="56">
        <f>+VLOOKUP(A192,'Chi tiết NVL'!$I$10:$J$4158,2,0)</f>
        <v/>
      </c>
      <c r="C192" s="57">
        <f>+SUMIF('Chi tiết NVL'!$I:$I,$A192,'Chi tiết NVL'!L:L)</f>
        <v/>
      </c>
      <c r="D192" s="57">
        <f>+SUMIF('Chi tiết NVL'!$I:$I,$A192,'Chi tiết NVL'!M:M)</f>
        <v/>
      </c>
      <c r="E192" s="57">
        <f>+SUMIF('Chi tiết NVL'!$I:$I,$A192,'Chi tiết NVL'!N:N)</f>
        <v/>
      </c>
      <c r="F192" s="57">
        <f>+SUMIF('Chi tiết NVL'!$I:$I,$A192,'Chi tiết NVL'!O:O)</f>
        <v/>
      </c>
      <c r="G192" s="57">
        <f>+SUMIF('Chi tiết NVL'!$I:$I,$A192,'Chi tiết NVL'!P:P)</f>
        <v/>
      </c>
      <c r="H192" s="57">
        <f>+SUMIF('Chi tiết NVL'!$I:$I,$A192,'Chi tiết NVL'!Q:Q)</f>
        <v/>
      </c>
      <c r="I192" s="57">
        <f>+SUMIF('Chi tiết NVL'!$I:$I,$A192,'Chi tiết NVL'!R:R)</f>
        <v/>
      </c>
      <c r="J192" s="57">
        <f>+SUMIF('Chi tiết NVL'!$I:$I,$A192,'Chi tiết NVL'!S:S)</f>
        <v/>
      </c>
    </row>
    <row r="193" ht="31.5" customHeight="1">
      <c r="A193" s="56" t="inlineStr">
        <is>
          <t>Tấm Tole PC đặc Opal 2 sóng Seamlock 470 1.5 ly   9,32m x 8T</t>
        </is>
      </c>
      <c r="B193" s="56">
        <f>+VLOOKUP(A193,'Chi tiết NVL'!$I$10:$J$4158,2,0)</f>
        <v/>
      </c>
      <c r="C193" s="57">
        <f>+SUMIF('Chi tiết NVL'!$I:$I,$A193,'Chi tiết NVL'!L:L)</f>
        <v/>
      </c>
      <c r="D193" s="57">
        <f>+SUMIF('Chi tiết NVL'!$I:$I,$A193,'Chi tiết NVL'!M:M)</f>
        <v/>
      </c>
      <c r="E193" s="57">
        <f>+SUMIF('Chi tiết NVL'!$I:$I,$A193,'Chi tiết NVL'!N:N)</f>
        <v/>
      </c>
      <c r="F193" s="57">
        <f>+SUMIF('Chi tiết NVL'!$I:$I,$A193,'Chi tiết NVL'!O:O)</f>
        <v/>
      </c>
      <c r="G193" s="57">
        <f>+SUMIF('Chi tiết NVL'!$I:$I,$A193,'Chi tiết NVL'!P:P)</f>
        <v/>
      </c>
      <c r="H193" s="57">
        <f>+SUMIF('Chi tiết NVL'!$I:$I,$A193,'Chi tiết NVL'!Q:Q)</f>
        <v/>
      </c>
      <c r="I193" s="57">
        <f>+SUMIF('Chi tiết NVL'!$I:$I,$A193,'Chi tiết NVL'!R:R)</f>
        <v/>
      </c>
      <c r="J193" s="57">
        <f>+SUMIF('Chi tiết NVL'!$I:$I,$A193,'Chi tiết NVL'!S:S)</f>
        <v/>
      </c>
    </row>
    <row r="194" ht="31.5" customHeight="1">
      <c r="A194" s="56" t="inlineStr">
        <is>
          <t>Tấm Tole PC đặc Opal 2 sóng Seamlock 470 1.5 ly   9,86m x 20T</t>
        </is>
      </c>
      <c r="B194" s="56">
        <f>+VLOOKUP(A194,'Chi tiết NVL'!$I$10:$J$4158,2,0)</f>
        <v/>
      </c>
      <c r="C194" s="57">
        <f>+SUMIF('Chi tiết NVL'!$I:$I,$A194,'Chi tiết NVL'!L:L)</f>
        <v/>
      </c>
      <c r="D194" s="57">
        <f>+SUMIF('Chi tiết NVL'!$I:$I,$A194,'Chi tiết NVL'!M:M)</f>
        <v/>
      </c>
      <c r="E194" s="57">
        <f>+SUMIF('Chi tiết NVL'!$I:$I,$A194,'Chi tiết NVL'!N:N)</f>
        <v/>
      </c>
      <c r="F194" s="57">
        <f>+SUMIF('Chi tiết NVL'!$I:$I,$A194,'Chi tiết NVL'!O:O)</f>
        <v/>
      </c>
      <c r="G194" s="57">
        <f>+SUMIF('Chi tiết NVL'!$I:$I,$A194,'Chi tiết NVL'!P:P)</f>
        <v/>
      </c>
      <c r="H194" s="57">
        <f>+SUMIF('Chi tiết NVL'!$I:$I,$A194,'Chi tiết NVL'!Q:Q)</f>
        <v/>
      </c>
      <c r="I194" s="57">
        <f>+SUMIF('Chi tiết NVL'!$I:$I,$A194,'Chi tiết NVL'!R:R)</f>
        <v/>
      </c>
      <c r="J194" s="57">
        <f>+SUMIF('Chi tiết NVL'!$I:$I,$A194,'Chi tiết NVL'!S:S)</f>
        <v/>
      </c>
    </row>
    <row r="195" ht="31.5" customHeight="1">
      <c r="A195" s="56" t="inlineStr">
        <is>
          <t>Tấm Tole PC đặc Opal 2 sóng Seamlock 470 1.5 ly   7,59m x 4T</t>
        </is>
      </c>
      <c r="B195" s="56">
        <f>+VLOOKUP(A195,'Chi tiết NVL'!$I$10:$J$4158,2,0)</f>
        <v/>
      </c>
      <c r="C195" s="57">
        <f>+SUMIF('Chi tiết NVL'!$I:$I,$A195,'Chi tiết NVL'!L:L)</f>
        <v/>
      </c>
      <c r="D195" s="57">
        <f>+SUMIF('Chi tiết NVL'!$I:$I,$A195,'Chi tiết NVL'!M:M)</f>
        <v/>
      </c>
      <c r="E195" s="57">
        <f>+SUMIF('Chi tiết NVL'!$I:$I,$A195,'Chi tiết NVL'!N:N)</f>
        <v/>
      </c>
      <c r="F195" s="57">
        <f>+SUMIF('Chi tiết NVL'!$I:$I,$A195,'Chi tiết NVL'!O:O)</f>
        <v/>
      </c>
      <c r="G195" s="57">
        <f>+SUMIF('Chi tiết NVL'!$I:$I,$A195,'Chi tiết NVL'!P:P)</f>
        <v/>
      </c>
      <c r="H195" s="57">
        <f>+SUMIF('Chi tiết NVL'!$I:$I,$A195,'Chi tiết NVL'!Q:Q)</f>
        <v/>
      </c>
      <c r="I195" s="57">
        <f>+SUMIF('Chi tiết NVL'!$I:$I,$A195,'Chi tiết NVL'!R:R)</f>
        <v/>
      </c>
      <c r="J195" s="57">
        <f>+SUMIF('Chi tiết NVL'!$I:$I,$A195,'Chi tiết NVL'!S:S)</f>
        <v/>
      </c>
    </row>
    <row r="196" ht="31.5" customHeight="1">
      <c r="A196" s="56" t="inlineStr">
        <is>
          <t>Tấm Tole PC đặc Opal 2 sóng Seamlock 470 1.5 ly   6,29m x 4T</t>
        </is>
      </c>
      <c r="B196" s="56">
        <f>+VLOOKUP(A196,'Chi tiết NVL'!$I$10:$J$4158,2,0)</f>
        <v/>
      </c>
      <c r="C196" s="57">
        <f>+SUMIF('Chi tiết NVL'!$I:$I,$A196,'Chi tiết NVL'!L:L)</f>
        <v/>
      </c>
      <c r="D196" s="57">
        <f>+SUMIF('Chi tiết NVL'!$I:$I,$A196,'Chi tiết NVL'!M:M)</f>
        <v/>
      </c>
      <c r="E196" s="57">
        <f>+SUMIF('Chi tiết NVL'!$I:$I,$A196,'Chi tiết NVL'!N:N)</f>
        <v/>
      </c>
      <c r="F196" s="57">
        <f>+SUMIF('Chi tiết NVL'!$I:$I,$A196,'Chi tiết NVL'!O:O)</f>
        <v/>
      </c>
      <c r="G196" s="57">
        <f>+SUMIF('Chi tiết NVL'!$I:$I,$A196,'Chi tiết NVL'!P:P)</f>
        <v/>
      </c>
      <c r="H196" s="57">
        <f>+SUMIF('Chi tiết NVL'!$I:$I,$A196,'Chi tiết NVL'!Q:Q)</f>
        <v/>
      </c>
      <c r="I196" s="57">
        <f>+SUMIF('Chi tiết NVL'!$I:$I,$A196,'Chi tiết NVL'!R:R)</f>
        <v/>
      </c>
      <c r="J196" s="57">
        <f>+SUMIF('Chi tiết NVL'!$I:$I,$A196,'Chi tiết NVL'!S:S)</f>
        <v/>
      </c>
    </row>
    <row r="197" ht="31.5" customHeight="1">
      <c r="A197" s="56" t="inlineStr">
        <is>
          <t>Tấm Tole PC đặc Opal 2 sóng Seamlock 470 1.5 ly   6,49m x 4T</t>
        </is>
      </c>
      <c r="B197" s="56">
        <f>+VLOOKUP(A197,'Chi tiết NVL'!$I$10:$J$4158,2,0)</f>
        <v/>
      </c>
      <c r="C197" s="57">
        <f>+SUMIF('Chi tiết NVL'!$I:$I,$A197,'Chi tiết NVL'!L:L)</f>
        <v/>
      </c>
      <c r="D197" s="57">
        <f>+SUMIF('Chi tiết NVL'!$I:$I,$A197,'Chi tiết NVL'!M:M)</f>
        <v/>
      </c>
      <c r="E197" s="57">
        <f>+SUMIF('Chi tiết NVL'!$I:$I,$A197,'Chi tiết NVL'!N:N)</f>
        <v/>
      </c>
      <c r="F197" s="57">
        <f>+SUMIF('Chi tiết NVL'!$I:$I,$A197,'Chi tiết NVL'!O:O)</f>
        <v/>
      </c>
      <c r="G197" s="57">
        <f>+SUMIF('Chi tiết NVL'!$I:$I,$A197,'Chi tiết NVL'!P:P)</f>
        <v/>
      </c>
      <c r="H197" s="57">
        <f>+SUMIF('Chi tiết NVL'!$I:$I,$A197,'Chi tiết NVL'!Q:Q)</f>
        <v/>
      </c>
      <c r="I197" s="57">
        <f>+SUMIF('Chi tiết NVL'!$I:$I,$A197,'Chi tiết NVL'!R:R)</f>
        <v/>
      </c>
      <c r="J197" s="57">
        <f>+SUMIF('Chi tiết NVL'!$I:$I,$A197,'Chi tiết NVL'!S:S)</f>
        <v/>
      </c>
    </row>
    <row r="198" ht="31.5" customHeight="1">
      <c r="A198" s="56" t="inlineStr">
        <is>
          <t>Tấm Tole PC đặc Opal 2 sóng Seamlock 470 1.5 ly   9,63m x 12T</t>
        </is>
      </c>
      <c r="B198" s="56">
        <f>+VLOOKUP(A198,'Chi tiết NVL'!$I$10:$J$4158,2,0)</f>
        <v/>
      </c>
      <c r="C198" s="57">
        <f>+SUMIF('Chi tiết NVL'!$I:$I,$A198,'Chi tiết NVL'!L:L)</f>
        <v/>
      </c>
      <c r="D198" s="57">
        <f>+SUMIF('Chi tiết NVL'!$I:$I,$A198,'Chi tiết NVL'!M:M)</f>
        <v/>
      </c>
      <c r="E198" s="57">
        <f>+SUMIF('Chi tiết NVL'!$I:$I,$A198,'Chi tiết NVL'!N:N)</f>
        <v/>
      </c>
      <c r="F198" s="57">
        <f>+SUMIF('Chi tiết NVL'!$I:$I,$A198,'Chi tiết NVL'!O:O)</f>
        <v/>
      </c>
      <c r="G198" s="57">
        <f>+SUMIF('Chi tiết NVL'!$I:$I,$A198,'Chi tiết NVL'!P:P)</f>
        <v/>
      </c>
      <c r="H198" s="57">
        <f>+SUMIF('Chi tiết NVL'!$I:$I,$A198,'Chi tiết NVL'!Q:Q)</f>
        <v/>
      </c>
      <c r="I198" s="57">
        <f>+SUMIF('Chi tiết NVL'!$I:$I,$A198,'Chi tiết NVL'!R:R)</f>
        <v/>
      </c>
      <c r="J198" s="57">
        <f>+SUMIF('Chi tiết NVL'!$I:$I,$A198,'Chi tiết NVL'!S:S)</f>
        <v/>
      </c>
    </row>
    <row r="199" ht="31.5" customHeight="1">
      <c r="A199" s="56" t="inlineStr">
        <is>
          <t>Tấm Tole PC đặc Opal 2 sóng Seamlock 470 1.5 ly   7,24m x 4T</t>
        </is>
      </c>
      <c r="B199" s="56">
        <f>+VLOOKUP(A199,'Chi tiết NVL'!$I$10:$J$4158,2,0)</f>
        <v/>
      </c>
      <c r="C199" s="57">
        <f>+SUMIF('Chi tiết NVL'!$I:$I,$A199,'Chi tiết NVL'!L:L)</f>
        <v/>
      </c>
      <c r="D199" s="57">
        <f>+SUMIF('Chi tiết NVL'!$I:$I,$A199,'Chi tiết NVL'!M:M)</f>
        <v/>
      </c>
      <c r="E199" s="57">
        <f>+SUMIF('Chi tiết NVL'!$I:$I,$A199,'Chi tiết NVL'!N:N)</f>
        <v/>
      </c>
      <c r="F199" s="57">
        <f>+SUMIF('Chi tiết NVL'!$I:$I,$A199,'Chi tiết NVL'!O:O)</f>
        <v/>
      </c>
      <c r="G199" s="57">
        <f>+SUMIF('Chi tiết NVL'!$I:$I,$A199,'Chi tiết NVL'!P:P)</f>
        <v/>
      </c>
      <c r="H199" s="57">
        <f>+SUMIF('Chi tiết NVL'!$I:$I,$A199,'Chi tiết NVL'!Q:Q)</f>
        <v/>
      </c>
      <c r="I199" s="57">
        <f>+SUMIF('Chi tiết NVL'!$I:$I,$A199,'Chi tiết NVL'!R:R)</f>
        <v/>
      </c>
      <c r="J199" s="57">
        <f>+SUMIF('Chi tiết NVL'!$I:$I,$A199,'Chi tiết NVL'!S:S)</f>
        <v/>
      </c>
    </row>
    <row r="200">
      <c r="A200" s="56" t="inlineStr">
        <is>
          <t>Lơi uPVC 140 Mỏng</t>
        </is>
      </c>
      <c r="B200" s="56">
        <f>+VLOOKUP(A200,'Chi tiết NVL'!$I$10:$J$4158,2,0)</f>
        <v/>
      </c>
      <c r="C200" s="57">
        <f>+SUMIF('Chi tiết NVL'!$I:$I,$A200,'Chi tiết NVL'!L:L)</f>
        <v/>
      </c>
      <c r="D200" s="57">
        <f>+SUMIF('Chi tiết NVL'!$I:$I,$A200,'Chi tiết NVL'!M:M)</f>
        <v/>
      </c>
      <c r="E200" s="57">
        <f>+SUMIF('Chi tiết NVL'!$I:$I,$A200,'Chi tiết NVL'!N:N)</f>
        <v/>
      </c>
      <c r="F200" s="57">
        <f>+SUMIF('Chi tiết NVL'!$I:$I,$A200,'Chi tiết NVL'!O:O)</f>
        <v/>
      </c>
      <c r="G200" s="57">
        <f>+SUMIF('Chi tiết NVL'!$I:$I,$A200,'Chi tiết NVL'!P:P)</f>
        <v/>
      </c>
      <c r="H200" s="57">
        <f>+SUMIF('Chi tiết NVL'!$I:$I,$A200,'Chi tiết NVL'!Q:Q)</f>
        <v/>
      </c>
      <c r="I200" s="57">
        <f>+SUMIF('Chi tiết NVL'!$I:$I,$A200,'Chi tiết NVL'!R:R)</f>
        <v/>
      </c>
      <c r="J200" s="57">
        <f>+SUMIF('Chi tiết NVL'!$I:$I,$A200,'Chi tiết NVL'!S:S)</f>
        <v/>
      </c>
    </row>
    <row r="201">
      <c r="A201" s="56" t="inlineStr">
        <is>
          <t>Co uPVC 140 mỏng</t>
        </is>
      </c>
      <c r="B201" s="56">
        <f>+VLOOKUP(A201,'Chi tiết NVL'!$I$10:$J$4158,2,0)</f>
        <v/>
      </c>
      <c r="C201" s="57">
        <f>+SUMIF('Chi tiết NVL'!$I:$I,$A201,'Chi tiết NVL'!L:L)</f>
        <v/>
      </c>
      <c r="D201" s="57">
        <f>+SUMIF('Chi tiết NVL'!$I:$I,$A201,'Chi tiết NVL'!M:M)</f>
        <v/>
      </c>
      <c r="E201" s="57">
        <f>+SUMIF('Chi tiết NVL'!$I:$I,$A201,'Chi tiết NVL'!N:N)</f>
        <v/>
      </c>
      <c r="F201" s="57">
        <f>+SUMIF('Chi tiết NVL'!$I:$I,$A201,'Chi tiết NVL'!O:O)</f>
        <v/>
      </c>
      <c r="G201" s="57">
        <f>+SUMIF('Chi tiết NVL'!$I:$I,$A201,'Chi tiết NVL'!P:P)</f>
        <v/>
      </c>
      <c r="H201" s="57">
        <f>+SUMIF('Chi tiết NVL'!$I:$I,$A201,'Chi tiết NVL'!Q:Q)</f>
        <v/>
      </c>
      <c r="I201" s="57">
        <f>+SUMIF('Chi tiết NVL'!$I:$I,$A201,'Chi tiết NVL'!R:R)</f>
        <v/>
      </c>
      <c r="J201" s="57">
        <f>+SUMIF('Chi tiết NVL'!$I:$I,$A201,'Chi tiết NVL'!S:S)</f>
        <v/>
      </c>
    </row>
    <row r="202">
      <c r="A202" s="56" t="inlineStr">
        <is>
          <t>Ống uPVC 140 x 4,1mm</t>
        </is>
      </c>
      <c r="B202" s="56">
        <f>+VLOOKUP(A202,'Chi tiết NVL'!$I$10:$J$4158,2,0)</f>
        <v/>
      </c>
      <c r="C202" s="57">
        <f>+SUMIF('Chi tiết NVL'!$I:$I,$A202,'Chi tiết NVL'!L:L)</f>
        <v/>
      </c>
      <c r="D202" s="57">
        <f>+SUMIF('Chi tiết NVL'!$I:$I,$A202,'Chi tiết NVL'!M:M)</f>
        <v/>
      </c>
      <c r="E202" s="57">
        <f>+SUMIF('Chi tiết NVL'!$I:$I,$A202,'Chi tiết NVL'!N:N)</f>
        <v/>
      </c>
      <c r="F202" s="57">
        <f>+SUMIF('Chi tiết NVL'!$I:$I,$A202,'Chi tiết NVL'!O:O)</f>
        <v/>
      </c>
      <c r="G202" s="57">
        <f>+SUMIF('Chi tiết NVL'!$I:$I,$A202,'Chi tiết NVL'!P:P)</f>
        <v/>
      </c>
      <c r="H202" s="57">
        <f>+SUMIF('Chi tiết NVL'!$I:$I,$A202,'Chi tiết NVL'!Q:Q)</f>
        <v/>
      </c>
      <c r="I202" s="57">
        <f>+SUMIF('Chi tiết NVL'!$I:$I,$A202,'Chi tiết NVL'!R:R)</f>
        <v/>
      </c>
      <c r="J202" s="57">
        <f>+SUMIF('Chi tiết NVL'!$I:$I,$A202,'Chi tiết NVL'!S:S)</f>
        <v/>
      </c>
    </row>
    <row r="203">
      <c r="A203" s="56" t="inlineStr">
        <is>
          <t>Keo dán 500gr</t>
        </is>
      </c>
      <c r="B203" s="56">
        <f>+VLOOKUP(A203,'Chi tiết NVL'!$I$10:$J$4158,2,0)</f>
        <v/>
      </c>
      <c r="C203" s="57">
        <f>+SUMIF('Chi tiết NVL'!$I:$I,$A203,'Chi tiết NVL'!L:L)</f>
        <v/>
      </c>
      <c r="D203" s="57">
        <f>+SUMIF('Chi tiết NVL'!$I:$I,$A203,'Chi tiết NVL'!M:M)</f>
        <v/>
      </c>
      <c r="E203" s="57">
        <f>+SUMIF('Chi tiết NVL'!$I:$I,$A203,'Chi tiết NVL'!N:N)</f>
        <v/>
      </c>
      <c r="F203" s="57">
        <f>+SUMIF('Chi tiết NVL'!$I:$I,$A203,'Chi tiết NVL'!O:O)</f>
        <v/>
      </c>
      <c r="G203" s="57">
        <f>+SUMIF('Chi tiết NVL'!$I:$I,$A203,'Chi tiết NVL'!P:P)</f>
        <v/>
      </c>
      <c r="H203" s="57">
        <f>+SUMIF('Chi tiết NVL'!$I:$I,$A203,'Chi tiết NVL'!Q:Q)</f>
        <v/>
      </c>
      <c r="I203" s="57">
        <f>+SUMIF('Chi tiết NVL'!$I:$I,$A203,'Chi tiết NVL'!R:R)</f>
        <v/>
      </c>
      <c r="J203" s="57">
        <f>+SUMIF('Chi tiết NVL'!$I:$I,$A203,'Chi tiết NVL'!S:S)</f>
        <v/>
      </c>
    </row>
    <row r="204">
      <c r="A204" s="56" t="inlineStr">
        <is>
          <t>Cầu chắn rác inox 304 D122</t>
        </is>
      </c>
      <c r="B204" s="56">
        <f>+VLOOKUP(A204,'Chi tiết NVL'!$I$10:$J$4158,2,0)</f>
        <v/>
      </c>
      <c r="C204" s="57">
        <f>+SUMIF('Chi tiết NVL'!$I:$I,$A204,'Chi tiết NVL'!L:L)</f>
        <v/>
      </c>
      <c r="D204" s="57">
        <f>+SUMIF('Chi tiết NVL'!$I:$I,$A204,'Chi tiết NVL'!M:M)</f>
        <v/>
      </c>
      <c r="E204" s="57">
        <f>+SUMIF('Chi tiết NVL'!$I:$I,$A204,'Chi tiết NVL'!N:N)</f>
        <v/>
      </c>
      <c r="F204" s="57">
        <f>+SUMIF('Chi tiết NVL'!$I:$I,$A204,'Chi tiết NVL'!O:O)</f>
        <v/>
      </c>
      <c r="G204" s="57">
        <f>+SUMIF('Chi tiết NVL'!$I:$I,$A204,'Chi tiết NVL'!P:P)</f>
        <v/>
      </c>
      <c r="H204" s="57">
        <f>+SUMIF('Chi tiết NVL'!$I:$I,$A204,'Chi tiết NVL'!Q:Q)</f>
        <v/>
      </c>
      <c r="I204" s="57">
        <f>+SUMIF('Chi tiết NVL'!$I:$I,$A204,'Chi tiết NVL'!R:R)</f>
        <v/>
      </c>
      <c r="J204" s="57">
        <f>+SUMIF('Chi tiết NVL'!$I:$I,$A204,'Chi tiết NVL'!S:S)</f>
        <v/>
      </c>
    </row>
    <row r="205">
      <c r="A205" s="56" t="inlineStr">
        <is>
          <t>Cửa thép An toàn Galaxy</t>
        </is>
      </c>
      <c r="B205" s="56">
        <f>+VLOOKUP(A205,'Chi tiết NVL'!$I$10:$J$4158,2,0)</f>
        <v/>
      </c>
      <c r="C205" s="57">
        <f>+SUMIF('Chi tiết NVL'!$I:$I,$A205,'Chi tiết NVL'!L:L)</f>
        <v/>
      </c>
      <c r="D205" s="57">
        <f>+SUMIF('Chi tiết NVL'!$I:$I,$A205,'Chi tiết NVL'!M:M)</f>
        <v/>
      </c>
      <c r="E205" s="57">
        <f>+SUMIF('Chi tiết NVL'!$I:$I,$A205,'Chi tiết NVL'!N:N)</f>
        <v/>
      </c>
      <c r="F205" s="57">
        <f>+SUMIF('Chi tiết NVL'!$I:$I,$A205,'Chi tiết NVL'!O:O)</f>
        <v/>
      </c>
      <c r="G205" s="57">
        <f>+SUMIF('Chi tiết NVL'!$I:$I,$A205,'Chi tiết NVL'!P:P)</f>
        <v/>
      </c>
      <c r="H205" s="57">
        <f>+SUMIF('Chi tiết NVL'!$I:$I,$A205,'Chi tiết NVL'!Q:Q)</f>
        <v/>
      </c>
      <c r="I205" s="57">
        <f>+SUMIF('Chi tiết NVL'!$I:$I,$A205,'Chi tiết NVL'!R:R)</f>
        <v/>
      </c>
      <c r="J205" s="57">
        <f>+SUMIF('Chi tiết NVL'!$I:$I,$A205,'Chi tiết NVL'!S:S)</f>
        <v/>
      </c>
    </row>
    <row r="206">
      <c r="A206" s="56" t="inlineStr">
        <is>
          <t>Cửa chớp thép An toàn Galaxy</t>
        </is>
      </c>
      <c r="B206" s="56">
        <f>+VLOOKUP(A206,'Chi tiết NVL'!$I$10:$J$4158,2,0)</f>
        <v/>
      </c>
      <c r="C206" s="57">
        <f>+SUMIF('Chi tiết NVL'!$I:$I,$A206,'Chi tiết NVL'!L:L)</f>
        <v/>
      </c>
      <c r="D206" s="57">
        <f>+SUMIF('Chi tiết NVL'!$I:$I,$A206,'Chi tiết NVL'!M:M)</f>
        <v/>
      </c>
      <c r="E206" s="57">
        <f>+SUMIF('Chi tiết NVL'!$I:$I,$A206,'Chi tiết NVL'!N:N)</f>
        <v/>
      </c>
      <c r="F206" s="57">
        <f>+SUMIF('Chi tiết NVL'!$I:$I,$A206,'Chi tiết NVL'!O:O)</f>
        <v/>
      </c>
      <c r="G206" s="57">
        <f>+SUMIF('Chi tiết NVL'!$I:$I,$A206,'Chi tiết NVL'!P:P)</f>
        <v/>
      </c>
      <c r="H206" s="57">
        <f>+SUMIF('Chi tiết NVL'!$I:$I,$A206,'Chi tiết NVL'!Q:Q)</f>
        <v/>
      </c>
      <c r="I206" s="57">
        <f>+SUMIF('Chi tiết NVL'!$I:$I,$A206,'Chi tiết NVL'!R:R)</f>
        <v/>
      </c>
      <c r="J206" s="57">
        <f>+SUMIF('Chi tiết NVL'!$I:$I,$A206,'Chi tiết NVL'!S:S)</f>
        <v/>
      </c>
    </row>
    <row r="207">
      <c r="A207" s="56" t="inlineStr">
        <is>
          <t>Cửa thép chống cháy Galaxy EI120</t>
        </is>
      </c>
      <c r="B207" s="56">
        <f>+VLOOKUP(A207,'Chi tiết NVL'!$I$10:$J$4158,2,0)</f>
        <v/>
      </c>
      <c r="C207" s="57">
        <f>+SUMIF('Chi tiết NVL'!$I:$I,$A207,'Chi tiết NVL'!L:L)</f>
        <v/>
      </c>
      <c r="D207" s="57">
        <f>+SUMIF('Chi tiết NVL'!$I:$I,$A207,'Chi tiết NVL'!M:M)</f>
        <v/>
      </c>
      <c r="E207" s="57">
        <f>+SUMIF('Chi tiết NVL'!$I:$I,$A207,'Chi tiết NVL'!N:N)</f>
        <v/>
      </c>
      <c r="F207" s="57">
        <f>+SUMIF('Chi tiết NVL'!$I:$I,$A207,'Chi tiết NVL'!O:O)</f>
        <v/>
      </c>
      <c r="G207" s="57">
        <f>+SUMIF('Chi tiết NVL'!$I:$I,$A207,'Chi tiết NVL'!P:P)</f>
        <v/>
      </c>
      <c r="H207" s="57">
        <f>+SUMIF('Chi tiết NVL'!$I:$I,$A207,'Chi tiết NVL'!Q:Q)</f>
        <v/>
      </c>
      <c r="I207" s="57">
        <f>+SUMIF('Chi tiết NVL'!$I:$I,$A207,'Chi tiết NVL'!R:R)</f>
        <v/>
      </c>
      <c r="J207" s="57">
        <f>+SUMIF('Chi tiết NVL'!$I:$I,$A207,'Chi tiết NVL'!S:S)</f>
        <v/>
      </c>
    </row>
    <row r="208">
      <c r="A208" s="56" t="inlineStr">
        <is>
          <t>Chi phí ra giấy kiểm định PCCC</t>
        </is>
      </c>
      <c r="B208" s="56">
        <f>+VLOOKUP(A208,'Chi tiết NVL'!$I$10:$J$4158,2,0)</f>
        <v/>
      </c>
      <c r="C208" s="57">
        <f>+SUMIF('Chi tiết NVL'!$I:$I,$A208,'Chi tiết NVL'!L:L)</f>
        <v/>
      </c>
      <c r="D208" s="57">
        <f>+SUMIF('Chi tiết NVL'!$I:$I,$A208,'Chi tiết NVL'!M:M)</f>
        <v/>
      </c>
      <c r="E208" s="57">
        <f>+SUMIF('Chi tiết NVL'!$I:$I,$A208,'Chi tiết NVL'!N:N)</f>
        <v/>
      </c>
      <c r="F208" s="57">
        <f>+SUMIF('Chi tiết NVL'!$I:$I,$A208,'Chi tiết NVL'!O:O)</f>
        <v/>
      </c>
      <c r="G208" s="57">
        <f>+SUMIF('Chi tiết NVL'!$I:$I,$A208,'Chi tiết NVL'!P:P)</f>
        <v/>
      </c>
      <c r="H208" s="57">
        <f>+SUMIF('Chi tiết NVL'!$I:$I,$A208,'Chi tiết NVL'!Q:Q)</f>
        <v/>
      </c>
      <c r="I208" s="57">
        <f>+SUMIF('Chi tiết NVL'!$I:$I,$A208,'Chi tiết NVL'!R:R)</f>
        <v/>
      </c>
      <c r="J208" s="57">
        <f>+SUMIF('Chi tiết NVL'!$I:$I,$A208,'Chi tiết NVL'!S:S)</f>
        <v/>
      </c>
    </row>
    <row r="209">
      <c r="A209" s="56" t="inlineStr">
        <is>
          <t>Khoá tay gạt Inox SUS</t>
        </is>
      </c>
      <c r="B209" s="56">
        <f>+VLOOKUP(A209,'Chi tiết NVL'!$I$10:$J$4158,2,0)</f>
        <v/>
      </c>
      <c r="C209" s="57">
        <f>+SUMIF('Chi tiết NVL'!$I:$I,$A209,'Chi tiết NVL'!L:L)</f>
        <v/>
      </c>
      <c r="D209" s="57">
        <f>+SUMIF('Chi tiết NVL'!$I:$I,$A209,'Chi tiết NVL'!M:M)</f>
        <v/>
      </c>
      <c r="E209" s="57">
        <f>+SUMIF('Chi tiết NVL'!$I:$I,$A209,'Chi tiết NVL'!N:N)</f>
        <v/>
      </c>
      <c r="F209" s="57">
        <f>+SUMIF('Chi tiết NVL'!$I:$I,$A209,'Chi tiết NVL'!O:O)</f>
        <v/>
      </c>
      <c r="G209" s="57">
        <f>+SUMIF('Chi tiết NVL'!$I:$I,$A209,'Chi tiết NVL'!P:P)</f>
        <v/>
      </c>
      <c r="H209" s="57">
        <f>+SUMIF('Chi tiết NVL'!$I:$I,$A209,'Chi tiết NVL'!Q:Q)</f>
        <v/>
      </c>
      <c r="I209" s="57">
        <f>+SUMIF('Chi tiết NVL'!$I:$I,$A209,'Chi tiết NVL'!R:R)</f>
        <v/>
      </c>
      <c r="J209" s="57">
        <f>+SUMIF('Chi tiết NVL'!$I:$I,$A209,'Chi tiết NVL'!S:S)</f>
        <v/>
      </c>
    </row>
    <row r="210">
      <c r="A210" s="56" t="inlineStr">
        <is>
          <t>Khoá chốt chết CT2013SS</t>
        </is>
      </c>
      <c r="B210" s="56">
        <f>+VLOOKUP(A210,'Chi tiết NVL'!$I$10:$J$4158,2,0)</f>
        <v/>
      </c>
      <c r="C210" s="57">
        <f>+SUMIF('Chi tiết NVL'!$I:$I,$A210,'Chi tiết NVL'!L:L)</f>
        <v/>
      </c>
      <c r="D210" s="57">
        <f>+SUMIF('Chi tiết NVL'!$I:$I,$A210,'Chi tiết NVL'!M:M)</f>
        <v/>
      </c>
      <c r="E210" s="57">
        <f>+SUMIF('Chi tiết NVL'!$I:$I,$A210,'Chi tiết NVL'!N:N)</f>
        <v/>
      </c>
      <c r="F210" s="57">
        <f>+SUMIF('Chi tiết NVL'!$I:$I,$A210,'Chi tiết NVL'!O:O)</f>
        <v/>
      </c>
      <c r="G210" s="57">
        <f>+SUMIF('Chi tiết NVL'!$I:$I,$A210,'Chi tiết NVL'!P:P)</f>
        <v/>
      </c>
      <c r="H210" s="57">
        <f>+SUMIF('Chi tiết NVL'!$I:$I,$A210,'Chi tiết NVL'!Q:Q)</f>
        <v/>
      </c>
      <c r="I210" s="57">
        <f>+SUMIF('Chi tiết NVL'!$I:$I,$A210,'Chi tiết NVL'!R:R)</f>
        <v/>
      </c>
      <c r="J210" s="57">
        <f>+SUMIF('Chi tiết NVL'!$I:$I,$A210,'Chi tiết NVL'!S:S)</f>
        <v/>
      </c>
    </row>
    <row r="211">
      <c r="A211" s="56" t="inlineStr">
        <is>
          <t>Khoá tay gạt Inox 304 GLX L8033SS</t>
        </is>
      </c>
      <c r="B211" s="56">
        <f>+VLOOKUP(A211,'Chi tiết NVL'!$I$10:$J$4158,2,0)</f>
        <v/>
      </c>
      <c r="C211" s="57">
        <f>+SUMIF('Chi tiết NVL'!$I:$I,$A211,'Chi tiết NVL'!L:L)</f>
        <v/>
      </c>
      <c r="D211" s="57">
        <f>+SUMIF('Chi tiết NVL'!$I:$I,$A211,'Chi tiết NVL'!M:M)</f>
        <v/>
      </c>
      <c r="E211" s="57">
        <f>+SUMIF('Chi tiết NVL'!$I:$I,$A211,'Chi tiết NVL'!N:N)</f>
        <v/>
      </c>
      <c r="F211" s="57">
        <f>+SUMIF('Chi tiết NVL'!$I:$I,$A211,'Chi tiết NVL'!O:O)</f>
        <v/>
      </c>
      <c r="G211" s="57">
        <f>+SUMIF('Chi tiết NVL'!$I:$I,$A211,'Chi tiết NVL'!P:P)</f>
        <v/>
      </c>
      <c r="H211" s="57">
        <f>+SUMIF('Chi tiết NVL'!$I:$I,$A211,'Chi tiết NVL'!Q:Q)</f>
        <v/>
      </c>
      <c r="I211" s="57">
        <f>+SUMIF('Chi tiết NVL'!$I:$I,$A211,'Chi tiết NVL'!R:R)</f>
        <v/>
      </c>
      <c r="J211" s="57">
        <f>+SUMIF('Chi tiết NVL'!$I:$I,$A211,'Chi tiết NVL'!S:S)</f>
        <v/>
      </c>
    </row>
    <row r="212">
      <c r="A212" s="56" t="inlineStr">
        <is>
          <t>Khoá thoát hiểm 006S</t>
        </is>
      </c>
      <c r="B212" s="56">
        <f>+VLOOKUP(A212,'Chi tiết NVL'!$I$10:$J$4158,2,0)</f>
        <v/>
      </c>
      <c r="C212" s="57">
        <f>+SUMIF('Chi tiết NVL'!$I:$I,$A212,'Chi tiết NVL'!L:L)</f>
        <v/>
      </c>
      <c r="D212" s="57">
        <f>+SUMIF('Chi tiết NVL'!$I:$I,$A212,'Chi tiết NVL'!M:M)</f>
        <v/>
      </c>
      <c r="E212" s="57">
        <f>+SUMIF('Chi tiết NVL'!$I:$I,$A212,'Chi tiết NVL'!N:N)</f>
        <v/>
      </c>
      <c r="F212" s="57">
        <f>+SUMIF('Chi tiết NVL'!$I:$I,$A212,'Chi tiết NVL'!O:O)</f>
        <v/>
      </c>
      <c r="G212" s="57">
        <f>+SUMIF('Chi tiết NVL'!$I:$I,$A212,'Chi tiết NVL'!P:P)</f>
        <v/>
      </c>
      <c r="H212" s="57">
        <f>+SUMIF('Chi tiết NVL'!$I:$I,$A212,'Chi tiết NVL'!Q:Q)</f>
        <v/>
      </c>
      <c r="I212" s="57">
        <f>+SUMIF('Chi tiết NVL'!$I:$I,$A212,'Chi tiết NVL'!R:R)</f>
        <v/>
      </c>
      <c r="J212" s="57">
        <f>+SUMIF('Chi tiết NVL'!$I:$I,$A212,'Chi tiết NVL'!S:S)</f>
        <v/>
      </c>
    </row>
    <row r="213">
      <c r="A213" s="56" t="inlineStr">
        <is>
          <t>Thanh đẩy thoát hiểm đơn 500S</t>
        </is>
      </c>
      <c r="B213" s="56">
        <f>+VLOOKUP(A213,'Chi tiết NVL'!$I$10:$J$4158,2,0)</f>
        <v/>
      </c>
      <c r="C213" s="57">
        <f>+SUMIF('Chi tiết NVL'!$I:$I,$A213,'Chi tiết NVL'!L:L)</f>
        <v/>
      </c>
      <c r="D213" s="57">
        <f>+SUMIF('Chi tiết NVL'!$I:$I,$A213,'Chi tiết NVL'!M:M)</f>
        <v/>
      </c>
      <c r="E213" s="57">
        <f>+SUMIF('Chi tiết NVL'!$I:$I,$A213,'Chi tiết NVL'!N:N)</f>
        <v/>
      </c>
      <c r="F213" s="57">
        <f>+SUMIF('Chi tiết NVL'!$I:$I,$A213,'Chi tiết NVL'!O:O)</f>
        <v/>
      </c>
      <c r="G213" s="57">
        <f>+SUMIF('Chi tiết NVL'!$I:$I,$A213,'Chi tiết NVL'!P:P)</f>
        <v/>
      </c>
      <c r="H213" s="57">
        <f>+SUMIF('Chi tiết NVL'!$I:$I,$A213,'Chi tiết NVL'!Q:Q)</f>
        <v/>
      </c>
      <c r="I213" s="57">
        <f>+SUMIF('Chi tiết NVL'!$I:$I,$A213,'Chi tiết NVL'!R:R)</f>
        <v/>
      </c>
      <c r="J213" s="57">
        <f>+SUMIF('Chi tiết NVL'!$I:$I,$A213,'Chi tiết NVL'!S:S)</f>
        <v/>
      </c>
    </row>
    <row r="214">
      <c r="A214" s="56" t="inlineStr">
        <is>
          <t>Tay co thủy lực galaxy 8004</t>
        </is>
      </c>
      <c r="B214" s="56">
        <f>+VLOOKUP(A214,'Chi tiết NVL'!$I$10:$J$4158,2,0)</f>
        <v/>
      </c>
      <c r="C214" s="57">
        <f>+SUMIF('Chi tiết NVL'!$I:$I,$A214,'Chi tiết NVL'!L:L)</f>
        <v/>
      </c>
      <c r="D214" s="57">
        <f>+SUMIF('Chi tiết NVL'!$I:$I,$A214,'Chi tiết NVL'!M:M)</f>
        <v/>
      </c>
      <c r="E214" s="57">
        <f>+SUMIF('Chi tiết NVL'!$I:$I,$A214,'Chi tiết NVL'!N:N)</f>
        <v/>
      </c>
      <c r="F214" s="57">
        <f>+SUMIF('Chi tiết NVL'!$I:$I,$A214,'Chi tiết NVL'!O:O)</f>
        <v/>
      </c>
      <c r="G214" s="57">
        <f>+SUMIF('Chi tiết NVL'!$I:$I,$A214,'Chi tiết NVL'!P:P)</f>
        <v/>
      </c>
      <c r="H214" s="57">
        <f>+SUMIF('Chi tiết NVL'!$I:$I,$A214,'Chi tiết NVL'!Q:Q)</f>
        <v/>
      </c>
      <c r="I214" s="57">
        <f>+SUMIF('Chi tiết NVL'!$I:$I,$A214,'Chi tiết NVL'!R:R)</f>
        <v/>
      </c>
      <c r="J214" s="57">
        <f>+SUMIF('Chi tiết NVL'!$I:$I,$A214,'Chi tiết NVL'!S:S)</f>
        <v/>
      </c>
    </row>
    <row r="215">
      <c r="A215" s="56" t="inlineStr">
        <is>
          <t>Bộ tấm kéo đẩy</t>
        </is>
      </c>
      <c r="B215" s="56">
        <f>+VLOOKUP(A215,'Chi tiết NVL'!$I$10:$J$4158,2,0)</f>
        <v/>
      </c>
      <c r="C215" s="57">
        <f>+SUMIF('Chi tiết NVL'!$I:$I,$A215,'Chi tiết NVL'!L:L)</f>
        <v/>
      </c>
      <c r="D215" s="57">
        <f>+SUMIF('Chi tiết NVL'!$I:$I,$A215,'Chi tiết NVL'!M:M)</f>
        <v/>
      </c>
      <c r="E215" s="57">
        <f>+SUMIF('Chi tiết NVL'!$I:$I,$A215,'Chi tiết NVL'!N:N)</f>
        <v/>
      </c>
      <c r="F215" s="57">
        <f>+SUMIF('Chi tiết NVL'!$I:$I,$A215,'Chi tiết NVL'!O:O)</f>
        <v/>
      </c>
      <c r="G215" s="57">
        <f>+SUMIF('Chi tiết NVL'!$I:$I,$A215,'Chi tiết NVL'!P:P)</f>
        <v/>
      </c>
      <c r="H215" s="57">
        <f>+SUMIF('Chi tiết NVL'!$I:$I,$A215,'Chi tiết NVL'!Q:Q)</f>
        <v/>
      </c>
      <c r="I215" s="57">
        <f>+SUMIF('Chi tiết NVL'!$I:$I,$A215,'Chi tiết NVL'!R:R)</f>
        <v/>
      </c>
      <c r="J215" s="57">
        <f>+SUMIF('Chi tiết NVL'!$I:$I,$A215,'Chi tiết NVL'!S:S)</f>
        <v/>
      </c>
    </row>
    <row r="216">
      <c r="A216" s="56" t="inlineStr">
        <is>
          <t>Chặn cửa</t>
        </is>
      </c>
      <c r="B216" s="56">
        <f>+VLOOKUP(A216,'Chi tiết NVL'!$I$10:$J$4158,2,0)</f>
        <v/>
      </c>
      <c r="C216" s="57">
        <f>+SUMIF('Chi tiết NVL'!$I:$I,$A216,'Chi tiết NVL'!L:L)</f>
        <v/>
      </c>
      <c r="D216" s="57">
        <f>+SUMIF('Chi tiết NVL'!$I:$I,$A216,'Chi tiết NVL'!M:M)</f>
        <v/>
      </c>
      <c r="E216" s="57">
        <f>+SUMIF('Chi tiết NVL'!$I:$I,$A216,'Chi tiết NVL'!N:N)</f>
        <v/>
      </c>
      <c r="F216" s="57">
        <f>+SUMIF('Chi tiết NVL'!$I:$I,$A216,'Chi tiết NVL'!O:O)</f>
        <v/>
      </c>
      <c r="G216" s="57">
        <f>+SUMIF('Chi tiết NVL'!$I:$I,$A216,'Chi tiết NVL'!P:P)</f>
        <v/>
      </c>
      <c r="H216" s="57">
        <f>+SUMIF('Chi tiết NVL'!$I:$I,$A216,'Chi tiết NVL'!Q:Q)</f>
        <v/>
      </c>
      <c r="I216" s="57">
        <f>+SUMIF('Chi tiết NVL'!$I:$I,$A216,'Chi tiết NVL'!R:R)</f>
        <v/>
      </c>
      <c r="J216" s="57">
        <f>+SUMIF('Chi tiết NVL'!$I:$I,$A216,'Chi tiết NVL'!S:S)</f>
        <v/>
      </c>
    </row>
    <row r="217">
      <c r="A217" s="56" t="inlineStr">
        <is>
          <t>Cửa cuốn thép tấm liền đồng bộ Austdoor</t>
        </is>
      </c>
      <c r="B217" s="56">
        <f>+VLOOKUP(A217,'Chi tiết NVL'!$I$10:$J$4158,2,0)</f>
        <v/>
      </c>
      <c r="C217" s="57">
        <f>+SUMIF('Chi tiết NVL'!$I:$I,$A217,'Chi tiết NVL'!L:L)</f>
        <v/>
      </c>
      <c r="D217" s="57">
        <f>+SUMIF('Chi tiết NVL'!$I:$I,$A217,'Chi tiết NVL'!M:M)</f>
        <v/>
      </c>
      <c r="E217" s="57">
        <f>+SUMIF('Chi tiết NVL'!$I:$I,$A217,'Chi tiết NVL'!N:N)</f>
        <v/>
      </c>
      <c r="F217" s="57">
        <f>+SUMIF('Chi tiết NVL'!$I:$I,$A217,'Chi tiết NVL'!O:O)</f>
        <v/>
      </c>
      <c r="G217" s="57">
        <f>+SUMIF('Chi tiết NVL'!$I:$I,$A217,'Chi tiết NVL'!P:P)</f>
        <v/>
      </c>
      <c r="H217" s="57">
        <f>+SUMIF('Chi tiết NVL'!$I:$I,$A217,'Chi tiết NVL'!Q:Q)</f>
        <v/>
      </c>
      <c r="I217" s="57">
        <f>+SUMIF('Chi tiết NVL'!$I:$I,$A217,'Chi tiết NVL'!R:R)</f>
        <v/>
      </c>
      <c r="J217" s="57">
        <f>+SUMIF('Chi tiết NVL'!$I:$I,$A217,'Chi tiết NVL'!S:S)</f>
        <v/>
      </c>
    </row>
    <row r="218">
      <c r="A218" s="56" t="inlineStr">
        <is>
          <t>Tôn mạ màu</t>
        </is>
      </c>
      <c r="B218" s="56">
        <f>+VLOOKUP(A218,'Chi tiết NVL'!$I$10:$J$4158,2,0)</f>
        <v/>
      </c>
      <c r="C218" s="57">
        <f>+SUMIF('Chi tiết NVL'!$I:$I,$A218,'Chi tiết NVL'!L:L)</f>
        <v/>
      </c>
      <c r="D218" s="57">
        <f>+SUMIF('Chi tiết NVL'!$I:$I,$A218,'Chi tiết NVL'!M:M)</f>
        <v/>
      </c>
      <c r="E218" s="57">
        <f>+SUMIF('Chi tiết NVL'!$I:$I,$A218,'Chi tiết NVL'!N:N)</f>
        <v/>
      </c>
      <c r="F218" s="57">
        <f>+SUMIF('Chi tiết NVL'!$I:$I,$A218,'Chi tiết NVL'!O:O)</f>
        <v/>
      </c>
      <c r="G218" s="57">
        <f>+SUMIF('Chi tiết NVL'!$I:$I,$A218,'Chi tiết NVL'!P:P)</f>
        <v/>
      </c>
      <c r="H218" s="57">
        <f>+SUMIF('Chi tiết NVL'!$I:$I,$A218,'Chi tiết NVL'!Q:Q)</f>
        <v/>
      </c>
      <c r="I218" s="57">
        <f>+SUMIF('Chi tiết NVL'!$I:$I,$A218,'Chi tiết NVL'!R:R)</f>
        <v/>
      </c>
      <c r="J218" s="57">
        <f>+SUMIF('Chi tiết NVL'!$I:$I,$A218,'Chi tiết NVL'!S:S)</f>
        <v/>
      </c>
    </row>
    <row r="219">
      <c r="A219" s="56" t="inlineStr">
        <is>
          <t>Inox</t>
        </is>
      </c>
      <c r="B219" s="56">
        <f>+VLOOKUP(A219,'Chi tiết NVL'!$I$10:$J$4158,2,0)</f>
        <v/>
      </c>
      <c r="C219" s="57">
        <f>+SUMIF('Chi tiết NVL'!$I:$I,$A219,'Chi tiết NVL'!L:L)</f>
        <v/>
      </c>
      <c r="D219" s="57">
        <f>+SUMIF('Chi tiết NVL'!$I:$I,$A219,'Chi tiết NVL'!M:M)</f>
        <v/>
      </c>
      <c r="E219" s="57">
        <f>+SUMIF('Chi tiết NVL'!$I:$I,$A219,'Chi tiết NVL'!N:N)</f>
        <v/>
      </c>
      <c r="F219" s="57">
        <f>+SUMIF('Chi tiết NVL'!$I:$I,$A219,'Chi tiết NVL'!O:O)</f>
        <v/>
      </c>
      <c r="G219" s="57">
        <f>+SUMIF('Chi tiết NVL'!$I:$I,$A219,'Chi tiết NVL'!P:P)</f>
        <v/>
      </c>
      <c r="H219" s="57">
        <f>+SUMIF('Chi tiết NVL'!$I:$I,$A219,'Chi tiết NVL'!Q:Q)</f>
        <v/>
      </c>
      <c r="I219" s="57">
        <f>+SUMIF('Chi tiết NVL'!$I:$I,$A219,'Chi tiết NVL'!R:R)</f>
        <v/>
      </c>
      <c r="J219" s="57">
        <f>+SUMIF('Chi tiết NVL'!$I:$I,$A219,'Chi tiết NVL'!S:S)</f>
        <v/>
      </c>
    </row>
    <row r="220">
      <c r="A220" s="56" t="inlineStr">
        <is>
          <t>Thép lá mạ</t>
        </is>
      </c>
      <c r="B220" s="56">
        <f>+VLOOKUP(A220,'Chi tiết NVL'!$I$10:$J$4158,2,0)</f>
        <v/>
      </c>
      <c r="C220" s="57">
        <f>+SUMIF('Chi tiết NVL'!$I:$I,$A220,'Chi tiết NVL'!L:L)</f>
        <v/>
      </c>
      <c r="D220" s="57">
        <f>+SUMIF('Chi tiết NVL'!$I:$I,$A220,'Chi tiết NVL'!M:M)</f>
        <v/>
      </c>
      <c r="E220" s="57">
        <f>+SUMIF('Chi tiết NVL'!$I:$I,$A220,'Chi tiết NVL'!N:N)</f>
        <v/>
      </c>
      <c r="F220" s="57">
        <f>+SUMIF('Chi tiết NVL'!$I:$I,$A220,'Chi tiết NVL'!O:O)</f>
        <v/>
      </c>
      <c r="G220" s="57">
        <f>+SUMIF('Chi tiết NVL'!$I:$I,$A220,'Chi tiết NVL'!P:P)</f>
        <v/>
      </c>
      <c r="H220" s="57">
        <f>+SUMIF('Chi tiết NVL'!$I:$I,$A220,'Chi tiết NVL'!Q:Q)</f>
        <v/>
      </c>
      <c r="I220" s="57">
        <f>+SUMIF('Chi tiết NVL'!$I:$I,$A220,'Chi tiết NVL'!R:R)</f>
        <v/>
      </c>
      <c r="J220" s="57">
        <f>+SUMIF('Chi tiết NVL'!$I:$I,$A220,'Chi tiết NVL'!S:S)</f>
        <v/>
      </c>
    </row>
    <row r="221">
      <c r="A221" s="56" t="inlineStr">
        <is>
          <t>Tôn nhựa</t>
        </is>
      </c>
      <c r="B221" s="56">
        <f>+VLOOKUP(A221,'Chi tiết NVL'!$I$10:$J$4158,2,0)</f>
        <v/>
      </c>
      <c r="C221" s="57">
        <f>+SUMIF('Chi tiết NVL'!$I:$I,$A221,'Chi tiết NVL'!L:L)</f>
        <v/>
      </c>
      <c r="D221" s="57">
        <f>+SUMIF('Chi tiết NVL'!$I:$I,$A221,'Chi tiết NVL'!M:M)</f>
        <v/>
      </c>
      <c r="E221" s="57">
        <f>+SUMIF('Chi tiết NVL'!$I:$I,$A221,'Chi tiết NVL'!N:N)</f>
        <v/>
      </c>
      <c r="F221" s="57">
        <f>+SUMIF('Chi tiết NVL'!$I:$I,$A221,'Chi tiết NVL'!O:O)</f>
        <v/>
      </c>
      <c r="G221" s="57">
        <f>+SUMIF('Chi tiết NVL'!$I:$I,$A221,'Chi tiết NVL'!P:P)</f>
        <v/>
      </c>
      <c r="H221" s="57">
        <f>+SUMIF('Chi tiết NVL'!$I:$I,$A221,'Chi tiết NVL'!Q:Q)</f>
        <v/>
      </c>
      <c r="I221" s="57">
        <f>+SUMIF('Chi tiết NVL'!$I:$I,$A221,'Chi tiết NVL'!R:R)</f>
        <v/>
      </c>
      <c r="J221" s="57">
        <f>+SUMIF('Chi tiết NVL'!$I:$I,$A221,'Chi tiết NVL'!S:S)</f>
        <v/>
      </c>
    </row>
    <row r="222">
      <c r="A222" s="56" t="inlineStr">
        <is>
          <t>Vít bắn tole D ZP (Cr+6) M4.8x25RTN</t>
        </is>
      </c>
      <c r="B222" s="56">
        <f>+VLOOKUP(A222,'Chi tiết NVL'!$I$10:$J$4158,2,0)</f>
        <v/>
      </c>
      <c r="C222" s="57">
        <f>+SUMIF('Chi tiết NVL'!$I:$I,$A222,'Chi tiết NVL'!L:L)</f>
        <v/>
      </c>
      <c r="D222" s="57">
        <f>+SUMIF('Chi tiết NVL'!$I:$I,$A222,'Chi tiết NVL'!M:M)</f>
        <v/>
      </c>
      <c r="E222" s="57">
        <f>+SUMIF('Chi tiết NVL'!$I:$I,$A222,'Chi tiết NVL'!N:N)</f>
        <v/>
      </c>
      <c r="F222" s="57">
        <f>+SUMIF('Chi tiết NVL'!$I:$I,$A222,'Chi tiết NVL'!O:O)</f>
        <v/>
      </c>
      <c r="G222" s="57">
        <f>+SUMIF('Chi tiết NVL'!$I:$I,$A222,'Chi tiết NVL'!P:P)</f>
        <v/>
      </c>
      <c r="H222" s="57">
        <f>+SUMIF('Chi tiết NVL'!$I:$I,$A222,'Chi tiết NVL'!Q:Q)</f>
        <v/>
      </c>
      <c r="I222" s="57">
        <f>+SUMIF('Chi tiết NVL'!$I:$I,$A222,'Chi tiết NVL'!R:R)</f>
        <v/>
      </c>
      <c r="J222" s="57">
        <f>+SUMIF('Chi tiết NVL'!$I:$I,$A222,'Chi tiết NVL'!S:S)</f>
        <v/>
      </c>
    </row>
    <row r="223">
      <c r="A223" s="56" t="inlineStr">
        <is>
          <t>Thép tấm gân 5ly</t>
        </is>
      </c>
      <c r="B223" s="56">
        <f>+VLOOKUP(A223,'Chi tiết NVL'!$I$10:$J$4158,2,0)</f>
        <v/>
      </c>
      <c r="C223" s="57">
        <f>+SUMIF('Chi tiết NVL'!$I:$I,$A223,'Chi tiết NVL'!L:L)</f>
        <v/>
      </c>
      <c r="D223" s="57">
        <f>+SUMIF('Chi tiết NVL'!$I:$I,$A223,'Chi tiết NVL'!M:M)</f>
        <v/>
      </c>
      <c r="E223" s="57">
        <f>+SUMIF('Chi tiết NVL'!$I:$I,$A223,'Chi tiết NVL'!N:N)</f>
        <v/>
      </c>
      <c r="F223" s="57">
        <f>+SUMIF('Chi tiết NVL'!$I:$I,$A223,'Chi tiết NVL'!O:O)</f>
        <v/>
      </c>
      <c r="G223" s="57">
        <f>+SUMIF('Chi tiết NVL'!$I:$I,$A223,'Chi tiết NVL'!P:P)</f>
        <v/>
      </c>
      <c r="H223" s="57">
        <f>+SUMIF('Chi tiết NVL'!$I:$I,$A223,'Chi tiết NVL'!Q:Q)</f>
        <v/>
      </c>
      <c r="I223" s="57">
        <f>+SUMIF('Chi tiết NVL'!$I:$I,$A223,'Chi tiết NVL'!R:R)</f>
        <v/>
      </c>
      <c r="J223" s="57">
        <f>+SUMIF('Chi tiết NVL'!$I:$I,$A223,'Chi tiết NVL'!S:S)</f>
        <v/>
      </c>
    </row>
    <row r="224">
      <c r="A224" s="56" t="inlineStr">
        <is>
          <t>Thép ống đen 26.65</t>
        </is>
      </c>
      <c r="B224" s="56">
        <f>+VLOOKUP(A224,'Chi tiết NVL'!$I$10:$J$4158,2,0)</f>
        <v/>
      </c>
      <c r="C224" s="57">
        <f>+SUMIF('Chi tiết NVL'!$I:$I,$A224,'Chi tiết NVL'!L:L)</f>
        <v/>
      </c>
      <c r="D224" s="57">
        <f>+SUMIF('Chi tiết NVL'!$I:$I,$A224,'Chi tiết NVL'!M:M)</f>
        <v/>
      </c>
      <c r="E224" s="57">
        <f>+SUMIF('Chi tiết NVL'!$I:$I,$A224,'Chi tiết NVL'!N:N)</f>
        <v/>
      </c>
      <c r="F224" s="57">
        <f>+SUMIF('Chi tiết NVL'!$I:$I,$A224,'Chi tiết NVL'!O:O)</f>
        <v/>
      </c>
      <c r="G224" s="57">
        <f>+SUMIF('Chi tiết NVL'!$I:$I,$A224,'Chi tiết NVL'!P:P)</f>
        <v/>
      </c>
      <c r="H224" s="57">
        <f>+SUMIF('Chi tiết NVL'!$I:$I,$A224,'Chi tiết NVL'!Q:Q)</f>
        <v/>
      </c>
      <c r="I224" s="57">
        <f>+SUMIF('Chi tiết NVL'!$I:$I,$A224,'Chi tiết NVL'!R:R)</f>
        <v/>
      </c>
      <c r="J224" s="57">
        <f>+SUMIF('Chi tiết NVL'!$I:$I,$A224,'Chi tiết NVL'!S:S)</f>
        <v/>
      </c>
    </row>
    <row r="225">
      <c r="A225" s="56" t="inlineStr">
        <is>
          <t>Thép ống đen 42.2</t>
        </is>
      </c>
      <c r="B225" s="56">
        <f>+VLOOKUP(A225,'Chi tiết NVL'!$I$10:$J$4158,2,0)</f>
        <v/>
      </c>
      <c r="C225" s="57">
        <f>+SUMIF('Chi tiết NVL'!$I:$I,$A225,'Chi tiết NVL'!L:L)</f>
        <v/>
      </c>
      <c r="D225" s="57">
        <f>+SUMIF('Chi tiết NVL'!$I:$I,$A225,'Chi tiết NVL'!M:M)</f>
        <v/>
      </c>
      <c r="E225" s="57">
        <f>+SUMIF('Chi tiết NVL'!$I:$I,$A225,'Chi tiết NVL'!N:N)</f>
        <v/>
      </c>
      <c r="F225" s="57">
        <f>+SUMIF('Chi tiết NVL'!$I:$I,$A225,'Chi tiết NVL'!O:O)</f>
        <v/>
      </c>
      <c r="G225" s="57">
        <f>+SUMIF('Chi tiết NVL'!$I:$I,$A225,'Chi tiết NVL'!P:P)</f>
        <v/>
      </c>
      <c r="H225" s="57">
        <f>+SUMIF('Chi tiết NVL'!$I:$I,$A225,'Chi tiết NVL'!Q:Q)</f>
        <v/>
      </c>
      <c r="I225" s="57">
        <f>+SUMIF('Chi tiết NVL'!$I:$I,$A225,'Chi tiết NVL'!R:R)</f>
        <v/>
      </c>
      <c r="J225" s="57">
        <f>+SUMIF('Chi tiết NVL'!$I:$I,$A225,'Chi tiết NVL'!S:S)</f>
        <v/>
      </c>
    </row>
    <row r="226">
      <c r="A226" s="56" t="inlineStr">
        <is>
          <t>Thép tấm 30ly</t>
        </is>
      </c>
      <c r="B226" s="56">
        <f>+VLOOKUP(A226,'Chi tiết NVL'!$I$10:$J$4158,2,0)</f>
        <v/>
      </c>
      <c r="C226" s="57">
        <f>+SUMIF('Chi tiết NVL'!$I:$I,$A226,'Chi tiết NVL'!L:L)</f>
        <v/>
      </c>
      <c r="D226" s="57">
        <f>+SUMIF('Chi tiết NVL'!$I:$I,$A226,'Chi tiết NVL'!M:M)</f>
        <v/>
      </c>
      <c r="E226" s="57">
        <f>+SUMIF('Chi tiết NVL'!$I:$I,$A226,'Chi tiết NVL'!N:N)</f>
        <v/>
      </c>
      <c r="F226" s="57">
        <f>+SUMIF('Chi tiết NVL'!$I:$I,$A226,'Chi tiết NVL'!O:O)</f>
        <v/>
      </c>
      <c r="G226" s="57">
        <f>+SUMIF('Chi tiết NVL'!$I:$I,$A226,'Chi tiết NVL'!P:P)</f>
        <v/>
      </c>
      <c r="H226" s="57">
        <f>+SUMIF('Chi tiết NVL'!$I:$I,$A226,'Chi tiết NVL'!Q:Q)</f>
        <v/>
      </c>
      <c r="I226" s="57">
        <f>+SUMIF('Chi tiết NVL'!$I:$I,$A226,'Chi tiết NVL'!R:R)</f>
        <v/>
      </c>
      <c r="J226" s="57">
        <f>+SUMIF('Chi tiết NVL'!$I:$I,$A226,'Chi tiết NVL'!S:S)</f>
        <v/>
      </c>
    </row>
    <row r="227">
      <c r="A227" s="56" t="inlineStr">
        <is>
          <t>Thép hộp 50x100</t>
        </is>
      </c>
      <c r="B227" s="56">
        <f>+VLOOKUP(A227,'Chi tiết NVL'!$I$10:$J$4158,2,0)</f>
        <v/>
      </c>
      <c r="C227" s="57">
        <f>+SUMIF('Chi tiết NVL'!$I:$I,$A227,'Chi tiết NVL'!L:L)</f>
        <v/>
      </c>
      <c r="D227" s="57">
        <f>+SUMIF('Chi tiết NVL'!$I:$I,$A227,'Chi tiết NVL'!M:M)</f>
        <v/>
      </c>
      <c r="E227" s="57">
        <f>+SUMIF('Chi tiết NVL'!$I:$I,$A227,'Chi tiết NVL'!N:N)</f>
        <v/>
      </c>
      <c r="F227" s="57">
        <f>+SUMIF('Chi tiết NVL'!$I:$I,$A227,'Chi tiết NVL'!O:O)</f>
        <v/>
      </c>
      <c r="G227" s="57">
        <f>+SUMIF('Chi tiết NVL'!$I:$I,$A227,'Chi tiết NVL'!P:P)</f>
        <v/>
      </c>
      <c r="H227" s="57">
        <f>+SUMIF('Chi tiết NVL'!$I:$I,$A227,'Chi tiết NVL'!Q:Q)</f>
        <v/>
      </c>
      <c r="I227" s="57">
        <f>+SUMIF('Chi tiết NVL'!$I:$I,$A227,'Chi tiết NVL'!R:R)</f>
        <v/>
      </c>
      <c r="J227" s="57">
        <f>+SUMIF('Chi tiết NVL'!$I:$I,$A227,'Chi tiết NVL'!S:S)</f>
        <v/>
      </c>
    </row>
    <row r="228">
      <c r="A228" s="56" t="inlineStr">
        <is>
          <t>Thép vuông 150</t>
        </is>
      </c>
      <c r="B228" s="56">
        <f>+VLOOKUP(A228,'Chi tiết NVL'!$I$10:$J$4158,2,0)</f>
        <v/>
      </c>
      <c r="C228" s="57">
        <f>+SUMIF('Chi tiết NVL'!$I:$I,$A228,'Chi tiết NVL'!L:L)</f>
        <v/>
      </c>
      <c r="D228" s="57">
        <f>+SUMIF('Chi tiết NVL'!$I:$I,$A228,'Chi tiết NVL'!M:M)</f>
        <v/>
      </c>
      <c r="E228" s="57">
        <f>+SUMIF('Chi tiết NVL'!$I:$I,$A228,'Chi tiết NVL'!N:N)</f>
        <v/>
      </c>
      <c r="F228" s="57">
        <f>+SUMIF('Chi tiết NVL'!$I:$I,$A228,'Chi tiết NVL'!O:O)</f>
        <v/>
      </c>
      <c r="G228" s="57">
        <f>+SUMIF('Chi tiết NVL'!$I:$I,$A228,'Chi tiết NVL'!P:P)</f>
        <v/>
      </c>
      <c r="H228" s="57">
        <f>+SUMIF('Chi tiết NVL'!$I:$I,$A228,'Chi tiết NVL'!Q:Q)</f>
        <v/>
      </c>
      <c r="I228" s="57">
        <f>+SUMIF('Chi tiết NVL'!$I:$I,$A228,'Chi tiết NVL'!R:R)</f>
        <v/>
      </c>
      <c r="J228" s="57">
        <f>+SUMIF('Chi tiết NVL'!$I:$I,$A228,'Chi tiết NVL'!S:S)</f>
        <v/>
      </c>
    </row>
    <row r="229">
      <c r="A229" s="56" t="inlineStr">
        <is>
          <t>Thép lá mạ kẽm</t>
        </is>
      </c>
      <c r="B229" s="56">
        <f>+VLOOKUP(A229,'Chi tiết NVL'!$I$10:$J$4158,2,0)</f>
        <v/>
      </c>
      <c r="C229" s="57">
        <f>+SUMIF('Chi tiết NVL'!$I:$I,$A229,'Chi tiết NVL'!L:L)</f>
        <v/>
      </c>
      <c r="D229" s="57">
        <f>+SUMIF('Chi tiết NVL'!$I:$I,$A229,'Chi tiết NVL'!M:M)</f>
        <v/>
      </c>
      <c r="E229" s="57">
        <f>+SUMIF('Chi tiết NVL'!$I:$I,$A229,'Chi tiết NVL'!N:N)</f>
        <v/>
      </c>
      <c r="F229" s="57">
        <f>+SUMIF('Chi tiết NVL'!$I:$I,$A229,'Chi tiết NVL'!O:O)</f>
        <v/>
      </c>
      <c r="G229" s="57">
        <f>+SUMIF('Chi tiết NVL'!$I:$I,$A229,'Chi tiết NVL'!P:P)</f>
        <v/>
      </c>
      <c r="H229" s="57">
        <f>+SUMIF('Chi tiết NVL'!$I:$I,$A229,'Chi tiết NVL'!Q:Q)</f>
        <v/>
      </c>
      <c r="I229" s="57">
        <f>+SUMIF('Chi tiết NVL'!$I:$I,$A229,'Chi tiết NVL'!R:R)</f>
        <v/>
      </c>
      <c r="J229" s="57">
        <f>+SUMIF('Chi tiết NVL'!$I:$I,$A229,'Chi tiết NVL'!S:S)</f>
        <v/>
      </c>
    </row>
    <row r="230">
      <c r="A230" s="56" t="inlineStr">
        <is>
          <t>Lưới kẽm nhúng nóng</t>
        </is>
      </c>
      <c r="B230" s="56">
        <f>+VLOOKUP(A230,'Chi tiết NVL'!$I$10:$J$4158,2,0)</f>
        <v/>
      </c>
      <c r="C230" s="57">
        <f>+SUMIF('Chi tiết NVL'!$I:$I,$A230,'Chi tiết NVL'!L:L)</f>
        <v/>
      </c>
      <c r="D230" s="57">
        <f>+SUMIF('Chi tiết NVL'!$I:$I,$A230,'Chi tiết NVL'!M:M)</f>
        <v/>
      </c>
      <c r="E230" s="57">
        <f>+SUMIF('Chi tiết NVL'!$I:$I,$A230,'Chi tiết NVL'!N:N)</f>
        <v/>
      </c>
      <c r="F230" s="57">
        <f>+SUMIF('Chi tiết NVL'!$I:$I,$A230,'Chi tiết NVL'!O:O)</f>
        <v/>
      </c>
      <c r="G230" s="57">
        <f>+SUMIF('Chi tiết NVL'!$I:$I,$A230,'Chi tiết NVL'!P:P)</f>
        <v/>
      </c>
      <c r="H230" s="57">
        <f>+SUMIF('Chi tiết NVL'!$I:$I,$A230,'Chi tiết NVL'!Q:Q)</f>
        <v/>
      </c>
      <c r="I230" s="57">
        <f>+SUMIF('Chi tiết NVL'!$I:$I,$A230,'Chi tiết NVL'!R:R)</f>
        <v/>
      </c>
      <c r="J230" s="57">
        <f>+SUMIF('Chi tiết NVL'!$I:$I,$A230,'Chi tiết NVL'!S:S)</f>
        <v/>
      </c>
    </row>
    <row r="231">
      <c r="A231" s="56" t="inlineStr">
        <is>
          <t>Băng keo 02 mặt</t>
        </is>
      </c>
      <c r="B231" s="56">
        <f>+VLOOKUP(A231,'Chi tiết NVL'!$I$10:$J$4158,2,0)</f>
        <v/>
      </c>
      <c r="C231" s="57">
        <f>+SUMIF('Chi tiết NVL'!$I:$I,$A231,'Chi tiết NVL'!L:L)</f>
        <v/>
      </c>
      <c r="D231" s="57">
        <f>+SUMIF('Chi tiết NVL'!$I:$I,$A231,'Chi tiết NVL'!M:M)</f>
        <v/>
      </c>
      <c r="E231" s="57">
        <f>+SUMIF('Chi tiết NVL'!$I:$I,$A231,'Chi tiết NVL'!N:N)</f>
        <v/>
      </c>
      <c r="F231" s="57">
        <f>+SUMIF('Chi tiết NVL'!$I:$I,$A231,'Chi tiết NVL'!O:O)</f>
        <v/>
      </c>
      <c r="G231" s="57">
        <f>+SUMIF('Chi tiết NVL'!$I:$I,$A231,'Chi tiết NVL'!P:P)</f>
        <v/>
      </c>
      <c r="H231" s="57">
        <f>+SUMIF('Chi tiết NVL'!$I:$I,$A231,'Chi tiết NVL'!Q:Q)</f>
        <v/>
      </c>
      <c r="I231" s="57">
        <f>+SUMIF('Chi tiết NVL'!$I:$I,$A231,'Chi tiết NVL'!R:R)</f>
        <v/>
      </c>
      <c r="J231" s="57">
        <f>+SUMIF('Chi tiết NVL'!$I:$I,$A231,'Chi tiết NVL'!S:S)</f>
        <v/>
      </c>
    </row>
    <row r="232">
      <c r="A232" s="56" t="inlineStr">
        <is>
          <t>Tấm cách nhiệt A2 Cát Tường</t>
        </is>
      </c>
      <c r="B232" s="56">
        <f>+VLOOKUP(A232,'Chi tiết NVL'!$I$10:$J$4158,2,0)</f>
        <v/>
      </c>
      <c r="C232" s="57">
        <f>+SUMIF('Chi tiết NVL'!$I:$I,$A232,'Chi tiết NVL'!L:L)</f>
        <v/>
      </c>
      <c r="D232" s="57">
        <f>+SUMIF('Chi tiết NVL'!$I:$I,$A232,'Chi tiết NVL'!M:M)</f>
        <v/>
      </c>
      <c r="E232" s="57">
        <f>+SUMIF('Chi tiết NVL'!$I:$I,$A232,'Chi tiết NVL'!N:N)</f>
        <v/>
      </c>
      <c r="F232" s="57">
        <f>+SUMIF('Chi tiết NVL'!$I:$I,$A232,'Chi tiết NVL'!O:O)</f>
        <v/>
      </c>
      <c r="G232" s="57">
        <f>+SUMIF('Chi tiết NVL'!$I:$I,$A232,'Chi tiết NVL'!P:P)</f>
        <v/>
      </c>
      <c r="H232" s="57">
        <f>+SUMIF('Chi tiết NVL'!$I:$I,$A232,'Chi tiết NVL'!Q:Q)</f>
        <v/>
      </c>
      <c r="I232" s="57">
        <f>+SUMIF('Chi tiết NVL'!$I:$I,$A232,'Chi tiết NVL'!R:R)</f>
        <v/>
      </c>
      <c r="J232" s="57">
        <f>+SUMIF('Chi tiết NVL'!$I:$I,$A232,'Chi tiết NVL'!S:S)</f>
        <v/>
      </c>
    </row>
    <row r="233">
      <c r="A233" s="56" t="inlineStr">
        <is>
          <t>SƠN FUTURA CLASSIC RAL5011 17.97L</t>
        </is>
      </c>
      <c r="B233" s="56">
        <f>+VLOOKUP(A233,'Chi tiết NVL'!$I$10:$J$4158,2,0)</f>
        <v/>
      </c>
      <c r="C233" s="57">
        <f>+SUMIF('Chi tiết NVL'!$I:$I,$A233,'Chi tiết NVL'!L:L)</f>
        <v/>
      </c>
      <c r="D233" s="57">
        <f>+SUMIF('Chi tiết NVL'!$I:$I,$A233,'Chi tiết NVL'!M:M)</f>
        <v/>
      </c>
      <c r="E233" s="57">
        <f>+SUMIF('Chi tiết NVL'!$I:$I,$A233,'Chi tiết NVL'!N:N)</f>
        <v/>
      </c>
      <c r="F233" s="57">
        <f>+SUMIF('Chi tiết NVL'!$I:$I,$A233,'Chi tiết NVL'!O:O)</f>
        <v/>
      </c>
      <c r="G233" s="57">
        <f>+SUMIF('Chi tiết NVL'!$I:$I,$A233,'Chi tiết NVL'!P:P)</f>
        <v/>
      </c>
      <c r="H233" s="57">
        <f>+SUMIF('Chi tiết NVL'!$I:$I,$A233,'Chi tiết NVL'!Q:Q)</f>
        <v/>
      </c>
      <c r="I233" s="57">
        <f>+SUMIF('Chi tiết NVL'!$I:$I,$A233,'Chi tiết NVL'!R:R)</f>
        <v/>
      </c>
      <c r="J233" s="57">
        <f>+SUMIF('Chi tiết NVL'!$I:$I,$A233,'Chi tiết NVL'!S:S)</f>
        <v/>
      </c>
    </row>
    <row r="234">
      <c r="A234" s="56" t="inlineStr">
        <is>
          <t>Thép tấm 25ly</t>
        </is>
      </c>
      <c r="B234" s="56">
        <f>+VLOOKUP(A234,'Chi tiết NVL'!$I$10:$J$4158,2,0)</f>
        <v/>
      </c>
      <c r="C234" s="57">
        <f>+SUMIF('Chi tiết NVL'!$I:$I,$A234,'Chi tiết NVL'!L:L)</f>
        <v/>
      </c>
      <c r="D234" s="57">
        <f>+SUMIF('Chi tiết NVL'!$I:$I,$A234,'Chi tiết NVL'!M:M)</f>
        <v/>
      </c>
      <c r="E234" s="57">
        <f>+SUMIF('Chi tiết NVL'!$I:$I,$A234,'Chi tiết NVL'!N:N)</f>
        <v/>
      </c>
      <c r="F234" s="57">
        <f>+SUMIF('Chi tiết NVL'!$I:$I,$A234,'Chi tiết NVL'!O:O)</f>
        <v/>
      </c>
      <c r="G234" s="57">
        <f>+SUMIF('Chi tiết NVL'!$I:$I,$A234,'Chi tiết NVL'!P:P)</f>
        <v/>
      </c>
      <c r="H234" s="57">
        <f>+SUMIF('Chi tiết NVL'!$I:$I,$A234,'Chi tiết NVL'!Q:Q)</f>
        <v/>
      </c>
      <c r="I234" s="57">
        <f>+SUMIF('Chi tiết NVL'!$I:$I,$A234,'Chi tiết NVL'!R:R)</f>
        <v/>
      </c>
      <c r="J234" s="57">
        <f>+SUMIF('Chi tiết NVL'!$I:$I,$A234,'Chi tiết NVL'!S:S)</f>
        <v/>
      </c>
    </row>
    <row r="235">
      <c r="A235" s="56" t="inlineStr">
        <is>
          <t>Thép tấm 18x2000x12000</t>
        </is>
      </c>
      <c r="B235" s="56">
        <f>+VLOOKUP(A235,'Chi tiết NVL'!$I$10:$J$4158,2,0)</f>
        <v/>
      </c>
      <c r="C235" s="57">
        <f>+SUMIF('Chi tiết NVL'!$I:$I,$A235,'Chi tiết NVL'!L:L)</f>
        <v/>
      </c>
      <c r="D235" s="57">
        <f>+SUMIF('Chi tiết NVL'!$I:$I,$A235,'Chi tiết NVL'!M:M)</f>
        <v/>
      </c>
      <c r="E235" s="57">
        <f>+SUMIF('Chi tiết NVL'!$I:$I,$A235,'Chi tiết NVL'!N:N)</f>
        <v/>
      </c>
      <c r="F235" s="57">
        <f>+SUMIF('Chi tiết NVL'!$I:$I,$A235,'Chi tiết NVL'!O:O)</f>
        <v/>
      </c>
      <c r="G235" s="57">
        <f>+SUMIF('Chi tiết NVL'!$I:$I,$A235,'Chi tiết NVL'!P:P)</f>
        <v/>
      </c>
      <c r="H235" s="57">
        <f>+SUMIF('Chi tiết NVL'!$I:$I,$A235,'Chi tiết NVL'!Q:Q)</f>
        <v/>
      </c>
      <c r="I235" s="57">
        <f>+SUMIF('Chi tiết NVL'!$I:$I,$A235,'Chi tiết NVL'!R:R)</f>
        <v/>
      </c>
      <c r="J235" s="57">
        <f>+SUMIF('Chi tiết NVL'!$I:$I,$A235,'Chi tiết NVL'!S:S)</f>
        <v/>
      </c>
    </row>
    <row r="236">
      <c r="A236" s="56" t="inlineStr">
        <is>
          <t>Thép tấm 30x2000x12000</t>
        </is>
      </c>
      <c r="B236" s="56">
        <f>+VLOOKUP(A236,'Chi tiết NVL'!$I$10:$J$4158,2,0)</f>
        <v/>
      </c>
      <c r="C236" s="57">
        <f>+SUMIF('Chi tiết NVL'!$I:$I,$A236,'Chi tiết NVL'!L:L)</f>
        <v/>
      </c>
      <c r="D236" s="57">
        <f>+SUMIF('Chi tiết NVL'!$I:$I,$A236,'Chi tiết NVL'!M:M)</f>
        <v/>
      </c>
      <c r="E236" s="57">
        <f>+SUMIF('Chi tiết NVL'!$I:$I,$A236,'Chi tiết NVL'!N:N)</f>
        <v/>
      </c>
      <c r="F236" s="57">
        <f>+SUMIF('Chi tiết NVL'!$I:$I,$A236,'Chi tiết NVL'!O:O)</f>
        <v/>
      </c>
      <c r="G236" s="57">
        <f>+SUMIF('Chi tiết NVL'!$I:$I,$A236,'Chi tiết NVL'!P:P)</f>
        <v/>
      </c>
      <c r="H236" s="57">
        <f>+SUMIF('Chi tiết NVL'!$I:$I,$A236,'Chi tiết NVL'!Q:Q)</f>
        <v/>
      </c>
      <c r="I236" s="57">
        <f>+SUMIF('Chi tiết NVL'!$I:$I,$A236,'Chi tiết NVL'!R:R)</f>
        <v/>
      </c>
      <c r="J236" s="57">
        <f>+SUMIF('Chi tiết NVL'!$I:$I,$A236,'Chi tiết NVL'!S:S)</f>
        <v/>
      </c>
    </row>
    <row r="237">
      <c r="A237" s="56" t="inlineStr">
        <is>
          <t>Bulong neo I 4.6 ZP M16x385</t>
        </is>
      </c>
      <c r="B237" s="56">
        <f>+VLOOKUP(A237,'Chi tiết NVL'!$I$10:$J$4158,2,0)</f>
        <v/>
      </c>
      <c r="C237" s="57">
        <f>+SUMIF('Chi tiết NVL'!$I:$I,$A237,'Chi tiết NVL'!L:L)</f>
        <v/>
      </c>
      <c r="D237" s="57">
        <f>+SUMIF('Chi tiết NVL'!$I:$I,$A237,'Chi tiết NVL'!M:M)</f>
        <v/>
      </c>
      <c r="E237" s="57">
        <f>+SUMIF('Chi tiết NVL'!$I:$I,$A237,'Chi tiết NVL'!N:N)</f>
        <v/>
      </c>
      <c r="F237" s="57">
        <f>+SUMIF('Chi tiết NVL'!$I:$I,$A237,'Chi tiết NVL'!O:O)</f>
        <v/>
      </c>
      <c r="G237" s="57">
        <f>+SUMIF('Chi tiết NVL'!$I:$I,$A237,'Chi tiết NVL'!P:P)</f>
        <v/>
      </c>
      <c r="H237" s="57">
        <f>+SUMIF('Chi tiết NVL'!$I:$I,$A237,'Chi tiết NVL'!Q:Q)</f>
        <v/>
      </c>
      <c r="I237" s="57">
        <f>+SUMIF('Chi tiết NVL'!$I:$I,$A237,'Chi tiết NVL'!R:R)</f>
        <v/>
      </c>
      <c r="J237" s="57">
        <f>+SUMIF('Chi tiết NVL'!$I:$I,$A237,'Chi tiết NVL'!S:S)</f>
        <v/>
      </c>
    </row>
    <row r="238">
      <c r="A238" s="56" t="inlineStr">
        <is>
          <t>Bulong neo I 4.6 ZP M20x445</t>
        </is>
      </c>
      <c r="B238" s="56">
        <f>+VLOOKUP(A238,'Chi tiết NVL'!$I$10:$J$4158,2,0)</f>
        <v/>
      </c>
      <c r="C238" s="57">
        <f>+SUMIF('Chi tiết NVL'!$I:$I,$A238,'Chi tiết NVL'!L:L)</f>
        <v/>
      </c>
      <c r="D238" s="57">
        <f>+SUMIF('Chi tiết NVL'!$I:$I,$A238,'Chi tiết NVL'!M:M)</f>
        <v/>
      </c>
      <c r="E238" s="57">
        <f>+SUMIF('Chi tiết NVL'!$I:$I,$A238,'Chi tiết NVL'!N:N)</f>
        <v/>
      </c>
      <c r="F238" s="57">
        <f>+SUMIF('Chi tiết NVL'!$I:$I,$A238,'Chi tiết NVL'!O:O)</f>
        <v/>
      </c>
      <c r="G238" s="57">
        <f>+SUMIF('Chi tiết NVL'!$I:$I,$A238,'Chi tiết NVL'!P:P)</f>
        <v/>
      </c>
      <c r="H238" s="57">
        <f>+SUMIF('Chi tiết NVL'!$I:$I,$A238,'Chi tiết NVL'!Q:Q)</f>
        <v/>
      </c>
      <c r="I238" s="57">
        <f>+SUMIF('Chi tiết NVL'!$I:$I,$A238,'Chi tiết NVL'!R:R)</f>
        <v/>
      </c>
      <c r="J238" s="57">
        <f>+SUMIF('Chi tiết NVL'!$I:$I,$A238,'Chi tiết NVL'!S:S)</f>
        <v/>
      </c>
    </row>
    <row r="239">
      <c r="A239" s="56" t="inlineStr">
        <is>
          <t>Bulong neo I 5.6 ZP M24x530</t>
        </is>
      </c>
      <c r="B239" s="56">
        <f>+VLOOKUP(A239,'Chi tiết NVL'!$I$10:$J$4158,2,0)</f>
        <v/>
      </c>
      <c r="C239" s="57">
        <f>+SUMIF('Chi tiết NVL'!$I:$I,$A239,'Chi tiết NVL'!L:L)</f>
        <v/>
      </c>
      <c r="D239" s="57">
        <f>+SUMIF('Chi tiết NVL'!$I:$I,$A239,'Chi tiết NVL'!M:M)</f>
        <v/>
      </c>
      <c r="E239" s="57">
        <f>+SUMIF('Chi tiết NVL'!$I:$I,$A239,'Chi tiết NVL'!N:N)</f>
        <v/>
      </c>
      <c r="F239" s="57">
        <f>+SUMIF('Chi tiết NVL'!$I:$I,$A239,'Chi tiết NVL'!O:O)</f>
        <v/>
      </c>
      <c r="G239" s="57">
        <f>+SUMIF('Chi tiết NVL'!$I:$I,$A239,'Chi tiết NVL'!P:P)</f>
        <v/>
      </c>
      <c r="H239" s="57">
        <f>+SUMIF('Chi tiết NVL'!$I:$I,$A239,'Chi tiết NVL'!Q:Q)</f>
        <v/>
      </c>
      <c r="I239" s="57">
        <f>+SUMIF('Chi tiết NVL'!$I:$I,$A239,'Chi tiết NVL'!R:R)</f>
        <v/>
      </c>
      <c r="J239" s="57">
        <f>+SUMIF('Chi tiết NVL'!$I:$I,$A239,'Chi tiết NVL'!S:S)</f>
        <v/>
      </c>
    </row>
    <row r="240">
      <c r="A240" s="56" t="inlineStr">
        <is>
          <t>Thép tấm 45x2000x12000</t>
        </is>
      </c>
      <c r="B240" s="56">
        <f>+VLOOKUP(A240,'Chi tiết NVL'!$I$10:$J$4158,2,0)</f>
        <v/>
      </c>
      <c r="C240" s="57">
        <f>+SUMIF('Chi tiết NVL'!$I:$I,$A240,'Chi tiết NVL'!L:L)</f>
        <v/>
      </c>
      <c r="D240" s="57">
        <f>+SUMIF('Chi tiết NVL'!$I:$I,$A240,'Chi tiết NVL'!M:M)</f>
        <v/>
      </c>
      <c r="E240" s="57">
        <f>+SUMIF('Chi tiết NVL'!$I:$I,$A240,'Chi tiết NVL'!N:N)</f>
        <v/>
      </c>
      <c r="F240" s="57">
        <f>+SUMIF('Chi tiết NVL'!$I:$I,$A240,'Chi tiết NVL'!O:O)</f>
        <v/>
      </c>
      <c r="G240" s="57">
        <f>+SUMIF('Chi tiết NVL'!$I:$I,$A240,'Chi tiết NVL'!P:P)</f>
        <v/>
      </c>
      <c r="H240" s="57">
        <f>+SUMIF('Chi tiết NVL'!$I:$I,$A240,'Chi tiết NVL'!Q:Q)</f>
        <v/>
      </c>
      <c r="I240" s="57">
        <f>+SUMIF('Chi tiết NVL'!$I:$I,$A240,'Chi tiết NVL'!R:R)</f>
        <v/>
      </c>
      <c r="J240" s="57">
        <f>+SUMIF('Chi tiết NVL'!$I:$I,$A240,'Chi tiết NVL'!S:S)</f>
        <v/>
      </c>
    </row>
    <row r="241">
      <c r="A241" s="56" t="inlineStr">
        <is>
          <t>Thép tấm 45x2000x12000mm</t>
        </is>
      </c>
      <c r="B241" s="56">
        <f>+VLOOKUP(A241,'Chi tiết NVL'!$I$10:$J$4158,2,0)</f>
        <v/>
      </c>
      <c r="C241" s="57">
        <f>+SUMIF('Chi tiết NVL'!$I:$I,$A241,'Chi tiết NVL'!L:L)</f>
        <v/>
      </c>
      <c r="D241" s="57">
        <f>+SUMIF('Chi tiết NVL'!$I:$I,$A241,'Chi tiết NVL'!M:M)</f>
        <v/>
      </c>
      <c r="E241" s="57">
        <f>+SUMIF('Chi tiết NVL'!$I:$I,$A241,'Chi tiết NVL'!N:N)</f>
        <v/>
      </c>
      <c r="F241" s="57">
        <f>+SUMIF('Chi tiết NVL'!$I:$I,$A241,'Chi tiết NVL'!O:O)</f>
        <v/>
      </c>
      <c r="G241" s="57">
        <f>+SUMIF('Chi tiết NVL'!$I:$I,$A241,'Chi tiết NVL'!P:P)</f>
        <v/>
      </c>
      <c r="H241" s="57">
        <f>+SUMIF('Chi tiết NVL'!$I:$I,$A241,'Chi tiết NVL'!Q:Q)</f>
        <v/>
      </c>
      <c r="I241" s="57">
        <f>+SUMIF('Chi tiết NVL'!$I:$I,$A241,'Chi tiết NVL'!R:R)</f>
        <v/>
      </c>
      <c r="J241" s="57">
        <f>+SUMIF('Chi tiết NVL'!$I:$I,$A241,'Chi tiết NVL'!S:S)</f>
        <v/>
      </c>
    </row>
    <row r="242">
      <c r="A242" s="56" t="inlineStr">
        <is>
          <t>Thép tấm 50x2000x12000mm</t>
        </is>
      </c>
      <c r="B242" s="56">
        <f>+VLOOKUP(A242,'Chi tiết NVL'!$I$10:$J$4158,2,0)</f>
        <v/>
      </c>
      <c r="C242" s="57">
        <f>+SUMIF('Chi tiết NVL'!$I:$I,$A242,'Chi tiết NVL'!L:L)</f>
        <v/>
      </c>
      <c r="D242" s="57">
        <f>+SUMIF('Chi tiết NVL'!$I:$I,$A242,'Chi tiết NVL'!M:M)</f>
        <v/>
      </c>
      <c r="E242" s="57">
        <f>+SUMIF('Chi tiết NVL'!$I:$I,$A242,'Chi tiết NVL'!N:N)</f>
        <v/>
      </c>
      <c r="F242" s="57">
        <f>+SUMIF('Chi tiết NVL'!$I:$I,$A242,'Chi tiết NVL'!O:O)</f>
        <v/>
      </c>
      <c r="G242" s="57">
        <f>+SUMIF('Chi tiết NVL'!$I:$I,$A242,'Chi tiết NVL'!P:P)</f>
        <v/>
      </c>
      <c r="H242" s="57">
        <f>+SUMIF('Chi tiết NVL'!$I:$I,$A242,'Chi tiết NVL'!Q:Q)</f>
        <v/>
      </c>
      <c r="I242" s="57">
        <f>+SUMIF('Chi tiết NVL'!$I:$I,$A242,'Chi tiết NVL'!R:R)</f>
        <v/>
      </c>
      <c r="J242" s="57">
        <f>+SUMIF('Chi tiết NVL'!$I:$I,$A242,'Chi tiết NVL'!S:S)</f>
        <v/>
      </c>
    </row>
    <row r="243">
      <c r="A243" s="56" t="inlineStr">
        <is>
          <t>Thép tấm 14x2000x12000mm</t>
        </is>
      </c>
      <c r="B243" s="56">
        <f>+VLOOKUP(A243,'Chi tiết NVL'!$I$10:$J$4158,2,0)</f>
        <v/>
      </c>
      <c r="C243" s="57">
        <f>+SUMIF('Chi tiết NVL'!$I:$I,$A243,'Chi tiết NVL'!L:L)</f>
        <v/>
      </c>
      <c r="D243" s="57">
        <f>+SUMIF('Chi tiết NVL'!$I:$I,$A243,'Chi tiết NVL'!M:M)</f>
        <v/>
      </c>
      <c r="E243" s="57">
        <f>+SUMIF('Chi tiết NVL'!$I:$I,$A243,'Chi tiết NVL'!N:N)</f>
        <v/>
      </c>
      <c r="F243" s="57">
        <f>+SUMIF('Chi tiết NVL'!$I:$I,$A243,'Chi tiết NVL'!O:O)</f>
        <v/>
      </c>
      <c r="G243" s="57">
        <f>+SUMIF('Chi tiết NVL'!$I:$I,$A243,'Chi tiết NVL'!P:P)</f>
        <v/>
      </c>
      <c r="H243" s="57">
        <f>+SUMIF('Chi tiết NVL'!$I:$I,$A243,'Chi tiết NVL'!Q:Q)</f>
        <v/>
      </c>
      <c r="I243" s="57">
        <f>+SUMIF('Chi tiết NVL'!$I:$I,$A243,'Chi tiết NVL'!R:R)</f>
        <v/>
      </c>
      <c r="J243" s="57">
        <f>+SUMIF('Chi tiết NVL'!$I:$I,$A243,'Chi tiết NVL'!S:S)</f>
        <v/>
      </c>
    </row>
    <row r="244">
      <c r="A244" s="56" t="inlineStr">
        <is>
          <t>Thép tấm 16x2000x12000mm</t>
        </is>
      </c>
      <c r="B244" s="56">
        <f>+VLOOKUP(A244,'Chi tiết NVL'!$I$10:$J$4158,2,0)</f>
        <v/>
      </c>
      <c r="C244" s="57">
        <f>+SUMIF('Chi tiết NVL'!$I:$I,$A244,'Chi tiết NVL'!L:L)</f>
        <v/>
      </c>
      <c r="D244" s="57">
        <f>+SUMIF('Chi tiết NVL'!$I:$I,$A244,'Chi tiết NVL'!M:M)</f>
        <v/>
      </c>
      <c r="E244" s="57">
        <f>+SUMIF('Chi tiết NVL'!$I:$I,$A244,'Chi tiết NVL'!N:N)</f>
        <v/>
      </c>
      <c r="F244" s="57">
        <f>+SUMIF('Chi tiết NVL'!$I:$I,$A244,'Chi tiết NVL'!O:O)</f>
        <v/>
      </c>
      <c r="G244" s="57">
        <f>+SUMIF('Chi tiết NVL'!$I:$I,$A244,'Chi tiết NVL'!P:P)</f>
        <v/>
      </c>
      <c r="H244" s="57">
        <f>+SUMIF('Chi tiết NVL'!$I:$I,$A244,'Chi tiết NVL'!Q:Q)</f>
        <v/>
      </c>
      <c r="I244" s="57">
        <f>+SUMIF('Chi tiết NVL'!$I:$I,$A244,'Chi tiết NVL'!R:R)</f>
        <v/>
      </c>
      <c r="J244" s="57">
        <f>+SUMIF('Chi tiết NVL'!$I:$I,$A244,'Chi tiết NVL'!S:S)</f>
        <v/>
      </c>
    </row>
    <row r="245">
      <c r="A245" s="56" t="inlineStr">
        <is>
          <t>Thép tấm (70x335x9348mm)</t>
        </is>
      </c>
      <c r="B245" s="56">
        <f>+VLOOKUP(A245,'Chi tiết NVL'!$I$10:$J$4158,2,0)</f>
        <v/>
      </c>
      <c r="C245" s="57">
        <f>+SUMIF('Chi tiết NVL'!$I:$I,$A245,'Chi tiết NVL'!L:L)</f>
        <v/>
      </c>
      <c r="D245" s="57">
        <f>+SUMIF('Chi tiết NVL'!$I:$I,$A245,'Chi tiết NVL'!M:M)</f>
        <v/>
      </c>
      <c r="E245" s="57">
        <f>+SUMIF('Chi tiết NVL'!$I:$I,$A245,'Chi tiết NVL'!N:N)</f>
        <v/>
      </c>
      <c r="F245" s="57">
        <f>+SUMIF('Chi tiết NVL'!$I:$I,$A245,'Chi tiết NVL'!O:O)</f>
        <v/>
      </c>
      <c r="G245" s="57">
        <f>+SUMIF('Chi tiết NVL'!$I:$I,$A245,'Chi tiết NVL'!P:P)</f>
        <v/>
      </c>
      <c r="H245" s="57">
        <f>+SUMIF('Chi tiết NVL'!$I:$I,$A245,'Chi tiết NVL'!Q:Q)</f>
        <v/>
      </c>
      <c r="I245" s="57">
        <f>+SUMIF('Chi tiết NVL'!$I:$I,$A245,'Chi tiết NVL'!R:R)</f>
        <v/>
      </c>
      <c r="J245" s="57">
        <f>+SUMIF('Chi tiết NVL'!$I:$I,$A245,'Chi tiết NVL'!S:S)</f>
        <v/>
      </c>
    </row>
    <row r="246">
      <c r="A246" s="56" t="inlineStr">
        <is>
          <t>Thép tấm (70x330x9262mm)</t>
        </is>
      </c>
      <c r="B246" s="56">
        <f>+VLOOKUP(A246,'Chi tiết NVL'!$I$10:$J$4158,2,0)</f>
        <v/>
      </c>
      <c r="C246" s="57">
        <f>+SUMIF('Chi tiết NVL'!$I:$I,$A246,'Chi tiết NVL'!L:L)</f>
        <v/>
      </c>
      <c r="D246" s="57">
        <f>+SUMIF('Chi tiết NVL'!$I:$I,$A246,'Chi tiết NVL'!M:M)</f>
        <v/>
      </c>
      <c r="E246" s="57">
        <f>+SUMIF('Chi tiết NVL'!$I:$I,$A246,'Chi tiết NVL'!N:N)</f>
        <v/>
      </c>
      <c r="F246" s="57">
        <f>+SUMIF('Chi tiết NVL'!$I:$I,$A246,'Chi tiết NVL'!O:O)</f>
        <v/>
      </c>
      <c r="G246" s="57">
        <f>+SUMIF('Chi tiết NVL'!$I:$I,$A246,'Chi tiết NVL'!P:P)</f>
        <v/>
      </c>
      <c r="H246" s="57">
        <f>+SUMIF('Chi tiết NVL'!$I:$I,$A246,'Chi tiết NVL'!Q:Q)</f>
        <v/>
      </c>
      <c r="I246" s="57">
        <f>+SUMIF('Chi tiết NVL'!$I:$I,$A246,'Chi tiết NVL'!R:R)</f>
        <v/>
      </c>
      <c r="J246" s="57">
        <f>+SUMIF('Chi tiết NVL'!$I:$I,$A246,'Chi tiết NVL'!S:S)</f>
        <v/>
      </c>
    </row>
    <row r="247">
      <c r="A247" s="56" t="inlineStr">
        <is>
          <t>Thép tấm (70x335x9254mm)</t>
        </is>
      </c>
      <c r="B247" s="56">
        <f>+VLOOKUP(A247,'Chi tiết NVL'!$I$10:$J$4158,2,0)</f>
        <v/>
      </c>
      <c r="C247" s="57">
        <f>+SUMIF('Chi tiết NVL'!$I:$I,$A247,'Chi tiết NVL'!L:L)</f>
        <v/>
      </c>
      <c r="D247" s="57">
        <f>+SUMIF('Chi tiết NVL'!$I:$I,$A247,'Chi tiết NVL'!M:M)</f>
        <v/>
      </c>
      <c r="E247" s="57">
        <f>+SUMIF('Chi tiết NVL'!$I:$I,$A247,'Chi tiết NVL'!N:N)</f>
        <v/>
      </c>
      <c r="F247" s="57">
        <f>+SUMIF('Chi tiết NVL'!$I:$I,$A247,'Chi tiết NVL'!O:O)</f>
        <v/>
      </c>
      <c r="G247" s="57">
        <f>+SUMIF('Chi tiết NVL'!$I:$I,$A247,'Chi tiết NVL'!P:P)</f>
        <v/>
      </c>
      <c r="H247" s="57">
        <f>+SUMIF('Chi tiết NVL'!$I:$I,$A247,'Chi tiết NVL'!Q:Q)</f>
        <v/>
      </c>
      <c r="I247" s="57">
        <f>+SUMIF('Chi tiết NVL'!$I:$I,$A247,'Chi tiết NVL'!R:R)</f>
        <v/>
      </c>
      <c r="J247" s="57">
        <f>+SUMIF('Chi tiết NVL'!$I:$I,$A247,'Chi tiết NVL'!S:S)</f>
        <v/>
      </c>
    </row>
    <row r="248">
      <c r="A248" s="56" t="inlineStr">
        <is>
          <t>Thép tấm (90x450x9598mm)</t>
        </is>
      </c>
      <c r="B248" s="56">
        <f>+VLOOKUP(A248,'Chi tiết NVL'!$I$10:$J$4158,2,0)</f>
        <v/>
      </c>
      <c r="C248" s="57">
        <f>+SUMIF('Chi tiết NVL'!$I:$I,$A248,'Chi tiết NVL'!L:L)</f>
        <v/>
      </c>
      <c r="D248" s="57">
        <f>+SUMIF('Chi tiết NVL'!$I:$I,$A248,'Chi tiết NVL'!M:M)</f>
        <v/>
      </c>
      <c r="E248" s="57">
        <f>+SUMIF('Chi tiết NVL'!$I:$I,$A248,'Chi tiết NVL'!N:N)</f>
        <v/>
      </c>
      <c r="F248" s="57">
        <f>+SUMIF('Chi tiết NVL'!$I:$I,$A248,'Chi tiết NVL'!O:O)</f>
        <v/>
      </c>
      <c r="G248" s="57">
        <f>+SUMIF('Chi tiết NVL'!$I:$I,$A248,'Chi tiết NVL'!P:P)</f>
        <v/>
      </c>
      <c r="H248" s="57">
        <f>+SUMIF('Chi tiết NVL'!$I:$I,$A248,'Chi tiết NVL'!Q:Q)</f>
        <v/>
      </c>
      <c r="I248" s="57">
        <f>+SUMIF('Chi tiết NVL'!$I:$I,$A248,'Chi tiết NVL'!R:R)</f>
        <v/>
      </c>
      <c r="J248" s="57">
        <f>+SUMIF('Chi tiết NVL'!$I:$I,$A248,'Chi tiết NVL'!S:S)</f>
        <v/>
      </c>
    </row>
    <row r="249">
      <c r="A249" s="56" t="inlineStr">
        <is>
          <t>Vận chuyển</t>
        </is>
      </c>
      <c r="B249" s="56">
        <f>+VLOOKUP(A249,'Chi tiết NVL'!$I$10:$J$4158,2,0)</f>
        <v/>
      </c>
      <c r="C249" s="57">
        <f>+SUMIF('Chi tiết NVL'!$I:$I,$A249,'Chi tiết NVL'!L:L)</f>
        <v/>
      </c>
      <c r="D249" s="57">
        <f>+SUMIF('Chi tiết NVL'!$I:$I,$A249,'Chi tiết NVL'!M:M)</f>
        <v/>
      </c>
      <c r="E249" s="57">
        <f>+SUMIF('Chi tiết NVL'!$I:$I,$A249,'Chi tiết NVL'!N:N)</f>
        <v/>
      </c>
      <c r="F249" s="57">
        <f>+SUMIF('Chi tiết NVL'!$I:$I,$A249,'Chi tiết NVL'!O:O)</f>
        <v/>
      </c>
      <c r="G249" s="57">
        <f>+SUMIF('Chi tiết NVL'!$I:$I,$A249,'Chi tiết NVL'!P:P)</f>
        <v/>
      </c>
      <c r="H249" s="57">
        <f>+SUMIF('Chi tiết NVL'!$I:$I,$A249,'Chi tiết NVL'!Q:Q)</f>
        <v/>
      </c>
      <c r="I249" s="57">
        <f>+SUMIF('Chi tiết NVL'!$I:$I,$A249,'Chi tiết NVL'!R:R)</f>
        <v/>
      </c>
      <c r="J249" s="57">
        <f>+SUMIF('Chi tiết NVL'!$I:$I,$A249,'Chi tiết NVL'!S:S)</f>
        <v/>
      </c>
    </row>
    <row r="250">
      <c r="A250" s="56" t="inlineStr">
        <is>
          <t>Thép tấm 18ly</t>
        </is>
      </c>
      <c r="B250" s="56">
        <f>+VLOOKUP(A250,'Chi tiết NVL'!$I$10:$J$4158,2,0)</f>
        <v/>
      </c>
      <c r="C250" s="57">
        <f>+SUMIF('Chi tiết NVL'!$I:$I,$A250,'Chi tiết NVL'!L:L)</f>
        <v/>
      </c>
      <c r="D250" s="57">
        <f>+SUMIF('Chi tiết NVL'!$I:$I,$A250,'Chi tiết NVL'!M:M)</f>
        <v/>
      </c>
      <c r="E250" s="57">
        <f>+SUMIF('Chi tiết NVL'!$I:$I,$A250,'Chi tiết NVL'!N:N)</f>
        <v/>
      </c>
      <c r="F250" s="57">
        <f>+SUMIF('Chi tiết NVL'!$I:$I,$A250,'Chi tiết NVL'!O:O)</f>
        <v/>
      </c>
      <c r="G250" s="57">
        <f>+SUMIF('Chi tiết NVL'!$I:$I,$A250,'Chi tiết NVL'!P:P)</f>
        <v/>
      </c>
      <c r="H250" s="57">
        <f>+SUMIF('Chi tiết NVL'!$I:$I,$A250,'Chi tiết NVL'!Q:Q)</f>
        <v/>
      </c>
      <c r="I250" s="57">
        <f>+SUMIF('Chi tiết NVL'!$I:$I,$A250,'Chi tiết NVL'!R:R)</f>
        <v/>
      </c>
      <c r="J250" s="57">
        <f>+SUMIF('Chi tiết NVL'!$I:$I,$A250,'Chi tiết NVL'!S:S)</f>
        <v/>
      </c>
    </row>
    <row r="251">
      <c r="A251" s="56" t="inlineStr">
        <is>
          <t>Thép hình H200</t>
        </is>
      </c>
      <c r="B251" s="56">
        <f>+VLOOKUP(A251,'Chi tiết NVL'!$I$10:$J$4158,2,0)</f>
        <v/>
      </c>
      <c r="C251" s="57">
        <f>+SUMIF('Chi tiết NVL'!$I:$I,$A251,'Chi tiết NVL'!L:L)</f>
        <v/>
      </c>
      <c r="D251" s="57">
        <f>+SUMIF('Chi tiết NVL'!$I:$I,$A251,'Chi tiết NVL'!M:M)</f>
        <v/>
      </c>
      <c r="E251" s="57">
        <f>+SUMIF('Chi tiết NVL'!$I:$I,$A251,'Chi tiết NVL'!N:N)</f>
        <v/>
      </c>
      <c r="F251" s="57">
        <f>+SUMIF('Chi tiết NVL'!$I:$I,$A251,'Chi tiết NVL'!O:O)</f>
        <v/>
      </c>
      <c r="G251" s="57">
        <f>+SUMIF('Chi tiết NVL'!$I:$I,$A251,'Chi tiết NVL'!P:P)</f>
        <v/>
      </c>
      <c r="H251" s="57">
        <f>+SUMIF('Chi tiết NVL'!$I:$I,$A251,'Chi tiết NVL'!Q:Q)</f>
        <v/>
      </c>
      <c r="I251" s="57">
        <f>+SUMIF('Chi tiết NVL'!$I:$I,$A251,'Chi tiết NVL'!R:R)</f>
        <v/>
      </c>
      <c r="J251" s="57">
        <f>+SUMIF('Chi tiết NVL'!$I:$I,$A251,'Chi tiết NVL'!S:S)</f>
        <v/>
      </c>
    </row>
    <row r="252">
      <c r="A252" s="56" t="inlineStr">
        <is>
          <t>Thép tấm (70x335x9598mm)</t>
        </is>
      </c>
      <c r="B252" s="56">
        <f>+VLOOKUP(A252,'Chi tiết NVL'!$I$10:$J$4158,2,0)</f>
        <v/>
      </c>
      <c r="C252" s="57">
        <f>+SUMIF('Chi tiết NVL'!$I:$I,$A252,'Chi tiết NVL'!L:L)</f>
        <v/>
      </c>
      <c r="D252" s="57">
        <f>+SUMIF('Chi tiết NVL'!$I:$I,$A252,'Chi tiết NVL'!M:M)</f>
        <v/>
      </c>
      <c r="E252" s="57">
        <f>+SUMIF('Chi tiết NVL'!$I:$I,$A252,'Chi tiết NVL'!N:N)</f>
        <v/>
      </c>
      <c r="F252" s="57">
        <f>+SUMIF('Chi tiết NVL'!$I:$I,$A252,'Chi tiết NVL'!O:O)</f>
        <v/>
      </c>
      <c r="G252" s="57">
        <f>+SUMIF('Chi tiết NVL'!$I:$I,$A252,'Chi tiết NVL'!P:P)</f>
        <v/>
      </c>
      <c r="H252" s="57">
        <f>+SUMIF('Chi tiết NVL'!$I:$I,$A252,'Chi tiết NVL'!Q:Q)</f>
        <v/>
      </c>
      <c r="I252" s="57">
        <f>+SUMIF('Chi tiết NVL'!$I:$I,$A252,'Chi tiết NVL'!R:R)</f>
        <v/>
      </c>
      <c r="J252" s="57">
        <f>+SUMIF('Chi tiết NVL'!$I:$I,$A252,'Chi tiết NVL'!S:S)</f>
        <v/>
      </c>
    </row>
    <row r="253">
      <c r="A253" s="56" t="inlineStr">
        <is>
          <t>Thép tấm (70x515x530mm)</t>
        </is>
      </c>
      <c r="B253" s="56">
        <f>+VLOOKUP(A253,'Chi tiết NVL'!$I$10:$J$4158,2,0)</f>
        <v/>
      </c>
      <c r="C253" s="57">
        <f>+SUMIF('Chi tiết NVL'!$I:$I,$A253,'Chi tiết NVL'!L:L)</f>
        <v/>
      </c>
      <c r="D253" s="57">
        <f>+SUMIF('Chi tiết NVL'!$I:$I,$A253,'Chi tiết NVL'!M:M)</f>
        <v/>
      </c>
      <c r="E253" s="57">
        <f>+SUMIF('Chi tiết NVL'!$I:$I,$A253,'Chi tiết NVL'!N:N)</f>
        <v/>
      </c>
      <c r="F253" s="57">
        <f>+SUMIF('Chi tiết NVL'!$I:$I,$A253,'Chi tiết NVL'!O:O)</f>
        <v/>
      </c>
      <c r="G253" s="57">
        <f>+SUMIF('Chi tiết NVL'!$I:$I,$A253,'Chi tiết NVL'!P:P)</f>
        <v/>
      </c>
      <c r="H253" s="57">
        <f>+SUMIF('Chi tiết NVL'!$I:$I,$A253,'Chi tiết NVL'!Q:Q)</f>
        <v/>
      </c>
      <c r="I253" s="57">
        <f>+SUMIF('Chi tiết NVL'!$I:$I,$A253,'Chi tiết NVL'!R:R)</f>
        <v/>
      </c>
      <c r="J253" s="57">
        <f>+SUMIF('Chi tiết NVL'!$I:$I,$A253,'Chi tiết NVL'!S:S)</f>
        <v/>
      </c>
    </row>
    <row r="254">
      <c r="A254" s="56" t="inlineStr">
        <is>
          <t>Thép tấm (70x335x907mm)</t>
        </is>
      </c>
      <c r="B254" s="56">
        <f>+VLOOKUP(A254,'Chi tiết NVL'!$I$10:$J$4158,2,0)</f>
        <v/>
      </c>
      <c r="C254" s="57">
        <f>+SUMIF('Chi tiết NVL'!$I:$I,$A254,'Chi tiết NVL'!L:L)</f>
        <v/>
      </c>
      <c r="D254" s="57">
        <f>+SUMIF('Chi tiết NVL'!$I:$I,$A254,'Chi tiết NVL'!M:M)</f>
        <v/>
      </c>
      <c r="E254" s="57">
        <f>+SUMIF('Chi tiết NVL'!$I:$I,$A254,'Chi tiết NVL'!N:N)</f>
        <v/>
      </c>
      <c r="F254" s="57">
        <f>+SUMIF('Chi tiết NVL'!$I:$I,$A254,'Chi tiết NVL'!O:O)</f>
        <v/>
      </c>
      <c r="G254" s="57">
        <f>+SUMIF('Chi tiết NVL'!$I:$I,$A254,'Chi tiết NVL'!P:P)</f>
        <v/>
      </c>
      <c r="H254" s="57">
        <f>+SUMIF('Chi tiết NVL'!$I:$I,$A254,'Chi tiết NVL'!Q:Q)</f>
        <v/>
      </c>
      <c r="I254" s="57">
        <f>+SUMIF('Chi tiết NVL'!$I:$I,$A254,'Chi tiết NVL'!R:R)</f>
        <v/>
      </c>
      <c r="J254" s="57">
        <f>+SUMIF('Chi tiết NVL'!$I:$I,$A254,'Chi tiết NVL'!S:S)</f>
        <v/>
      </c>
    </row>
    <row r="255">
      <c r="A255" s="56" t="inlineStr">
        <is>
          <t>Thép tấm (90x450x9348mm)</t>
        </is>
      </c>
      <c r="B255" s="56">
        <f>+VLOOKUP(A255,'Chi tiết NVL'!$I$10:$J$4158,2,0)</f>
        <v/>
      </c>
      <c r="C255" s="57">
        <f>+SUMIF('Chi tiết NVL'!$I:$I,$A255,'Chi tiết NVL'!L:L)</f>
        <v/>
      </c>
      <c r="D255" s="57">
        <f>+SUMIF('Chi tiết NVL'!$I:$I,$A255,'Chi tiết NVL'!M:M)</f>
        <v/>
      </c>
      <c r="E255" s="57">
        <f>+SUMIF('Chi tiết NVL'!$I:$I,$A255,'Chi tiết NVL'!N:N)</f>
        <v/>
      </c>
      <c r="F255" s="57">
        <f>+SUMIF('Chi tiết NVL'!$I:$I,$A255,'Chi tiết NVL'!O:O)</f>
        <v/>
      </c>
      <c r="G255" s="57">
        <f>+SUMIF('Chi tiết NVL'!$I:$I,$A255,'Chi tiết NVL'!P:P)</f>
        <v/>
      </c>
      <c r="H255" s="57">
        <f>+SUMIF('Chi tiết NVL'!$I:$I,$A255,'Chi tiết NVL'!Q:Q)</f>
        <v/>
      </c>
      <c r="I255" s="57">
        <f>+SUMIF('Chi tiết NVL'!$I:$I,$A255,'Chi tiết NVL'!R:R)</f>
        <v/>
      </c>
      <c r="J255" s="57">
        <f>+SUMIF('Chi tiết NVL'!$I:$I,$A255,'Chi tiết NVL'!S:S)</f>
        <v/>
      </c>
    </row>
    <row r="256">
      <c r="A256" s="56" t="inlineStr">
        <is>
          <t>Thép tấm (90x450x9599mm)</t>
        </is>
      </c>
      <c r="B256" s="56">
        <f>+VLOOKUP(A256,'Chi tiết NVL'!$I$10:$J$4158,2,0)</f>
        <v/>
      </c>
      <c r="C256" s="57">
        <f>+SUMIF('Chi tiết NVL'!$I:$I,$A256,'Chi tiết NVL'!L:L)</f>
        <v/>
      </c>
      <c r="D256" s="57">
        <f>+SUMIF('Chi tiết NVL'!$I:$I,$A256,'Chi tiết NVL'!M:M)</f>
        <v/>
      </c>
      <c r="E256" s="57">
        <f>+SUMIF('Chi tiết NVL'!$I:$I,$A256,'Chi tiết NVL'!N:N)</f>
        <v/>
      </c>
      <c r="F256" s="57">
        <f>+SUMIF('Chi tiết NVL'!$I:$I,$A256,'Chi tiết NVL'!O:O)</f>
        <v/>
      </c>
      <c r="G256" s="57">
        <f>+SUMIF('Chi tiết NVL'!$I:$I,$A256,'Chi tiết NVL'!P:P)</f>
        <v/>
      </c>
      <c r="H256" s="57">
        <f>+SUMIF('Chi tiết NVL'!$I:$I,$A256,'Chi tiết NVL'!Q:Q)</f>
        <v/>
      </c>
      <c r="I256" s="57">
        <f>+SUMIF('Chi tiết NVL'!$I:$I,$A256,'Chi tiết NVL'!R:R)</f>
        <v/>
      </c>
      <c r="J256" s="57">
        <f>+SUMIF('Chi tiết NVL'!$I:$I,$A256,'Chi tiết NVL'!S:S)</f>
        <v/>
      </c>
    </row>
    <row r="257">
      <c r="A257" s="56" t="inlineStr">
        <is>
          <t>Thép tấm (90x450x9603mm)</t>
        </is>
      </c>
      <c r="B257" s="56">
        <f>+VLOOKUP(A257,'Chi tiết NVL'!$I$10:$J$4158,2,0)</f>
        <v/>
      </c>
      <c r="C257" s="57">
        <f>+SUMIF('Chi tiết NVL'!$I:$I,$A257,'Chi tiết NVL'!L:L)</f>
        <v/>
      </c>
      <c r="D257" s="57">
        <f>+SUMIF('Chi tiết NVL'!$I:$I,$A257,'Chi tiết NVL'!M:M)</f>
        <v/>
      </c>
      <c r="E257" s="57">
        <f>+SUMIF('Chi tiết NVL'!$I:$I,$A257,'Chi tiết NVL'!N:N)</f>
        <v/>
      </c>
      <c r="F257" s="57">
        <f>+SUMIF('Chi tiết NVL'!$I:$I,$A257,'Chi tiết NVL'!O:O)</f>
        <v/>
      </c>
      <c r="G257" s="57">
        <f>+SUMIF('Chi tiết NVL'!$I:$I,$A257,'Chi tiết NVL'!P:P)</f>
        <v/>
      </c>
      <c r="H257" s="57">
        <f>+SUMIF('Chi tiết NVL'!$I:$I,$A257,'Chi tiết NVL'!Q:Q)</f>
        <v/>
      </c>
      <c r="I257" s="57">
        <f>+SUMIF('Chi tiết NVL'!$I:$I,$A257,'Chi tiết NVL'!R:R)</f>
        <v/>
      </c>
      <c r="J257" s="57">
        <f>+SUMIF('Chi tiết NVL'!$I:$I,$A257,'Chi tiết NVL'!S:S)</f>
        <v/>
      </c>
    </row>
    <row r="258">
      <c r="A258" s="56" t="inlineStr">
        <is>
          <t>Thép tấm 22ly</t>
        </is>
      </c>
      <c r="B258" s="56">
        <f>+VLOOKUP(A258,'Chi tiết NVL'!$I$10:$J$4158,2,0)</f>
        <v/>
      </c>
      <c r="C258" s="57">
        <f>+SUMIF('Chi tiết NVL'!$I:$I,$A258,'Chi tiết NVL'!L:L)</f>
        <v/>
      </c>
      <c r="D258" s="57">
        <f>+SUMIF('Chi tiết NVL'!$I:$I,$A258,'Chi tiết NVL'!M:M)</f>
        <v/>
      </c>
      <c r="E258" s="57">
        <f>+SUMIF('Chi tiết NVL'!$I:$I,$A258,'Chi tiết NVL'!N:N)</f>
        <v/>
      </c>
      <c r="F258" s="57">
        <f>+SUMIF('Chi tiết NVL'!$I:$I,$A258,'Chi tiết NVL'!O:O)</f>
        <v/>
      </c>
      <c r="G258" s="57">
        <f>+SUMIF('Chi tiết NVL'!$I:$I,$A258,'Chi tiết NVL'!P:P)</f>
        <v/>
      </c>
      <c r="H258" s="57">
        <f>+SUMIF('Chi tiết NVL'!$I:$I,$A258,'Chi tiết NVL'!Q:Q)</f>
        <v/>
      </c>
      <c r="I258" s="57">
        <f>+SUMIF('Chi tiết NVL'!$I:$I,$A258,'Chi tiết NVL'!R:R)</f>
        <v/>
      </c>
      <c r="J258" s="57">
        <f>+SUMIF('Chi tiết NVL'!$I:$I,$A258,'Chi tiết NVL'!S:S)</f>
        <v/>
      </c>
    </row>
    <row r="259">
      <c r="A259" s="56" t="inlineStr">
        <is>
          <t>Thép tấm 28ly</t>
        </is>
      </c>
      <c r="B259" s="56">
        <f>+VLOOKUP(A259,'Chi tiết NVL'!$I$10:$J$4158,2,0)</f>
        <v/>
      </c>
      <c r="C259" s="57">
        <f>+SUMIF('Chi tiết NVL'!$I:$I,$A259,'Chi tiết NVL'!L:L)</f>
        <v/>
      </c>
      <c r="D259" s="57">
        <f>+SUMIF('Chi tiết NVL'!$I:$I,$A259,'Chi tiết NVL'!M:M)</f>
        <v/>
      </c>
      <c r="E259" s="57">
        <f>+SUMIF('Chi tiết NVL'!$I:$I,$A259,'Chi tiết NVL'!N:N)</f>
        <v/>
      </c>
      <c r="F259" s="57">
        <f>+SUMIF('Chi tiết NVL'!$I:$I,$A259,'Chi tiết NVL'!O:O)</f>
        <v/>
      </c>
      <c r="G259" s="57">
        <f>+SUMIF('Chi tiết NVL'!$I:$I,$A259,'Chi tiết NVL'!P:P)</f>
        <v/>
      </c>
      <c r="H259" s="57">
        <f>+SUMIF('Chi tiết NVL'!$I:$I,$A259,'Chi tiết NVL'!Q:Q)</f>
        <v/>
      </c>
      <c r="I259" s="57">
        <f>+SUMIF('Chi tiết NVL'!$I:$I,$A259,'Chi tiết NVL'!R:R)</f>
        <v/>
      </c>
      <c r="J259" s="57">
        <f>+SUMIF('Chi tiết NVL'!$I:$I,$A259,'Chi tiết NVL'!S:S)</f>
        <v/>
      </c>
    </row>
    <row r="260">
      <c r="A260" s="56" t="inlineStr">
        <is>
          <t>Thép tấm 35ly</t>
        </is>
      </c>
      <c r="B260" s="56">
        <f>+VLOOKUP(A260,'Chi tiết NVL'!$I$10:$J$4158,2,0)</f>
        <v/>
      </c>
      <c r="C260" s="57">
        <f>+SUMIF('Chi tiết NVL'!$I:$I,$A260,'Chi tiết NVL'!L:L)</f>
        <v/>
      </c>
      <c r="D260" s="57">
        <f>+SUMIF('Chi tiết NVL'!$I:$I,$A260,'Chi tiết NVL'!M:M)</f>
        <v/>
      </c>
      <c r="E260" s="57">
        <f>+SUMIF('Chi tiết NVL'!$I:$I,$A260,'Chi tiết NVL'!N:N)</f>
        <v/>
      </c>
      <c r="F260" s="57">
        <f>+SUMIF('Chi tiết NVL'!$I:$I,$A260,'Chi tiết NVL'!O:O)</f>
        <v/>
      </c>
      <c r="G260" s="57">
        <f>+SUMIF('Chi tiết NVL'!$I:$I,$A260,'Chi tiết NVL'!P:P)</f>
        <v/>
      </c>
      <c r="H260" s="57">
        <f>+SUMIF('Chi tiết NVL'!$I:$I,$A260,'Chi tiết NVL'!Q:Q)</f>
        <v/>
      </c>
      <c r="I260" s="57">
        <f>+SUMIF('Chi tiết NVL'!$I:$I,$A260,'Chi tiết NVL'!R:R)</f>
        <v/>
      </c>
      <c r="J260" s="57">
        <f>+SUMIF('Chi tiết NVL'!$I:$I,$A260,'Chi tiết NVL'!S:S)</f>
        <v/>
      </c>
    </row>
    <row r="261">
      <c r="A261" s="56" t="inlineStr">
        <is>
          <t>Thép tấm 40ly</t>
        </is>
      </c>
      <c r="B261" s="56">
        <f>+VLOOKUP(A261,'Chi tiết NVL'!$I$10:$J$4158,2,0)</f>
        <v/>
      </c>
      <c r="C261" s="57">
        <f>+SUMIF('Chi tiết NVL'!$I:$I,$A261,'Chi tiết NVL'!L:L)</f>
        <v/>
      </c>
      <c r="D261" s="57">
        <f>+SUMIF('Chi tiết NVL'!$I:$I,$A261,'Chi tiết NVL'!M:M)</f>
        <v/>
      </c>
      <c r="E261" s="57">
        <f>+SUMIF('Chi tiết NVL'!$I:$I,$A261,'Chi tiết NVL'!N:N)</f>
        <v/>
      </c>
      <c r="F261" s="57">
        <f>+SUMIF('Chi tiết NVL'!$I:$I,$A261,'Chi tiết NVL'!O:O)</f>
        <v/>
      </c>
      <c r="G261" s="57">
        <f>+SUMIF('Chi tiết NVL'!$I:$I,$A261,'Chi tiết NVL'!P:P)</f>
        <v/>
      </c>
      <c r="H261" s="57">
        <f>+SUMIF('Chi tiết NVL'!$I:$I,$A261,'Chi tiết NVL'!Q:Q)</f>
        <v/>
      </c>
      <c r="I261" s="57">
        <f>+SUMIF('Chi tiết NVL'!$I:$I,$A261,'Chi tiết NVL'!R:R)</f>
        <v/>
      </c>
      <c r="J261" s="57">
        <f>+SUMIF('Chi tiết NVL'!$I:$I,$A261,'Chi tiết NVL'!S:S)</f>
        <v/>
      </c>
    </row>
    <row r="262">
      <c r="A262" s="56" t="inlineStr">
        <is>
          <t>Thép tấm (90x900x900mm)</t>
        </is>
      </c>
      <c r="B262" s="56">
        <f>+VLOOKUP(A262,'Chi tiết NVL'!$I$10:$J$4158,2,0)</f>
        <v/>
      </c>
      <c r="C262" s="57">
        <f>+SUMIF('Chi tiết NVL'!$I:$I,$A262,'Chi tiết NVL'!L:L)</f>
        <v/>
      </c>
      <c r="D262" s="57">
        <f>+SUMIF('Chi tiết NVL'!$I:$I,$A262,'Chi tiết NVL'!M:M)</f>
        <v/>
      </c>
      <c r="E262" s="57">
        <f>+SUMIF('Chi tiết NVL'!$I:$I,$A262,'Chi tiết NVL'!N:N)</f>
        <v/>
      </c>
      <c r="F262" s="57">
        <f>+SUMIF('Chi tiết NVL'!$I:$I,$A262,'Chi tiết NVL'!O:O)</f>
        <v/>
      </c>
      <c r="G262" s="57">
        <f>+SUMIF('Chi tiết NVL'!$I:$I,$A262,'Chi tiết NVL'!P:P)</f>
        <v/>
      </c>
      <c r="H262" s="57">
        <f>+SUMIF('Chi tiết NVL'!$I:$I,$A262,'Chi tiết NVL'!Q:Q)</f>
        <v/>
      </c>
      <c r="I262" s="57">
        <f>+SUMIF('Chi tiết NVL'!$I:$I,$A262,'Chi tiết NVL'!R:R)</f>
        <v/>
      </c>
      <c r="J262" s="57">
        <f>+SUMIF('Chi tiết NVL'!$I:$I,$A262,'Chi tiết NVL'!S:S)</f>
        <v/>
      </c>
    </row>
    <row r="263">
      <c r="A263" s="56" t="inlineStr">
        <is>
          <t>Thép tấm (100x460x9299mm)</t>
        </is>
      </c>
      <c r="B263" s="56">
        <f>+VLOOKUP(A263,'Chi tiết NVL'!$I$10:$J$4158,2,0)</f>
        <v/>
      </c>
      <c r="C263" s="57">
        <f>+SUMIF('Chi tiết NVL'!$I:$I,$A263,'Chi tiết NVL'!L:L)</f>
        <v/>
      </c>
      <c r="D263" s="57">
        <f>+SUMIF('Chi tiết NVL'!$I:$I,$A263,'Chi tiết NVL'!M:M)</f>
        <v/>
      </c>
      <c r="E263" s="57">
        <f>+SUMIF('Chi tiết NVL'!$I:$I,$A263,'Chi tiết NVL'!N:N)</f>
        <v/>
      </c>
      <c r="F263" s="57">
        <f>+SUMIF('Chi tiết NVL'!$I:$I,$A263,'Chi tiết NVL'!O:O)</f>
        <v/>
      </c>
      <c r="G263" s="57">
        <f>+SUMIF('Chi tiết NVL'!$I:$I,$A263,'Chi tiết NVL'!P:P)</f>
        <v/>
      </c>
      <c r="H263" s="57">
        <f>+SUMIF('Chi tiết NVL'!$I:$I,$A263,'Chi tiết NVL'!Q:Q)</f>
        <v/>
      </c>
      <c r="I263" s="57">
        <f>+SUMIF('Chi tiết NVL'!$I:$I,$A263,'Chi tiết NVL'!R:R)</f>
        <v/>
      </c>
      <c r="J263" s="57">
        <f>+SUMIF('Chi tiết NVL'!$I:$I,$A263,'Chi tiết NVL'!S:S)</f>
        <v/>
      </c>
    </row>
    <row r="264">
      <c r="A264" s="56" t="inlineStr">
        <is>
          <t>Thép tấm (70x335x9603mm)</t>
        </is>
      </c>
      <c r="B264" s="56">
        <f>+VLOOKUP(A264,'Chi tiết NVL'!$I$10:$J$4158,2,0)</f>
        <v/>
      </c>
      <c r="C264" s="57">
        <f>+SUMIF('Chi tiết NVL'!$I:$I,$A264,'Chi tiết NVL'!L:L)</f>
        <v/>
      </c>
      <c r="D264" s="57">
        <f>+SUMIF('Chi tiết NVL'!$I:$I,$A264,'Chi tiết NVL'!M:M)</f>
        <v/>
      </c>
      <c r="E264" s="57">
        <f>+SUMIF('Chi tiết NVL'!$I:$I,$A264,'Chi tiết NVL'!N:N)</f>
        <v/>
      </c>
      <c r="F264" s="57">
        <f>+SUMIF('Chi tiết NVL'!$I:$I,$A264,'Chi tiết NVL'!O:O)</f>
        <v/>
      </c>
      <c r="G264" s="57">
        <f>+SUMIF('Chi tiết NVL'!$I:$I,$A264,'Chi tiết NVL'!P:P)</f>
        <v/>
      </c>
      <c r="H264" s="57">
        <f>+SUMIF('Chi tiết NVL'!$I:$I,$A264,'Chi tiết NVL'!Q:Q)</f>
        <v/>
      </c>
      <c r="I264" s="57">
        <f>+SUMIF('Chi tiết NVL'!$I:$I,$A264,'Chi tiết NVL'!R:R)</f>
        <v/>
      </c>
      <c r="J264" s="57">
        <f>+SUMIF('Chi tiết NVL'!$I:$I,$A264,'Chi tiết NVL'!S:S)</f>
        <v/>
      </c>
    </row>
    <row r="265">
      <c r="A265" s="56" t="inlineStr">
        <is>
          <t>Thép tấm (70x530x530mm)</t>
        </is>
      </c>
      <c r="B265" s="56">
        <f>+VLOOKUP(A265,'Chi tiết NVL'!$I$10:$J$4158,2,0)</f>
        <v/>
      </c>
      <c r="C265" s="57">
        <f>+SUMIF('Chi tiết NVL'!$I:$I,$A265,'Chi tiết NVL'!L:L)</f>
        <v/>
      </c>
      <c r="D265" s="57">
        <f>+SUMIF('Chi tiết NVL'!$I:$I,$A265,'Chi tiết NVL'!M:M)</f>
        <v/>
      </c>
      <c r="E265" s="57">
        <f>+SUMIF('Chi tiết NVL'!$I:$I,$A265,'Chi tiết NVL'!N:N)</f>
        <v/>
      </c>
      <c r="F265" s="57">
        <f>+SUMIF('Chi tiết NVL'!$I:$I,$A265,'Chi tiết NVL'!O:O)</f>
        <v/>
      </c>
      <c r="G265" s="57">
        <f>+SUMIF('Chi tiết NVL'!$I:$I,$A265,'Chi tiết NVL'!P:P)</f>
        <v/>
      </c>
      <c r="H265" s="57">
        <f>+SUMIF('Chi tiết NVL'!$I:$I,$A265,'Chi tiết NVL'!Q:Q)</f>
        <v/>
      </c>
      <c r="I265" s="57">
        <f>+SUMIF('Chi tiết NVL'!$I:$I,$A265,'Chi tiết NVL'!R:R)</f>
        <v/>
      </c>
      <c r="J265" s="57">
        <f>+SUMIF('Chi tiết NVL'!$I:$I,$A265,'Chi tiết NVL'!S:S)</f>
        <v/>
      </c>
    </row>
    <row r="266">
      <c r="A266" s="56" t="inlineStr">
        <is>
          <t>Thép tấm (70x530x570mm)</t>
        </is>
      </c>
      <c r="B266" s="56">
        <f>+VLOOKUP(A266,'Chi tiết NVL'!$I$10:$J$4158,2,0)</f>
        <v/>
      </c>
      <c r="C266" s="57">
        <f>+SUMIF('Chi tiết NVL'!$I:$I,$A266,'Chi tiết NVL'!L:L)</f>
        <v/>
      </c>
      <c r="D266" s="57">
        <f>+SUMIF('Chi tiết NVL'!$I:$I,$A266,'Chi tiết NVL'!M:M)</f>
        <v/>
      </c>
      <c r="E266" s="57">
        <f>+SUMIF('Chi tiết NVL'!$I:$I,$A266,'Chi tiết NVL'!N:N)</f>
        <v/>
      </c>
      <c r="F266" s="57">
        <f>+SUMIF('Chi tiết NVL'!$I:$I,$A266,'Chi tiết NVL'!O:O)</f>
        <v/>
      </c>
      <c r="G266" s="57">
        <f>+SUMIF('Chi tiết NVL'!$I:$I,$A266,'Chi tiết NVL'!P:P)</f>
        <v/>
      </c>
      <c r="H266" s="57">
        <f>+SUMIF('Chi tiết NVL'!$I:$I,$A266,'Chi tiết NVL'!Q:Q)</f>
        <v/>
      </c>
      <c r="I266" s="57">
        <f>+SUMIF('Chi tiết NVL'!$I:$I,$A266,'Chi tiết NVL'!R:R)</f>
        <v/>
      </c>
      <c r="J266" s="57">
        <f>+SUMIF('Chi tiết NVL'!$I:$I,$A266,'Chi tiết NVL'!S:S)</f>
        <v/>
      </c>
    </row>
    <row r="267">
      <c r="A267" s="56" t="inlineStr">
        <is>
          <t>Thép tấm (70x335x1191mm)</t>
        </is>
      </c>
      <c r="B267" s="56">
        <f>+VLOOKUP(A267,'Chi tiết NVL'!$I$10:$J$4158,2,0)</f>
        <v/>
      </c>
      <c r="C267" s="57">
        <f>+SUMIF('Chi tiết NVL'!$I:$I,$A267,'Chi tiết NVL'!L:L)</f>
        <v/>
      </c>
      <c r="D267" s="57">
        <f>+SUMIF('Chi tiết NVL'!$I:$I,$A267,'Chi tiết NVL'!M:M)</f>
        <v/>
      </c>
      <c r="E267" s="57">
        <f>+SUMIF('Chi tiết NVL'!$I:$I,$A267,'Chi tiết NVL'!N:N)</f>
        <v/>
      </c>
      <c r="F267" s="57">
        <f>+SUMIF('Chi tiết NVL'!$I:$I,$A267,'Chi tiết NVL'!O:O)</f>
        <v/>
      </c>
      <c r="G267" s="57">
        <f>+SUMIF('Chi tiết NVL'!$I:$I,$A267,'Chi tiết NVL'!P:P)</f>
        <v/>
      </c>
      <c r="H267" s="57">
        <f>+SUMIF('Chi tiết NVL'!$I:$I,$A267,'Chi tiết NVL'!Q:Q)</f>
        <v/>
      </c>
      <c r="I267" s="57">
        <f>+SUMIF('Chi tiết NVL'!$I:$I,$A267,'Chi tiết NVL'!R:R)</f>
        <v/>
      </c>
      <c r="J267" s="57">
        <f>+SUMIF('Chi tiết NVL'!$I:$I,$A267,'Chi tiết NVL'!S:S)</f>
        <v/>
      </c>
    </row>
    <row r="268">
      <c r="A268" s="56" t="inlineStr">
        <is>
          <t>Thép tấm (70x180x335mm)</t>
        </is>
      </c>
      <c r="B268" s="56">
        <f>+VLOOKUP(A268,'Chi tiết NVL'!$I$10:$J$4158,2,0)</f>
        <v/>
      </c>
      <c r="C268" s="57">
        <f>+SUMIF('Chi tiết NVL'!$I:$I,$A268,'Chi tiết NVL'!L:L)</f>
        <v/>
      </c>
      <c r="D268" s="57">
        <f>+SUMIF('Chi tiết NVL'!$I:$I,$A268,'Chi tiết NVL'!M:M)</f>
        <v/>
      </c>
      <c r="E268" s="57">
        <f>+SUMIF('Chi tiết NVL'!$I:$I,$A268,'Chi tiết NVL'!N:N)</f>
        <v/>
      </c>
      <c r="F268" s="57">
        <f>+SUMIF('Chi tiết NVL'!$I:$I,$A268,'Chi tiết NVL'!O:O)</f>
        <v/>
      </c>
      <c r="G268" s="57">
        <f>+SUMIF('Chi tiết NVL'!$I:$I,$A268,'Chi tiết NVL'!P:P)</f>
        <v/>
      </c>
      <c r="H268" s="57">
        <f>+SUMIF('Chi tiết NVL'!$I:$I,$A268,'Chi tiết NVL'!Q:Q)</f>
        <v/>
      </c>
      <c r="I268" s="57">
        <f>+SUMIF('Chi tiết NVL'!$I:$I,$A268,'Chi tiết NVL'!R:R)</f>
        <v/>
      </c>
      <c r="J268" s="57">
        <f>+SUMIF('Chi tiết NVL'!$I:$I,$A268,'Chi tiết NVL'!S:S)</f>
        <v/>
      </c>
    </row>
    <row r="269">
      <c r="A269" s="56" t="inlineStr">
        <is>
          <t>Thép tấm (80x900x900mm)</t>
        </is>
      </c>
      <c r="B269" s="56">
        <f>+VLOOKUP(A269,'Chi tiết NVL'!$I$10:$J$4158,2,0)</f>
        <v/>
      </c>
      <c r="C269" s="57">
        <f>+SUMIF('Chi tiết NVL'!$I:$I,$A269,'Chi tiết NVL'!L:L)</f>
        <v/>
      </c>
      <c r="D269" s="57">
        <f>+SUMIF('Chi tiết NVL'!$I:$I,$A269,'Chi tiết NVL'!M:M)</f>
        <v/>
      </c>
      <c r="E269" s="57">
        <f>+SUMIF('Chi tiết NVL'!$I:$I,$A269,'Chi tiết NVL'!N:N)</f>
        <v/>
      </c>
      <c r="F269" s="57">
        <f>+SUMIF('Chi tiết NVL'!$I:$I,$A269,'Chi tiết NVL'!O:O)</f>
        <v/>
      </c>
      <c r="G269" s="57">
        <f>+SUMIF('Chi tiết NVL'!$I:$I,$A269,'Chi tiết NVL'!P:P)</f>
        <v/>
      </c>
      <c r="H269" s="57">
        <f>+SUMIF('Chi tiết NVL'!$I:$I,$A269,'Chi tiết NVL'!Q:Q)</f>
        <v/>
      </c>
      <c r="I269" s="57">
        <f>+SUMIF('Chi tiết NVL'!$I:$I,$A269,'Chi tiết NVL'!R:R)</f>
        <v/>
      </c>
      <c r="J269" s="57">
        <f>+SUMIF('Chi tiết NVL'!$I:$I,$A269,'Chi tiết NVL'!S:S)</f>
        <v/>
      </c>
    </row>
    <row r="270">
      <c r="A270" s="56" t="inlineStr">
        <is>
          <t>Thép tấm (80x330x9348mm)</t>
        </is>
      </c>
      <c r="B270" s="56">
        <f>+VLOOKUP(A270,'Chi tiết NVL'!$I$10:$J$4158,2,0)</f>
        <v/>
      </c>
      <c r="C270" s="57">
        <f>+SUMIF('Chi tiết NVL'!$I:$I,$A270,'Chi tiết NVL'!L:L)</f>
        <v/>
      </c>
      <c r="D270" s="57">
        <f>+SUMIF('Chi tiết NVL'!$I:$I,$A270,'Chi tiết NVL'!M:M)</f>
        <v/>
      </c>
      <c r="E270" s="57">
        <f>+SUMIF('Chi tiết NVL'!$I:$I,$A270,'Chi tiết NVL'!N:N)</f>
        <v/>
      </c>
      <c r="F270" s="57">
        <f>+SUMIF('Chi tiết NVL'!$I:$I,$A270,'Chi tiết NVL'!O:O)</f>
        <v/>
      </c>
      <c r="G270" s="57">
        <f>+SUMIF('Chi tiết NVL'!$I:$I,$A270,'Chi tiết NVL'!P:P)</f>
        <v/>
      </c>
      <c r="H270" s="57">
        <f>+SUMIF('Chi tiết NVL'!$I:$I,$A270,'Chi tiết NVL'!Q:Q)</f>
        <v/>
      </c>
      <c r="I270" s="57">
        <f>+SUMIF('Chi tiết NVL'!$I:$I,$A270,'Chi tiết NVL'!R:R)</f>
        <v/>
      </c>
      <c r="J270" s="57">
        <f>+SUMIF('Chi tiết NVL'!$I:$I,$A270,'Chi tiết NVL'!S:S)</f>
        <v/>
      </c>
    </row>
    <row r="271">
      <c r="A271" s="56" t="inlineStr">
        <is>
          <t>SƠN HARDTOP XPL RAL9016 18.21L</t>
        </is>
      </c>
      <c r="B271" s="56">
        <f>+VLOOKUP(A271,'Chi tiết NVL'!$I$10:$J$4158,2,0)</f>
        <v/>
      </c>
      <c r="C271" s="57">
        <f>+SUMIF('Chi tiết NVL'!$I:$I,$A271,'Chi tiết NVL'!L:L)</f>
        <v/>
      </c>
      <c r="D271" s="57">
        <f>+SUMIF('Chi tiết NVL'!$I:$I,$A271,'Chi tiết NVL'!M:M)</f>
        <v/>
      </c>
      <c r="E271" s="57">
        <f>+SUMIF('Chi tiết NVL'!$I:$I,$A271,'Chi tiết NVL'!N:N)</f>
        <v/>
      </c>
      <c r="F271" s="57">
        <f>+SUMIF('Chi tiết NVL'!$I:$I,$A271,'Chi tiết NVL'!O:O)</f>
        <v/>
      </c>
      <c r="G271" s="57">
        <f>+SUMIF('Chi tiết NVL'!$I:$I,$A271,'Chi tiết NVL'!P:P)</f>
        <v/>
      </c>
      <c r="H271" s="57">
        <f>+SUMIF('Chi tiết NVL'!$I:$I,$A271,'Chi tiết NVL'!Q:Q)</f>
        <v/>
      </c>
      <c r="I271" s="57">
        <f>+SUMIF('Chi tiết NVL'!$I:$I,$A271,'Chi tiết NVL'!R:R)</f>
        <v/>
      </c>
      <c r="J271" s="57">
        <f>+SUMIF('Chi tiết NVL'!$I:$I,$A271,'Chi tiết NVL'!S:S)</f>
        <v/>
      </c>
    </row>
    <row r="272">
      <c r="A272" s="56" t="inlineStr">
        <is>
          <t>SƠN HARDTOP XPL RAL9017 19.19L</t>
        </is>
      </c>
      <c r="B272" s="56">
        <f>+VLOOKUP(A272,'Chi tiết NVL'!$I$10:$J$4158,2,0)</f>
        <v/>
      </c>
      <c r="C272" s="57">
        <f>+SUMIF('Chi tiết NVL'!$I:$I,$A272,'Chi tiết NVL'!L:L)</f>
        <v/>
      </c>
      <c r="D272" s="57">
        <f>+SUMIF('Chi tiết NVL'!$I:$I,$A272,'Chi tiết NVL'!M:M)</f>
        <v/>
      </c>
      <c r="E272" s="57">
        <f>+SUMIF('Chi tiết NVL'!$I:$I,$A272,'Chi tiết NVL'!N:N)</f>
        <v/>
      </c>
      <c r="F272" s="57">
        <f>+SUMIF('Chi tiết NVL'!$I:$I,$A272,'Chi tiết NVL'!O:O)</f>
        <v/>
      </c>
      <c r="G272" s="57">
        <f>+SUMIF('Chi tiết NVL'!$I:$I,$A272,'Chi tiết NVL'!P:P)</f>
        <v/>
      </c>
      <c r="H272" s="57">
        <f>+SUMIF('Chi tiết NVL'!$I:$I,$A272,'Chi tiết NVL'!Q:Q)</f>
        <v/>
      </c>
      <c r="I272" s="57">
        <f>+SUMIF('Chi tiết NVL'!$I:$I,$A272,'Chi tiết NVL'!R:R)</f>
        <v/>
      </c>
      <c r="J272" s="57">
        <f>+SUMIF('Chi tiết NVL'!$I:$I,$A272,'Chi tiết NVL'!S:S)</f>
        <v/>
      </c>
    </row>
    <row r="273">
      <c r="A273" s="56" t="inlineStr">
        <is>
          <t>Sơn Carbothane 138 ,Orange 4444</t>
        </is>
      </c>
      <c r="B273" s="56">
        <f>+VLOOKUP(A273,'Chi tiết NVL'!$I$10:$J$4158,2,0)</f>
        <v/>
      </c>
      <c r="C273" s="57">
        <f>+SUMIF('Chi tiết NVL'!$I:$I,$A273,'Chi tiết NVL'!L:L)</f>
        <v/>
      </c>
      <c r="D273" s="57">
        <f>+SUMIF('Chi tiết NVL'!$I:$I,$A273,'Chi tiết NVL'!M:M)</f>
        <v/>
      </c>
      <c r="E273" s="57">
        <f>+SUMIF('Chi tiết NVL'!$I:$I,$A273,'Chi tiết NVL'!N:N)</f>
        <v/>
      </c>
      <c r="F273" s="57">
        <f>+SUMIF('Chi tiết NVL'!$I:$I,$A273,'Chi tiết NVL'!O:O)</f>
        <v/>
      </c>
      <c r="G273" s="57">
        <f>+SUMIF('Chi tiết NVL'!$I:$I,$A273,'Chi tiết NVL'!P:P)</f>
        <v/>
      </c>
      <c r="H273" s="57">
        <f>+SUMIF('Chi tiết NVL'!$I:$I,$A273,'Chi tiết NVL'!Q:Q)</f>
        <v/>
      </c>
      <c r="I273" s="57">
        <f>+SUMIF('Chi tiết NVL'!$I:$I,$A273,'Chi tiết NVL'!R:R)</f>
        <v/>
      </c>
      <c r="J273" s="57">
        <f>+SUMIF('Chi tiết NVL'!$I:$I,$A273,'Chi tiết NVL'!S:S)</f>
        <v/>
      </c>
    </row>
    <row r="274">
      <c r="A274" s="56" t="inlineStr">
        <is>
          <t>Anchor Bolt I 5.6 ZP M16x540</t>
        </is>
      </c>
      <c r="B274" s="56">
        <f>+VLOOKUP(A274,'Chi tiết NVL'!$I$10:$J$4158,2,0)</f>
        <v/>
      </c>
      <c r="C274" s="57">
        <f>+SUMIF('Chi tiết NVL'!$I:$I,$A274,'Chi tiết NVL'!L:L)</f>
        <v/>
      </c>
      <c r="D274" s="57">
        <f>+SUMIF('Chi tiết NVL'!$I:$I,$A274,'Chi tiết NVL'!M:M)</f>
        <v/>
      </c>
      <c r="E274" s="57">
        <f>+SUMIF('Chi tiết NVL'!$I:$I,$A274,'Chi tiết NVL'!N:N)</f>
        <v/>
      </c>
      <c r="F274" s="57">
        <f>+SUMIF('Chi tiết NVL'!$I:$I,$A274,'Chi tiết NVL'!O:O)</f>
        <v/>
      </c>
      <c r="G274" s="57">
        <f>+SUMIF('Chi tiết NVL'!$I:$I,$A274,'Chi tiết NVL'!P:P)</f>
        <v/>
      </c>
      <c r="H274" s="57">
        <f>+SUMIF('Chi tiết NVL'!$I:$I,$A274,'Chi tiết NVL'!Q:Q)</f>
        <v/>
      </c>
      <c r="I274" s="57">
        <f>+SUMIF('Chi tiết NVL'!$I:$I,$A274,'Chi tiết NVL'!R:R)</f>
        <v/>
      </c>
      <c r="J274" s="57">
        <f>+SUMIF('Chi tiết NVL'!$I:$I,$A274,'Chi tiết NVL'!S:S)</f>
        <v/>
      </c>
    </row>
    <row r="275">
      <c r="A275" s="56" t="inlineStr">
        <is>
          <t>Long đền vuông ZP M18B64x64D10</t>
        </is>
      </c>
      <c r="B275" s="56">
        <f>+VLOOKUP(A275,'Chi tiết NVL'!$I$10:$J$4158,2,0)</f>
        <v/>
      </c>
      <c r="C275" s="57">
        <f>+SUMIF('Chi tiết NVL'!$I:$I,$A275,'Chi tiết NVL'!L:L)</f>
        <v/>
      </c>
      <c r="D275" s="57">
        <f>+SUMIF('Chi tiết NVL'!$I:$I,$A275,'Chi tiết NVL'!M:M)</f>
        <v/>
      </c>
      <c r="E275" s="57">
        <f>+SUMIF('Chi tiết NVL'!$I:$I,$A275,'Chi tiết NVL'!N:N)</f>
        <v/>
      </c>
      <c r="F275" s="57">
        <f>+SUMIF('Chi tiết NVL'!$I:$I,$A275,'Chi tiết NVL'!O:O)</f>
        <v/>
      </c>
      <c r="G275" s="57">
        <f>+SUMIF('Chi tiết NVL'!$I:$I,$A275,'Chi tiết NVL'!P:P)</f>
        <v/>
      </c>
      <c r="H275" s="57">
        <f>+SUMIF('Chi tiết NVL'!$I:$I,$A275,'Chi tiết NVL'!Q:Q)</f>
        <v/>
      </c>
      <c r="I275" s="57">
        <f>+SUMIF('Chi tiết NVL'!$I:$I,$A275,'Chi tiết NVL'!R:R)</f>
        <v/>
      </c>
      <c r="J275" s="57">
        <f>+SUMIF('Chi tiết NVL'!$I:$I,$A275,'Chi tiết NVL'!S:S)</f>
        <v/>
      </c>
    </row>
    <row r="276">
      <c r="A276" s="56" t="inlineStr">
        <is>
          <t>Long đền vuông ZP M22B64x64D10</t>
        </is>
      </c>
      <c r="B276" s="56">
        <f>+VLOOKUP(A276,'Chi tiết NVL'!$I$10:$J$4158,2,0)</f>
        <v/>
      </c>
      <c r="C276" s="57">
        <f>+SUMIF('Chi tiết NVL'!$I:$I,$A276,'Chi tiết NVL'!L:L)</f>
        <v/>
      </c>
      <c r="D276" s="57">
        <f>+SUMIF('Chi tiết NVL'!$I:$I,$A276,'Chi tiết NVL'!M:M)</f>
        <v/>
      </c>
      <c r="E276" s="57">
        <f>+SUMIF('Chi tiết NVL'!$I:$I,$A276,'Chi tiết NVL'!N:N)</f>
        <v/>
      </c>
      <c r="F276" s="57">
        <f>+SUMIF('Chi tiết NVL'!$I:$I,$A276,'Chi tiết NVL'!O:O)</f>
        <v/>
      </c>
      <c r="G276" s="57">
        <f>+SUMIF('Chi tiết NVL'!$I:$I,$A276,'Chi tiết NVL'!P:P)</f>
        <v/>
      </c>
      <c r="H276" s="57">
        <f>+SUMIF('Chi tiết NVL'!$I:$I,$A276,'Chi tiết NVL'!Q:Q)</f>
        <v/>
      </c>
      <c r="I276" s="57">
        <f>+SUMIF('Chi tiết NVL'!$I:$I,$A276,'Chi tiết NVL'!R:R)</f>
        <v/>
      </c>
      <c r="J276" s="57">
        <f>+SUMIF('Chi tiết NVL'!$I:$I,$A276,'Chi tiết NVL'!S:S)</f>
        <v/>
      </c>
    </row>
    <row r="277">
      <c r="A277" s="56" t="inlineStr">
        <is>
          <t>Anchor Bolt I 5.6 ZP M20x560</t>
        </is>
      </c>
      <c r="B277" s="56">
        <f>+VLOOKUP(A277,'Chi tiết NVL'!$I$10:$J$4158,2,0)</f>
        <v/>
      </c>
      <c r="C277" s="57">
        <f>+SUMIF('Chi tiết NVL'!$I:$I,$A277,'Chi tiết NVL'!L:L)</f>
        <v/>
      </c>
      <c r="D277" s="57">
        <f>+SUMIF('Chi tiết NVL'!$I:$I,$A277,'Chi tiết NVL'!M:M)</f>
        <v/>
      </c>
      <c r="E277" s="57">
        <f>+SUMIF('Chi tiết NVL'!$I:$I,$A277,'Chi tiết NVL'!N:N)</f>
        <v/>
      </c>
      <c r="F277" s="57">
        <f>+SUMIF('Chi tiết NVL'!$I:$I,$A277,'Chi tiết NVL'!O:O)</f>
        <v/>
      </c>
      <c r="G277" s="57">
        <f>+SUMIF('Chi tiết NVL'!$I:$I,$A277,'Chi tiết NVL'!P:P)</f>
        <v/>
      </c>
      <c r="H277" s="57">
        <f>+SUMIF('Chi tiết NVL'!$I:$I,$A277,'Chi tiết NVL'!Q:Q)</f>
        <v/>
      </c>
      <c r="I277" s="57">
        <f>+SUMIF('Chi tiết NVL'!$I:$I,$A277,'Chi tiết NVL'!R:R)</f>
        <v/>
      </c>
      <c r="J277" s="57">
        <f>+SUMIF('Chi tiết NVL'!$I:$I,$A277,'Chi tiết NVL'!S:S)</f>
        <v/>
      </c>
    </row>
    <row r="278">
      <c r="A278" s="56" t="inlineStr">
        <is>
          <t>Anchor Bolt I 5.6 ZP M22x670</t>
        </is>
      </c>
      <c r="B278" s="56">
        <f>+VLOOKUP(A278,'Chi tiết NVL'!$I$10:$J$4158,2,0)</f>
        <v/>
      </c>
      <c r="C278" s="57">
        <f>+SUMIF('Chi tiết NVL'!$I:$I,$A278,'Chi tiết NVL'!L:L)</f>
        <v/>
      </c>
      <c r="D278" s="57">
        <f>+SUMIF('Chi tiết NVL'!$I:$I,$A278,'Chi tiết NVL'!M:M)</f>
        <v/>
      </c>
      <c r="E278" s="57">
        <f>+SUMIF('Chi tiết NVL'!$I:$I,$A278,'Chi tiết NVL'!N:N)</f>
        <v/>
      </c>
      <c r="F278" s="57">
        <f>+SUMIF('Chi tiết NVL'!$I:$I,$A278,'Chi tiết NVL'!O:O)</f>
        <v/>
      </c>
      <c r="G278" s="57">
        <f>+SUMIF('Chi tiết NVL'!$I:$I,$A278,'Chi tiết NVL'!P:P)</f>
        <v/>
      </c>
      <c r="H278" s="57">
        <f>+SUMIF('Chi tiết NVL'!$I:$I,$A278,'Chi tiết NVL'!Q:Q)</f>
        <v/>
      </c>
      <c r="I278" s="57">
        <f>+SUMIF('Chi tiết NVL'!$I:$I,$A278,'Chi tiết NVL'!R:R)</f>
        <v/>
      </c>
      <c r="J278" s="57">
        <f>+SUMIF('Chi tiết NVL'!$I:$I,$A278,'Chi tiết NVL'!S:S)</f>
        <v/>
      </c>
    </row>
    <row r="279">
      <c r="A279" s="56" t="inlineStr">
        <is>
          <t>Đai ốc Din 934 5 ZP M22</t>
        </is>
      </c>
      <c r="B279" s="56">
        <f>+VLOOKUP(A279,'Chi tiết NVL'!$I$10:$J$4158,2,0)</f>
        <v/>
      </c>
      <c r="C279" s="57">
        <f>+SUMIF('Chi tiết NVL'!$I:$I,$A279,'Chi tiết NVL'!L:L)</f>
        <v/>
      </c>
      <c r="D279" s="57">
        <f>+SUMIF('Chi tiết NVL'!$I:$I,$A279,'Chi tiết NVL'!M:M)</f>
        <v/>
      </c>
      <c r="E279" s="57">
        <f>+SUMIF('Chi tiết NVL'!$I:$I,$A279,'Chi tiết NVL'!N:N)</f>
        <v/>
      </c>
      <c r="F279" s="57">
        <f>+SUMIF('Chi tiết NVL'!$I:$I,$A279,'Chi tiết NVL'!O:O)</f>
        <v/>
      </c>
      <c r="G279" s="57">
        <f>+SUMIF('Chi tiết NVL'!$I:$I,$A279,'Chi tiết NVL'!P:P)</f>
        <v/>
      </c>
      <c r="H279" s="57">
        <f>+SUMIF('Chi tiết NVL'!$I:$I,$A279,'Chi tiết NVL'!Q:Q)</f>
        <v/>
      </c>
      <c r="I279" s="57">
        <f>+SUMIF('Chi tiết NVL'!$I:$I,$A279,'Chi tiết NVL'!R:R)</f>
        <v/>
      </c>
      <c r="J279" s="57">
        <f>+SUMIF('Chi tiết NVL'!$I:$I,$A279,'Chi tiết NVL'!S:S)</f>
        <v/>
      </c>
    </row>
    <row r="280">
      <c r="A280" s="56" t="inlineStr">
        <is>
          <t>Long đền vuông ZP M24B64x64D10</t>
        </is>
      </c>
      <c r="B280" s="56">
        <f>+VLOOKUP(A280,'Chi tiết NVL'!$I$10:$J$4158,2,0)</f>
        <v/>
      </c>
      <c r="C280" s="57">
        <f>+SUMIF('Chi tiết NVL'!$I:$I,$A280,'Chi tiết NVL'!L:L)</f>
        <v/>
      </c>
      <c r="D280" s="57">
        <f>+SUMIF('Chi tiết NVL'!$I:$I,$A280,'Chi tiết NVL'!M:M)</f>
        <v/>
      </c>
      <c r="E280" s="57">
        <f>+SUMIF('Chi tiết NVL'!$I:$I,$A280,'Chi tiết NVL'!N:N)</f>
        <v/>
      </c>
      <c r="F280" s="57">
        <f>+SUMIF('Chi tiết NVL'!$I:$I,$A280,'Chi tiết NVL'!O:O)</f>
        <v/>
      </c>
      <c r="G280" s="57">
        <f>+SUMIF('Chi tiết NVL'!$I:$I,$A280,'Chi tiết NVL'!P:P)</f>
        <v/>
      </c>
      <c r="H280" s="57">
        <f>+SUMIF('Chi tiết NVL'!$I:$I,$A280,'Chi tiết NVL'!Q:Q)</f>
        <v/>
      </c>
      <c r="I280" s="57">
        <f>+SUMIF('Chi tiết NVL'!$I:$I,$A280,'Chi tiết NVL'!R:R)</f>
        <v/>
      </c>
      <c r="J280" s="57">
        <f>+SUMIF('Chi tiết NVL'!$I:$I,$A280,'Chi tiết NVL'!S:S)</f>
        <v/>
      </c>
    </row>
    <row r="281">
      <c r="A281" s="56" t="inlineStr">
        <is>
          <t>Anchor Bolt I 5.6 ZP M25x740</t>
        </is>
      </c>
      <c r="B281" s="56">
        <f>+VLOOKUP(A281,'Chi tiết NVL'!$I$10:$J$4158,2,0)</f>
        <v/>
      </c>
      <c r="C281" s="57">
        <f>+SUMIF('Chi tiết NVL'!$I:$I,$A281,'Chi tiết NVL'!L:L)</f>
        <v/>
      </c>
      <c r="D281" s="57">
        <f>+SUMIF('Chi tiết NVL'!$I:$I,$A281,'Chi tiết NVL'!M:M)</f>
        <v/>
      </c>
      <c r="E281" s="57">
        <f>+SUMIF('Chi tiết NVL'!$I:$I,$A281,'Chi tiết NVL'!N:N)</f>
        <v/>
      </c>
      <c r="F281" s="57">
        <f>+SUMIF('Chi tiết NVL'!$I:$I,$A281,'Chi tiết NVL'!O:O)</f>
        <v/>
      </c>
      <c r="G281" s="57">
        <f>+SUMIF('Chi tiết NVL'!$I:$I,$A281,'Chi tiết NVL'!P:P)</f>
        <v/>
      </c>
      <c r="H281" s="57">
        <f>+SUMIF('Chi tiết NVL'!$I:$I,$A281,'Chi tiết NVL'!Q:Q)</f>
        <v/>
      </c>
      <c r="I281" s="57">
        <f>+SUMIF('Chi tiết NVL'!$I:$I,$A281,'Chi tiết NVL'!R:R)</f>
        <v/>
      </c>
      <c r="J281" s="57">
        <f>+SUMIF('Chi tiết NVL'!$I:$I,$A281,'Chi tiết NVL'!S:S)</f>
        <v/>
      </c>
    </row>
    <row r="282">
      <c r="A282" s="56" t="inlineStr">
        <is>
          <t>Long đền vuông ZP M27B64x64x10</t>
        </is>
      </c>
      <c r="B282" s="56">
        <f>+VLOOKUP(A282,'Chi tiết NVL'!$I$10:$J$4158,2,0)</f>
        <v/>
      </c>
      <c r="C282" s="57">
        <f>+SUMIF('Chi tiết NVL'!$I:$I,$A282,'Chi tiết NVL'!L:L)</f>
        <v/>
      </c>
      <c r="D282" s="57">
        <f>+SUMIF('Chi tiết NVL'!$I:$I,$A282,'Chi tiết NVL'!M:M)</f>
        <v/>
      </c>
      <c r="E282" s="57">
        <f>+SUMIF('Chi tiết NVL'!$I:$I,$A282,'Chi tiết NVL'!N:N)</f>
        <v/>
      </c>
      <c r="F282" s="57">
        <f>+SUMIF('Chi tiết NVL'!$I:$I,$A282,'Chi tiết NVL'!O:O)</f>
        <v/>
      </c>
      <c r="G282" s="57">
        <f>+SUMIF('Chi tiết NVL'!$I:$I,$A282,'Chi tiết NVL'!P:P)</f>
        <v/>
      </c>
      <c r="H282" s="57">
        <f>+SUMIF('Chi tiết NVL'!$I:$I,$A282,'Chi tiết NVL'!Q:Q)</f>
        <v/>
      </c>
      <c r="I282" s="57">
        <f>+SUMIF('Chi tiết NVL'!$I:$I,$A282,'Chi tiết NVL'!R:R)</f>
        <v/>
      </c>
      <c r="J282" s="57">
        <f>+SUMIF('Chi tiết NVL'!$I:$I,$A282,'Chi tiết NVL'!S:S)</f>
        <v/>
      </c>
    </row>
    <row r="283">
      <c r="A283" s="56" t="inlineStr">
        <is>
          <t>Anchor Bolt I 5.6 ZP M25x840</t>
        </is>
      </c>
      <c r="B283" s="56">
        <f>+VLOOKUP(A283,'Chi tiết NVL'!$I$10:$J$4158,2,0)</f>
        <v/>
      </c>
      <c r="C283" s="57">
        <f>+SUMIF('Chi tiết NVL'!$I:$I,$A283,'Chi tiết NVL'!L:L)</f>
        <v/>
      </c>
      <c r="D283" s="57">
        <f>+SUMIF('Chi tiết NVL'!$I:$I,$A283,'Chi tiết NVL'!M:M)</f>
        <v/>
      </c>
      <c r="E283" s="57">
        <f>+SUMIF('Chi tiết NVL'!$I:$I,$A283,'Chi tiết NVL'!N:N)</f>
        <v/>
      </c>
      <c r="F283" s="57">
        <f>+SUMIF('Chi tiết NVL'!$I:$I,$A283,'Chi tiết NVL'!O:O)</f>
        <v/>
      </c>
      <c r="G283" s="57">
        <f>+SUMIF('Chi tiết NVL'!$I:$I,$A283,'Chi tiết NVL'!P:P)</f>
        <v/>
      </c>
      <c r="H283" s="57">
        <f>+SUMIF('Chi tiết NVL'!$I:$I,$A283,'Chi tiết NVL'!Q:Q)</f>
        <v/>
      </c>
      <c r="I283" s="57">
        <f>+SUMIF('Chi tiết NVL'!$I:$I,$A283,'Chi tiết NVL'!R:R)</f>
        <v/>
      </c>
      <c r="J283" s="57">
        <f>+SUMIF('Chi tiết NVL'!$I:$I,$A283,'Chi tiết NVL'!S:S)</f>
        <v/>
      </c>
    </row>
    <row r="284">
      <c r="A284" s="56" t="inlineStr">
        <is>
          <t>Anchor Bolt I 5.6 ZP M38x820</t>
        </is>
      </c>
      <c r="B284" s="56">
        <f>+VLOOKUP(A284,'Chi tiết NVL'!$I$10:$J$4158,2,0)</f>
        <v/>
      </c>
      <c r="C284" s="57">
        <f>+SUMIF('Chi tiết NVL'!$I:$I,$A284,'Chi tiết NVL'!L:L)</f>
        <v/>
      </c>
      <c r="D284" s="57">
        <f>+SUMIF('Chi tiết NVL'!$I:$I,$A284,'Chi tiết NVL'!M:M)</f>
        <v/>
      </c>
      <c r="E284" s="57">
        <f>+SUMIF('Chi tiết NVL'!$I:$I,$A284,'Chi tiết NVL'!N:N)</f>
        <v/>
      </c>
      <c r="F284" s="57">
        <f>+SUMIF('Chi tiết NVL'!$I:$I,$A284,'Chi tiết NVL'!O:O)</f>
        <v/>
      </c>
      <c r="G284" s="57">
        <f>+SUMIF('Chi tiết NVL'!$I:$I,$A284,'Chi tiết NVL'!P:P)</f>
        <v/>
      </c>
      <c r="H284" s="57">
        <f>+SUMIF('Chi tiết NVL'!$I:$I,$A284,'Chi tiết NVL'!Q:Q)</f>
        <v/>
      </c>
      <c r="I284" s="57">
        <f>+SUMIF('Chi tiết NVL'!$I:$I,$A284,'Chi tiết NVL'!R:R)</f>
        <v/>
      </c>
      <c r="J284" s="57">
        <f>+SUMIF('Chi tiết NVL'!$I:$I,$A284,'Chi tiết NVL'!S:S)</f>
        <v/>
      </c>
    </row>
    <row r="285">
      <c r="A285" s="56" t="inlineStr">
        <is>
          <t>Đai ốc Din 934 5 ZP M39</t>
        </is>
      </c>
      <c r="B285" s="56">
        <f>+VLOOKUP(A285,'Chi tiết NVL'!$I$10:$J$4158,2,0)</f>
        <v/>
      </c>
      <c r="C285" s="57">
        <f>+SUMIF('Chi tiết NVL'!$I:$I,$A285,'Chi tiết NVL'!L:L)</f>
        <v/>
      </c>
      <c r="D285" s="57">
        <f>+SUMIF('Chi tiết NVL'!$I:$I,$A285,'Chi tiết NVL'!M:M)</f>
        <v/>
      </c>
      <c r="E285" s="57">
        <f>+SUMIF('Chi tiết NVL'!$I:$I,$A285,'Chi tiết NVL'!N:N)</f>
        <v/>
      </c>
      <c r="F285" s="57">
        <f>+SUMIF('Chi tiết NVL'!$I:$I,$A285,'Chi tiết NVL'!O:O)</f>
        <v/>
      </c>
      <c r="G285" s="57">
        <f>+SUMIF('Chi tiết NVL'!$I:$I,$A285,'Chi tiết NVL'!P:P)</f>
        <v/>
      </c>
      <c r="H285" s="57">
        <f>+SUMIF('Chi tiết NVL'!$I:$I,$A285,'Chi tiết NVL'!Q:Q)</f>
        <v/>
      </c>
      <c r="I285" s="57">
        <f>+SUMIF('Chi tiết NVL'!$I:$I,$A285,'Chi tiết NVL'!R:R)</f>
        <v/>
      </c>
      <c r="J285" s="57">
        <f>+SUMIF('Chi tiết NVL'!$I:$I,$A285,'Chi tiết NVL'!S:S)</f>
        <v/>
      </c>
    </row>
    <row r="286">
      <c r="A286" s="56" t="inlineStr">
        <is>
          <t>Long đền vuông ZP M41B64x64x10</t>
        </is>
      </c>
      <c r="B286" s="56">
        <f>+VLOOKUP(A286,'Chi tiết NVL'!$I$10:$J$4158,2,0)</f>
        <v/>
      </c>
      <c r="C286" s="57">
        <f>+SUMIF('Chi tiết NVL'!$I:$I,$A286,'Chi tiết NVL'!L:L)</f>
        <v/>
      </c>
      <c r="D286" s="57">
        <f>+SUMIF('Chi tiết NVL'!$I:$I,$A286,'Chi tiết NVL'!M:M)</f>
        <v/>
      </c>
      <c r="E286" s="57">
        <f>+SUMIF('Chi tiết NVL'!$I:$I,$A286,'Chi tiết NVL'!N:N)</f>
        <v/>
      </c>
      <c r="F286" s="57">
        <f>+SUMIF('Chi tiết NVL'!$I:$I,$A286,'Chi tiết NVL'!O:O)</f>
        <v/>
      </c>
      <c r="G286" s="57">
        <f>+SUMIF('Chi tiết NVL'!$I:$I,$A286,'Chi tiết NVL'!P:P)</f>
        <v/>
      </c>
      <c r="H286" s="57">
        <f>+SUMIF('Chi tiết NVL'!$I:$I,$A286,'Chi tiết NVL'!Q:Q)</f>
        <v/>
      </c>
      <c r="I286" s="57">
        <f>+SUMIF('Chi tiết NVL'!$I:$I,$A286,'Chi tiết NVL'!R:R)</f>
        <v/>
      </c>
      <c r="J286" s="57">
        <f>+SUMIF('Chi tiết NVL'!$I:$I,$A286,'Chi tiết NVL'!S:S)</f>
        <v/>
      </c>
    </row>
    <row r="287">
      <c r="A287" s="56" t="inlineStr">
        <is>
          <t>Thép tấm Q355/A572 80lyx500x500</t>
        </is>
      </c>
      <c r="B287" s="56">
        <f>+VLOOKUP(A287,'Chi tiết NVL'!$I$10:$J$4158,2,0)</f>
        <v/>
      </c>
      <c r="C287" s="57">
        <f>+SUMIF('Chi tiết NVL'!$I:$I,$A287,'Chi tiết NVL'!L:L)</f>
        <v/>
      </c>
      <c r="D287" s="57">
        <f>+SUMIF('Chi tiết NVL'!$I:$I,$A287,'Chi tiết NVL'!M:M)</f>
        <v/>
      </c>
      <c r="E287" s="57">
        <f>+SUMIF('Chi tiết NVL'!$I:$I,$A287,'Chi tiết NVL'!N:N)</f>
        <v/>
      </c>
      <c r="F287" s="57">
        <f>+SUMIF('Chi tiết NVL'!$I:$I,$A287,'Chi tiết NVL'!O:O)</f>
        <v/>
      </c>
      <c r="G287" s="57">
        <f>+SUMIF('Chi tiết NVL'!$I:$I,$A287,'Chi tiết NVL'!P:P)</f>
        <v/>
      </c>
      <c r="H287" s="57">
        <f>+SUMIF('Chi tiết NVL'!$I:$I,$A287,'Chi tiết NVL'!Q:Q)</f>
        <v/>
      </c>
      <c r="I287" s="57">
        <f>+SUMIF('Chi tiết NVL'!$I:$I,$A287,'Chi tiết NVL'!R:R)</f>
        <v/>
      </c>
      <c r="J287" s="57">
        <f>+SUMIF('Chi tiết NVL'!$I:$I,$A287,'Chi tiết NVL'!S:S)</f>
        <v/>
      </c>
    </row>
    <row r="288">
      <c r="A288" s="56" t="inlineStr">
        <is>
          <t>Thép tấm Q355/A572 70lyx530x515</t>
        </is>
      </c>
      <c r="B288" s="56">
        <f>+VLOOKUP(A288,'Chi tiết NVL'!$I$10:$J$4158,2,0)</f>
        <v/>
      </c>
      <c r="C288" s="57">
        <f>+SUMIF('Chi tiết NVL'!$I:$I,$A288,'Chi tiết NVL'!L:L)</f>
        <v/>
      </c>
      <c r="D288" s="57">
        <f>+SUMIF('Chi tiết NVL'!$I:$I,$A288,'Chi tiết NVL'!M:M)</f>
        <v/>
      </c>
      <c r="E288" s="57">
        <f>+SUMIF('Chi tiết NVL'!$I:$I,$A288,'Chi tiết NVL'!N:N)</f>
        <v/>
      </c>
      <c r="F288" s="57">
        <f>+SUMIF('Chi tiết NVL'!$I:$I,$A288,'Chi tiết NVL'!O:O)</f>
        <v/>
      </c>
      <c r="G288" s="57">
        <f>+SUMIF('Chi tiết NVL'!$I:$I,$A288,'Chi tiết NVL'!P:P)</f>
        <v/>
      </c>
      <c r="H288" s="57">
        <f>+SUMIF('Chi tiết NVL'!$I:$I,$A288,'Chi tiết NVL'!Q:Q)</f>
        <v/>
      </c>
      <c r="I288" s="57">
        <f>+SUMIF('Chi tiết NVL'!$I:$I,$A288,'Chi tiết NVL'!R:R)</f>
        <v/>
      </c>
      <c r="J288" s="57">
        <f>+SUMIF('Chi tiết NVL'!$I:$I,$A288,'Chi tiết NVL'!S:S)</f>
        <v/>
      </c>
    </row>
    <row r="289">
      <c r="A289" s="56" t="inlineStr">
        <is>
          <t>Thép tấm Q355/A572 70lyx530x570</t>
        </is>
      </c>
      <c r="B289" s="56">
        <f>+VLOOKUP(A289,'Chi tiết NVL'!$I$10:$J$4158,2,0)</f>
        <v/>
      </c>
      <c r="C289" s="57">
        <f>+SUMIF('Chi tiết NVL'!$I:$I,$A289,'Chi tiết NVL'!L:L)</f>
        <v/>
      </c>
      <c r="D289" s="57">
        <f>+SUMIF('Chi tiết NVL'!$I:$I,$A289,'Chi tiết NVL'!M:M)</f>
        <v/>
      </c>
      <c r="E289" s="57">
        <f>+SUMIF('Chi tiết NVL'!$I:$I,$A289,'Chi tiết NVL'!N:N)</f>
        <v/>
      </c>
      <c r="F289" s="57">
        <f>+SUMIF('Chi tiết NVL'!$I:$I,$A289,'Chi tiết NVL'!O:O)</f>
        <v/>
      </c>
      <c r="G289" s="57">
        <f>+SUMIF('Chi tiết NVL'!$I:$I,$A289,'Chi tiết NVL'!P:P)</f>
        <v/>
      </c>
      <c r="H289" s="57">
        <f>+SUMIF('Chi tiết NVL'!$I:$I,$A289,'Chi tiết NVL'!Q:Q)</f>
        <v/>
      </c>
      <c r="I289" s="57">
        <f>+SUMIF('Chi tiết NVL'!$I:$I,$A289,'Chi tiết NVL'!R:R)</f>
        <v/>
      </c>
      <c r="J289" s="57">
        <f>+SUMIF('Chi tiết NVL'!$I:$I,$A289,'Chi tiết NVL'!S:S)</f>
        <v/>
      </c>
    </row>
    <row r="290">
      <c r="A290" s="56" t="inlineStr">
        <is>
          <t>Thép tấm Q355/A572 70lyx180x335</t>
        </is>
      </c>
      <c r="B290" s="56">
        <f>+VLOOKUP(A290,'Chi tiết NVL'!$I$10:$J$4158,2,0)</f>
        <v/>
      </c>
      <c r="C290" s="57">
        <f>+SUMIF('Chi tiết NVL'!$I:$I,$A290,'Chi tiết NVL'!L:L)</f>
        <v/>
      </c>
      <c r="D290" s="57">
        <f>+SUMIF('Chi tiết NVL'!$I:$I,$A290,'Chi tiết NVL'!M:M)</f>
        <v/>
      </c>
      <c r="E290" s="57">
        <f>+SUMIF('Chi tiết NVL'!$I:$I,$A290,'Chi tiết NVL'!N:N)</f>
        <v/>
      </c>
      <c r="F290" s="57">
        <f>+SUMIF('Chi tiết NVL'!$I:$I,$A290,'Chi tiết NVL'!O:O)</f>
        <v/>
      </c>
      <c r="G290" s="57">
        <f>+SUMIF('Chi tiết NVL'!$I:$I,$A290,'Chi tiết NVL'!P:P)</f>
        <v/>
      </c>
      <c r="H290" s="57">
        <f>+SUMIF('Chi tiết NVL'!$I:$I,$A290,'Chi tiết NVL'!Q:Q)</f>
        <v/>
      </c>
      <c r="I290" s="57">
        <f>+SUMIF('Chi tiết NVL'!$I:$I,$A290,'Chi tiết NVL'!R:R)</f>
        <v/>
      </c>
      <c r="J290" s="57">
        <f>+SUMIF('Chi tiết NVL'!$I:$I,$A290,'Chi tiết NVL'!S:S)</f>
        <v/>
      </c>
    </row>
    <row r="291">
      <c r="A291" s="56" t="inlineStr">
        <is>
          <t>Thép tấm Q355/A572 70lyx332x914</t>
        </is>
      </c>
      <c r="B291" s="56">
        <f>+VLOOKUP(A291,'Chi tiết NVL'!$I$10:$J$4158,2,0)</f>
        <v/>
      </c>
      <c r="C291" s="57">
        <f>+SUMIF('Chi tiết NVL'!$I:$I,$A291,'Chi tiết NVL'!L:L)</f>
        <v/>
      </c>
      <c r="D291" s="57">
        <f>+SUMIF('Chi tiết NVL'!$I:$I,$A291,'Chi tiết NVL'!M:M)</f>
        <v/>
      </c>
      <c r="E291" s="57">
        <f>+SUMIF('Chi tiết NVL'!$I:$I,$A291,'Chi tiết NVL'!N:N)</f>
        <v/>
      </c>
      <c r="F291" s="57">
        <f>+SUMIF('Chi tiết NVL'!$I:$I,$A291,'Chi tiết NVL'!O:O)</f>
        <v/>
      </c>
      <c r="G291" s="57">
        <f>+SUMIF('Chi tiết NVL'!$I:$I,$A291,'Chi tiết NVL'!P:P)</f>
        <v/>
      </c>
      <c r="H291" s="57">
        <f>+SUMIF('Chi tiết NVL'!$I:$I,$A291,'Chi tiết NVL'!Q:Q)</f>
        <v/>
      </c>
      <c r="I291" s="57">
        <f>+SUMIF('Chi tiết NVL'!$I:$I,$A291,'Chi tiết NVL'!R:R)</f>
        <v/>
      </c>
      <c r="J291" s="57">
        <f>+SUMIF('Chi tiết NVL'!$I:$I,$A291,'Chi tiết NVL'!S:S)</f>
        <v/>
      </c>
    </row>
    <row r="292">
      <c r="A292" s="56" t="inlineStr">
        <is>
          <t>Thép tấm Q355/A572 70lyx337x907</t>
        </is>
      </c>
      <c r="B292" s="56">
        <f>+VLOOKUP(A292,'Chi tiết NVL'!$I$10:$J$4158,2,0)</f>
        <v/>
      </c>
      <c r="C292" s="57">
        <f>+SUMIF('Chi tiết NVL'!$I:$I,$A292,'Chi tiết NVL'!L:L)</f>
        <v/>
      </c>
      <c r="D292" s="57">
        <f>+SUMIF('Chi tiết NVL'!$I:$I,$A292,'Chi tiết NVL'!M:M)</f>
        <v/>
      </c>
      <c r="E292" s="57">
        <f>+SUMIF('Chi tiết NVL'!$I:$I,$A292,'Chi tiết NVL'!N:N)</f>
        <v/>
      </c>
      <c r="F292" s="57">
        <f>+SUMIF('Chi tiết NVL'!$I:$I,$A292,'Chi tiết NVL'!O:O)</f>
        <v/>
      </c>
      <c r="G292" s="57">
        <f>+SUMIF('Chi tiết NVL'!$I:$I,$A292,'Chi tiết NVL'!P:P)</f>
        <v/>
      </c>
      <c r="H292" s="57">
        <f>+SUMIF('Chi tiết NVL'!$I:$I,$A292,'Chi tiết NVL'!Q:Q)</f>
        <v/>
      </c>
      <c r="I292" s="57">
        <f>+SUMIF('Chi tiết NVL'!$I:$I,$A292,'Chi tiết NVL'!R:R)</f>
        <v/>
      </c>
      <c r="J292" s="57">
        <f>+SUMIF('Chi tiết NVL'!$I:$I,$A292,'Chi tiết NVL'!S:S)</f>
        <v/>
      </c>
    </row>
    <row r="293">
      <c r="A293" s="56" t="inlineStr">
        <is>
          <t>Thép tấm Q355/A572 70lyx337x911</t>
        </is>
      </c>
      <c r="B293" s="56">
        <f>+VLOOKUP(A293,'Chi tiết NVL'!$I$10:$J$4158,2,0)</f>
        <v/>
      </c>
      <c r="C293" s="57">
        <f>+SUMIF('Chi tiết NVL'!$I:$I,$A293,'Chi tiết NVL'!L:L)</f>
        <v/>
      </c>
      <c r="D293" s="57">
        <f>+SUMIF('Chi tiết NVL'!$I:$I,$A293,'Chi tiết NVL'!M:M)</f>
        <v/>
      </c>
      <c r="E293" s="57">
        <f>+SUMIF('Chi tiết NVL'!$I:$I,$A293,'Chi tiết NVL'!N:N)</f>
        <v/>
      </c>
      <c r="F293" s="57">
        <f>+SUMIF('Chi tiết NVL'!$I:$I,$A293,'Chi tiết NVL'!O:O)</f>
        <v/>
      </c>
      <c r="G293" s="57">
        <f>+SUMIF('Chi tiết NVL'!$I:$I,$A293,'Chi tiết NVL'!P:P)</f>
        <v/>
      </c>
      <c r="H293" s="57">
        <f>+SUMIF('Chi tiết NVL'!$I:$I,$A293,'Chi tiết NVL'!Q:Q)</f>
        <v/>
      </c>
      <c r="I293" s="57">
        <f>+SUMIF('Chi tiết NVL'!$I:$I,$A293,'Chi tiết NVL'!R:R)</f>
        <v/>
      </c>
      <c r="J293" s="57">
        <f>+SUMIF('Chi tiết NVL'!$I:$I,$A293,'Chi tiết NVL'!S:S)</f>
        <v/>
      </c>
    </row>
    <row r="294">
      <c r="A294" s="56" t="inlineStr">
        <is>
          <t>Thép tấm Q355/A572 70lyx337x916</t>
        </is>
      </c>
      <c r="B294" s="56">
        <f>+VLOOKUP(A294,'Chi tiết NVL'!$I$10:$J$4158,2,0)</f>
        <v/>
      </c>
      <c r="C294" s="57">
        <f>+SUMIF('Chi tiết NVL'!$I:$I,$A294,'Chi tiết NVL'!L:L)</f>
        <v/>
      </c>
      <c r="D294" s="57">
        <f>+SUMIF('Chi tiết NVL'!$I:$I,$A294,'Chi tiết NVL'!M:M)</f>
        <v/>
      </c>
      <c r="E294" s="57">
        <f>+SUMIF('Chi tiết NVL'!$I:$I,$A294,'Chi tiết NVL'!N:N)</f>
        <v/>
      </c>
      <c r="F294" s="57">
        <f>+SUMIF('Chi tiết NVL'!$I:$I,$A294,'Chi tiết NVL'!O:O)</f>
        <v/>
      </c>
      <c r="G294" s="57">
        <f>+SUMIF('Chi tiết NVL'!$I:$I,$A294,'Chi tiết NVL'!P:P)</f>
        <v/>
      </c>
      <c r="H294" s="57">
        <f>+SUMIF('Chi tiết NVL'!$I:$I,$A294,'Chi tiết NVL'!Q:Q)</f>
        <v/>
      </c>
      <c r="I294" s="57">
        <f>+SUMIF('Chi tiết NVL'!$I:$I,$A294,'Chi tiết NVL'!R:R)</f>
        <v/>
      </c>
      <c r="J294" s="57">
        <f>+SUMIF('Chi tiết NVL'!$I:$I,$A294,'Chi tiết NVL'!S:S)</f>
        <v/>
      </c>
    </row>
    <row r="295">
      <c r="A295" s="56" t="inlineStr">
        <is>
          <t>Thép tấm Q355/A572 70lyx335x2742</t>
        </is>
      </c>
      <c r="B295" s="56">
        <f>+VLOOKUP(A295,'Chi tiết NVL'!$I$10:$J$4158,2,0)</f>
        <v/>
      </c>
      <c r="C295" s="57">
        <f>+SUMIF('Chi tiết NVL'!$I:$I,$A295,'Chi tiết NVL'!L:L)</f>
        <v/>
      </c>
      <c r="D295" s="57">
        <f>+SUMIF('Chi tiết NVL'!$I:$I,$A295,'Chi tiết NVL'!M:M)</f>
        <v/>
      </c>
      <c r="E295" s="57">
        <f>+SUMIF('Chi tiết NVL'!$I:$I,$A295,'Chi tiết NVL'!N:N)</f>
        <v/>
      </c>
      <c r="F295" s="57">
        <f>+SUMIF('Chi tiết NVL'!$I:$I,$A295,'Chi tiết NVL'!O:O)</f>
        <v/>
      </c>
      <c r="G295" s="57">
        <f>+SUMIF('Chi tiết NVL'!$I:$I,$A295,'Chi tiết NVL'!P:P)</f>
        <v/>
      </c>
      <c r="H295" s="57">
        <f>+SUMIF('Chi tiết NVL'!$I:$I,$A295,'Chi tiết NVL'!Q:Q)</f>
        <v/>
      </c>
      <c r="I295" s="57">
        <f>+SUMIF('Chi tiết NVL'!$I:$I,$A295,'Chi tiết NVL'!R:R)</f>
        <v/>
      </c>
      <c r="J295" s="57">
        <f>+SUMIF('Chi tiết NVL'!$I:$I,$A295,'Chi tiết NVL'!S:S)</f>
        <v/>
      </c>
    </row>
    <row r="296">
      <c r="A296" s="56" t="inlineStr">
        <is>
          <t>Thép tấm Q355/A572 70lyx335x2492</t>
        </is>
      </c>
      <c r="B296" s="56">
        <f>+VLOOKUP(A296,'Chi tiết NVL'!$I$10:$J$4158,2,0)</f>
        <v/>
      </c>
      <c r="C296" s="57">
        <f>+SUMIF('Chi tiết NVL'!$I:$I,$A296,'Chi tiết NVL'!L:L)</f>
        <v/>
      </c>
      <c r="D296" s="57">
        <f>+SUMIF('Chi tiết NVL'!$I:$I,$A296,'Chi tiết NVL'!M:M)</f>
        <v/>
      </c>
      <c r="E296" s="57">
        <f>+SUMIF('Chi tiết NVL'!$I:$I,$A296,'Chi tiết NVL'!N:N)</f>
        <v/>
      </c>
      <c r="F296" s="57">
        <f>+SUMIF('Chi tiết NVL'!$I:$I,$A296,'Chi tiết NVL'!O:O)</f>
        <v/>
      </c>
      <c r="G296" s="57">
        <f>+SUMIF('Chi tiết NVL'!$I:$I,$A296,'Chi tiết NVL'!P:P)</f>
        <v/>
      </c>
      <c r="H296" s="57">
        <f>+SUMIF('Chi tiết NVL'!$I:$I,$A296,'Chi tiết NVL'!Q:Q)</f>
        <v/>
      </c>
      <c r="I296" s="57">
        <f>+SUMIF('Chi tiết NVL'!$I:$I,$A296,'Chi tiết NVL'!R:R)</f>
        <v/>
      </c>
      <c r="J296" s="57">
        <f>+SUMIF('Chi tiết NVL'!$I:$I,$A296,'Chi tiết NVL'!S:S)</f>
        <v/>
      </c>
    </row>
    <row r="297">
      <c r="A297" s="56" t="inlineStr">
        <is>
          <t>Thép tấm Q355/A572 70lyx335x5032</t>
        </is>
      </c>
      <c r="B297" s="56">
        <f>+VLOOKUP(A297,'Chi tiết NVL'!$I$10:$J$4158,2,0)</f>
        <v/>
      </c>
      <c r="C297" s="57">
        <f>+SUMIF('Chi tiết NVL'!$I:$I,$A297,'Chi tiết NVL'!L:L)</f>
        <v/>
      </c>
      <c r="D297" s="57">
        <f>+SUMIF('Chi tiết NVL'!$I:$I,$A297,'Chi tiết NVL'!M:M)</f>
        <v/>
      </c>
      <c r="E297" s="57">
        <f>+SUMIF('Chi tiết NVL'!$I:$I,$A297,'Chi tiết NVL'!N:N)</f>
        <v/>
      </c>
      <c r="F297" s="57">
        <f>+SUMIF('Chi tiết NVL'!$I:$I,$A297,'Chi tiết NVL'!O:O)</f>
        <v/>
      </c>
      <c r="G297" s="57">
        <f>+SUMIF('Chi tiết NVL'!$I:$I,$A297,'Chi tiết NVL'!P:P)</f>
        <v/>
      </c>
      <c r="H297" s="57">
        <f>+SUMIF('Chi tiết NVL'!$I:$I,$A297,'Chi tiết NVL'!Q:Q)</f>
        <v/>
      </c>
      <c r="I297" s="57">
        <f>+SUMIF('Chi tiết NVL'!$I:$I,$A297,'Chi tiết NVL'!R:R)</f>
        <v/>
      </c>
      <c r="J297" s="57">
        <f>+SUMIF('Chi tiết NVL'!$I:$I,$A297,'Chi tiết NVL'!S:S)</f>
        <v/>
      </c>
    </row>
    <row r="298">
      <c r="A298" s="56" t="inlineStr">
        <is>
          <t>Thép tấm Q355/A572 70lyx335x2740</t>
        </is>
      </c>
      <c r="B298" s="56">
        <f>+VLOOKUP(A298,'Chi tiết NVL'!$I$10:$J$4158,2,0)</f>
        <v/>
      </c>
      <c r="C298" s="57">
        <f>+SUMIF('Chi tiết NVL'!$I:$I,$A298,'Chi tiết NVL'!L:L)</f>
        <v/>
      </c>
      <c r="D298" s="57">
        <f>+SUMIF('Chi tiết NVL'!$I:$I,$A298,'Chi tiết NVL'!M:M)</f>
        <v/>
      </c>
      <c r="E298" s="57">
        <f>+SUMIF('Chi tiết NVL'!$I:$I,$A298,'Chi tiết NVL'!N:N)</f>
        <v/>
      </c>
      <c r="F298" s="57">
        <f>+SUMIF('Chi tiết NVL'!$I:$I,$A298,'Chi tiết NVL'!O:O)</f>
        <v/>
      </c>
      <c r="G298" s="57">
        <f>+SUMIF('Chi tiết NVL'!$I:$I,$A298,'Chi tiết NVL'!P:P)</f>
        <v/>
      </c>
      <c r="H298" s="57">
        <f>+SUMIF('Chi tiết NVL'!$I:$I,$A298,'Chi tiết NVL'!Q:Q)</f>
        <v/>
      </c>
      <c r="I298" s="57">
        <f>+SUMIF('Chi tiết NVL'!$I:$I,$A298,'Chi tiết NVL'!R:R)</f>
        <v/>
      </c>
      <c r="J298" s="57">
        <f>+SUMIF('Chi tiết NVL'!$I:$I,$A298,'Chi tiết NVL'!S:S)</f>
        <v/>
      </c>
    </row>
    <row r="299">
      <c r="A299" s="56" t="inlineStr">
        <is>
          <t>Thép tấm Q355/A572 70lyx335x3482</t>
        </is>
      </c>
      <c r="B299" s="56">
        <f>+VLOOKUP(A299,'Chi tiết NVL'!$I$10:$J$4158,2,0)</f>
        <v/>
      </c>
      <c r="C299" s="57">
        <f>+SUMIF('Chi tiết NVL'!$I:$I,$A299,'Chi tiết NVL'!L:L)</f>
        <v/>
      </c>
      <c r="D299" s="57">
        <f>+SUMIF('Chi tiết NVL'!$I:$I,$A299,'Chi tiết NVL'!M:M)</f>
        <v/>
      </c>
      <c r="E299" s="57">
        <f>+SUMIF('Chi tiết NVL'!$I:$I,$A299,'Chi tiết NVL'!N:N)</f>
        <v/>
      </c>
      <c r="F299" s="57">
        <f>+SUMIF('Chi tiết NVL'!$I:$I,$A299,'Chi tiết NVL'!O:O)</f>
        <v/>
      </c>
      <c r="G299" s="57">
        <f>+SUMIF('Chi tiết NVL'!$I:$I,$A299,'Chi tiết NVL'!P:P)</f>
        <v/>
      </c>
      <c r="H299" s="57">
        <f>+SUMIF('Chi tiết NVL'!$I:$I,$A299,'Chi tiết NVL'!Q:Q)</f>
        <v/>
      </c>
      <c r="I299" s="57">
        <f>+SUMIF('Chi tiết NVL'!$I:$I,$A299,'Chi tiết NVL'!R:R)</f>
        <v/>
      </c>
      <c r="J299" s="57">
        <f>+SUMIF('Chi tiết NVL'!$I:$I,$A299,'Chi tiết NVL'!S:S)</f>
        <v/>
      </c>
    </row>
    <row r="300">
      <c r="A300" s="56" t="inlineStr">
        <is>
          <t>Thép tấm Q355/A572 70lyx335x3232</t>
        </is>
      </c>
      <c r="B300" s="56">
        <f>+VLOOKUP(A300,'Chi tiết NVL'!$I$10:$J$4158,2,0)</f>
        <v/>
      </c>
      <c r="C300" s="57">
        <f>+SUMIF('Chi tiết NVL'!$I:$I,$A300,'Chi tiết NVL'!L:L)</f>
        <v/>
      </c>
      <c r="D300" s="57">
        <f>+SUMIF('Chi tiết NVL'!$I:$I,$A300,'Chi tiết NVL'!M:M)</f>
        <v/>
      </c>
      <c r="E300" s="57">
        <f>+SUMIF('Chi tiết NVL'!$I:$I,$A300,'Chi tiết NVL'!N:N)</f>
        <v/>
      </c>
      <c r="F300" s="57">
        <f>+SUMIF('Chi tiết NVL'!$I:$I,$A300,'Chi tiết NVL'!O:O)</f>
        <v/>
      </c>
      <c r="G300" s="57">
        <f>+SUMIF('Chi tiết NVL'!$I:$I,$A300,'Chi tiết NVL'!P:P)</f>
        <v/>
      </c>
      <c r="H300" s="57">
        <f>+SUMIF('Chi tiết NVL'!$I:$I,$A300,'Chi tiết NVL'!Q:Q)</f>
        <v/>
      </c>
      <c r="I300" s="57">
        <f>+SUMIF('Chi tiết NVL'!$I:$I,$A300,'Chi tiết NVL'!R:R)</f>
        <v/>
      </c>
      <c r="J300" s="57">
        <f>+SUMIF('Chi tiết NVL'!$I:$I,$A300,'Chi tiết NVL'!S:S)</f>
        <v/>
      </c>
    </row>
    <row r="301">
      <c r="A301" s="56" t="inlineStr">
        <is>
          <t>Thép tấm Q355/A572 70lyx335x4782</t>
        </is>
      </c>
      <c r="B301" s="56">
        <f>+VLOOKUP(A301,'Chi tiết NVL'!$I$10:$J$4158,2,0)</f>
        <v/>
      </c>
      <c r="C301" s="57">
        <f>+SUMIF('Chi tiết NVL'!$I:$I,$A301,'Chi tiết NVL'!L:L)</f>
        <v/>
      </c>
      <c r="D301" s="57">
        <f>+SUMIF('Chi tiết NVL'!$I:$I,$A301,'Chi tiết NVL'!M:M)</f>
        <v/>
      </c>
      <c r="E301" s="57">
        <f>+SUMIF('Chi tiết NVL'!$I:$I,$A301,'Chi tiết NVL'!N:N)</f>
        <v/>
      </c>
      <c r="F301" s="57">
        <f>+SUMIF('Chi tiết NVL'!$I:$I,$A301,'Chi tiết NVL'!O:O)</f>
        <v/>
      </c>
      <c r="G301" s="57">
        <f>+SUMIF('Chi tiết NVL'!$I:$I,$A301,'Chi tiết NVL'!P:P)</f>
        <v/>
      </c>
      <c r="H301" s="57">
        <f>+SUMIF('Chi tiết NVL'!$I:$I,$A301,'Chi tiết NVL'!Q:Q)</f>
        <v/>
      </c>
      <c r="I301" s="57">
        <f>+SUMIF('Chi tiết NVL'!$I:$I,$A301,'Chi tiết NVL'!R:R)</f>
        <v/>
      </c>
      <c r="J301" s="57">
        <f>+SUMIF('Chi tiết NVL'!$I:$I,$A301,'Chi tiết NVL'!S:S)</f>
        <v/>
      </c>
    </row>
    <row r="302">
      <c r="A302" s="56" t="inlineStr">
        <is>
          <t>Thép tấm Q355/A572 70lyx335x2490</t>
        </is>
      </c>
      <c r="B302" s="56">
        <f>+VLOOKUP(A302,'Chi tiết NVL'!$I$10:$J$4158,2,0)</f>
        <v/>
      </c>
      <c r="C302" s="57">
        <f>+SUMIF('Chi tiết NVL'!$I:$I,$A302,'Chi tiết NVL'!L:L)</f>
        <v/>
      </c>
      <c r="D302" s="57">
        <f>+SUMIF('Chi tiết NVL'!$I:$I,$A302,'Chi tiết NVL'!M:M)</f>
        <v/>
      </c>
      <c r="E302" s="57">
        <f>+SUMIF('Chi tiết NVL'!$I:$I,$A302,'Chi tiết NVL'!N:N)</f>
        <v/>
      </c>
      <c r="F302" s="57">
        <f>+SUMIF('Chi tiết NVL'!$I:$I,$A302,'Chi tiết NVL'!O:O)</f>
        <v/>
      </c>
      <c r="G302" s="57">
        <f>+SUMIF('Chi tiết NVL'!$I:$I,$A302,'Chi tiết NVL'!P:P)</f>
        <v/>
      </c>
      <c r="H302" s="57">
        <f>+SUMIF('Chi tiết NVL'!$I:$I,$A302,'Chi tiết NVL'!Q:Q)</f>
        <v/>
      </c>
      <c r="I302" s="57">
        <f>+SUMIF('Chi tiết NVL'!$I:$I,$A302,'Chi tiết NVL'!R:R)</f>
        <v/>
      </c>
      <c r="J302" s="57">
        <f>+SUMIF('Chi tiết NVL'!$I:$I,$A302,'Chi tiết NVL'!S:S)</f>
        <v/>
      </c>
    </row>
    <row r="303">
      <c r="A303" s="56" t="inlineStr">
        <is>
          <t>Thép tấm Q355/A572 80lyx330x3482</t>
        </is>
      </c>
      <c r="B303" s="56">
        <f>+VLOOKUP(A303,'Chi tiết NVL'!$I$10:$J$4158,2,0)</f>
        <v/>
      </c>
      <c r="C303" s="57">
        <f>+SUMIF('Chi tiết NVL'!$I:$I,$A303,'Chi tiết NVL'!L:L)</f>
        <v/>
      </c>
      <c r="D303" s="57">
        <f>+SUMIF('Chi tiết NVL'!$I:$I,$A303,'Chi tiết NVL'!M:M)</f>
        <v/>
      </c>
      <c r="E303" s="57">
        <f>+SUMIF('Chi tiết NVL'!$I:$I,$A303,'Chi tiết NVL'!N:N)</f>
        <v/>
      </c>
      <c r="F303" s="57">
        <f>+SUMIF('Chi tiết NVL'!$I:$I,$A303,'Chi tiết NVL'!O:O)</f>
        <v/>
      </c>
      <c r="G303" s="57">
        <f>+SUMIF('Chi tiết NVL'!$I:$I,$A303,'Chi tiết NVL'!P:P)</f>
        <v/>
      </c>
      <c r="H303" s="57">
        <f>+SUMIF('Chi tiết NVL'!$I:$I,$A303,'Chi tiết NVL'!Q:Q)</f>
        <v/>
      </c>
      <c r="I303" s="57">
        <f>+SUMIF('Chi tiết NVL'!$I:$I,$A303,'Chi tiết NVL'!R:R)</f>
        <v/>
      </c>
      <c r="J303" s="57">
        <f>+SUMIF('Chi tiết NVL'!$I:$I,$A303,'Chi tiết NVL'!S:S)</f>
        <v/>
      </c>
    </row>
    <row r="304">
      <c r="A304" s="56" t="inlineStr">
        <is>
          <t>Thép tấm Q355/A572 90lyx450x2742</t>
        </is>
      </c>
      <c r="B304" s="56">
        <f>+VLOOKUP(A304,'Chi tiết NVL'!$I$10:$J$4158,2,0)</f>
        <v/>
      </c>
      <c r="C304" s="57">
        <f>+SUMIF('Chi tiết NVL'!$I:$I,$A304,'Chi tiết NVL'!L:L)</f>
        <v/>
      </c>
      <c r="D304" s="57">
        <f>+SUMIF('Chi tiết NVL'!$I:$I,$A304,'Chi tiết NVL'!M:M)</f>
        <v/>
      </c>
      <c r="E304" s="57">
        <f>+SUMIF('Chi tiết NVL'!$I:$I,$A304,'Chi tiết NVL'!N:N)</f>
        <v/>
      </c>
      <c r="F304" s="57">
        <f>+SUMIF('Chi tiết NVL'!$I:$I,$A304,'Chi tiết NVL'!O:O)</f>
        <v/>
      </c>
      <c r="G304" s="57">
        <f>+SUMIF('Chi tiết NVL'!$I:$I,$A304,'Chi tiết NVL'!P:P)</f>
        <v/>
      </c>
      <c r="H304" s="57">
        <f>+SUMIF('Chi tiết NVL'!$I:$I,$A304,'Chi tiết NVL'!Q:Q)</f>
        <v/>
      </c>
      <c r="I304" s="57">
        <f>+SUMIF('Chi tiết NVL'!$I:$I,$A304,'Chi tiết NVL'!R:R)</f>
        <v/>
      </c>
      <c r="J304" s="57">
        <f>+SUMIF('Chi tiết NVL'!$I:$I,$A304,'Chi tiết NVL'!S:S)</f>
        <v/>
      </c>
    </row>
    <row r="305">
      <c r="A305" s="56" t="inlineStr">
        <is>
          <t>Thép tấm Q355/A572 90lyx450x3482</t>
        </is>
      </c>
      <c r="B305" s="56">
        <f>+VLOOKUP(A305,'Chi tiết NVL'!$I$10:$J$4158,2,0)</f>
        <v/>
      </c>
      <c r="C305" s="57">
        <f>+SUMIF('Chi tiết NVL'!$I:$I,$A305,'Chi tiết NVL'!L:L)</f>
        <v/>
      </c>
      <c r="D305" s="57">
        <f>+SUMIF('Chi tiết NVL'!$I:$I,$A305,'Chi tiết NVL'!M:M)</f>
        <v/>
      </c>
      <c r="E305" s="57">
        <f>+SUMIF('Chi tiết NVL'!$I:$I,$A305,'Chi tiết NVL'!N:N)</f>
        <v/>
      </c>
      <c r="F305" s="57">
        <f>+SUMIF('Chi tiết NVL'!$I:$I,$A305,'Chi tiết NVL'!O:O)</f>
        <v/>
      </c>
      <c r="G305" s="57">
        <f>+SUMIF('Chi tiết NVL'!$I:$I,$A305,'Chi tiết NVL'!P:P)</f>
        <v/>
      </c>
      <c r="H305" s="57">
        <f>+SUMIF('Chi tiết NVL'!$I:$I,$A305,'Chi tiết NVL'!Q:Q)</f>
        <v/>
      </c>
      <c r="I305" s="57">
        <f>+SUMIF('Chi tiết NVL'!$I:$I,$A305,'Chi tiết NVL'!R:R)</f>
        <v/>
      </c>
      <c r="J305" s="57">
        <f>+SUMIF('Chi tiết NVL'!$I:$I,$A305,'Chi tiết NVL'!S:S)</f>
        <v/>
      </c>
    </row>
    <row r="306">
      <c r="A306" s="56" t="inlineStr">
        <is>
          <t>Thép tấm Q355/A572 90lyx450x2492</t>
        </is>
      </c>
      <c r="B306" s="56">
        <f>+VLOOKUP(A306,'Chi tiết NVL'!$I$10:$J$4158,2,0)</f>
        <v/>
      </c>
      <c r="C306" s="57">
        <f>+SUMIF('Chi tiết NVL'!$I:$I,$A306,'Chi tiết NVL'!L:L)</f>
        <v/>
      </c>
      <c r="D306" s="57">
        <f>+SUMIF('Chi tiết NVL'!$I:$I,$A306,'Chi tiết NVL'!M:M)</f>
        <v/>
      </c>
      <c r="E306" s="57">
        <f>+SUMIF('Chi tiết NVL'!$I:$I,$A306,'Chi tiết NVL'!N:N)</f>
        <v/>
      </c>
      <c r="F306" s="57">
        <f>+SUMIF('Chi tiết NVL'!$I:$I,$A306,'Chi tiết NVL'!O:O)</f>
        <v/>
      </c>
      <c r="G306" s="57">
        <f>+SUMIF('Chi tiết NVL'!$I:$I,$A306,'Chi tiết NVL'!P:P)</f>
        <v/>
      </c>
      <c r="H306" s="57">
        <f>+SUMIF('Chi tiết NVL'!$I:$I,$A306,'Chi tiết NVL'!Q:Q)</f>
        <v/>
      </c>
      <c r="I306" s="57">
        <f>+SUMIF('Chi tiết NVL'!$I:$I,$A306,'Chi tiết NVL'!R:R)</f>
        <v/>
      </c>
      <c r="J306" s="57">
        <f>+SUMIF('Chi tiết NVL'!$I:$I,$A306,'Chi tiết NVL'!S:S)</f>
        <v/>
      </c>
    </row>
    <row r="307">
      <c r="A307" s="56" t="inlineStr">
        <is>
          <t>Thép tấm Q355/A572 90lyx450x3232</t>
        </is>
      </c>
      <c r="B307" s="56">
        <f>+VLOOKUP(A307,'Chi tiết NVL'!$I$10:$J$4158,2,0)</f>
        <v/>
      </c>
      <c r="C307" s="57">
        <f>+SUMIF('Chi tiết NVL'!$I:$I,$A307,'Chi tiết NVL'!L:L)</f>
        <v/>
      </c>
      <c r="D307" s="57">
        <f>+SUMIF('Chi tiết NVL'!$I:$I,$A307,'Chi tiết NVL'!M:M)</f>
        <v/>
      </c>
      <c r="E307" s="57">
        <f>+SUMIF('Chi tiết NVL'!$I:$I,$A307,'Chi tiết NVL'!N:N)</f>
        <v/>
      </c>
      <c r="F307" s="57">
        <f>+SUMIF('Chi tiết NVL'!$I:$I,$A307,'Chi tiết NVL'!O:O)</f>
        <v/>
      </c>
      <c r="G307" s="57">
        <f>+SUMIF('Chi tiết NVL'!$I:$I,$A307,'Chi tiết NVL'!P:P)</f>
        <v/>
      </c>
      <c r="H307" s="57">
        <f>+SUMIF('Chi tiết NVL'!$I:$I,$A307,'Chi tiết NVL'!Q:Q)</f>
        <v/>
      </c>
      <c r="I307" s="57">
        <f>+SUMIF('Chi tiết NVL'!$I:$I,$A307,'Chi tiết NVL'!R:R)</f>
        <v/>
      </c>
      <c r="J307" s="57">
        <f>+SUMIF('Chi tiết NVL'!$I:$I,$A307,'Chi tiết NVL'!S:S)</f>
        <v/>
      </c>
    </row>
    <row r="308">
      <c r="A308" s="56" t="inlineStr">
        <is>
          <t>Thép tấm Q355/A572 90lyx450x5032</t>
        </is>
      </c>
      <c r="B308" s="56">
        <f>+VLOOKUP(A308,'Chi tiết NVL'!$I$10:$J$4158,2,0)</f>
        <v/>
      </c>
      <c r="C308" s="57">
        <f>+SUMIF('Chi tiết NVL'!$I:$I,$A308,'Chi tiết NVL'!L:L)</f>
        <v/>
      </c>
      <c r="D308" s="57">
        <f>+SUMIF('Chi tiết NVL'!$I:$I,$A308,'Chi tiết NVL'!M:M)</f>
        <v/>
      </c>
      <c r="E308" s="57">
        <f>+SUMIF('Chi tiết NVL'!$I:$I,$A308,'Chi tiết NVL'!N:N)</f>
        <v/>
      </c>
      <c r="F308" s="57">
        <f>+SUMIF('Chi tiết NVL'!$I:$I,$A308,'Chi tiết NVL'!O:O)</f>
        <v/>
      </c>
      <c r="G308" s="57">
        <f>+SUMIF('Chi tiết NVL'!$I:$I,$A308,'Chi tiết NVL'!P:P)</f>
        <v/>
      </c>
      <c r="H308" s="57">
        <f>+SUMIF('Chi tiết NVL'!$I:$I,$A308,'Chi tiết NVL'!Q:Q)</f>
        <v/>
      </c>
      <c r="I308" s="57">
        <f>+SUMIF('Chi tiết NVL'!$I:$I,$A308,'Chi tiết NVL'!R:R)</f>
        <v/>
      </c>
      <c r="J308" s="57">
        <f>+SUMIF('Chi tiết NVL'!$I:$I,$A308,'Chi tiết NVL'!S:S)</f>
        <v/>
      </c>
    </row>
    <row r="309">
      <c r="A309" s="56" t="inlineStr">
        <is>
          <t>Thép tấm Q355/A572 90lyx450x2740</t>
        </is>
      </c>
      <c r="B309" s="56">
        <f>+VLOOKUP(A309,'Chi tiết NVL'!$I$10:$J$4158,2,0)</f>
        <v/>
      </c>
      <c r="C309" s="57">
        <f>+SUMIF('Chi tiết NVL'!$I:$I,$A309,'Chi tiết NVL'!L:L)</f>
        <v/>
      </c>
      <c r="D309" s="57">
        <f>+SUMIF('Chi tiết NVL'!$I:$I,$A309,'Chi tiết NVL'!M:M)</f>
        <v/>
      </c>
      <c r="E309" s="57">
        <f>+SUMIF('Chi tiết NVL'!$I:$I,$A309,'Chi tiết NVL'!N:N)</f>
        <v/>
      </c>
      <c r="F309" s="57">
        <f>+SUMIF('Chi tiết NVL'!$I:$I,$A309,'Chi tiết NVL'!O:O)</f>
        <v/>
      </c>
      <c r="G309" s="57">
        <f>+SUMIF('Chi tiết NVL'!$I:$I,$A309,'Chi tiết NVL'!P:P)</f>
        <v/>
      </c>
      <c r="H309" s="57">
        <f>+SUMIF('Chi tiết NVL'!$I:$I,$A309,'Chi tiết NVL'!Q:Q)</f>
        <v/>
      </c>
      <c r="I309" s="57">
        <f>+SUMIF('Chi tiết NVL'!$I:$I,$A309,'Chi tiết NVL'!R:R)</f>
        <v/>
      </c>
      <c r="J309" s="57">
        <f>+SUMIF('Chi tiết NVL'!$I:$I,$A309,'Chi tiết NVL'!S:S)</f>
        <v/>
      </c>
    </row>
    <row r="310">
      <c r="A310" s="56" t="inlineStr">
        <is>
          <t>Thép tấm Q355/A572 90lyx450x4782</t>
        </is>
      </c>
      <c r="B310" s="56">
        <f>+VLOOKUP(A310,'Chi tiết NVL'!$I$10:$J$4158,2,0)</f>
        <v/>
      </c>
      <c r="C310" s="57">
        <f>+SUMIF('Chi tiết NVL'!$I:$I,$A310,'Chi tiết NVL'!L:L)</f>
        <v/>
      </c>
      <c r="D310" s="57">
        <f>+SUMIF('Chi tiết NVL'!$I:$I,$A310,'Chi tiết NVL'!M:M)</f>
        <v/>
      </c>
      <c r="E310" s="57">
        <f>+SUMIF('Chi tiết NVL'!$I:$I,$A310,'Chi tiết NVL'!N:N)</f>
        <v/>
      </c>
      <c r="F310" s="57">
        <f>+SUMIF('Chi tiết NVL'!$I:$I,$A310,'Chi tiết NVL'!O:O)</f>
        <v/>
      </c>
      <c r="G310" s="57">
        <f>+SUMIF('Chi tiết NVL'!$I:$I,$A310,'Chi tiết NVL'!P:P)</f>
        <v/>
      </c>
      <c r="H310" s="57">
        <f>+SUMIF('Chi tiết NVL'!$I:$I,$A310,'Chi tiết NVL'!Q:Q)</f>
        <v/>
      </c>
      <c r="I310" s="57">
        <f>+SUMIF('Chi tiết NVL'!$I:$I,$A310,'Chi tiết NVL'!R:R)</f>
        <v/>
      </c>
      <c r="J310" s="57">
        <f>+SUMIF('Chi tiết NVL'!$I:$I,$A310,'Chi tiết NVL'!S:S)</f>
        <v/>
      </c>
    </row>
    <row r="311">
      <c r="A311" s="56" t="inlineStr">
        <is>
          <t>Thép tấm Q355/A572 90lyx450x2490</t>
        </is>
      </c>
      <c r="B311" s="56">
        <f>+VLOOKUP(A311,'Chi tiết NVL'!$I$10:$J$4158,2,0)</f>
        <v/>
      </c>
      <c r="C311" s="57">
        <f>+SUMIF('Chi tiết NVL'!$I:$I,$A311,'Chi tiết NVL'!L:L)</f>
        <v/>
      </c>
      <c r="D311" s="57">
        <f>+SUMIF('Chi tiết NVL'!$I:$I,$A311,'Chi tiết NVL'!M:M)</f>
        <v/>
      </c>
      <c r="E311" s="57">
        <f>+SUMIF('Chi tiết NVL'!$I:$I,$A311,'Chi tiết NVL'!N:N)</f>
        <v/>
      </c>
      <c r="F311" s="57">
        <f>+SUMIF('Chi tiết NVL'!$I:$I,$A311,'Chi tiết NVL'!O:O)</f>
        <v/>
      </c>
      <c r="G311" s="57">
        <f>+SUMIF('Chi tiết NVL'!$I:$I,$A311,'Chi tiết NVL'!P:P)</f>
        <v/>
      </c>
      <c r="H311" s="57">
        <f>+SUMIF('Chi tiết NVL'!$I:$I,$A311,'Chi tiết NVL'!Q:Q)</f>
        <v/>
      </c>
      <c r="I311" s="57">
        <f>+SUMIF('Chi tiết NVL'!$I:$I,$A311,'Chi tiết NVL'!R:R)</f>
        <v/>
      </c>
      <c r="J311" s="57">
        <f>+SUMIF('Chi tiết NVL'!$I:$I,$A311,'Chi tiết NVL'!S:S)</f>
        <v/>
      </c>
    </row>
    <row r="312">
      <c r="A312" s="56" t="inlineStr">
        <is>
          <t>Thép tấm (120x467x9400mm)</t>
        </is>
      </c>
      <c r="B312" s="56">
        <f>+VLOOKUP(A312,'Chi tiết NVL'!$I$10:$J$4158,2,0)</f>
        <v/>
      </c>
      <c r="C312" s="57">
        <f>+SUMIF('Chi tiết NVL'!$I:$I,$A312,'Chi tiết NVL'!L:L)</f>
        <v/>
      </c>
      <c r="D312" s="57">
        <f>+SUMIF('Chi tiết NVL'!$I:$I,$A312,'Chi tiết NVL'!M:M)</f>
        <v/>
      </c>
      <c r="E312" s="57">
        <f>+SUMIF('Chi tiết NVL'!$I:$I,$A312,'Chi tiết NVL'!N:N)</f>
        <v/>
      </c>
      <c r="F312" s="57">
        <f>+SUMIF('Chi tiết NVL'!$I:$I,$A312,'Chi tiết NVL'!O:O)</f>
        <v/>
      </c>
      <c r="G312" s="57">
        <f>+SUMIF('Chi tiết NVL'!$I:$I,$A312,'Chi tiết NVL'!P:P)</f>
        <v/>
      </c>
      <c r="H312" s="57">
        <f>+SUMIF('Chi tiết NVL'!$I:$I,$A312,'Chi tiết NVL'!Q:Q)</f>
        <v/>
      </c>
      <c r="I312" s="57">
        <f>+SUMIF('Chi tiết NVL'!$I:$I,$A312,'Chi tiết NVL'!R:R)</f>
        <v/>
      </c>
      <c r="J312" s="57">
        <f>+SUMIF('Chi tiết NVL'!$I:$I,$A312,'Chi tiết NVL'!S:S)</f>
        <v/>
      </c>
    </row>
    <row r="313">
      <c r="A313" s="56" t="inlineStr">
        <is>
          <t>Thép tấm (120x467x3482mm)</t>
        </is>
      </c>
      <c r="B313" s="56">
        <f>+VLOOKUP(A313,'Chi tiết NVL'!$I$10:$J$4158,2,0)</f>
        <v/>
      </c>
      <c r="C313" s="57">
        <f>+SUMIF('Chi tiết NVL'!$I:$I,$A313,'Chi tiết NVL'!L:L)</f>
        <v/>
      </c>
      <c r="D313" s="57">
        <f>+SUMIF('Chi tiết NVL'!$I:$I,$A313,'Chi tiết NVL'!M:M)</f>
        <v/>
      </c>
      <c r="E313" s="57">
        <f>+SUMIF('Chi tiết NVL'!$I:$I,$A313,'Chi tiết NVL'!N:N)</f>
        <v/>
      </c>
      <c r="F313" s="57">
        <f>+SUMIF('Chi tiết NVL'!$I:$I,$A313,'Chi tiết NVL'!O:O)</f>
        <v/>
      </c>
      <c r="G313" s="57">
        <f>+SUMIF('Chi tiết NVL'!$I:$I,$A313,'Chi tiết NVL'!P:P)</f>
        <v/>
      </c>
      <c r="H313" s="57">
        <f>+SUMIF('Chi tiết NVL'!$I:$I,$A313,'Chi tiết NVL'!Q:Q)</f>
        <v/>
      </c>
      <c r="I313" s="57">
        <f>+SUMIF('Chi tiết NVL'!$I:$I,$A313,'Chi tiết NVL'!R:R)</f>
        <v/>
      </c>
      <c r="J313" s="57">
        <f>+SUMIF('Chi tiết NVL'!$I:$I,$A313,'Chi tiết NVL'!S:S)</f>
        <v/>
      </c>
    </row>
    <row r="314">
      <c r="A314" s="56" t="inlineStr">
        <is>
          <t>Thép tấm (120x900x900mm)</t>
        </is>
      </c>
      <c r="B314" s="56">
        <f>+VLOOKUP(A314,'Chi tiết NVL'!$I$10:$J$4158,2,0)</f>
        <v/>
      </c>
      <c r="C314" s="57">
        <f>+SUMIF('Chi tiết NVL'!$I:$I,$A314,'Chi tiết NVL'!L:L)</f>
        <v/>
      </c>
      <c r="D314" s="57">
        <f>+SUMIF('Chi tiết NVL'!$I:$I,$A314,'Chi tiết NVL'!M:M)</f>
        <v/>
      </c>
      <c r="E314" s="57">
        <f>+SUMIF('Chi tiết NVL'!$I:$I,$A314,'Chi tiết NVL'!N:N)</f>
        <v/>
      </c>
      <c r="F314" s="57">
        <f>+SUMIF('Chi tiết NVL'!$I:$I,$A314,'Chi tiết NVL'!O:O)</f>
        <v/>
      </c>
      <c r="G314" s="57">
        <f>+SUMIF('Chi tiết NVL'!$I:$I,$A314,'Chi tiết NVL'!P:P)</f>
        <v/>
      </c>
      <c r="H314" s="57">
        <f>+SUMIF('Chi tiết NVL'!$I:$I,$A314,'Chi tiết NVL'!Q:Q)</f>
        <v/>
      </c>
      <c r="I314" s="57">
        <f>+SUMIF('Chi tiết NVL'!$I:$I,$A314,'Chi tiết NVL'!R:R)</f>
        <v/>
      </c>
      <c r="J314" s="57">
        <f>+SUMIF('Chi tiết NVL'!$I:$I,$A314,'Chi tiết NVL'!S:S)</f>
        <v/>
      </c>
    </row>
    <row r="315">
      <c r="A315" s="56" t="inlineStr">
        <is>
          <t>Thép tấm (55x2000x9000mm)</t>
        </is>
      </c>
      <c r="B315" s="56">
        <f>+VLOOKUP(A315,'Chi tiết NVL'!$I$10:$J$4158,2,0)</f>
        <v/>
      </c>
      <c r="C315" s="57">
        <f>+SUMIF('Chi tiết NVL'!$I:$I,$A315,'Chi tiết NVL'!L:L)</f>
        <v/>
      </c>
      <c r="D315" s="57">
        <f>+SUMIF('Chi tiết NVL'!$I:$I,$A315,'Chi tiết NVL'!M:M)</f>
        <v/>
      </c>
      <c r="E315" s="57">
        <f>+SUMIF('Chi tiết NVL'!$I:$I,$A315,'Chi tiết NVL'!N:N)</f>
        <v/>
      </c>
      <c r="F315" s="57">
        <f>+SUMIF('Chi tiết NVL'!$I:$I,$A315,'Chi tiết NVL'!O:O)</f>
        <v/>
      </c>
      <c r="G315" s="57">
        <f>+SUMIF('Chi tiết NVL'!$I:$I,$A315,'Chi tiết NVL'!P:P)</f>
        <v/>
      </c>
      <c r="H315" s="57">
        <f>+SUMIF('Chi tiết NVL'!$I:$I,$A315,'Chi tiết NVL'!Q:Q)</f>
        <v/>
      </c>
      <c r="I315" s="57">
        <f>+SUMIF('Chi tiết NVL'!$I:$I,$A315,'Chi tiết NVL'!R:R)</f>
        <v/>
      </c>
      <c r="J315" s="57">
        <f>+SUMIF('Chi tiết NVL'!$I:$I,$A315,'Chi tiết NVL'!S:S)</f>
        <v/>
      </c>
    </row>
    <row r="316">
      <c r="A316" s="56" t="inlineStr">
        <is>
          <t>Thép tấm (55x2000x3000mm)</t>
        </is>
      </c>
      <c r="B316" s="56">
        <f>+VLOOKUP(A316,'Chi tiết NVL'!$I$10:$J$4158,2,0)</f>
        <v/>
      </c>
      <c r="C316" s="57">
        <f>+SUMIF('Chi tiết NVL'!$I:$I,$A316,'Chi tiết NVL'!L:L)</f>
        <v/>
      </c>
      <c r="D316" s="57">
        <f>+SUMIF('Chi tiết NVL'!$I:$I,$A316,'Chi tiết NVL'!M:M)</f>
        <v/>
      </c>
      <c r="E316" s="57">
        <f>+SUMIF('Chi tiết NVL'!$I:$I,$A316,'Chi tiết NVL'!N:N)</f>
        <v/>
      </c>
      <c r="F316" s="57">
        <f>+SUMIF('Chi tiết NVL'!$I:$I,$A316,'Chi tiết NVL'!O:O)</f>
        <v/>
      </c>
      <c r="G316" s="57">
        <f>+SUMIF('Chi tiết NVL'!$I:$I,$A316,'Chi tiết NVL'!P:P)</f>
        <v/>
      </c>
      <c r="H316" s="57">
        <f>+SUMIF('Chi tiết NVL'!$I:$I,$A316,'Chi tiết NVL'!Q:Q)</f>
        <v/>
      </c>
      <c r="I316" s="57">
        <f>+SUMIF('Chi tiết NVL'!$I:$I,$A316,'Chi tiết NVL'!R:R)</f>
        <v/>
      </c>
      <c r="J316" s="57">
        <f>+SUMIF('Chi tiết NVL'!$I:$I,$A316,'Chi tiết NVL'!S:S)</f>
        <v/>
      </c>
    </row>
    <row r="317">
      <c r="A317" s="56" t="inlineStr">
        <is>
          <t>SƠN FUTURA CLASSIC RAL7042 18.33L</t>
        </is>
      </c>
      <c r="B317" s="56">
        <f>+VLOOKUP(A317,'Chi tiết NVL'!$I$10:$J$4158,2,0)</f>
        <v/>
      </c>
      <c r="C317" s="57">
        <f>+SUMIF('Chi tiết NVL'!$I:$I,$A317,'Chi tiết NVL'!L:L)</f>
        <v/>
      </c>
      <c r="D317" s="57">
        <f>+SUMIF('Chi tiết NVL'!$I:$I,$A317,'Chi tiết NVL'!M:M)</f>
        <v/>
      </c>
      <c r="E317" s="57">
        <f>+SUMIF('Chi tiết NVL'!$I:$I,$A317,'Chi tiết NVL'!N:N)</f>
        <v/>
      </c>
      <c r="F317" s="57">
        <f>+SUMIF('Chi tiết NVL'!$I:$I,$A317,'Chi tiết NVL'!O:O)</f>
        <v/>
      </c>
      <c r="G317" s="57">
        <f>+SUMIF('Chi tiết NVL'!$I:$I,$A317,'Chi tiết NVL'!P:P)</f>
        <v/>
      </c>
      <c r="H317" s="57">
        <f>+SUMIF('Chi tiết NVL'!$I:$I,$A317,'Chi tiết NVL'!Q:Q)</f>
        <v/>
      </c>
      <c r="I317" s="57">
        <f>+SUMIF('Chi tiết NVL'!$I:$I,$A317,'Chi tiết NVL'!R:R)</f>
        <v/>
      </c>
      <c r="J317" s="57">
        <f>+SUMIF('Chi tiết NVL'!$I:$I,$A317,'Chi tiết NVL'!S:S)</f>
        <v/>
      </c>
    </row>
    <row r="318">
      <c r="A318" s="56" t="inlineStr">
        <is>
          <t>SƠN FUTURA CLASSIC RAL7000 18.37L</t>
        </is>
      </c>
      <c r="B318" s="56">
        <f>+VLOOKUP(A318,'Chi tiết NVL'!$I$10:$J$4158,2,0)</f>
        <v/>
      </c>
      <c r="C318" s="57">
        <f>+SUMIF('Chi tiết NVL'!$I:$I,$A318,'Chi tiết NVL'!L:L)</f>
        <v/>
      </c>
      <c r="D318" s="57">
        <f>+SUMIF('Chi tiết NVL'!$I:$I,$A318,'Chi tiết NVL'!M:M)</f>
        <v/>
      </c>
      <c r="E318" s="57">
        <f>+SUMIF('Chi tiết NVL'!$I:$I,$A318,'Chi tiết NVL'!N:N)</f>
        <v/>
      </c>
      <c r="F318" s="57">
        <f>+SUMIF('Chi tiết NVL'!$I:$I,$A318,'Chi tiết NVL'!O:O)</f>
        <v/>
      </c>
      <c r="G318" s="57">
        <f>+SUMIF('Chi tiết NVL'!$I:$I,$A318,'Chi tiết NVL'!P:P)</f>
        <v/>
      </c>
      <c r="H318" s="57">
        <f>+SUMIF('Chi tiết NVL'!$I:$I,$A318,'Chi tiết NVL'!Q:Q)</f>
        <v/>
      </c>
      <c r="I318" s="57">
        <f>+SUMIF('Chi tiết NVL'!$I:$I,$A318,'Chi tiết NVL'!R:R)</f>
        <v/>
      </c>
      <c r="J318" s="57">
        <f>+SUMIF('Chi tiết NVL'!$I:$I,$A318,'Chi tiết NVL'!S:S)</f>
        <v/>
      </c>
    </row>
    <row r="319">
      <c r="A319" s="56" t="inlineStr">
        <is>
          <t>Đinh hàn 5.6 M25x100</t>
        </is>
      </c>
      <c r="B319" s="56">
        <f>+VLOOKUP(A319,'Chi tiết NVL'!$I$10:$J$4158,2,0)</f>
        <v/>
      </c>
      <c r="C319" s="57">
        <f>+SUMIF('Chi tiết NVL'!$I:$I,$A319,'Chi tiết NVL'!L:L)</f>
        <v/>
      </c>
      <c r="D319" s="57">
        <f>+SUMIF('Chi tiết NVL'!$I:$I,$A319,'Chi tiết NVL'!M:M)</f>
        <v/>
      </c>
      <c r="E319" s="57">
        <f>+SUMIF('Chi tiết NVL'!$I:$I,$A319,'Chi tiết NVL'!N:N)</f>
        <v/>
      </c>
      <c r="F319" s="57">
        <f>+SUMIF('Chi tiết NVL'!$I:$I,$A319,'Chi tiết NVL'!O:O)</f>
        <v/>
      </c>
      <c r="G319" s="57">
        <f>+SUMIF('Chi tiết NVL'!$I:$I,$A319,'Chi tiết NVL'!P:P)</f>
        <v/>
      </c>
      <c r="H319" s="57">
        <f>+SUMIF('Chi tiết NVL'!$I:$I,$A319,'Chi tiết NVL'!Q:Q)</f>
        <v/>
      </c>
      <c r="I319" s="57">
        <f>+SUMIF('Chi tiết NVL'!$I:$I,$A319,'Chi tiết NVL'!R:R)</f>
        <v/>
      </c>
      <c r="J319" s="57">
        <f>+SUMIF('Chi tiết NVL'!$I:$I,$A319,'Chi tiết NVL'!S:S)</f>
        <v/>
      </c>
    </row>
    <row r="320">
      <c r="A320" s="56" t="inlineStr">
        <is>
          <t>Đai ốc thường 4 ZP M12 (8mm)</t>
        </is>
      </c>
      <c r="B320" s="56">
        <f>+VLOOKUP(A320,'Chi tiết NVL'!$I$10:$J$4158,2,0)</f>
        <v/>
      </c>
      <c r="C320" s="57">
        <f>+SUMIF('Chi tiết NVL'!$I:$I,$A320,'Chi tiết NVL'!L:L)</f>
        <v/>
      </c>
      <c r="D320" s="57">
        <f>+SUMIF('Chi tiết NVL'!$I:$I,$A320,'Chi tiết NVL'!M:M)</f>
        <v/>
      </c>
      <c r="E320" s="57">
        <f>+SUMIF('Chi tiết NVL'!$I:$I,$A320,'Chi tiết NVL'!N:N)</f>
        <v/>
      </c>
      <c r="F320" s="57">
        <f>+SUMIF('Chi tiết NVL'!$I:$I,$A320,'Chi tiết NVL'!O:O)</f>
        <v/>
      </c>
      <c r="G320" s="57">
        <f>+SUMIF('Chi tiết NVL'!$I:$I,$A320,'Chi tiết NVL'!P:P)</f>
        <v/>
      </c>
      <c r="H320" s="57">
        <f>+SUMIF('Chi tiết NVL'!$I:$I,$A320,'Chi tiết NVL'!Q:Q)</f>
        <v/>
      </c>
      <c r="I320" s="57">
        <f>+SUMIF('Chi tiết NVL'!$I:$I,$A320,'Chi tiết NVL'!R:R)</f>
        <v/>
      </c>
      <c r="J320" s="57">
        <f>+SUMIF('Chi tiết NVL'!$I:$I,$A320,'Chi tiết NVL'!S:S)</f>
        <v/>
      </c>
    </row>
    <row r="321">
      <c r="A321" s="56" t="inlineStr">
        <is>
          <t>Bulong Din 933 8.8 ZP M24x60</t>
        </is>
      </c>
      <c r="B321" s="56">
        <f>+VLOOKUP(A321,'Chi tiết NVL'!$I$10:$J$4158,2,0)</f>
        <v/>
      </c>
      <c r="C321" s="57">
        <f>+SUMIF('Chi tiết NVL'!$I:$I,$A321,'Chi tiết NVL'!L:L)</f>
        <v/>
      </c>
      <c r="D321" s="57">
        <f>+SUMIF('Chi tiết NVL'!$I:$I,$A321,'Chi tiết NVL'!M:M)</f>
        <v/>
      </c>
      <c r="E321" s="57">
        <f>+SUMIF('Chi tiết NVL'!$I:$I,$A321,'Chi tiết NVL'!N:N)</f>
        <v/>
      </c>
      <c r="F321" s="57">
        <f>+SUMIF('Chi tiết NVL'!$I:$I,$A321,'Chi tiết NVL'!O:O)</f>
        <v/>
      </c>
      <c r="G321" s="57">
        <f>+SUMIF('Chi tiết NVL'!$I:$I,$A321,'Chi tiết NVL'!P:P)</f>
        <v/>
      </c>
      <c r="H321" s="57">
        <f>+SUMIF('Chi tiết NVL'!$I:$I,$A321,'Chi tiết NVL'!Q:Q)</f>
        <v/>
      </c>
      <c r="I321" s="57">
        <f>+SUMIF('Chi tiết NVL'!$I:$I,$A321,'Chi tiết NVL'!R:R)</f>
        <v/>
      </c>
      <c r="J321" s="57">
        <f>+SUMIF('Chi tiết NVL'!$I:$I,$A321,'Chi tiết NVL'!S:S)</f>
        <v/>
      </c>
    </row>
    <row r="322">
      <c r="A322" s="56" t="inlineStr">
        <is>
          <t>Long đền thường ZP M24B40-42D2</t>
        </is>
      </c>
      <c r="B322" s="56">
        <f>+VLOOKUP(A322,'Chi tiết NVL'!$I$10:$J$4158,2,0)</f>
        <v/>
      </c>
      <c r="C322" s="57">
        <f>+SUMIF('Chi tiết NVL'!$I:$I,$A322,'Chi tiết NVL'!L:L)</f>
        <v/>
      </c>
      <c r="D322" s="57">
        <f>+SUMIF('Chi tiết NVL'!$I:$I,$A322,'Chi tiết NVL'!M:M)</f>
        <v/>
      </c>
      <c r="E322" s="57">
        <f>+SUMIF('Chi tiết NVL'!$I:$I,$A322,'Chi tiết NVL'!N:N)</f>
        <v/>
      </c>
      <c r="F322" s="57">
        <f>+SUMIF('Chi tiết NVL'!$I:$I,$A322,'Chi tiết NVL'!O:O)</f>
        <v/>
      </c>
      <c r="G322" s="57">
        <f>+SUMIF('Chi tiết NVL'!$I:$I,$A322,'Chi tiết NVL'!P:P)</f>
        <v/>
      </c>
      <c r="H322" s="57">
        <f>+SUMIF('Chi tiết NVL'!$I:$I,$A322,'Chi tiết NVL'!Q:Q)</f>
        <v/>
      </c>
      <c r="I322" s="57">
        <f>+SUMIF('Chi tiết NVL'!$I:$I,$A322,'Chi tiết NVL'!R:R)</f>
        <v/>
      </c>
      <c r="J322" s="57">
        <f>+SUMIF('Chi tiết NVL'!$I:$I,$A322,'Chi tiết NVL'!S:S)</f>
        <v/>
      </c>
    </row>
    <row r="323">
      <c r="A323" s="56" t="inlineStr">
        <is>
          <t>Bulong Din 933 8.8 ZP M30x90</t>
        </is>
      </c>
      <c r="B323" s="56">
        <f>+VLOOKUP(A323,'Chi tiết NVL'!$I$10:$J$4158,2,0)</f>
        <v/>
      </c>
      <c r="C323" s="57">
        <f>+SUMIF('Chi tiết NVL'!$I:$I,$A323,'Chi tiết NVL'!L:L)</f>
        <v/>
      </c>
      <c r="D323" s="57">
        <f>+SUMIF('Chi tiết NVL'!$I:$I,$A323,'Chi tiết NVL'!M:M)</f>
        <v/>
      </c>
      <c r="E323" s="57">
        <f>+SUMIF('Chi tiết NVL'!$I:$I,$A323,'Chi tiết NVL'!N:N)</f>
        <v/>
      </c>
      <c r="F323" s="57">
        <f>+SUMIF('Chi tiết NVL'!$I:$I,$A323,'Chi tiết NVL'!O:O)</f>
        <v/>
      </c>
      <c r="G323" s="57">
        <f>+SUMIF('Chi tiết NVL'!$I:$I,$A323,'Chi tiết NVL'!P:P)</f>
        <v/>
      </c>
      <c r="H323" s="57">
        <f>+SUMIF('Chi tiết NVL'!$I:$I,$A323,'Chi tiết NVL'!Q:Q)</f>
        <v/>
      </c>
      <c r="I323" s="57">
        <f>+SUMIF('Chi tiết NVL'!$I:$I,$A323,'Chi tiết NVL'!R:R)</f>
        <v/>
      </c>
      <c r="J323" s="57">
        <f>+SUMIF('Chi tiết NVL'!$I:$I,$A323,'Chi tiết NVL'!S:S)</f>
        <v/>
      </c>
    </row>
    <row r="324">
      <c r="A324" s="56" t="inlineStr">
        <is>
          <t>Thép tấm Q355/A572 70lyx330x800</t>
        </is>
      </c>
      <c r="B324" s="56">
        <f>+VLOOKUP(A324,'Chi tiết NVL'!$I$10:$J$4158,2,0)</f>
        <v/>
      </c>
      <c r="C324" s="57">
        <f>+SUMIF('Chi tiết NVL'!$I:$I,$A324,'Chi tiết NVL'!L:L)</f>
        <v/>
      </c>
      <c r="D324" s="57">
        <f>+SUMIF('Chi tiết NVL'!$I:$I,$A324,'Chi tiết NVL'!M:M)</f>
        <v/>
      </c>
      <c r="E324" s="57">
        <f>+SUMIF('Chi tiết NVL'!$I:$I,$A324,'Chi tiết NVL'!N:N)</f>
        <v/>
      </c>
      <c r="F324" s="57">
        <f>+SUMIF('Chi tiết NVL'!$I:$I,$A324,'Chi tiết NVL'!O:O)</f>
        <v/>
      </c>
      <c r="G324" s="57">
        <f>+SUMIF('Chi tiết NVL'!$I:$I,$A324,'Chi tiết NVL'!P:P)</f>
        <v/>
      </c>
      <c r="H324" s="57">
        <f>+SUMIF('Chi tiết NVL'!$I:$I,$A324,'Chi tiết NVL'!Q:Q)</f>
        <v/>
      </c>
      <c r="I324" s="57">
        <f>+SUMIF('Chi tiết NVL'!$I:$I,$A324,'Chi tiết NVL'!R:R)</f>
        <v/>
      </c>
      <c r="J324" s="57">
        <f>+SUMIF('Chi tiết NVL'!$I:$I,$A324,'Chi tiết NVL'!S:S)</f>
        <v/>
      </c>
    </row>
    <row r="325">
      <c r="A325" s="56" t="inlineStr">
        <is>
          <t>Thép tấm Q355/A572 50lyx2000x12000</t>
        </is>
      </c>
      <c r="B325" s="56">
        <f>+VLOOKUP(A325,'Chi tiết NVL'!$I$10:$J$4158,2,0)</f>
        <v/>
      </c>
      <c r="C325" s="57">
        <f>+SUMIF('Chi tiết NVL'!$I:$I,$A325,'Chi tiết NVL'!L:L)</f>
        <v/>
      </c>
      <c r="D325" s="57">
        <f>+SUMIF('Chi tiết NVL'!$I:$I,$A325,'Chi tiết NVL'!M:M)</f>
        <v/>
      </c>
      <c r="E325" s="57">
        <f>+SUMIF('Chi tiết NVL'!$I:$I,$A325,'Chi tiết NVL'!N:N)</f>
        <v/>
      </c>
      <c r="F325" s="57">
        <f>+SUMIF('Chi tiết NVL'!$I:$I,$A325,'Chi tiết NVL'!O:O)</f>
        <v/>
      </c>
      <c r="G325" s="57">
        <f>+SUMIF('Chi tiết NVL'!$I:$I,$A325,'Chi tiết NVL'!P:P)</f>
        <v/>
      </c>
      <c r="H325" s="57">
        <f>+SUMIF('Chi tiết NVL'!$I:$I,$A325,'Chi tiết NVL'!Q:Q)</f>
        <v/>
      </c>
      <c r="I325" s="57">
        <f>+SUMIF('Chi tiết NVL'!$I:$I,$A325,'Chi tiết NVL'!R:R)</f>
        <v/>
      </c>
      <c r="J325" s="57">
        <f>+SUMIF('Chi tiết NVL'!$I:$I,$A325,'Chi tiết NVL'!S:S)</f>
        <v/>
      </c>
    </row>
    <row r="326">
      <c r="A326" s="56" t="inlineStr">
        <is>
          <t>Thép tấm Q355/A572 10lyx2000x12000</t>
        </is>
      </c>
      <c r="B326" s="56">
        <f>+VLOOKUP(A326,'Chi tiết NVL'!$I$10:$J$4158,2,0)</f>
        <v/>
      </c>
      <c r="C326" s="57">
        <f>+SUMIF('Chi tiết NVL'!$I:$I,$A326,'Chi tiết NVL'!L:L)</f>
        <v/>
      </c>
      <c r="D326" s="57">
        <f>+SUMIF('Chi tiết NVL'!$I:$I,$A326,'Chi tiết NVL'!M:M)</f>
        <v/>
      </c>
      <c r="E326" s="57">
        <f>+SUMIF('Chi tiết NVL'!$I:$I,$A326,'Chi tiết NVL'!N:N)</f>
        <v/>
      </c>
      <c r="F326" s="57">
        <f>+SUMIF('Chi tiết NVL'!$I:$I,$A326,'Chi tiết NVL'!O:O)</f>
        <v/>
      </c>
      <c r="G326" s="57">
        <f>+SUMIF('Chi tiết NVL'!$I:$I,$A326,'Chi tiết NVL'!P:P)</f>
        <v/>
      </c>
      <c r="H326" s="57">
        <f>+SUMIF('Chi tiết NVL'!$I:$I,$A326,'Chi tiết NVL'!Q:Q)</f>
        <v/>
      </c>
      <c r="I326" s="57">
        <f>+SUMIF('Chi tiết NVL'!$I:$I,$A326,'Chi tiết NVL'!R:R)</f>
        <v/>
      </c>
      <c r="J326" s="57">
        <f>+SUMIF('Chi tiết NVL'!$I:$I,$A326,'Chi tiết NVL'!S:S)</f>
        <v/>
      </c>
    </row>
    <row r="327">
      <c r="A327" s="56" t="inlineStr">
        <is>
          <t>Thép mạ kẽm chấn</t>
        </is>
      </c>
      <c r="B327" s="56">
        <f>+VLOOKUP(A327,'Chi tiết NVL'!$I$10:$J$4158,2,0)</f>
        <v/>
      </c>
      <c r="C327" s="57">
        <f>+SUMIF('Chi tiết NVL'!$I:$I,$A327,'Chi tiết NVL'!L:L)</f>
        <v/>
      </c>
      <c r="D327" s="57">
        <f>+SUMIF('Chi tiết NVL'!$I:$I,$A327,'Chi tiết NVL'!M:M)</f>
        <v/>
      </c>
      <c r="E327" s="57">
        <f>+SUMIF('Chi tiết NVL'!$I:$I,$A327,'Chi tiết NVL'!N:N)</f>
        <v/>
      </c>
      <c r="F327" s="57">
        <f>+SUMIF('Chi tiết NVL'!$I:$I,$A327,'Chi tiết NVL'!O:O)</f>
        <v/>
      </c>
      <c r="G327" s="57">
        <f>+SUMIF('Chi tiết NVL'!$I:$I,$A327,'Chi tiết NVL'!P:P)</f>
        <v/>
      </c>
      <c r="H327" s="57">
        <f>+SUMIF('Chi tiết NVL'!$I:$I,$A327,'Chi tiết NVL'!Q:Q)</f>
        <v/>
      </c>
      <c r="I327" s="57">
        <f>+SUMIF('Chi tiết NVL'!$I:$I,$A327,'Chi tiết NVL'!R:R)</f>
        <v/>
      </c>
      <c r="J327" s="57">
        <f>+SUMIF('Chi tiết NVL'!$I:$I,$A327,'Chi tiết NVL'!S:S)</f>
        <v/>
      </c>
    </row>
    <row r="328">
      <c r="A328" s="56" t="inlineStr">
        <is>
          <t>Vít kẽm V2 12-14x20 RDN</t>
        </is>
      </c>
      <c r="B328" s="56">
        <f>+VLOOKUP(A328,'Chi tiết NVL'!$I$10:$J$4158,2,0)</f>
        <v/>
      </c>
      <c r="C328" s="57">
        <f>+SUMIF('Chi tiết NVL'!$I:$I,$A328,'Chi tiết NVL'!L:L)</f>
        <v/>
      </c>
      <c r="D328" s="57">
        <f>+SUMIF('Chi tiết NVL'!$I:$I,$A328,'Chi tiết NVL'!M:M)</f>
        <v/>
      </c>
      <c r="E328" s="57">
        <f>+SUMIF('Chi tiết NVL'!$I:$I,$A328,'Chi tiết NVL'!N:N)</f>
        <v/>
      </c>
      <c r="F328" s="57">
        <f>+SUMIF('Chi tiết NVL'!$I:$I,$A328,'Chi tiết NVL'!O:O)</f>
        <v/>
      </c>
      <c r="G328" s="57">
        <f>+SUMIF('Chi tiết NVL'!$I:$I,$A328,'Chi tiết NVL'!P:P)</f>
        <v/>
      </c>
      <c r="H328" s="57">
        <f>+SUMIF('Chi tiết NVL'!$I:$I,$A328,'Chi tiết NVL'!Q:Q)</f>
        <v/>
      </c>
      <c r="I328" s="57">
        <f>+SUMIF('Chi tiết NVL'!$I:$I,$A328,'Chi tiết NVL'!R:R)</f>
        <v/>
      </c>
      <c r="J328" s="57">
        <f>+SUMIF('Chi tiết NVL'!$I:$I,$A328,'Chi tiết NVL'!S:S)</f>
        <v/>
      </c>
    </row>
    <row r="329">
      <c r="A329" s="56" t="inlineStr">
        <is>
          <t>Thép hình U250</t>
        </is>
      </c>
      <c r="B329" s="56">
        <f>+VLOOKUP(A329,'Chi tiết NVL'!$I$10:$J$4158,2,0)</f>
        <v/>
      </c>
      <c r="C329" s="57">
        <f>+SUMIF('Chi tiết NVL'!$I:$I,$A329,'Chi tiết NVL'!L:L)</f>
        <v/>
      </c>
      <c r="D329" s="57">
        <f>+SUMIF('Chi tiết NVL'!$I:$I,$A329,'Chi tiết NVL'!M:M)</f>
        <v/>
      </c>
      <c r="E329" s="57">
        <f>+SUMIF('Chi tiết NVL'!$I:$I,$A329,'Chi tiết NVL'!N:N)</f>
        <v/>
      </c>
      <c r="F329" s="57">
        <f>+SUMIF('Chi tiết NVL'!$I:$I,$A329,'Chi tiết NVL'!O:O)</f>
        <v/>
      </c>
      <c r="G329" s="57">
        <f>+SUMIF('Chi tiết NVL'!$I:$I,$A329,'Chi tiết NVL'!P:P)</f>
        <v/>
      </c>
      <c r="H329" s="57">
        <f>+SUMIF('Chi tiết NVL'!$I:$I,$A329,'Chi tiết NVL'!Q:Q)</f>
        <v/>
      </c>
      <c r="I329" s="57">
        <f>+SUMIF('Chi tiết NVL'!$I:$I,$A329,'Chi tiết NVL'!R:R)</f>
        <v/>
      </c>
      <c r="J329" s="57">
        <f>+SUMIF('Chi tiết NVL'!$I:$I,$A329,'Chi tiết NVL'!S:S)</f>
        <v/>
      </c>
    </row>
    <row r="330">
      <c r="A330" s="56" t="inlineStr">
        <is>
          <t>Bulong neo M20x710 F1554 105</t>
        </is>
      </c>
      <c r="B330" s="56">
        <f>+VLOOKUP(A330,'Chi tiết NVL'!$I$10:$J$4158,2,0)</f>
        <v/>
      </c>
      <c r="C330" s="57">
        <f>+SUMIF('Chi tiết NVL'!$I:$I,$A330,'Chi tiết NVL'!L:L)</f>
        <v/>
      </c>
      <c r="D330" s="57">
        <f>+SUMIF('Chi tiết NVL'!$I:$I,$A330,'Chi tiết NVL'!M:M)</f>
        <v/>
      </c>
      <c r="E330" s="57">
        <f>+SUMIF('Chi tiết NVL'!$I:$I,$A330,'Chi tiết NVL'!N:N)</f>
        <v/>
      </c>
      <c r="F330" s="57">
        <f>+SUMIF('Chi tiết NVL'!$I:$I,$A330,'Chi tiết NVL'!O:O)</f>
        <v/>
      </c>
      <c r="G330" s="57">
        <f>+SUMIF('Chi tiết NVL'!$I:$I,$A330,'Chi tiết NVL'!P:P)</f>
        <v/>
      </c>
      <c r="H330" s="57">
        <f>+SUMIF('Chi tiết NVL'!$I:$I,$A330,'Chi tiết NVL'!Q:Q)</f>
        <v/>
      </c>
      <c r="I330" s="57">
        <f>+SUMIF('Chi tiết NVL'!$I:$I,$A330,'Chi tiết NVL'!R:R)</f>
        <v/>
      </c>
      <c r="J330" s="57">
        <f>+SUMIF('Chi tiết NVL'!$I:$I,$A330,'Chi tiết NVL'!S:S)</f>
        <v/>
      </c>
    </row>
    <row r="331">
      <c r="A331" s="56" t="inlineStr">
        <is>
          <t>Bulong neo M24x790 F1554 105</t>
        </is>
      </c>
      <c r="B331" s="56">
        <f>+VLOOKUP(A331,'Chi tiết NVL'!$I$10:$J$4158,2,0)</f>
        <v/>
      </c>
      <c r="C331" s="57">
        <f>+SUMIF('Chi tiết NVL'!$I:$I,$A331,'Chi tiết NVL'!L:L)</f>
        <v/>
      </c>
      <c r="D331" s="57">
        <f>+SUMIF('Chi tiết NVL'!$I:$I,$A331,'Chi tiết NVL'!M:M)</f>
        <v/>
      </c>
      <c r="E331" s="57">
        <f>+SUMIF('Chi tiết NVL'!$I:$I,$A331,'Chi tiết NVL'!N:N)</f>
        <v/>
      </c>
      <c r="F331" s="57">
        <f>+SUMIF('Chi tiết NVL'!$I:$I,$A331,'Chi tiết NVL'!O:O)</f>
        <v/>
      </c>
      <c r="G331" s="57">
        <f>+SUMIF('Chi tiết NVL'!$I:$I,$A331,'Chi tiết NVL'!P:P)</f>
        <v/>
      </c>
      <c r="H331" s="57">
        <f>+SUMIF('Chi tiết NVL'!$I:$I,$A331,'Chi tiết NVL'!Q:Q)</f>
        <v/>
      </c>
      <c r="I331" s="57">
        <f>+SUMIF('Chi tiết NVL'!$I:$I,$A331,'Chi tiết NVL'!R:R)</f>
        <v/>
      </c>
      <c r="J331" s="57">
        <f>+SUMIF('Chi tiết NVL'!$I:$I,$A331,'Chi tiết NVL'!S:S)</f>
        <v/>
      </c>
    </row>
    <row r="332">
      <c r="A332" s="56" t="inlineStr">
        <is>
          <t>Bulong neo M36x1250 F1554 105</t>
        </is>
      </c>
      <c r="B332" s="56">
        <f>+VLOOKUP(A332,'Chi tiết NVL'!$I$10:$J$4158,2,0)</f>
        <v/>
      </c>
      <c r="C332" s="57">
        <f>+SUMIF('Chi tiết NVL'!$I:$I,$A332,'Chi tiết NVL'!L:L)</f>
        <v/>
      </c>
      <c r="D332" s="57">
        <f>+SUMIF('Chi tiết NVL'!$I:$I,$A332,'Chi tiết NVL'!M:M)</f>
        <v/>
      </c>
      <c r="E332" s="57">
        <f>+SUMIF('Chi tiết NVL'!$I:$I,$A332,'Chi tiết NVL'!N:N)</f>
        <v/>
      </c>
      <c r="F332" s="57">
        <f>+SUMIF('Chi tiết NVL'!$I:$I,$A332,'Chi tiết NVL'!O:O)</f>
        <v/>
      </c>
      <c r="G332" s="57">
        <f>+SUMIF('Chi tiết NVL'!$I:$I,$A332,'Chi tiết NVL'!P:P)</f>
        <v/>
      </c>
      <c r="H332" s="57">
        <f>+SUMIF('Chi tiết NVL'!$I:$I,$A332,'Chi tiết NVL'!Q:Q)</f>
        <v/>
      </c>
      <c r="I332" s="57">
        <f>+SUMIF('Chi tiết NVL'!$I:$I,$A332,'Chi tiết NVL'!R:R)</f>
        <v/>
      </c>
      <c r="J332" s="57">
        <f>+SUMIF('Chi tiết NVL'!$I:$I,$A332,'Chi tiết NVL'!S:S)</f>
        <v/>
      </c>
    </row>
    <row r="333">
      <c r="A333" s="56" t="inlineStr">
        <is>
          <t>Bulong neo I 2"x1035x8UNC F1554 Gr105</t>
        </is>
      </c>
      <c r="B333" s="56">
        <f>+VLOOKUP(A333,'Chi tiết NVL'!$I$10:$J$4158,2,0)</f>
        <v/>
      </c>
      <c r="C333" s="57">
        <f>+SUMIF('Chi tiết NVL'!$I:$I,$A333,'Chi tiết NVL'!L:L)</f>
        <v/>
      </c>
      <c r="D333" s="57">
        <f>+SUMIF('Chi tiết NVL'!$I:$I,$A333,'Chi tiết NVL'!M:M)</f>
        <v/>
      </c>
      <c r="E333" s="57">
        <f>+SUMIF('Chi tiết NVL'!$I:$I,$A333,'Chi tiết NVL'!N:N)</f>
        <v/>
      </c>
      <c r="F333" s="57">
        <f>+SUMIF('Chi tiết NVL'!$I:$I,$A333,'Chi tiết NVL'!O:O)</f>
        <v/>
      </c>
      <c r="G333" s="57">
        <f>+SUMIF('Chi tiết NVL'!$I:$I,$A333,'Chi tiết NVL'!P:P)</f>
        <v/>
      </c>
      <c r="H333" s="57">
        <f>+SUMIF('Chi tiết NVL'!$I:$I,$A333,'Chi tiết NVL'!Q:Q)</f>
        <v/>
      </c>
      <c r="I333" s="57">
        <f>+SUMIF('Chi tiết NVL'!$I:$I,$A333,'Chi tiết NVL'!R:R)</f>
        <v/>
      </c>
      <c r="J333" s="57">
        <f>+SUMIF('Chi tiết NVL'!$I:$I,$A333,'Chi tiết NVL'!S:S)</f>
        <v/>
      </c>
    </row>
    <row r="334">
      <c r="A334" s="56" t="inlineStr">
        <is>
          <t>Ty giằng 2 đầu ren 4.6 Ф11.3-11.5mm HDG M12</t>
        </is>
      </c>
      <c r="B334" s="56">
        <f>+VLOOKUP(A334,'Chi tiết NVL'!$I$10:$J$4158,2,0)</f>
        <v/>
      </c>
      <c r="C334" s="57">
        <f>+SUMIF('Chi tiết NVL'!$I:$I,$A334,'Chi tiết NVL'!L:L)</f>
        <v/>
      </c>
      <c r="D334" s="57">
        <f>+SUMIF('Chi tiết NVL'!$I:$I,$A334,'Chi tiết NVL'!M:M)</f>
        <v/>
      </c>
      <c r="E334" s="57">
        <f>+SUMIF('Chi tiết NVL'!$I:$I,$A334,'Chi tiết NVL'!N:N)</f>
        <v/>
      </c>
      <c r="F334" s="57">
        <f>+SUMIF('Chi tiết NVL'!$I:$I,$A334,'Chi tiết NVL'!O:O)</f>
        <v/>
      </c>
      <c r="G334" s="57">
        <f>+SUMIF('Chi tiết NVL'!$I:$I,$A334,'Chi tiết NVL'!P:P)</f>
        <v/>
      </c>
      <c r="H334" s="57">
        <f>+SUMIF('Chi tiết NVL'!$I:$I,$A334,'Chi tiết NVL'!Q:Q)</f>
        <v/>
      </c>
      <c r="I334" s="57">
        <f>+SUMIF('Chi tiết NVL'!$I:$I,$A334,'Chi tiết NVL'!R:R)</f>
        <v/>
      </c>
      <c r="J334" s="57">
        <f>+SUMIF('Chi tiết NVL'!$I:$I,$A334,'Chi tiết NVL'!S:S)</f>
        <v/>
      </c>
    </row>
    <row r="335">
      <c r="A335" s="56" t="inlineStr">
        <is>
          <t>Đai ốc thường 4 HDG M12</t>
        </is>
      </c>
      <c r="B335" s="56">
        <f>+VLOOKUP(A335,'Chi tiết NVL'!$I$10:$J$4158,2,0)</f>
        <v/>
      </c>
      <c r="C335" s="57">
        <f>+SUMIF('Chi tiết NVL'!$I:$I,$A335,'Chi tiết NVL'!L:L)</f>
        <v/>
      </c>
      <c r="D335" s="57">
        <f>+SUMIF('Chi tiết NVL'!$I:$I,$A335,'Chi tiết NVL'!M:M)</f>
        <v/>
      </c>
      <c r="E335" s="57">
        <f>+SUMIF('Chi tiết NVL'!$I:$I,$A335,'Chi tiết NVL'!N:N)</f>
        <v/>
      </c>
      <c r="F335" s="57">
        <f>+SUMIF('Chi tiết NVL'!$I:$I,$A335,'Chi tiết NVL'!O:O)</f>
        <v/>
      </c>
      <c r="G335" s="57">
        <f>+SUMIF('Chi tiết NVL'!$I:$I,$A335,'Chi tiết NVL'!P:P)</f>
        <v/>
      </c>
      <c r="H335" s="57">
        <f>+SUMIF('Chi tiết NVL'!$I:$I,$A335,'Chi tiết NVL'!Q:Q)</f>
        <v/>
      </c>
      <c r="I335" s="57">
        <f>+SUMIF('Chi tiết NVL'!$I:$I,$A335,'Chi tiết NVL'!R:R)</f>
        <v/>
      </c>
      <c r="J335" s="57">
        <f>+SUMIF('Chi tiết NVL'!$I:$I,$A335,'Chi tiết NVL'!S:S)</f>
        <v/>
      </c>
    </row>
    <row r="336">
      <c r="A336" s="56" t="inlineStr">
        <is>
          <t>Long đền thường HDG M12B26D1.5</t>
        </is>
      </c>
      <c r="B336" s="56">
        <f>+VLOOKUP(A336,'Chi tiết NVL'!$I$10:$J$4158,2,0)</f>
        <v/>
      </c>
      <c r="C336" s="57">
        <f>+SUMIF('Chi tiết NVL'!$I:$I,$A336,'Chi tiết NVL'!L:L)</f>
        <v/>
      </c>
      <c r="D336" s="57">
        <f>+SUMIF('Chi tiết NVL'!$I:$I,$A336,'Chi tiết NVL'!M:M)</f>
        <v/>
      </c>
      <c r="E336" s="57">
        <f>+SUMIF('Chi tiết NVL'!$I:$I,$A336,'Chi tiết NVL'!N:N)</f>
        <v/>
      </c>
      <c r="F336" s="57">
        <f>+SUMIF('Chi tiết NVL'!$I:$I,$A336,'Chi tiết NVL'!O:O)</f>
        <v/>
      </c>
      <c r="G336" s="57">
        <f>+SUMIF('Chi tiết NVL'!$I:$I,$A336,'Chi tiết NVL'!P:P)</f>
        <v/>
      </c>
      <c r="H336" s="57">
        <f>+SUMIF('Chi tiết NVL'!$I:$I,$A336,'Chi tiết NVL'!Q:Q)</f>
        <v/>
      </c>
      <c r="I336" s="57">
        <f>+SUMIF('Chi tiết NVL'!$I:$I,$A336,'Chi tiết NVL'!R:R)</f>
        <v/>
      </c>
      <c r="J336" s="57">
        <f>+SUMIF('Chi tiết NVL'!$I:$I,$A336,'Chi tiết NVL'!S:S)</f>
        <v/>
      </c>
    </row>
    <row r="337">
      <c r="A337" s="56" t="inlineStr">
        <is>
          <t>SƠN PENGUARD PRIMER GREY 20L</t>
        </is>
      </c>
      <c r="B337" s="56">
        <f>+VLOOKUP(A337,'Chi tiết NVL'!$I$10:$J$4158,2,0)</f>
        <v/>
      </c>
      <c r="C337" s="57">
        <f>+SUMIF('Chi tiết NVL'!$I:$I,$A337,'Chi tiết NVL'!L:L)</f>
        <v/>
      </c>
      <c r="D337" s="57">
        <f>+SUMIF('Chi tiết NVL'!$I:$I,$A337,'Chi tiết NVL'!M:M)</f>
        <v/>
      </c>
      <c r="E337" s="57">
        <f>+SUMIF('Chi tiết NVL'!$I:$I,$A337,'Chi tiết NVL'!N:N)</f>
        <v/>
      </c>
      <c r="F337" s="57">
        <f>+SUMIF('Chi tiết NVL'!$I:$I,$A337,'Chi tiết NVL'!O:O)</f>
        <v/>
      </c>
      <c r="G337" s="57">
        <f>+SUMIF('Chi tiết NVL'!$I:$I,$A337,'Chi tiết NVL'!P:P)</f>
        <v/>
      </c>
      <c r="H337" s="57">
        <f>+SUMIF('Chi tiết NVL'!$I:$I,$A337,'Chi tiết NVL'!Q:Q)</f>
        <v/>
      </c>
      <c r="I337" s="57">
        <f>+SUMIF('Chi tiết NVL'!$I:$I,$A337,'Chi tiết NVL'!R:R)</f>
        <v/>
      </c>
      <c r="J337" s="57">
        <f>+SUMIF('Chi tiết NVL'!$I:$I,$A337,'Chi tiết NVL'!S:S)</f>
        <v/>
      </c>
    </row>
    <row r="338">
      <c r="A338" s="56" t="inlineStr">
        <is>
          <t>SƠN FUTURA CLASSIC RAL9016 18.21L</t>
        </is>
      </c>
      <c r="B338" s="56">
        <f>+VLOOKUP(A338,'Chi tiết NVL'!$I$10:$J$4158,2,0)</f>
        <v/>
      </c>
      <c r="C338" s="57">
        <f>+SUMIF('Chi tiết NVL'!$I:$I,$A338,'Chi tiết NVL'!L:L)</f>
        <v/>
      </c>
      <c r="D338" s="57">
        <f>+SUMIF('Chi tiết NVL'!$I:$I,$A338,'Chi tiết NVL'!M:M)</f>
        <v/>
      </c>
      <c r="E338" s="57">
        <f>+SUMIF('Chi tiết NVL'!$I:$I,$A338,'Chi tiết NVL'!N:N)</f>
        <v/>
      </c>
      <c r="F338" s="57">
        <f>+SUMIF('Chi tiết NVL'!$I:$I,$A338,'Chi tiết NVL'!O:O)</f>
        <v/>
      </c>
      <c r="G338" s="57">
        <f>+SUMIF('Chi tiết NVL'!$I:$I,$A338,'Chi tiết NVL'!P:P)</f>
        <v/>
      </c>
      <c r="H338" s="57">
        <f>+SUMIF('Chi tiết NVL'!$I:$I,$A338,'Chi tiết NVL'!Q:Q)</f>
        <v/>
      </c>
      <c r="I338" s="57">
        <f>+SUMIF('Chi tiết NVL'!$I:$I,$A338,'Chi tiết NVL'!R:R)</f>
        <v/>
      </c>
      <c r="J338" s="57">
        <f>+SUMIF('Chi tiết NVL'!$I:$I,$A338,'Chi tiết NVL'!S:S)</f>
        <v/>
      </c>
    </row>
    <row r="339">
      <c r="A339" s="56" t="inlineStr">
        <is>
          <t>SƠN FUTURA CLASSIC RAL9016 4.55L</t>
        </is>
      </c>
      <c r="B339" s="56">
        <f>+VLOOKUP(A339,'Chi tiết NVL'!$I$10:$J$4158,2,0)</f>
        <v/>
      </c>
      <c r="C339" s="57">
        <f>+SUMIF('Chi tiết NVL'!$I:$I,$A339,'Chi tiết NVL'!L:L)</f>
        <v/>
      </c>
      <c r="D339" s="57">
        <f>+SUMIF('Chi tiết NVL'!$I:$I,$A339,'Chi tiết NVL'!M:M)</f>
        <v/>
      </c>
      <c r="E339" s="57">
        <f>+SUMIF('Chi tiết NVL'!$I:$I,$A339,'Chi tiết NVL'!N:N)</f>
        <v/>
      </c>
      <c r="F339" s="57">
        <f>+SUMIF('Chi tiết NVL'!$I:$I,$A339,'Chi tiết NVL'!O:O)</f>
        <v/>
      </c>
      <c r="G339" s="57">
        <f>+SUMIF('Chi tiết NVL'!$I:$I,$A339,'Chi tiết NVL'!P:P)</f>
        <v/>
      </c>
      <c r="H339" s="57">
        <f>+SUMIF('Chi tiết NVL'!$I:$I,$A339,'Chi tiết NVL'!Q:Q)</f>
        <v/>
      </c>
      <c r="I339" s="57">
        <f>+SUMIF('Chi tiết NVL'!$I:$I,$A339,'Chi tiết NVL'!R:R)</f>
        <v/>
      </c>
      <c r="J339" s="57">
        <f>+SUMIF('Chi tiết NVL'!$I:$I,$A339,'Chi tiết NVL'!S:S)</f>
        <v/>
      </c>
    </row>
    <row r="340">
      <c r="A340" s="56" t="inlineStr">
        <is>
          <t>Thép tấm (55x365x8907mm)</t>
        </is>
      </c>
      <c r="B340" s="56">
        <f>+VLOOKUP(A340,'Chi tiết NVL'!$I$10:$J$4158,2,0)</f>
        <v/>
      </c>
      <c r="C340" s="57">
        <f>+SUMIF('Chi tiết NVL'!$I:$I,$A340,'Chi tiết NVL'!L:L)</f>
        <v/>
      </c>
      <c r="D340" s="57">
        <f>+SUMIF('Chi tiết NVL'!$I:$I,$A340,'Chi tiết NVL'!M:M)</f>
        <v/>
      </c>
      <c r="E340" s="57">
        <f>+SUMIF('Chi tiết NVL'!$I:$I,$A340,'Chi tiết NVL'!N:N)</f>
        <v/>
      </c>
      <c r="F340" s="57">
        <f>+SUMIF('Chi tiết NVL'!$I:$I,$A340,'Chi tiết NVL'!O:O)</f>
        <v/>
      </c>
      <c r="G340" s="57">
        <f>+SUMIF('Chi tiết NVL'!$I:$I,$A340,'Chi tiết NVL'!P:P)</f>
        <v/>
      </c>
      <c r="H340" s="57">
        <f>+SUMIF('Chi tiết NVL'!$I:$I,$A340,'Chi tiết NVL'!Q:Q)</f>
        <v/>
      </c>
      <c r="I340" s="57">
        <f>+SUMIF('Chi tiết NVL'!$I:$I,$A340,'Chi tiết NVL'!R:R)</f>
        <v/>
      </c>
      <c r="J340" s="57">
        <f>+SUMIF('Chi tiết NVL'!$I:$I,$A340,'Chi tiết NVL'!S:S)</f>
        <v/>
      </c>
    </row>
    <row r="341">
      <c r="A341" s="56" t="inlineStr">
        <is>
          <t>Thép tấm (55x365x3583mm)</t>
        </is>
      </c>
      <c r="B341" s="56">
        <f>+VLOOKUP(A341,'Chi tiết NVL'!$I$10:$J$4158,2,0)</f>
        <v/>
      </c>
      <c r="C341" s="57">
        <f>+SUMIF('Chi tiết NVL'!$I:$I,$A341,'Chi tiết NVL'!L:L)</f>
        <v/>
      </c>
      <c r="D341" s="57">
        <f>+SUMIF('Chi tiết NVL'!$I:$I,$A341,'Chi tiết NVL'!M:M)</f>
        <v/>
      </c>
      <c r="E341" s="57">
        <f>+SUMIF('Chi tiết NVL'!$I:$I,$A341,'Chi tiết NVL'!N:N)</f>
        <v/>
      </c>
      <c r="F341" s="57">
        <f>+SUMIF('Chi tiết NVL'!$I:$I,$A341,'Chi tiết NVL'!O:O)</f>
        <v/>
      </c>
      <c r="G341" s="57">
        <f>+SUMIF('Chi tiết NVL'!$I:$I,$A341,'Chi tiết NVL'!P:P)</f>
        <v/>
      </c>
      <c r="H341" s="57">
        <f>+SUMIF('Chi tiết NVL'!$I:$I,$A341,'Chi tiết NVL'!Q:Q)</f>
        <v/>
      </c>
      <c r="I341" s="57">
        <f>+SUMIF('Chi tiết NVL'!$I:$I,$A341,'Chi tiết NVL'!R:R)</f>
        <v/>
      </c>
      <c r="J341" s="57">
        <f>+SUMIF('Chi tiết NVL'!$I:$I,$A341,'Chi tiết NVL'!S:S)</f>
        <v/>
      </c>
    </row>
    <row r="342">
      <c r="A342" s="56" t="inlineStr">
        <is>
          <t>Thép tấm (55x365x4582mm)</t>
        </is>
      </c>
      <c r="B342" s="56">
        <f>+VLOOKUP(A342,'Chi tiết NVL'!$I$10:$J$4158,2,0)</f>
        <v/>
      </c>
      <c r="C342" s="57">
        <f>+SUMIF('Chi tiết NVL'!$I:$I,$A342,'Chi tiết NVL'!L:L)</f>
        <v/>
      </c>
      <c r="D342" s="57">
        <f>+SUMIF('Chi tiết NVL'!$I:$I,$A342,'Chi tiết NVL'!M:M)</f>
        <v/>
      </c>
      <c r="E342" s="57">
        <f>+SUMIF('Chi tiết NVL'!$I:$I,$A342,'Chi tiết NVL'!N:N)</f>
        <v/>
      </c>
      <c r="F342" s="57">
        <f>+SUMIF('Chi tiết NVL'!$I:$I,$A342,'Chi tiết NVL'!O:O)</f>
        <v/>
      </c>
      <c r="G342" s="57">
        <f>+SUMIF('Chi tiết NVL'!$I:$I,$A342,'Chi tiết NVL'!P:P)</f>
        <v/>
      </c>
      <c r="H342" s="57">
        <f>+SUMIF('Chi tiết NVL'!$I:$I,$A342,'Chi tiết NVL'!Q:Q)</f>
        <v/>
      </c>
      <c r="I342" s="57">
        <f>+SUMIF('Chi tiết NVL'!$I:$I,$A342,'Chi tiết NVL'!R:R)</f>
        <v/>
      </c>
      <c r="J342" s="57">
        <f>+SUMIF('Chi tiết NVL'!$I:$I,$A342,'Chi tiết NVL'!S:S)</f>
        <v/>
      </c>
    </row>
    <row r="343">
      <c r="A343" s="56" t="inlineStr">
        <is>
          <t>Thép tấm (55x365x3382mm)</t>
        </is>
      </c>
      <c r="B343" s="56">
        <f>+VLOOKUP(A343,'Chi tiết NVL'!$I$10:$J$4158,2,0)</f>
        <v/>
      </c>
      <c r="C343" s="57">
        <f>+SUMIF('Chi tiết NVL'!$I:$I,$A343,'Chi tiết NVL'!L:L)</f>
        <v/>
      </c>
      <c r="D343" s="57">
        <f>+SUMIF('Chi tiết NVL'!$I:$I,$A343,'Chi tiết NVL'!M:M)</f>
        <v/>
      </c>
      <c r="E343" s="57">
        <f>+SUMIF('Chi tiết NVL'!$I:$I,$A343,'Chi tiết NVL'!N:N)</f>
        <v/>
      </c>
      <c r="F343" s="57">
        <f>+SUMIF('Chi tiết NVL'!$I:$I,$A343,'Chi tiết NVL'!O:O)</f>
        <v/>
      </c>
      <c r="G343" s="57">
        <f>+SUMIF('Chi tiết NVL'!$I:$I,$A343,'Chi tiết NVL'!P:P)</f>
        <v/>
      </c>
      <c r="H343" s="57">
        <f>+SUMIF('Chi tiết NVL'!$I:$I,$A343,'Chi tiết NVL'!Q:Q)</f>
        <v/>
      </c>
      <c r="I343" s="57">
        <f>+SUMIF('Chi tiết NVL'!$I:$I,$A343,'Chi tiết NVL'!R:R)</f>
        <v/>
      </c>
      <c r="J343" s="57">
        <f>+SUMIF('Chi tiết NVL'!$I:$I,$A343,'Chi tiết NVL'!S:S)</f>
        <v/>
      </c>
    </row>
    <row r="344">
      <c r="A344" s="56" t="inlineStr">
        <is>
          <t>Bulong nở 4.6 HDG M12x100</t>
        </is>
      </c>
      <c r="B344" s="56">
        <f>+VLOOKUP(A344,'Chi tiết NVL'!$I$10:$J$4158,2,0)</f>
        <v/>
      </c>
      <c r="C344" s="57">
        <f>+SUMIF('Chi tiết NVL'!$I:$I,$A344,'Chi tiết NVL'!L:L)</f>
        <v/>
      </c>
      <c r="D344" s="57">
        <f>+SUMIF('Chi tiết NVL'!$I:$I,$A344,'Chi tiết NVL'!M:M)</f>
        <v/>
      </c>
      <c r="E344" s="57">
        <f>+SUMIF('Chi tiết NVL'!$I:$I,$A344,'Chi tiết NVL'!N:N)</f>
        <v/>
      </c>
      <c r="F344" s="57">
        <f>+SUMIF('Chi tiết NVL'!$I:$I,$A344,'Chi tiết NVL'!O:O)</f>
        <v/>
      </c>
      <c r="G344" s="57">
        <f>+SUMIF('Chi tiết NVL'!$I:$I,$A344,'Chi tiết NVL'!P:P)</f>
        <v/>
      </c>
      <c r="H344" s="57">
        <f>+SUMIF('Chi tiết NVL'!$I:$I,$A344,'Chi tiết NVL'!Q:Q)</f>
        <v/>
      </c>
      <c r="I344" s="57">
        <f>+SUMIF('Chi tiết NVL'!$I:$I,$A344,'Chi tiết NVL'!R:R)</f>
        <v/>
      </c>
      <c r="J344" s="57">
        <f>+SUMIF('Chi tiết NVL'!$I:$I,$A344,'Chi tiết NVL'!S:S)</f>
        <v/>
      </c>
    </row>
    <row r="345">
      <c r="A345" s="56" t="inlineStr">
        <is>
          <t>Bulong nở 4.6 HDG M16x180</t>
        </is>
      </c>
      <c r="B345" s="56">
        <f>+VLOOKUP(A345,'Chi tiết NVL'!$I$10:$J$4158,2,0)</f>
        <v/>
      </c>
      <c r="C345" s="57">
        <f>+SUMIF('Chi tiết NVL'!$I:$I,$A345,'Chi tiết NVL'!L:L)</f>
        <v/>
      </c>
      <c r="D345" s="57">
        <f>+SUMIF('Chi tiết NVL'!$I:$I,$A345,'Chi tiết NVL'!M:M)</f>
        <v/>
      </c>
      <c r="E345" s="57">
        <f>+SUMIF('Chi tiết NVL'!$I:$I,$A345,'Chi tiết NVL'!N:N)</f>
        <v/>
      </c>
      <c r="F345" s="57">
        <f>+SUMIF('Chi tiết NVL'!$I:$I,$A345,'Chi tiết NVL'!O:O)</f>
        <v/>
      </c>
      <c r="G345" s="57">
        <f>+SUMIF('Chi tiết NVL'!$I:$I,$A345,'Chi tiết NVL'!P:P)</f>
        <v/>
      </c>
      <c r="H345" s="57">
        <f>+SUMIF('Chi tiết NVL'!$I:$I,$A345,'Chi tiết NVL'!Q:Q)</f>
        <v/>
      </c>
      <c r="I345" s="57">
        <f>+SUMIF('Chi tiết NVL'!$I:$I,$A345,'Chi tiết NVL'!R:R)</f>
        <v/>
      </c>
      <c r="J345" s="57">
        <f>+SUMIF('Chi tiết NVL'!$I:$I,$A345,'Chi tiết NVL'!S:S)</f>
        <v/>
      </c>
    </row>
    <row r="346">
      <c r="A346" s="56" t="inlineStr">
        <is>
          <t>Bulong Din 933 8.8 HDG M16x50</t>
        </is>
      </c>
      <c r="B346" s="56">
        <f>+VLOOKUP(A346,'Chi tiết NVL'!$I$10:$J$4158,2,0)</f>
        <v/>
      </c>
      <c r="C346" s="57">
        <f>+SUMIF('Chi tiết NVL'!$I:$I,$A346,'Chi tiết NVL'!L:L)</f>
        <v/>
      </c>
      <c r="D346" s="57">
        <f>+SUMIF('Chi tiết NVL'!$I:$I,$A346,'Chi tiết NVL'!M:M)</f>
        <v/>
      </c>
      <c r="E346" s="57">
        <f>+SUMIF('Chi tiết NVL'!$I:$I,$A346,'Chi tiết NVL'!N:N)</f>
        <v/>
      </c>
      <c r="F346" s="57">
        <f>+SUMIF('Chi tiết NVL'!$I:$I,$A346,'Chi tiết NVL'!O:O)</f>
        <v/>
      </c>
      <c r="G346" s="57">
        <f>+SUMIF('Chi tiết NVL'!$I:$I,$A346,'Chi tiết NVL'!P:P)</f>
        <v/>
      </c>
      <c r="H346" s="57">
        <f>+SUMIF('Chi tiết NVL'!$I:$I,$A346,'Chi tiết NVL'!Q:Q)</f>
        <v/>
      </c>
      <c r="I346" s="57">
        <f>+SUMIF('Chi tiết NVL'!$I:$I,$A346,'Chi tiết NVL'!R:R)</f>
        <v/>
      </c>
      <c r="J346" s="57">
        <f>+SUMIF('Chi tiết NVL'!$I:$I,$A346,'Chi tiết NVL'!S:S)</f>
        <v/>
      </c>
    </row>
    <row r="347">
      <c r="A347" s="56" t="inlineStr">
        <is>
          <t>Đai ốc ISO 4032 8 HDG M16</t>
        </is>
      </c>
      <c r="B347" s="56">
        <f>+VLOOKUP(A347,'Chi tiết NVL'!$I$10:$J$4158,2,0)</f>
        <v/>
      </c>
      <c r="C347" s="57">
        <f>+SUMIF('Chi tiết NVL'!$I:$I,$A347,'Chi tiết NVL'!L:L)</f>
        <v/>
      </c>
      <c r="D347" s="57">
        <f>+SUMIF('Chi tiết NVL'!$I:$I,$A347,'Chi tiết NVL'!M:M)</f>
        <v/>
      </c>
      <c r="E347" s="57">
        <f>+SUMIF('Chi tiết NVL'!$I:$I,$A347,'Chi tiết NVL'!N:N)</f>
        <v/>
      </c>
      <c r="F347" s="57">
        <f>+SUMIF('Chi tiết NVL'!$I:$I,$A347,'Chi tiết NVL'!O:O)</f>
        <v/>
      </c>
      <c r="G347" s="57">
        <f>+SUMIF('Chi tiết NVL'!$I:$I,$A347,'Chi tiết NVL'!P:P)</f>
        <v/>
      </c>
      <c r="H347" s="57">
        <f>+SUMIF('Chi tiết NVL'!$I:$I,$A347,'Chi tiết NVL'!Q:Q)</f>
        <v/>
      </c>
      <c r="I347" s="57">
        <f>+SUMIF('Chi tiết NVL'!$I:$I,$A347,'Chi tiết NVL'!R:R)</f>
        <v/>
      </c>
      <c r="J347" s="57">
        <f>+SUMIF('Chi tiết NVL'!$I:$I,$A347,'Chi tiết NVL'!S:S)</f>
        <v/>
      </c>
    </row>
    <row r="348">
      <c r="A348" s="56" t="inlineStr">
        <is>
          <t>Long đền thường HDG M16B30D2</t>
        </is>
      </c>
      <c r="B348" s="56">
        <f>+VLOOKUP(A348,'Chi tiết NVL'!$I$10:$J$4158,2,0)</f>
        <v/>
      </c>
      <c r="C348" s="57">
        <f>+SUMIF('Chi tiết NVL'!$I:$I,$A348,'Chi tiết NVL'!L:L)</f>
        <v/>
      </c>
      <c r="D348" s="57">
        <f>+SUMIF('Chi tiết NVL'!$I:$I,$A348,'Chi tiết NVL'!M:M)</f>
        <v/>
      </c>
      <c r="E348" s="57">
        <f>+SUMIF('Chi tiết NVL'!$I:$I,$A348,'Chi tiết NVL'!N:N)</f>
        <v/>
      </c>
      <c r="F348" s="57">
        <f>+SUMIF('Chi tiết NVL'!$I:$I,$A348,'Chi tiết NVL'!O:O)</f>
        <v/>
      </c>
      <c r="G348" s="57">
        <f>+SUMIF('Chi tiết NVL'!$I:$I,$A348,'Chi tiết NVL'!P:P)</f>
        <v/>
      </c>
      <c r="H348" s="57">
        <f>+SUMIF('Chi tiết NVL'!$I:$I,$A348,'Chi tiết NVL'!Q:Q)</f>
        <v/>
      </c>
      <c r="I348" s="57">
        <f>+SUMIF('Chi tiết NVL'!$I:$I,$A348,'Chi tiết NVL'!R:R)</f>
        <v/>
      </c>
      <c r="J348" s="57">
        <f>+SUMIF('Chi tiết NVL'!$I:$I,$A348,'Chi tiết NVL'!S:S)</f>
        <v/>
      </c>
    </row>
    <row r="349">
      <c r="A349" s="56" t="inlineStr">
        <is>
          <t>Bulong Din 933 8.8 HDG M16x60</t>
        </is>
      </c>
      <c r="B349" s="56">
        <f>+VLOOKUP(A349,'Chi tiết NVL'!$I$10:$J$4158,2,0)</f>
        <v/>
      </c>
      <c r="C349" s="57">
        <f>+SUMIF('Chi tiết NVL'!$I:$I,$A349,'Chi tiết NVL'!L:L)</f>
        <v/>
      </c>
      <c r="D349" s="57">
        <f>+SUMIF('Chi tiết NVL'!$I:$I,$A349,'Chi tiết NVL'!M:M)</f>
        <v/>
      </c>
      <c r="E349" s="57">
        <f>+SUMIF('Chi tiết NVL'!$I:$I,$A349,'Chi tiết NVL'!N:N)</f>
        <v/>
      </c>
      <c r="F349" s="57">
        <f>+SUMIF('Chi tiết NVL'!$I:$I,$A349,'Chi tiết NVL'!O:O)</f>
        <v/>
      </c>
      <c r="G349" s="57">
        <f>+SUMIF('Chi tiết NVL'!$I:$I,$A349,'Chi tiết NVL'!P:P)</f>
        <v/>
      </c>
      <c r="H349" s="57">
        <f>+SUMIF('Chi tiết NVL'!$I:$I,$A349,'Chi tiết NVL'!Q:Q)</f>
        <v/>
      </c>
      <c r="I349" s="57">
        <f>+SUMIF('Chi tiết NVL'!$I:$I,$A349,'Chi tiết NVL'!R:R)</f>
        <v/>
      </c>
      <c r="J349" s="57">
        <f>+SUMIF('Chi tiết NVL'!$I:$I,$A349,'Chi tiết NVL'!S:S)</f>
        <v/>
      </c>
    </row>
    <row r="350">
      <c r="A350" s="56" t="inlineStr">
        <is>
          <t>Bulong Din 933 8.8 HDG M20x100</t>
        </is>
      </c>
      <c r="B350" s="56">
        <f>+VLOOKUP(A350,'Chi tiết NVL'!$I$10:$J$4158,2,0)</f>
        <v/>
      </c>
      <c r="C350" s="57">
        <f>+SUMIF('Chi tiết NVL'!$I:$I,$A350,'Chi tiết NVL'!L:L)</f>
        <v/>
      </c>
      <c r="D350" s="57">
        <f>+SUMIF('Chi tiết NVL'!$I:$I,$A350,'Chi tiết NVL'!M:M)</f>
        <v/>
      </c>
      <c r="E350" s="57">
        <f>+SUMIF('Chi tiết NVL'!$I:$I,$A350,'Chi tiết NVL'!N:N)</f>
        <v/>
      </c>
      <c r="F350" s="57">
        <f>+SUMIF('Chi tiết NVL'!$I:$I,$A350,'Chi tiết NVL'!O:O)</f>
        <v/>
      </c>
      <c r="G350" s="57">
        <f>+SUMIF('Chi tiết NVL'!$I:$I,$A350,'Chi tiết NVL'!P:P)</f>
        <v/>
      </c>
      <c r="H350" s="57">
        <f>+SUMIF('Chi tiết NVL'!$I:$I,$A350,'Chi tiết NVL'!Q:Q)</f>
        <v/>
      </c>
      <c r="I350" s="57">
        <f>+SUMIF('Chi tiết NVL'!$I:$I,$A350,'Chi tiết NVL'!R:R)</f>
        <v/>
      </c>
      <c r="J350" s="57">
        <f>+SUMIF('Chi tiết NVL'!$I:$I,$A350,'Chi tiết NVL'!S:S)</f>
        <v/>
      </c>
    </row>
    <row r="351">
      <c r="A351" s="56" t="inlineStr">
        <is>
          <t>Đai ốc ISO 4032 8 HDG M20</t>
        </is>
      </c>
      <c r="B351" s="56">
        <f>+VLOOKUP(A351,'Chi tiết NVL'!$I$10:$J$4158,2,0)</f>
        <v/>
      </c>
      <c r="C351" s="57">
        <f>+SUMIF('Chi tiết NVL'!$I:$I,$A351,'Chi tiết NVL'!L:L)</f>
        <v/>
      </c>
      <c r="D351" s="57">
        <f>+SUMIF('Chi tiết NVL'!$I:$I,$A351,'Chi tiết NVL'!M:M)</f>
        <v/>
      </c>
      <c r="E351" s="57">
        <f>+SUMIF('Chi tiết NVL'!$I:$I,$A351,'Chi tiết NVL'!N:N)</f>
        <v/>
      </c>
      <c r="F351" s="57">
        <f>+SUMIF('Chi tiết NVL'!$I:$I,$A351,'Chi tiết NVL'!O:O)</f>
        <v/>
      </c>
      <c r="G351" s="57">
        <f>+SUMIF('Chi tiết NVL'!$I:$I,$A351,'Chi tiết NVL'!P:P)</f>
        <v/>
      </c>
      <c r="H351" s="57">
        <f>+SUMIF('Chi tiết NVL'!$I:$I,$A351,'Chi tiết NVL'!Q:Q)</f>
        <v/>
      </c>
      <c r="I351" s="57">
        <f>+SUMIF('Chi tiết NVL'!$I:$I,$A351,'Chi tiết NVL'!R:R)</f>
        <v/>
      </c>
      <c r="J351" s="57">
        <f>+SUMIF('Chi tiết NVL'!$I:$I,$A351,'Chi tiết NVL'!S:S)</f>
        <v/>
      </c>
    </row>
    <row r="352">
      <c r="A352" s="56" t="inlineStr">
        <is>
          <t>Long đền thường HDG M20B35D2</t>
        </is>
      </c>
      <c r="B352" s="56">
        <f>+VLOOKUP(A352,'Chi tiết NVL'!$I$10:$J$4158,2,0)</f>
        <v/>
      </c>
      <c r="C352" s="57">
        <f>+SUMIF('Chi tiết NVL'!$I:$I,$A352,'Chi tiết NVL'!L:L)</f>
        <v/>
      </c>
      <c r="D352" s="57">
        <f>+SUMIF('Chi tiết NVL'!$I:$I,$A352,'Chi tiết NVL'!M:M)</f>
        <v/>
      </c>
      <c r="E352" s="57">
        <f>+SUMIF('Chi tiết NVL'!$I:$I,$A352,'Chi tiết NVL'!N:N)</f>
        <v/>
      </c>
      <c r="F352" s="57">
        <f>+SUMIF('Chi tiết NVL'!$I:$I,$A352,'Chi tiết NVL'!O:O)</f>
        <v/>
      </c>
      <c r="G352" s="57">
        <f>+SUMIF('Chi tiết NVL'!$I:$I,$A352,'Chi tiết NVL'!P:P)</f>
        <v/>
      </c>
      <c r="H352" s="57">
        <f>+SUMIF('Chi tiết NVL'!$I:$I,$A352,'Chi tiết NVL'!Q:Q)</f>
        <v/>
      </c>
      <c r="I352" s="57">
        <f>+SUMIF('Chi tiết NVL'!$I:$I,$A352,'Chi tiết NVL'!R:R)</f>
        <v/>
      </c>
      <c r="J352" s="57">
        <f>+SUMIF('Chi tiết NVL'!$I:$I,$A352,'Chi tiết NVL'!S:S)</f>
        <v/>
      </c>
    </row>
    <row r="353">
      <c r="A353" s="56" t="inlineStr">
        <is>
          <t>Bulong Din 933 8.8 HDG M20x50</t>
        </is>
      </c>
      <c r="B353" s="56">
        <f>+VLOOKUP(A353,'Chi tiết NVL'!$I$10:$J$4158,2,0)</f>
        <v/>
      </c>
      <c r="C353" s="57">
        <f>+SUMIF('Chi tiết NVL'!$I:$I,$A353,'Chi tiết NVL'!L:L)</f>
        <v/>
      </c>
      <c r="D353" s="57">
        <f>+SUMIF('Chi tiết NVL'!$I:$I,$A353,'Chi tiết NVL'!M:M)</f>
        <v/>
      </c>
      <c r="E353" s="57">
        <f>+SUMIF('Chi tiết NVL'!$I:$I,$A353,'Chi tiết NVL'!N:N)</f>
        <v/>
      </c>
      <c r="F353" s="57">
        <f>+SUMIF('Chi tiết NVL'!$I:$I,$A353,'Chi tiết NVL'!O:O)</f>
        <v/>
      </c>
      <c r="G353" s="57">
        <f>+SUMIF('Chi tiết NVL'!$I:$I,$A353,'Chi tiết NVL'!P:P)</f>
        <v/>
      </c>
      <c r="H353" s="57">
        <f>+SUMIF('Chi tiết NVL'!$I:$I,$A353,'Chi tiết NVL'!Q:Q)</f>
        <v/>
      </c>
      <c r="I353" s="57">
        <f>+SUMIF('Chi tiết NVL'!$I:$I,$A353,'Chi tiết NVL'!R:R)</f>
        <v/>
      </c>
      <c r="J353" s="57">
        <f>+SUMIF('Chi tiết NVL'!$I:$I,$A353,'Chi tiết NVL'!S:S)</f>
        <v/>
      </c>
    </row>
    <row r="354">
      <c r="A354" s="56" t="inlineStr">
        <is>
          <t>Bulong Din 933 8.8 HDG M20x60</t>
        </is>
      </c>
      <c r="B354" s="56">
        <f>+VLOOKUP(A354,'Chi tiết NVL'!$I$10:$J$4158,2,0)</f>
        <v/>
      </c>
      <c r="C354" s="57">
        <f>+SUMIF('Chi tiết NVL'!$I:$I,$A354,'Chi tiết NVL'!L:L)</f>
        <v/>
      </c>
      <c r="D354" s="57">
        <f>+SUMIF('Chi tiết NVL'!$I:$I,$A354,'Chi tiết NVL'!M:M)</f>
        <v/>
      </c>
      <c r="E354" s="57">
        <f>+SUMIF('Chi tiết NVL'!$I:$I,$A354,'Chi tiết NVL'!N:N)</f>
        <v/>
      </c>
      <c r="F354" s="57">
        <f>+SUMIF('Chi tiết NVL'!$I:$I,$A354,'Chi tiết NVL'!O:O)</f>
        <v/>
      </c>
      <c r="G354" s="57">
        <f>+SUMIF('Chi tiết NVL'!$I:$I,$A354,'Chi tiết NVL'!P:P)</f>
        <v/>
      </c>
      <c r="H354" s="57">
        <f>+SUMIF('Chi tiết NVL'!$I:$I,$A354,'Chi tiết NVL'!Q:Q)</f>
        <v/>
      </c>
      <c r="I354" s="57">
        <f>+SUMIF('Chi tiết NVL'!$I:$I,$A354,'Chi tiết NVL'!R:R)</f>
        <v/>
      </c>
      <c r="J354" s="57">
        <f>+SUMIF('Chi tiết NVL'!$I:$I,$A354,'Chi tiết NVL'!S:S)</f>
        <v/>
      </c>
    </row>
    <row r="355">
      <c r="A355" s="56" t="inlineStr">
        <is>
          <t>Bulong Din 933 8.8 HDG M20x70</t>
        </is>
      </c>
      <c r="B355" s="56">
        <f>+VLOOKUP(A355,'Chi tiết NVL'!$I$10:$J$4158,2,0)</f>
        <v/>
      </c>
      <c r="C355" s="57">
        <f>+SUMIF('Chi tiết NVL'!$I:$I,$A355,'Chi tiết NVL'!L:L)</f>
        <v/>
      </c>
      <c r="D355" s="57">
        <f>+SUMIF('Chi tiết NVL'!$I:$I,$A355,'Chi tiết NVL'!M:M)</f>
        <v/>
      </c>
      <c r="E355" s="57">
        <f>+SUMIF('Chi tiết NVL'!$I:$I,$A355,'Chi tiết NVL'!N:N)</f>
        <v/>
      </c>
      <c r="F355" s="57">
        <f>+SUMIF('Chi tiết NVL'!$I:$I,$A355,'Chi tiết NVL'!O:O)</f>
        <v/>
      </c>
      <c r="G355" s="57">
        <f>+SUMIF('Chi tiết NVL'!$I:$I,$A355,'Chi tiết NVL'!P:P)</f>
        <v/>
      </c>
      <c r="H355" s="57">
        <f>+SUMIF('Chi tiết NVL'!$I:$I,$A355,'Chi tiết NVL'!Q:Q)</f>
        <v/>
      </c>
      <c r="I355" s="57">
        <f>+SUMIF('Chi tiết NVL'!$I:$I,$A355,'Chi tiết NVL'!R:R)</f>
        <v/>
      </c>
      <c r="J355" s="57">
        <f>+SUMIF('Chi tiết NVL'!$I:$I,$A355,'Chi tiết NVL'!S:S)</f>
        <v/>
      </c>
    </row>
    <row r="356">
      <c r="A356" s="56" t="inlineStr">
        <is>
          <t>Bulong Din 933 8.8 HDG M20x80</t>
        </is>
      </c>
      <c r="B356" s="56">
        <f>+VLOOKUP(A356,'Chi tiết NVL'!$I$10:$J$4158,2,0)</f>
        <v/>
      </c>
      <c r="C356" s="57">
        <f>+SUMIF('Chi tiết NVL'!$I:$I,$A356,'Chi tiết NVL'!L:L)</f>
        <v/>
      </c>
      <c r="D356" s="57">
        <f>+SUMIF('Chi tiết NVL'!$I:$I,$A356,'Chi tiết NVL'!M:M)</f>
        <v/>
      </c>
      <c r="E356" s="57">
        <f>+SUMIF('Chi tiết NVL'!$I:$I,$A356,'Chi tiết NVL'!N:N)</f>
        <v/>
      </c>
      <c r="F356" s="57">
        <f>+SUMIF('Chi tiết NVL'!$I:$I,$A356,'Chi tiết NVL'!O:O)</f>
        <v/>
      </c>
      <c r="G356" s="57">
        <f>+SUMIF('Chi tiết NVL'!$I:$I,$A356,'Chi tiết NVL'!P:P)</f>
        <v/>
      </c>
      <c r="H356" s="57">
        <f>+SUMIF('Chi tiết NVL'!$I:$I,$A356,'Chi tiết NVL'!Q:Q)</f>
        <v/>
      </c>
      <c r="I356" s="57">
        <f>+SUMIF('Chi tiết NVL'!$I:$I,$A356,'Chi tiết NVL'!R:R)</f>
        <v/>
      </c>
      <c r="J356" s="57">
        <f>+SUMIF('Chi tiết NVL'!$I:$I,$A356,'Chi tiết NVL'!S:S)</f>
        <v/>
      </c>
    </row>
    <row r="357">
      <c r="A357" s="56" t="inlineStr">
        <is>
          <t>Bulong Din 933 8.8 HDG M24x100</t>
        </is>
      </c>
      <c r="B357" s="56">
        <f>+VLOOKUP(A357,'Chi tiết NVL'!$I$10:$J$4158,2,0)</f>
        <v/>
      </c>
      <c r="C357" s="57">
        <f>+SUMIF('Chi tiết NVL'!$I:$I,$A357,'Chi tiết NVL'!L:L)</f>
        <v/>
      </c>
      <c r="D357" s="57">
        <f>+SUMIF('Chi tiết NVL'!$I:$I,$A357,'Chi tiết NVL'!M:M)</f>
        <v/>
      </c>
      <c r="E357" s="57">
        <f>+SUMIF('Chi tiết NVL'!$I:$I,$A357,'Chi tiết NVL'!N:N)</f>
        <v/>
      </c>
      <c r="F357" s="57">
        <f>+SUMIF('Chi tiết NVL'!$I:$I,$A357,'Chi tiết NVL'!O:O)</f>
        <v/>
      </c>
      <c r="G357" s="57">
        <f>+SUMIF('Chi tiết NVL'!$I:$I,$A357,'Chi tiết NVL'!P:P)</f>
        <v/>
      </c>
      <c r="H357" s="57">
        <f>+SUMIF('Chi tiết NVL'!$I:$I,$A357,'Chi tiết NVL'!Q:Q)</f>
        <v/>
      </c>
      <c r="I357" s="57">
        <f>+SUMIF('Chi tiết NVL'!$I:$I,$A357,'Chi tiết NVL'!R:R)</f>
        <v/>
      </c>
      <c r="J357" s="57">
        <f>+SUMIF('Chi tiết NVL'!$I:$I,$A357,'Chi tiết NVL'!S:S)</f>
        <v/>
      </c>
    </row>
    <row r="358">
      <c r="A358" s="56" t="inlineStr">
        <is>
          <t>Đai ốc ISO 4032 8 HDG M24</t>
        </is>
      </c>
      <c r="B358" s="56">
        <f>+VLOOKUP(A358,'Chi tiết NVL'!$I$10:$J$4158,2,0)</f>
        <v/>
      </c>
      <c r="C358" s="57">
        <f>+SUMIF('Chi tiết NVL'!$I:$I,$A358,'Chi tiết NVL'!L:L)</f>
        <v/>
      </c>
      <c r="D358" s="57">
        <f>+SUMIF('Chi tiết NVL'!$I:$I,$A358,'Chi tiết NVL'!M:M)</f>
        <v/>
      </c>
      <c r="E358" s="57">
        <f>+SUMIF('Chi tiết NVL'!$I:$I,$A358,'Chi tiết NVL'!N:N)</f>
        <v/>
      </c>
      <c r="F358" s="57">
        <f>+SUMIF('Chi tiết NVL'!$I:$I,$A358,'Chi tiết NVL'!O:O)</f>
        <v/>
      </c>
      <c r="G358" s="57">
        <f>+SUMIF('Chi tiết NVL'!$I:$I,$A358,'Chi tiết NVL'!P:P)</f>
        <v/>
      </c>
      <c r="H358" s="57">
        <f>+SUMIF('Chi tiết NVL'!$I:$I,$A358,'Chi tiết NVL'!Q:Q)</f>
        <v/>
      </c>
      <c r="I358" s="57">
        <f>+SUMIF('Chi tiết NVL'!$I:$I,$A358,'Chi tiết NVL'!R:R)</f>
        <v/>
      </c>
      <c r="J358" s="57">
        <f>+SUMIF('Chi tiết NVL'!$I:$I,$A358,'Chi tiết NVL'!S:S)</f>
        <v/>
      </c>
    </row>
    <row r="359">
      <c r="A359" s="56" t="inlineStr">
        <is>
          <t>Long đền thường HDG M24B42D2</t>
        </is>
      </c>
      <c r="B359" s="56">
        <f>+VLOOKUP(A359,'Chi tiết NVL'!$I$10:$J$4158,2,0)</f>
        <v/>
      </c>
      <c r="C359" s="57">
        <f>+SUMIF('Chi tiết NVL'!$I:$I,$A359,'Chi tiết NVL'!L:L)</f>
        <v/>
      </c>
      <c r="D359" s="57">
        <f>+SUMIF('Chi tiết NVL'!$I:$I,$A359,'Chi tiết NVL'!M:M)</f>
        <v/>
      </c>
      <c r="E359" s="57">
        <f>+SUMIF('Chi tiết NVL'!$I:$I,$A359,'Chi tiết NVL'!N:N)</f>
        <v/>
      </c>
      <c r="F359" s="57">
        <f>+SUMIF('Chi tiết NVL'!$I:$I,$A359,'Chi tiết NVL'!O:O)</f>
        <v/>
      </c>
      <c r="G359" s="57">
        <f>+SUMIF('Chi tiết NVL'!$I:$I,$A359,'Chi tiết NVL'!P:P)</f>
        <v/>
      </c>
      <c r="H359" s="57">
        <f>+SUMIF('Chi tiết NVL'!$I:$I,$A359,'Chi tiết NVL'!Q:Q)</f>
        <v/>
      </c>
      <c r="I359" s="57">
        <f>+SUMIF('Chi tiết NVL'!$I:$I,$A359,'Chi tiết NVL'!R:R)</f>
        <v/>
      </c>
      <c r="J359" s="57">
        <f>+SUMIF('Chi tiết NVL'!$I:$I,$A359,'Chi tiết NVL'!S:S)</f>
        <v/>
      </c>
    </row>
    <row r="360">
      <c r="A360" s="56" t="inlineStr">
        <is>
          <t>Bulong Din 933 8.8 HDG M24x120</t>
        </is>
      </c>
      <c r="B360" s="56">
        <f>+VLOOKUP(A360,'Chi tiết NVL'!$I$10:$J$4158,2,0)</f>
        <v/>
      </c>
      <c r="C360" s="57">
        <f>+SUMIF('Chi tiết NVL'!$I:$I,$A360,'Chi tiết NVL'!L:L)</f>
        <v/>
      </c>
      <c r="D360" s="57">
        <f>+SUMIF('Chi tiết NVL'!$I:$I,$A360,'Chi tiết NVL'!M:M)</f>
        <v/>
      </c>
      <c r="E360" s="57">
        <f>+SUMIF('Chi tiết NVL'!$I:$I,$A360,'Chi tiết NVL'!N:N)</f>
        <v/>
      </c>
      <c r="F360" s="57">
        <f>+SUMIF('Chi tiết NVL'!$I:$I,$A360,'Chi tiết NVL'!O:O)</f>
        <v/>
      </c>
      <c r="G360" s="57">
        <f>+SUMIF('Chi tiết NVL'!$I:$I,$A360,'Chi tiết NVL'!P:P)</f>
        <v/>
      </c>
      <c r="H360" s="57">
        <f>+SUMIF('Chi tiết NVL'!$I:$I,$A360,'Chi tiết NVL'!Q:Q)</f>
        <v/>
      </c>
      <c r="I360" s="57">
        <f>+SUMIF('Chi tiết NVL'!$I:$I,$A360,'Chi tiết NVL'!R:R)</f>
        <v/>
      </c>
      <c r="J360" s="57">
        <f>+SUMIF('Chi tiết NVL'!$I:$I,$A360,'Chi tiết NVL'!S:S)</f>
        <v/>
      </c>
    </row>
    <row r="361">
      <c r="A361" s="56" t="inlineStr">
        <is>
          <t>Bulong Din 933 8.8 HDG M24x60</t>
        </is>
      </c>
      <c r="B361" s="56">
        <f>+VLOOKUP(A361,'Chi tiết NVL'!$I$10:$J$4158,2,0)</f>
        <v/>
      </c>
      <c r="C361" s="57">
        <f>+SUMIF('Chi tiết NVL'!$I:$I,$A361,'Chi tiết NVL'!L:L)</f>
        <v/>
      </c>
      <c r="D361" s="57">
        <f>+SUMIF('Chi tiết NVL'!$I:$I,$A361,'Chi tiết NVL'!M:M)</f>
        <v/>
      </c>
      <c r="E361" s="57">
        <f>+SUMIF('Chi tiết NVL'!$I:$I,$A361,'Chi tiết NVL'!N:N)</f>
        <v/>
      </c>
      <c r="F361" s="57">
        <f>+SUMIF('Chi tiết NVL'!$I:$I,$A361,'Chi tiết NVL'!O:O)</f>
        <v/>
      </c>
      <c r="G361" s="57">
        <f>+SUMIF('Chi tiết NVL'!$I:$I,$A361,'Chi tiết NVL'!P:P)</f>
        <v/>
      </c>
      <c r="H361" s="57">
        <f>+SUMIF('Chi tiết NVL'!$I:$I,$A361,'Chi tiết NVL'!Q:Q)</f>
        <v/>
      </c>
      <c r="I361" s="57">
        <f>+SUMIF('Chi tiết NVL'!$I:$I,$A361,'Chi tiết NVL'!R:R)</f>
        <v/>
      </c>
      <c r="J361" s="57">
        <f>+SUMIF('Chi tiết NVL'!$I:$I,$A361,'Chi tiết NVL'!S:S)</f>
        <v/>
      </c>
    </row>
    <row r="362">
      <c r="A362" s="56" t="inlineStr">
        <is>
          <t>Bulong Din 933 8.8 HDG M24x70</t>
        </is>
      </c>
      <c r="B362" s="56">
        <f>+VLOOKUP(A362,'Chi tiết NVL'!$I$10:$J$4158,2,0)</f>
        <v/>
      </c>
      <c r="C362" s="57">
        <f>+SUMIF('Chi tiết NVL'!$I:$I,$A362,'Chi tiết NVL'!L:L)</f>
        <v/>
      </c>
      <c r="D362" s="57">
        <f>+SUMIF('Chi tiết NVL'!$I:$I,$A362,'Chi tiết NVL'!M:M)</f>
        <v/>
      </c>
      <c r="E362" s="57">
        <f>+SUMIF('Chi tiết NVL'!$I:$I,$A362,'Chi tiết NVL'!N:N)</f>
        <v/>
      </c>
      <c r="F362" s="57">
        <f>+SUMIF('Chi tiết NVL'!$I:$I,$A362,'Chi tiết NVL'!O:O)</f>
        <v/>
      </c>
      <c r="G362" s="57">
        <f>+SUMIF('Chi tiết NVL'!$I:$I,$A362,'Chi tiết NVL'!P:P)</f>
        <v/>
      </c>
      <c r="H362" s="57">
        <f>+SUMIF('Chi tiết NVL'!$I:$I,$A362,'Chi tiết NVL'!Q:Q)</f>
        <v/>
      </c>
      <c r="I362" s="57">
        <f>+SUMIF('Chi tiết NVL'!$I:$I,$A362,'Chi tiết NVL'!R:R)</f>
        <v/>
      </c>
      <c r="J362" s="57">
        <f>+SUMIF('Chi tiết NVL'!$I:$I,$A362,'Chi tiết NVL'!S:S)</f>
        <v/>
      </c>
    </row>
    <row r="363">
      <c r="A363" s="56" t="inlineStr">
        <is>
          <t>Bulong Din 933 8.8 HDG M24x80</t>
        </is>
      </c>
      <c r="B363" s="56">
        <f>+VLOOKUP(A363,'Chi tiết NVL'!$I$10:$J$4158,2,0)</f>
        <v/>
      </c>
      <c r="C363" s="57">
        <f>+SUMIF('Chi tiết NVL'!$I:$I,$A363,'Chi tiết NVL'!L:L)</f>
        <v/>
      </c>
      <c r="D363" s="57">
        <f>+SUMIF('Chi tiết NVL'!$I:$I,$A363,'Chi tiết NVL'!M:M)</f>
        <v/>
      </c>
      <c r="E363" s="57">
        <f>+SUMIF('Chi tiết NVL'!$I:$I,$A363,'Chi tiết NVL'!N:N)</f>
        <v/>
      </c>
      <c r="F363" s="57">
        <f>+SUMIF('Chi tiết NVL'!$I:$I,$A363,'Chi tiết NVL'!O:O)</f>
        <v/>
      </c>
      <c r="G363" s="57">
        <f>+SUMIF('Chi tiết NVL'!$I:$I,$A363,'Chi tiết NVL'!P:P)</f>
        <v/>
      </c>
      <c r="H363" s="57">
        <f>+SUMIF('Chi tiết NVL'!$I:$I,$A363,'Chi tiết NVL'!Q:Q)</f>
        <v/>
      </c>
      <c r="I363" s="57">
        <f>+SUMIF('Chi tiết NVL'!$I:$I,$A363,'Chi tiết NVL'!R:R)</f>
        <v/>
      </c>
      <c r="J363" s="57">
        <f>+SUMIF('Chi tiết NVL'!$I:$I,$A363,'Chi tiết NVL'!S:S)</f>
        <v/>
      </c>
    </row>
    <row r="364">
      <c r="A364" s="56" t="inlineStr">
        <is>
          <t>Bulong Din 933 8.8 HDG M24x90</t>
        </is>
      </c>
      <c r="B364" s="56">
        <f>+VLOOKUP(A364,'Chi tiết NVL'!$I$10:$J$4158,2,0)</f>
        <v/>
      </c>
      <c r="C364" s="57">
        <f>+SUMIF('Chi tiết NVL'!$I:$I,$A364,'Chi tiết NVL'!L:L)</f>
        <v/>
      </c>
      <c r="D364" s="57">
        <f>+SUMIF('Chi tiết NVL'!$I:$I,$A364,'Chi tiết NVL'!M:M)</f>
        <v/>
      </c>
      <c r="E364" s="57">
        <f>+SUMIF('Chi tiết NVL'!$I:$I,$A364,'Chi tiết NVL'!N:N)</f>
        <v/>
      </c>
      <c r="F364" s="57">
        <f>+SUMIF('Chi tiết NVL'!$I:$I,$A364,'Chi tiết NVL'!O:O)</f>
        <v/>
      </c>
      <c r="G364" s="57">
        <f>+SUMIF('Chi tiết NVL'!$I:$I,$A364,'Chi tiết NVL'!P:P)</f>
        <v/>
      </c>
      <c r="H364" s="57">
        <f>+SUMIF('Chi tiết NVL'!$I:$I,$A364,'Chi tiết NVL'!Q:Q)</f>
        <v/>
      </c>
      <c r="I364" s="57">
        <f>+SUMIF('Chi tiết NVL'!$I:$I,$A364,'Chi tiết NVL'!R:R)</f>
        <v/>
      </c>
      <c r="J364" s="57">
        <f>+SUMIF('Chi tiết NVL'!$I:$I,$A364,'Chi tiết NVL'!S:S)</f>
        <v/>
      </c>
    </row>
    <row r="365">
      <c r="A365" s="56" t="inlineStr">
        <is>
          <t>Bulong thường 4.6 HDG M12x100</t>
        </is>
      </c>
      <c r="B365" s="56">
        <f>+VLOOKUP(A365,'Chi tiết NVL'!$I$10:$J$4158,2,0)</f>
        <v/>
      </c>
      <c r="C365" s="57">
        <f>+SUMIF('Chi tiết NVL'!$I:$I,$A365,'Chi tiết NVL'!L:L)</f>
        <v/>
      </c>
      <c r="D365" s="57">
        <f>+SUMIF('Chi tiết NVL'!$I:$I,$A365,'Chi tiết NVL'!M:M)</f>
        <v/>
      </c>
      <c r="E365" s="57">
        <f>+SUMIF('Chi tiết NVL'!$I:$I,$A365,'Chi tiết NVL'!N:N)</f>
        <v/>
      </c>
      <c r="F365" s="57">
        <f>+SUMIF('Chi tiết NVL'!$I:$I,$A365,'Chi tiết NVL'!O:O)</f>
        <v/>
      </c>
      <c r="G365" s="57">
        <f>+SUMIF('Chi tiết NVL'!$I:$I,$A365,'Chi tiết NVL'!P:P)</f>
        <v/>
      </c>
      <c r="H365" s="57">
        <f>+SUMIF('Chi tiết NVL'!$I:$I,$A365,'Chi tiết NVL'!Q:Q)</f>
        <v/>
      </c>
      <c r="I365" s="57">
        <f>+SUMIF('Chi tiết NVL'!$I:$I,$A365,'Chi tiết NVL'!R:R)</f>
        <v/>
      </c>
      <c r="J365" s="57">
        <f>+SUMIF('Chi tiết NVL'!$I:$I,$A365,'Chi tiết NVL'!S:S)</f>
        <v/>
      </c>
    </row>
    <row r="366">
      <c r="A366" s="56" t="inlineStr">
        <is>
          <t>Long đền thường HDG M12B23D1</t>
        </is>
      </c>
      <c r="B366" s="56">
        <f>+VLOOKUP(A366,'Chi tiết NVL'!$I$10:$J$4158,2,0)</f>
        <v/>
      </c>
      <c r="C366" s="57">
        <f>+SUMIF('Chi tiết NVL'!$I:$I,$A366,'Chi tiết NVL'!L:L)</f>
        <v/>
      </c>
      <c r="D366" s="57">
        <f>+SUMIF('Chi tiết NVL'!$I:$I,$A366,'Chi tiết NVL'!M:M)</f>
        <v/>
      </c>
      <c r="E366" s="57">
        <f>+SUMIF('Chi tiết NVL'!$I:$I,$A366,'Chi tiết NVL'!N:N)</f>
        <v/>
      </c>
      <c r="F366" s="57">
        <f>+SUMIF('Chi tiết NVL'!$I:$I,$A366,'Chi tiết NVL'!O:O)</f>
        <v/>
      </c>
      <c r="G366" s="57">
        <f>+SUMIF('Chi tiết NVL'!$I:$I,$A366,'Chi tiết NVL'!P:P)</f>
        <v/>
      </c>
      <c r="H366" s="57">
        <f>+SUMIF('Chi tiết NVL'!$I:$I,$A366,'Chi tiết NVL'!Q:Q)</f>
        <v/>
      </c>
      <c r="I366" s="57">
        <f>+SUMIF('Chi tiết NVL'!$I:$I,$A366,'Chi tiết NVL'!R:R)</f>
        <v/>
      </c>
      <c r="J366" s="57">
        <f>+SUMIF('Chi tiết NVL'!$I:$I,$A366,'Chi tiết NVL'!S:S)</f>
        <v/>
      </c>
    </row>
    <row r="367">
      <c r="A367" s="56" t="inlineStr">
        <is>
          <t>Bulong thường 4.6 HDG M12x30</t>
        </is>
      </c>
      <c r="B367" s="56">
        <f>+VLOOKUP(A367,'Chi tiết NVL'!$I$10:$J$4158,2,0)</f>
        <v/>
      </c>
      <c r="C367" s="57">
        <f>+SUMIF('Chi tiết NVL'!$I:$I,$A367,'Chi tiết NVL'!L:L)</f>
        <v/>
      </c>
      <c r="D367" s="57">
        <f>+SUMIF('Chi tiết NVL'!$I:$I,$A367,'Chi tiết NVL'!M:M)</f>
        <v/>
      </c>
      <c r="E367" s="57">
        <f>+SUMIF('Chi tiết NVL'!$I:$I,$A367,'Chi tiết NVL'!N:N)</f>
        <v/>
      </c>
      <c r="F367" s="57">
        <f>+SUMIF('Chi tiết NVL'!$I:$I,$A367,'Chi tiết NVL'!O:O)</f>
        <v/>
      </c>
      <c r="G367" s="57">
        <f>+SUMIF('Chi tiết NVL'!$I:$I,$A367,'Chi tiết NVL'!P:P)</f>
        <v/>
      </c>
      <c r="H367" s="57">
        <f>+SUMIF('Chi tiết NVL'!$I:$I,$A367,'Chi tiết NVL'!Q:Q)</f>
        <v/>
      </c>
      <c r="I367" s="57">
        <f>+SUMIF('Chi tiết NVL'!$I:$I,$A367,'Chi tiết NVL'!R:R)</f>
        <v/>
      </c>
      <c r="J367" s="57">
        <f>+SUMIF('Chi tiết NVL'!$I:$I,$A367,'Chi tiết NVL'!S:S)</f>
        <v/>
      </c>
    </row>
    <row r="368">
      <c r="A368" s="56" t="inlineStr">
        <is>
          <t>Bulong thường 4.6 HDG M12x40</t>
        </is>
      </c>
      <c r="B368" s="56">
        <f>+VLOOKUP(A368,'Chi tiết NVL'!$I$10:$J$4158,2,0)</f>
        <v/>
      </c>
      <c r="C368" s="57">
        <f>+SUMIF('Chi tiết NVL'!$I:$I,$A368,'Chi tiết NVL'!L:L)</f>
        <v/>
      </c>
      <c r="D368" s="57">
        <f>+SUMIF('Chi tiết NVL'!$I:$I,$A368,'Chi tiết NVL'!M:M)</f>
        <v/>
      </c>
      <c r="E368" s="57">
        <f>+SUMIF('Chi tiết NVL'!$I:$I,$A368,'Chi tiết NVL'!N:N)</f>
        <v/>
      </c>
      <c r="F368" s="57">
        <f>+SUMIF('Chi tiết NVL'!$I:$I,$A368,'Chi tiết NVL'!O:O)</f>
        <v/>
      </c>
      <c r="G368" s="57">
        <f>+SUMIF('Chi tiết NVL'!$I:$I,$A368,'Chi tiết NVL'!P:P)</f>
        <v/>
      </c>
      <c r="H368" s="57">
        <f>+SUMIF('Chi tiết NVL'!$I:$I,$A368,'Chi tiết NVL'!Q:Q)</f>
        <v/>
      </c>
      <c r="I368" s="57">
        <f>+SUMIF('Chi tiết NVL'!$I:$I,$A368,'Chi tiết NVL'!R:R)</f>
        <v/>
      </c>
      <c r="J368" s="57">
        <f>+SUMIF('Chi tiết NVL'!$I:$I,$A368,'Chi tiết NVL'!S:S)</f>
        <v/>
      </c>
    </row>
    <row r="369">
      <c r="A369" s="56" t="inlineStr">
        <is>
          <t>Bulong thường 4.6 HDG M12x60</t>
        </is>
      </c>
      <c r="B369" s="56">
        <f>+VLOOKUP(A369,'Chi tiết NVL'!$I$10:$J$4158,2,0)</f>
        <v/>
      </c>
      <c r="C369" s="57">
        <f>+SUMIF('Chi tiết NVL'!$I:$I,$A369,'Chi tiết NVL'!L:L)</f>
        <v/>
      </c>
      <c r="D369" s="57">
        <f>+SUMIF('Chi tiết NVL'!$I:$I,$A369,'Chi tiết NVL'!M:M)</f>
        <v/>
      </c>
      <c r="E369" s="57">
        <f>+SUMIF('Chi tiết NVL'!$I:$I,$A369,'Chi tiết NVL'!N:N)</f>
        <v/>
      </c>
      <c r="F369" s="57">
        <f>+SUMIF('Chi tiết NVL'!$I:$I,$A369,'Chi tiết NVL'!O:O)</f>
        <v/>
      </c>
      <c r="G369" s="57">
        <f>+SUMIF('Chi tiết NVL'!$I:$I,$A369,'Chi tiết NVL'!P:P)</f>
        <v/>
      </c>
      <c r="H369" s="57">
        <f>+SUMIF('Chi tiết NVL'!$I:$I,$A369,'Chi tiết NVL'!Q:Q)</f>
        <v/>
      </c>
      <c r="I369" s="57">
        <f>+SUMIF('Chi tiết NVL'!$I:$I,$A369,'Chi tiết NVL'!R:R)</f>
        <v/>
      </c>
      <c r="J369" s="57">
        <f>+SUMIF('Chi tiết NVL'!$I:$I,$A369,'Chi tiết NVL'!S:S)</f>
        <v/>
      </c>
    </row>
    <row r="370">
      <c r="A370" s="56" t="inlineStr">
        <is>
          <t>Bulong thường 4.6 HDG M12x70</t>
        </is>
      </c>
      <c r="B370" s="56">
        <f>+VLOOKUP(A370,'Chi tiết NVL'!$I$10:$J$4158,2,0)</f>
        <v/>
      </c>
      <c r="C370" s="57">
        <f>+SUMIF('Chi tiết NVL'!$I:$I,$A370,'Chi tiết NVL'!L:L)</f>
        <v/>
      </c>
      <c r="D370" s="57">
        <f>+SUMIF('Chi tiết NVL'!$I:$I,$A370,'Chi tiết NVL'!M:M)</f>
        <v/>
      </c>
      <c r="E370" s="57">
        <f>+SUMIF('Chi tiết NVL'!$I:$I,$A370,'Chi tiết NVL'!N:N)</f>
        <v/>
      </c>
      <c r="F370" s="57">
        <f>+SUMIF('Chi tiết NVL'!$I:$I,$A370,'Chi tiết NVL'!O:O)</f>
        <v/>
      </c>
      <c r="G370" s="57">
        <f>+SUMIF('Chi tiết NVL'!$I:$I,$A370,'Chi tiết NVL'!P:P)</f>
        <v/>
      </c>
      <c r="H370" s="57">
        <f>+SUMIF('Chi tiết NVL'!$I:$I,$A370,'Chi tiết NVL'!Q:Q)</f>
        <v/>
      </c>
      <c r="I370" s="57">
        <f>+SUMIF('Chi tiết NVL'!$I:$I,$A370,'Chi tiết NVL'!R:R)</f>
        <v/>
      </c>
      <c r="J370" s="57">
        <f>+SUMIF('Chi tiết NVL'!$I:$I,$A370,'Chi tiết NVL'!S:S)</f>
        <v/>
      </c>
    </row>
    <row r="371">
      <c r="A371" s="56" t="inlineStr">
        <is>
          <t>Bulong thường 4.6 HDG M12x80</t>
        </is>
      </c>
      <c r="B371" s="56">
        <f>+VLOOKUP(A371,'Chi tiết NVL'!$I$10:$J$4158,2,0)</f>
        <v/>
      </c>
      <c r="C371" s="57">
        <f>+SUMIF('Chi tiết NVL'!$I:$I,$A371,'Chi tiết NVL'!L:L)</f>
        <v/>
      </c>
      <c r="D371" s="57">
        <f>+SUMIF('Chi tiết NVL'!$I:$I,$A371,'Chi tiết NVL'!M:M)</f>
        <v/>
      </c>
      <c r="E371" s="57">
        <f>+SUMIF('Chi tiết NVL'!$I:$I,$A371,'Chi tiết NVL'!N:N)</f>
        <v/>
      </c>
      <c r="F371" s="57">
        <f>+SUMIF('Chi tiết NVL'!$I:$I,$A371,'Chi tiết NVL'!O:O)</f>
        <v/>
      </c>
      <c r="G371" s="57">
        <f>+SUMIF('Chi tiết NVL'!$I:$I,$A371,'Chi tiết NVL'!P:P)</f>
        <v/>
      </c>
      <c r="H371" s="57">
        <f>+SUMIF('Chi tiết NVL'!$I:$I,$A371,'Chi tiết NVL'!Q:Q)</f>
        <v/>
      </c>
      <c r="I371" s="57">
        <f>+SUMIF('Chi tiết NVL'!$I:$I,$A371,'Chi tiết NVL'!R:R)</f>
        <v/>
      </c>
      <c r="J371" s="57">
        <f>+SUMIF('Chi tiết NVL'!$I:$I,$A371,'Chi tiết NVL'!S:S)</f>
        <v/>
      </c>
    </row>
    <row r="372">
      <c r="A372" s="56" t="inlineStr">
        <is>
          <t>Đai ốc Din 934 4 HDG M12</t>
        </is>
      </c>
      <c r="B372" s="56">
        <f>+VLOOKUP(A372,'Chi tiết NVL'!$I$10:$J$4158,2,0)</f>
        <v/>
      </c>
      <c r="C372" s="57">
        <f>+SUMIF('Chi tiết NVL'!$I:$I,$A372,'Chi tiết NVL'!L:L)</f>
        <v/>
      </c>
      <c r="D372" s="57">
        <f>+SUMIF('Chi tiết NVL'!$I:$I,$A372,'Chi tiết NVL'!M:M)</f>
        <v/>
      </c>
      <c r="E372" s="57">
        <f>+SUMIF('Chi tiết NVL'!$I:$I,$A372,'Chi tiết NVL'!N:N)</f>
        <v/>
      </c>
      <c r="F372" s="57">
        <f>+SUMIF('Chi tiết NVL'!$I:$I,$A372,'Chi tiết NVL'!O:O)</f>
        <v/>
      </c>
      <c r="G372" s="57">
        <f>+SUMIF('Chi tiết NVL'!$I:$I,$A372,'Chi tiết NVL'!P:P)</f>
        <v/>
      </c>
      <c r="H372" s="57">
        <f>+SUMIF('Chi tiết NVL'!$I:$I,$A372,'Chi tiết NVL'!Q:Q)</f>
        <v/>
      </c>
      <c r="I372" s="57">
        <f>+SUMIF('Chi tiết NVL'!$I:$I,$A372,'Chi tiết NVL'!R:R)</f>
        <v/>
      </c>
      <c r="J372" s="57">
        <f>+SUMIF('Chi tiết NVL'!$I:$I,$A372,'Chi tiết NVL'!S:S)</f>
        <v/>
      </c>
    </row>
    <row r="373">
      <c r="A373" s="56" t="inlineStr">
        <is>
          <t>Bulong thường 4.6 HDG M16x40</t>
        </is>
      </c>
      <c r="B373" s="56">
        <f>+VLOOKUP(A373,'Chi tiết NVL'!$I$10:$J$4158,2,0)</f>
        <v/>
      </c>
      <c r="C373" s="57">
        <f>+SUMIF('Chi tiết NVL'!$I:$I,$A373,'Chi tiết NVL'!L:L)</f>
        <v/>
      </c>
      <c r="D373" s="57">
        <f>+SUMIF('Chi tiết NVL'!$I:$I,$A373,'Chi tiết NVL'!M:M)</f>
        <v/>
      </c>
      <c r="E373" s="57">
        <f>+SUMIF('Chi tiết NVL'!$I:$I,$A373,'Chi tiết NVL'!N:N)</f>
        <v/>
      </c>
      <c r="F373" s="57">
        <f>+SUMIF('Chi tiết NVL'!$I:$I,$A373,'Chi tiết NVL'!O:O)</f>
        <v/>
      </c>
      <c r="G373" s="57">
        <f>+SUMIF('Chi tiết NVL'!$I:$I,$A373,'Chi tiết NVL'!P:P)</f>
        <v/>
      </c>
      <c r="H373" s="57">
        <f>+SUMIF('Chi tiết NVL'!$I:$I,$A373,'Chi tiết NVL'!Q:Q)</f>
        <v/>
      </c>
      <c r="I373" s="57">
        <f>+SUMIF('Chi tiết NVL'!$I:$I,$A373,'Chi tiết NVL'!R:R)</f>
        <v/>
      </c>
      <c r="J373" s="57">
        <f>+SUMIF('Chi tiết NVL'!$I:$I,$A373,'Chi tiết NVL'!S:S)</f>
        <v/>
      </c>
    </row>
    <row r="374">
      <c r="A374" s="56" t="inlineStr">
        <is>
          <t>Đai ốc thường 4 HDG M16</t>
        </is>
      </c>
      <c r="B374" s="56">
        <f>+VLOOKUP(A374,'Chi tiết NVL'!$I$10:$J$4158,2,0)</f>
        <v/>
      </c>
      <c r="C374" s="57">
        <f>+SUMIF('Chi tiết NVL'!$I:$I,$A374,'Chi tiết NVL'!L:L)</f>
        <v/>
      </c>
      <c r="D374" s="57">
        <f>+SUMIF('Chi tiết NVL'!$I:$I,$A374,'Chi tiết NVL'!M:M)</f>
        <v/>
      </c>
      <c r="E374" s="57">
        <f>+SUMIF('Chi tiết NVL'!$I:$I,$A374,'Chi tiết NVL'!N:N)</f>
        <v/>
      </c>
      <c r="F374" s="57">
        <f>+SUMIF('Chi tiết NVL'!$I:$I,$A374,'Chi tiết NVL'!O:O)</f>
        <v/>
      </c>
      <c r="G374" s="57">
        <f>+SUMIF('Chi tiết NVL'!$I:$I,$A374,'Chi tiết NVL'!P:P)</f>
        <v/>
      </c>
      <c r="H374" s="57">
        <f>+SUMIF('Chi tiết NVL'!$I:$I,$A374,'Chi tiết NVL'!Q:Q)</f>
        <v/>
      </c>
      <c r="I374" s="57">
        <f>+SUMIF('Chi tiết NVL'!$I:$I,$A374,'Chi tiết NVL'!R:R)</f>
        <v/>
      </c>
      <c r="J374" s="57">
        <f>+SUMIF('Chi tiết NVL'!$I:$I,$A374,'Chi tiết NVL'!S:S)</f>
        <v/>
      </c>
    </row>
    <row r="375">
      <c r="A375" s="56" t="inlineStr">
        <is>
          <t>SƠN FUTURA CLASSIC STD4067 18.28L</t>
        </is>
      </c>
      <c r="B375" s="56">
        <f>+VLOOKUP(A375,'Chi tiết NVL'!$I$10:$J$4158,2,0)</f>
        <v/>
      </c>
      <c r="C375" s="57">
        <f>+SUMIF('Chi tiết NVL'!$I:$I,$A375,'Chi tiết NVL'!L:L)</f>
        <v/>
      </c>
      <c r="D375" s="57">
        <f>+SUMIF('Chi tiết NVL'!$I:$I,$A375,'Chi tiết NVL'!M:M)</f>
        <v/>
      </c>
      <c r="E375" s="57">
        <f>+SUMIF('Chi tiết NVL'!$I:$I,$A375,'Chi tiết NVL'!N:N)</f>
        <v/>
      </c>
      <c r="F375" s="57">
        <f>+SUMIF('Chi tiết NVL'!$I:$I,$A375,'Chi tiết NVL'!O:O)</f>
        <v/>
      </c>
      <c r="G375" s="57">
        <f>+SUMIF('Chi tiết NVL'!$I:$I,$A375,'Chi tiết NVL'!P:P)</f>
        <v/>
      </c>
      <c r="H375" s="57">
        <f>+SUMIF('Chi tiết NVL'!$I:$I,$A375,'Chi tiết NVL'!Q:Q)</f>
        <v/>
      </c>
      <c r="I375" s="57">
        <f>+SUMIF('Chi tiết NVL'!$I:$I,$A375,'Chi tiết NVL'!R:R)</f>
        <v/>
      </c>
      <c r="J375" s="57">
        <f>+SUMIF('Chi tiết NVL'!$I:$I,$A375,'Chi tiết NVL'!S:S)</f>
        <v/>
      </c>
    </row>
    <row r="376">
      <c r="A376" s="56" t="inlineStr">
        <is>
          <t>SƠN FUTURA CLASSIC STD4067 4.57L</t>
        </is>
      </c>
      <c r="B376" s="56">
        <f>+VLOOKUP(A376,'Chi tiết NVL'!$I$10:$J$4158,2,0)</f>
        <v/>
      </c>
      <c r="C376" s="57">
        <f>+SUMIF('Chi tiết NVL'!$I:$I,$A376,'Chi tiết NVL'!L:L)</f>
        <v/>
      </c>
      <c r="D376" s="57">
        <f>+SUMIF('Chi tiết NVL'!$I:$I,$A376,'Chi tiết NVL'!M:M)</f>
        <v/>
      </c>
      <c r="E376" s="57">
        <f>+SUMIF('Chi tiết NVL'!$I:$I,$A376,'Chi tiết NVL'!N:N)</f>
        <v/>
      </c>
      <c r="F376" s="57">
        <f>+SUMIF('Chi tiết NVL'!$I:$I,$A376,'Chi tiết NVL'!O:O)</f>
        <v/>
      </c>
      <c r="G376" s="57">
        <f>+SUMIF('Chi tiết NVL'!$I:$I,$A376,'Chi tiết NVL'!P:P)</f>
        <v/>
      </c>
      <c r="H376" s="57">
        <f>+SUMIF('Chi tiết NVL'!$I:$I,$A376,'Chi tiết NVL'!Q:Q)</f>
        <v/>
      </c>
      <c r="I376" s="57">
        <f>+SUMIF('Chi tiết NVL'!$I:$I,$A376,'Chi tiết NVL'!R:R)</f>
        <v/>
      </c>
      <c r="J376" s="57">
        <f>+SUMIF('Chi tiết NVL'!$I:$I,$A376,'Chi tiết NVL'!S:S)</f>
        <v/>
      </c>
    </row>
    <row r="377" ht="31.5" customHeight="1">
      <c r="A377" s="56" t="inlineStr">
        <is>
          <t>Bulong Neo I M24x530 DIN976 cấp bền 8.8 MDP 4E+1W</t>
        </is>
      </c>
      <c r="B377" s="56">
        <f>+VLOOKUP(A377,'Chi tiết NVL'!$I$10:$J$4158,2,0)</f>
        <v/>
      </c>
      <c r="C377" s="57">
        <f>+SUMIF('Chi tiết NVL'!$I:$I,$A377,'Chi tiết NVL'!L:L)</f>
        <v/>
      </c>
      <c r="D377" s="57">
        <f>+SUMIF('Chi tiết NVL'!$I:$I,$A377,'Chi tiết NVL'!M:M)</f>
        <v/>
      </c>
      <c r="E377" s="57">
        <f>+SUMIF('Chi tiết NVL'!$I:$I,$A377,'Chi tiết NVL'!N:N)</f>
        <v/>
      </c>
      <c r="F377" s="57">
        <f>+SUMIF('Chi tiết NVL'!$I:$I,$A377,'Chi tiết NVL'!O:O)</f>
        <v/>
      </c>
      <c r="G377" s="57">
        <f>+SUMIF('Chi tiết NVL'!$I:$I,$A377,'Chi tiết NVL'!P:P)</f>
        <v/>
      </c>
      <c r="H377" s="57">
        <f>+SUMIF('Chi tiết NVL'!$I:$I,$A377,'Chi tiết NVL'!Q:Q)</f>
        <v/>
      </c>
      <c r="I377" s="57">
        <f>+SUMIF('Chi tiết NVL'!$I:$I,$A377,'Chi tiết NVL'!R:R)</f>
        <v/>
      </c>
      <c r="J377" s="57">
        <f>+SUMIF('Chi tiết NVL'!$I:$I,$A377,'Chi tiết NVL'!S:S)</f>
        <v/>
      </c>
    </row>
    <row r="378" ht="31.5" customHeight="1">
      <c r="A378" s="56" t="inlineStr">
        <is>
          <t>Bulong Neo I M30x645 DIN976 cấp bền 8.8 MDP 4E+1W</t>
        </is>
      </c>
      <c r="B378" s="56">
        <f>+VLOOKUP(A378,'Chi tiết NVL'!$I$10:$J$4158,2,0)</f>
        <v/>
      </c>
      <c r="C378" s="57">
        <f>+SUMIF('Chi tiết NVL'!$I:$I,$A378,'Chi tiết NVL'!L:L)</f>
        <v/>
      </c>
      <c r="D378" s="57">
        <f>+SUMIF('Chi tiết NVL'!$I:$I,$A378,'Chi tiết NVL'!M:M)</f>
        <v/>
      </c>
      <c r="E378" s="57">
        <f>+SUMIF('Chi tiết NVL'!$I:$I,$A378,'Chi tiết NVL'!N:N)</f>
        <v/>
      </c>
      <c r="F378" s="57">
        <f>+SUMIF('Chi tiết NVL'!$I:$I,$A378,'Chi tiết NVL'!O:O)</f>
        <v/>
      </c>
      <c r="G378" s="57">
        <f>+SUMIF('Chi tiết NVL'!$I:$I,$A378,'Chi tiết NVL'!P:P)</f>
        <v/>
      </c>
      <c r="H378" s="57">
        <f>+SUMIF('Chi tiết NVL'!$I:$I,$A378,'Chi tiết NVL'!Q:Q)</f>
        <v/>
      </c>
      <c r="I378" s="57">
        <f>+SUMIF('Chi tiết NVL'!$I:$I,$A378,'Chi tiết NVL'!R:R)</f>
        <v/>
      </c>
      <c r="J378" s="57">
        <f>+SUMIF('Chi tiết NVL'!$I:$I,$A378,'Chi tiết NVL'!S:S)</f>
        <v/>
      </c>
    </row>
    <row r="379">
      <c r="A379" s="56" t="inlineStr">
        <is>
          <t>Thép tấm gân  5x1500x6000</t>
        </is>
      </c>
      <c r="B379" s="56">
        <f>+VLOOKUP(A379,'Chi tiết NVL'!$I$10:$J$4158,2,0)</f>
        <v/>
      </c>
      <c r="C379" s="57">
        <f>+SUMIF('Chi tiết NVL'!$I:$I,$A379,'Chi tiết NVL'!L:L)</f>
        <v/>
      </c>
      <c r="D379" s="57">
        <f>+SUMIF('Chi tiết NVL'!$I:$I,$A379,'Chi tiết NVL'!M:M)</f>
        <v/>
      </c>
      <c r="E379" s="57">
        <f>+SUMIF('Chi tiết NVL'!$I:$I,$A379,'Chi tiết NVL'!N:N)</f>
        <v/>
      </c>
      <c r="F379" s="57">
        <f>+SUMIF('Chi tiết NVL'!$I:$I,$A379,'Chi tiết NVL'!O:O)</f>
        <v/>
      </c>
      <c r="G379" s="57">
        <f>+SUMIF('Chi tiết NVL'!$I:$I,$A379,'Chi tiết NVL'!P:P)</f>
        <v/>
      </c>
      <c r="H379" s="57">
        <f>+SUMIF('Chi tiết NVL'!$I:$I,$A379,'Chi tiết NVL'!Q:Q)</f>
        <v/>
      </c>
      <c r="I379" s="57">
        <f>+SUMIF('Chi tiết NVL'!$I:$I,$A379,'Chi tiết NVL'!R:R)</f>
        <v/>
      </c>
      <c r="J379" s="57">
        <f>+SUMIF('Chi tiết NVL'!$I:$I,$A379,'Chi tiết NVL'!S:S)</f>
        <v/>
      </c>
    </row>
    <row r="380">
      <c r="A380" s="56" t="inlineStr">
        <is>
          <t>Thép tấm 5x2000x6000</t>
        </is>
      </c>
      <c r="B380" s="56">
        <f>+VLOOKUP(A380,'Chi tiết NVL'!$I$10:$J$4158,2,0)</f>
        <v/>
      </c>
      <c r="C380" s="57">
        <f>+SUMIF('Chi tiết NVL'!$I:$I,$A380,'Chi tiết NVL'!L:L)</f>
        <v/>
      </c>
      <c r="D380" s="57">
        <f>+SUMIF('Chi tiết NVL'!$I:$I,$A380,'Chi tiết NVL'!M:M)</f>
        <v/>
      </c>
      <c r="E380" s="57">
        <f>+SUMIF('Chi tiết NVL'!$I:$I,$A380,'Chi tiết NVL'!N:N)</f>
        <v/>
      </c>
      <c r="F380" s="57">
        <f>+SUMIF('Chi tiết NVL'!$I:$I,$A380,'Chi tiết NVL'!O:O)</f>
        <v/>
      </c>
      <c r="G380" s="57">
        <f>+SUMIF('Chi tiết NVL'!$I:$I,$A380,'Chi tiết NVL'!P:P)</f>
        <v/>
      </c>
      <c r="H380" s="57">
        <f>+SUMIF('Chi tiết NVL'!$I:$I,$A380,'Chi tiết NVL'!Q:Q)</f>
        <v/>
      </c>
      <c r="I380" s="57">
        <f>+SUMIF('Chi tiết NVL'!$I:$I,$A380,'Chi tiết NVL'!R:R)</f>
        <v/>
      </c>
      <c r="J380" s="57">
        <f>+SUMIF('Chi tiết NVL'!$I:$I,$A380,'Chi tiết NVL'!S:S)</f>
        <v/>
      </c>
    </row>
    <row r="381">
      <c r="A381" s="56" t="inlineStr">
        <is>
          <t>Thép tấm 6x2000x12000</t>
        </is>
      </c>
      <c r="B381" s="56">
        <f>+VLOOKUP(A381,'Chi tiết NVL'!$I$10:$J$4158,2,0)</f>
        <v/>
      </c>
      <c r="C381" s="57">
        <f>+SUMIF('Chi tiết NVL'!$I:$I,$A381,'Chi tiết NVL'!L:L)</f>
        <v/>
      </c>
      <c r="D381" s="57">
        <f>+SUMIF('Chi tiết NVL'!$I:$I,$A381,'Chi tiết NVL'!M:M)</f>
        <v/>
      </c>
      <c r="E381" s="57">
        <f>+SUMIF('Chi tiết NVL'!$I:$I,$A381,'Chi tiết NVL'!N:N)</f>
        <v/>
      </c>
      <c r="F381" s="57">
        <f>+SUMIF('Chi tiết NVL'!$I:$I,$A381,'Chi tiết NVL'!O:O)</f>
        <v/>
      </c>
      <c r="G381" s="57">
        <f>+SUMIF('Chi tiết NVL'!$I:$I,$A381,'Chi tiết NVL'!P:P)</f>
        <v/>
      </c>
      <c r="H381" s="57">
        <f>+SUMIF('Chi tiết NVL'!$I:$I,$A381,'Chi tiết NVL'!Q:Q)</f>
        <v/>
      </c>
      <c r="I381" s="57">
        <f>+SUMIF('Chi tiết NVL'!$I:$I,$A381,'Chi tiết NVL'!R:R)</f>
        <v/>
      </c>
      <c r="J381" s="57">
        <f>+SUMIF('Chi tiết NVL'!$I:$I,$A381,'Chi tiết NVL'!S:S)</f>
        <v/>
      </c>
    </row>
    <row r="382">
      <c r="A382" s="56" t="inlineStr">
        <is>
          <t>Thép tấm 8x2000x12000</t>
        </is>
      </c>
      <c r="B382" s="56">
        <f>+VLOOKUP(A382,'Chi tiết NVL'!$I$10:$J$4158,2,0)</f>
        <v/>
      </c>
      <c r="C382" s="57">
        <f>+SUMIF('Chi tiết NVL'!$I:$I,$A382,'Chi tiết NVL'!L:L)</f>
        <v/>
      </c>
      <c r="D382" s="57">
        <f>+SUMIF('Chi tiết NVL'!$I:$I,$A382,'Chi tiết NVL'!M:M)</f>
        <v/>
      </c>
      <c r="E382" s="57">
        <f>+SUMIF('Chi tiết NVL'!$I:$I,$A382,'Chi tiết NVL'!N:N)</f>
        <v/>
      </c>
      <c r="F382" s="57">
        <f>+SUMIF('Chi tiết NVL'!$I:$I,$A382,'Chi tiết NVL'!O:O)</f>
        <v/>
      </c>
      <c r="G382" s="57">
        <f>+SUMIF('Chi tiết NVL'!$I:$I,$A382,'Chi tiết NVL'!P:P)</f>
        <v/>
      </c>
      <c r="H382" s="57">
        <f>+SUMIF('Chi tiết NVL'!$I:$I,$A382,'Chi tiết NVL'!Q:Q)</f>
        <v/>
      </c>
      <c r="I382" s="57">
        <f>+SUMIF('Chi tiết NVL'!$I:$I,$A382,'Chi tiết NVL'!R:R)</f>
        <v/>
      </c>
      <c r="J382" s="57">
        <f>+SUMIF('Chi tiết NVL'!$I:$I,$A382,'Chi tiết NVL'!S:S)</f>
        <v/>
      </c>
    </row>
    <row r="383">
      <c r="A383" s="56" t="inlineStr">
        <is>
          <t>Thép tấm 10x2000x12000</t>
        </is>
      </c>
      <c r="B383" s="56">
        <f>+VLOOKUP(A383,'Chi tiết NVL'!$I$10:$J$4158,2,0)</f>
        <v/>
      </c>
      <c r="C383" s="57">
        <f>+SUMIF('Chi tiết NVL'!$I:$I,$A383,'Chi tiết NVL'!L:L)</f>
        <v/>
      </c>
      <c r="D383" s="57">
        <f>+SUMIF('Chi tiết NVL'!$I:$I,$A383,'Chi tiết NVL'!M:M)</f>
        <v/>
      </c>
      <c r="E383" s="57">
        <f>+SUMIF('Chi tiết NVL'!$I:$I,$A383,'Chi tiết NVL'!N:N)</f>
        <v/>
      </c>
      <c r="F383" s="57">
        <f>+SUMIF('Chi tiết NVL'!$I:$I,$A383,'Chi tiết NVL'!O:O)</f>
        <v/>
      </c>
      <c r="G383" s="57">
        <f>+SUMIF('Chi tiết NVL'!$I:$I,$A383,'Chi tiết NVL'!P:P)</f>
        <v/>
      </c>
      <c r="H383" s="57">
        <f>+SUMIF('Chi tiết NVL'!$I:$I,$A383,'Chi tiết NVL'!Q:Q)</f>
        <v/>
      </c>
      <c r="I383" s="57">
        <f>+SUMIF('Chi tiết NVL'!$I:$I,$A383,'Chi tiết NVL'!R:R)</f>
        <v/>
      </c>
      <c r="J383" s="57">
        <f>+SUMIF('Chi tiết NVL'!$I:$I,$A383,'Chi tiết NVL'!S:S)</f>
        <v/>
      </c>
    </row>
    <row r="384">
      <c r="A384" s="56" t="inlineStr">
        <is>
          <t>Thép tấm 12x2000x12000</t>
        </is>
      </c>
      <c r="B384" s="56">
        <f>+VLOOKUP(A384,'Chi tiết NVL'!$I$10:$J$4158,2,0)</f>
        <v/>
      </c>
      <c r="C384" s="57">
        <f>+SUMIF('Chi tiết NVL'!$I:$I,$A384,'Chi tiết NVL'!L:L)</f>
        <v/>
      </c>
      <c r="D384" s="57">
        <f>+SUMIF('Chi tiết NVL'!$I:$I,$A384,'Chi tiết NVL'!M:M)</f>
        <v/>
      </c>
      <c r="E384" s="57">
        <f>+SUMIF('Chi tiết NVL'!$I:$I,$A384,'Chi tiết NVL'!N:N)</f>
        <v/>
      </c>
      <c r="F384" s="57">
        <f>+SUMIF('Chi tiết NVL'!$I:$I,$A384,'Chi tiết NVL'!O:O)</f>
        <v/>
      </c>
      <c r="G384" s="57">
        <f>+SUMIF('Chi tiết NVL'!$I:$I,$A384,'Chi tiết NVL'!P:P)</f>
        <v/>
      </c>
      <c r="H384" s="57">
        <f>+SUMIF('Chi tiết NVL'!$I:$I,$A384,'Chi tiết NVL'!Q:Q)</f>
        <v/>
      </c>
      <c r="I384" s="57">
        <f>+SUMIF('Chi tiết NVL'!$I:$I,$A384,'Chi tiết NVL'!R:R)</f>
        <v/>
      </c>
      <c r="J384" s="57">
        <f>+SUMIF('Chi tiết NVL'!$I:$I,$A384,'Chi tiết NVL'!S:S)</f>
        <v/>
      </c>
    </row>
    <row r="385">
      <c r="A385" s="56" t="inlineStr">
        <is>
          <t>Thép tấm 14x2000x12000</t>
        </is>
      </c>
      <c r="B385" s="56">
        <f>+VLOOKUP(A385,'Chi tiết NVL'!$I$10:$J$4158,2,0)</f>
        <v/>
      </c>
      <c r="C385" s="57">
        <f>+SUMIF('Chi tiết NVL'!$I:$I,$A385,'Chi tiết NVL'!L:L)</f>
        <v/>
      </c>
      <c r="D385" s="57">
        <f>+SUMIF('Chi tiết NVL'!$I:$I,$A385,'Chi tiết NVL'!M:M)</f>
        <v/>
      </c>
      <c r="E385" s="57">
        <f>+SUMIF('Chi tiết NVL'!$I:$I,$A385,'Chi tiết NVL'!N:N)</f>
        <v/>
      </c>
      <c r="F385" s="57">
        <f>+SUMIF('Chi tiết NVL'!$I:$I,$A385,'Chi tiết NVL'!O:O)</f>
        <v/>
      </c>
      <c r="G385" s="57">
        <f>+SUMIF('Chi tiết NVL'!$I:$I,$A385,'Chi tiết NVL'!P:P)</f>
        <v/>
      </c>
      <c r="H385" s="57">
        <f>+SUMIF('Chi tiết NVL'!$I:$I,$A385,'Chi tiết NVL'!Q:Q)</f>
        <v/>
      </c>
      <c r="I385" s="57">
        <f>+SUMIF('Chi tiết NVL'!$I:$I,$A385,'Chi tiết NVL'!R:R)</f>
        <v/>
      </c>
      <c r="J385" s="57">
        <f>+SUMIF('Chi tiết NVL'!$I:$I,$A385,'Chi tiết NVL'!S:S)</f>
        <v/>
      </c>
    </row>
    <row r="386">
      <c r="A386" s="56" t="inlineStr">
        <is>
          <t>Thép tấm 16x2000x12000</t>
        </is>
      </c>
      <c r="B386" s="56">
        <f>+VLOOKUP(A386,'Chi tiết NVL'!$I$10:$J$4158,2,0)</f>
        <v/>
      </c>
      <c r="C386" s="57">
        <f>+SUMIF('Chi tiết NVL'!$I:$I,$A386,'Chi tiết NVL'!L:L)</f>
        <v/>
      </c>
      <c r="D386" s="57">
        <f>+SUMIF('Chi tiết NVL'!$I:$I,$A386,'Chi tiết NVL'!M:M)</f>
        <v/>
      </c>
      <c r="E386" s="57">
        <f>+SUMIF('Chi tiết NVL'!$I:$I,$A386,'Chi tiết NVL'!N:N)</f>
        <v/>
      </c>
      <c r="F386" s="57">
        <f>+SUMIF('Chi tiết NVL'!$I:$I,$A386,'Chi tiết NVL'!O:O)</f>
        <v/>
      </c>
      <c r="G386" s="57">
        <f>+SUMIF('Chi tiết NVL'!$I:$I,$A386,'Chi tiết NVL'!P:P)</f>
        <v/>
      </c>
      <c r="H386" s="57">
        <f>+SUMIF('Chi tiết NVL'!$I:$I,$A386,'Chi tiết NVL'!Q:Q)</f>
        <v/>
      </c>
      <c r="I386" s="57">
        <f>+SUMIF('Chi tiết NVL'!$I:$I,$A386,'Chi tiết NVL'!R:R)</f>
        <v/>
      </c>
      <c r="J386" s="57">
        <f>+SUMIF('Chi tiết NVL'!$I:$I,$A386,'Chi tiết NVL'!S:S)</f>
        <v/>
      </c>
    </row>
    <row r="387">
      <c r="A387" s="56" t="inlineStr">
        <is>
          <t>Thép hình  V100x100x8x6000</t>
        </is>
      </c>
      <c r="B387" s="56">
        <f>+VLOOKUP(A387,'Chi tiết NVL'!$I$10:$J$4158,2,0)</f>
        <v/>
      </c>
      <c r="C387" s="57">
        <f>+SUMIF('Chi tiết NVL'!$I:$I,$A387,'Chi tiết NVL'!L:L)</f>
        <v/>
      </c>
      <c r="D387" s="57">
        <f>+SUMIF('Chi tiết NVL'!$I:$I,$A387,'Chi tiết NVL'!M:M)</f>
        <v/>
      </c>
      <c r="E387" s="57">
        <f>+SUMIF('Chi tiết NVL'!$I:$I,$A387,'Chi tiết NVL'!N:N)</f>
        <v/>
      </c>
      <c r="F387" s="57">
        <f>+SUMIF('Chi tiết NVL'!$I:$I,$A387,'Chi tiết NVL'!O:O)</f>
        <v/>
      </c>
      <c r="G387" s="57">
        <f>+SUMIF('Chi tiết NVL'!$I:$I,$A387,'Chi tiết NVL'!P:P)</f>
        <v/>
      </c>
      <c r="H387" s="57">
        <f>+SUMIF('Chi tiết NVL'!$I:$I,$A387,'Chi tiết NVL'!Q:Q)</f>
        <v/>
      </c>
      <c r="I387" s="57">
        <f>+SUMIF('Chi tiết NVL'!$I:$I,$A387,'Chi tiết NVL'!R:R)</f>
        <v/>
      </c>
      <c r="J387" s="57">
        <f>+SUMIF('Chi tiết NVL'!$I:$I,$A387,'Chi tiết NVL'!S:S)</f>
        <v/>
      </c>
    </row>
    <row r="388">
      <c r="A388" s="56" t="inlineStr">
        <is>
          <t>Tắc kê ZP (Cr+6) M16x150</t>
        </is>
      </c>
      <c r="B388" s="56">
        <f>+VLOOKUP(A388,'Chi tiết NVL'!$I$10:$J$4158,2,0)</f>
        <v/>
      </c>
      <c r="C388" s="57">
        <f>+SUMIF('Chi tiết NVL'!$I:$I,$A388,'Chi tiết NVL'!L:L)</f>
        <v/>
      </c>
      <c r="D388" s="57">
        <f>+SUMIF('Chi tiết NVL'!$I:$I,$A388,'Chi tiết NVL'!M:M)</f>
        <v/>
      </c>
      <c r="E388" s="57">
        <f>+SUMIF('Chi tiết NVL'!$I:$I,$A388,'Chi tiết NVL'!N:N)</f>
        <v/>
      </c>
      <c r="F388" s="57">
        <f>+SUMIF('Chi tiết NVL'!$I:$I,$A388,'Chi tiết NVL'!O:O)</f>
        <v/>
      </c>
      <c r="G388" s="57">
        <f>+SUMIF('Chi tiết NVL'!$I:$I,$A388,'Chi tiết NVL'!P:P)</f>
        <v/>
      </c>
      <c r="H388" s="57">
        <f>+SUMIF('Chi tiết NVL'!$I:$I,$A388,'Chi tiết NVL'!Q:Q)</f>
        <v/>
      </c>
      <c r="I388" s="57">
        <f>+SUMIF('Chi tiết NVL'!$I:$I,$A388,'Chi tiết NVL'!R:R)</f>
        <v/>
      </c>
      <c r="J388" s="57">
        <f>+SUMIF('Chi tiết NVL'!$I:$I,$A388,'Chi tiết NVL'!S:S)</f>
        <v/>
      </c>
    </row>
    <row r="389">
      <c r="A389" s="56" t="inlineStr">
        <is>
          <t>Thép hình H150</t>
        </is>
      </c>
      <c r="B389" s="56">
        <f>+VLOOKUP(A389,'Chi tiết NVL'!$I$10:$J$4158,2,0)</f>
        <v/>
      </c>
      <c r="C389" s="57">
        <f>+SUMIF('Chi tiết NVL'!$I:$I,$A389,'Chi tiết NVL'!L:L)</f>
        <v/>
      </c>
      <c r="D389" s="57">
        <f>+SUMIF('Chi tiết NVL'!$I:$I,$A389,'Chi tiết NVL'!M:M)</f>
        <v/>
      </c>
      <c r="E389" s="57">
        <f>+SUMIF('Chi tiết NVL'!$I:$I,$A389,'Chi tiết NVL'!N:N)</f>
        <v/>
      </c>
      <c r="F389" s="57">
        <f>+SUMIF('Chi tiết NVL'!$I:$I,$A389,'Chi tiết NVL'!O:O)</f>
        <v/>
      </c>
      <c r="G389" s="57">
        <f>+SUMIF('Chi tiết NVL'!$I:$I,$A389,'Chi tiết NVL'!P:P)</f>
        <v/>
      </c>
      <c r="H389" s="57">
        <f>+SUMIF('Chi tiết NVL'!$I:$I,$A389,'Chi tiết NVL'!Q:Q)</f>
        <v/>
      </c>
      <c r="I389" s="57">
        <f>+SUMIF('Chi tiết NVL'!$I:$I,$A389,'Chi tiết NVL'!R:R)</f>
        <v/>
      </c>
      <c r="J389" s="57">
        <f>+SUMIF('Chi tiết NVL'!$I:$I,$A389,'Chi tiết NVL'!S:S)</f>
        <v/>
      </c>
    </row>
    <row r="390">
      <c r="A390" s="56" t="inlineStr">
        <is>
          <t>Thép góc V120</t>
        </is>
      </c>
      <c r="B390" s="56">
        <f>+VLOOKUP(A390,'Chi tiết NVL'!$I$10:$J$4158,2,0)</f>
        <v/>
      </c>
      <c r="C390" s="57">
        <f>+SUMIF('Chi tiết NVL'!$I:$I,$A390,'Chi tiết NVL'!L:L)</f>
        <v/>
      </c>
      <c r="D390" s="57">
        <f>+SUMIF('Chi tiết NVL'!$I:$I,$A390,'Chi tiết NVL'!M:M)</f>
        <v/>
      </c>
      <c r="E390" s="57">
        <f>+SUMIF('Chi tiết NVL'!$I:$I,$A390,'Chi tiết NVL'!N:N)</f>
        <v/>
      </c>
      <c r="F390" s="57">
        <f>+SUMIF('Chi tiết NVL'!$I:$I,$A390,'Chi tiết NVL'!O:O)</f>
        <v/>
      </c>
      <c r="G390" s="57">
        <f>+SUMIF('Chi tiết NVL'!$I:$I,$A390,'Chi tiết NVL'!P:P)</f>
        <v/>
      </c>
      <c r="H390" s="57">
        <f>+SUMIF('Chi tiết NVL'!$I:$I,$A390,'Chi tiết NVL'!Q:Q)</f>
        <v/>
      </c>
      <c r="I390" s="57">
        <f>+SUMIF('Chi tiết NVL'!$I:$I,$A390,'Chi tiết NVL'!R:R)</f>
        <v/>
      </c>
      <c r="J390" s="57">
        <f>+SUMIF('Chi tiết NVL'!$I:$I,$A390,'Chi tiết NVL'!S:S)</f>
        <v/>
      </c>
    </row>
    <row r="391">
      <c r="A391" s="56" t="inlineStr">
        <is>
          <t>Thép tấm 20x2000x12000mm</t>
        </is>
      </c>
      <c r="B391" s="56">
        <f>+VLOOKUP(A391,'Chi tiết NVL'!$I$10:$J$4158,2,0)</f>
        <v/>
      </c>
      <c r="C391" s="57">
        <f>+SUMIF('Chi tiết NVL'!$I:$I,$A391,'Chi tiết NVL'!L:L)</f>
        <v/>
      </c>
      <c r="D391" s="57">
        <f>+SUMIF('Chi tiết NVL'!$I:$I,$A391,'Chi tiết NVL'!M:M)</f>
        <v/>
      </c>
      <c r="E391" s="57">
        <f>+SUMIF('Chi tiết NVL'!$I:$I,$A391,'Chi tiết NVL'!N:N)</f>
        <v/>
      </c>
      <c r="F391" s="57">
        <f>+SUMIF('Chi tiết NVL'!$I:$I,$A391,'Chi tiết NVL'!O:O)</f>
        <v/>
      </c>
      <c r="G391" s="57">
        <f>+SUMIF('Chi tiết NVL'!$I:$I,$A391,'Chi tiết NVL'!P:P)</f>
        <v/>
      </c>
      <c r="H391" s="57">
        <f>+SUMIF('Chi tiết NVL'!$I:$I,$A391,'Chi tiết NVL'!Q:Q)</f>
        <v/>
      </c>
      <c r="I391" s="57">
        <f>+SUMIF('Chi tiết NVL'!$I:$I,$A391,'Chi tiết NVL'!R:R)</f>
        <v/>
      </c>
      <c r="J391" s="57">
        <f>+SUMIF('Chi tiết NVL'!$I:$I,$A391,'Chi tiết NVL'!S:S)</f>
        <v/>
      </c>
    </row>
    <row r="392">
      <c r="A392" s="56" t="inlineStr">
        <is>
          <t>Thép tấm 30x2000x12000mm</t>
        </is>
      </c>
      <c r="B392" s="56">
        <f>+VLOOKUP(A392,'Chi tiết NVL'!$I$10:$J$4158,2,0)</f>
        <v/>
      </c>
      <c r="C392" s="57">
        <f>+SUMIF('Chi tiết NVL'!$I:$I,$A392,'Chi tiết NVL'!L:L)</f>
        <v/>
      </c>
      <c r="D392" s="57">
        <f>+SUMIF('Chi tiết NVL'!$I:$I,$A392,'Chi tiết NVL'!M:M)</f>
        <v/>
      </c>
      <c r="E392" s="57">
        <f>+SUMIF('Chi tiết NVL'!$I:$I,$A392,'Chi tiết NVL'!N:N)</f>
        <v/>
      </c>
      <c r="F392" s="57">
        <f>+SUMIF('Chi tiết NVL'!$I:$I,$A392,'Chi tiết NVL'!O:O)</f>
        <v/>
      </c>
      <c r="G392" s="57">
        <f>+SUMIF('Chi tiết NVL'!$I:$I,$A392,'Chi tiết NVL'!P:P)</f>
        <v/>
      </c>
      <c r="H392" s="57">
        <f>+SUMIF('Chi tiết NVL'!$I:$I,$A392,'Chi tiết NVL'!Q:Q)</f>
        <v/>
      </c>
      <c r="I392" s="57">
        <f>+SUMIF('Chi tiết NVL'!$I:$I,$A392,'Chi tiết NVL'!R:R)</f>
        <v/>
      </c>
      <c r="J392" s="57">
        <f>+SUMIF('Chi tiết NVL'!$I:$I,$A392,'Chi tiết NVL'!S:S)</f>
        <v/>
      </c>
    </row>
    <row r="393">
      <c r="A393" s="56" t="inlineStr">
        <is>
          <t>Thép tấm 35x2000x12000mm</t>
        </is>
      </c>
      <c r="B393" s="56">
        <f>+VLOOKUP(A393,'Chi tiết NVL'!$I$10:$J$4158,2,0)</f>
        <v/>
      </c>
      <c r="C393" s="57">
        <f>+SUMIF('Chi tiết NVL'!$I:$I,$A393,'Chi tiết NVL'!L:L)</f>
        <v/>
      </c>
      <c r="D393" s="57">
        <f>+SUMIF('Chi tiết NVL'!$I:$I,$A393,'Chi tiết NVL'!M:M)</f>
        <v/>
      </c>
      <c r="E393" s="57">
        <f>+SUMIF('Chi tiết NVL'!$I:$I,$A393,'Chi tiết NVL'!N:N)</f>
        <v/>
      </c>
      <c r="F393" s="57">
        <f>+SUMIF('Chi tiết NVL'!$I:$I,$A393,'Chi tiết NVL'!O:O)</f>
        <v/>
      </c>
      <c r="G393" s="57">
        <f>+SUMIF('Chi tiết NVL'!$I:$I,$A393,'Chi tiết NVL'!P:P)</f>
        <v/>
      </c>
      <c r="H393" s="57">
        <f>+SUMIF('Chi tiết NVL'!$I:$I,$A393,'Chi tiết NVL'!Q:Q)</f>
        <v/>
      </c>
      <c r="I393" s="57">
        <f>+SUMIF('Chi tiết NVL'!$I:$I,$A393,'Chi tiết NVL'!R:R)</f>
        <v/>
      </c>
      <c r="J393" s="57">
        <f>+SUMIF('Chi tiết NVL'!$I:$I,$A393,'Chi tiết NVL'!S:S)</f>
        <v/>
      </c>
    </row>
    <row r="394">
      <c r="A394" s="56" t="inlineStr">
        <is>
          <t>Thép tấm 25x2000x12000mm</t>
        </is>
      </c>
      <c r="B394" s="56">
        <f>+VLOOKUP(A394,'Chi tiết NVL'!$I$10:$J$4158,2,0)</f>
        <v/>
      </c>
      <c r="C394" s="57">
        <f>+SUMIF('Chi tiết NVL'!$I:$I,$A394,'Chi tiết NVL'!L:L)</f>
        <v/>
      </c>
      <c r="D394" s="57">
        <f>+SUMIF('Chi tiết NVL'!$I:$I,$A394,'Chi tiết NVL'!M:M)</f>
        <v/>
      </c>
      <c r="E394" s="57">
        <f>+SUMIF('Chi tiết NVL'!$I:$I,$A394,'Chi tiết NVL'!N:N)</f>
        <v/>
      </c>
      <c r="F394" s="57">
        <f>+SUMIF('Chi tiết NVL'!$I:$I,$A394,'Chi tiết NVL'!O:O)</f>
        <v/>
      </c>
      <c r="G394" s="57">
        <f>+SUMIF('Chi tiết NVL'!$I:$I,$A394,'Chi tiết NVL'!P:P)</f>
        <v/>
      </c>
      <c r="H394" s="57">
        <f>+SUMIF('Chi tiết NVL'!$I:$I,$A394,'Chi tiết NVL'!Q:Q)</f>
        <v/>
      </c>
      <c r="I394" s="57">
        <f>+SUMIF('Chi tiết NVL'!$I:$I,$A394,'Chi tiết NVL'!R:R)</f>
        <v/>
      </c>
      <c r="J394" s="57">
        <f>+SUMIF('Chi tiết NVL'!$I:$I,$A394,'Chi tiết NVL'!S:S)</f>
        <v/>
      </c>
    </row>
    <row r="395">
      <c r="A395" s="56" t="inlineStr">
        <is>
          <t>Thép tấm 40x2000x12000mm</t>
        </is>
      </c>
      <c r="B395" s="56">
        <f>+VLOOKUP(A395,'Chi tiết NVL'!$I$10:$J$4158,2,0)</f>
        <v/>
      </c>
      <c r="C395" s="57">
        <f>+SUMIF('Chi tiết NVL'!$I:$I,$A395,'Chi tiết NVL'!L:L)</f>
        <v/>
      </c>
      <c r="D395" s="57">
        <f>+SUMIF('Chi tiết NVL'!$I:$I,$A395,'Chi tiết NVL'!M:M)</f>
        <v/>
      </c>
      <c r="E395" s="57">
        <f>+SUMIF('Chi tiết NVL'!$I:$I,$A395,'Chi tiết NVL'!N:N)</f>
        <v/>
      </c>
      <c r="F395" s="57">
        <f>+SUMIF('Chi tiết NVL'!$I:$I,$A395,'Chi tiết NVL'!O:O)</f>
        <v/>
      </c>
      <c r="G395" s="57">
        <f>+SUMIF('Chi tiết NVL'!$I:$I,$A395,'Chi tiết NVL'!P:P)</f>
        <v/>
      </c>
      <c r="H395" s="57">
        <f>+SUMIF('Chi tiết NVL'!$I:$I,$A395,'Chi tiết NVL'!Q:Q)</f>
        <v/>
      </c>
      <c r="I395" s="57">
        <f>+SUMIF('Chi tiết NVL'!$I:$I,$A395,'Chi tiết NVL'!R:R)</f>
        <v/>
      </c>
      <c r="J395" s="57">
        <f>+SUMIF('Chi tiết NVL'!$I:$I,$A395,'Chi tiết NVL'!S:S)</f>
        <v/>
      </c>
    </row>
    <row r="396">
      <c r="A396" s="56" t="inlineStr">
        <is>
          <t>SƠN FUTURA CLASSIC STD4066 18.27L</t>
        </is>
      </c>
      <c r="B396" s="56">
        <f>+VLOOKUP(A396,'Chi tiết NVL'!$I$10:$J$4158,2,0)</f>
        <v/>
      </c>
      <c r="C396" s="57">
        <f>+SUMIF('Chi tiết NVL'!$I:$I,$A396,'Chi tiết NVL'!L:L)</f>
        <v/>
      </c>
      <c r="D396" s="57">
        <f>+SUMIF('Chi tiết NVL'!$I:$I,$A396,'Chi tiết NVL'!M:M)</f>
        <v/>
      </c>
      <c r="E396" s="57">
        <f>+SUMIF('Chi tiết NVL'!$I:$I,$A396,'Chi tiết NVL'!N:N)</f>
        <v/>
      </c>
      <c r="F396" s="57">
        <f>+SUMIF('Chi tiết NVL'!$I:$I,$A396,'Chi tiết NVL'!O:O)</f>
        <v/>
      </c>
      <c r="G396" s="57">
        <f>+SUMIF('Chi tiết NVL'!$I:$I,$A396,'Chi tiết NVL'!P:P)</f>
        <v/>
      </c>
      <c r="H396" s="57">
        <f>+SUMIF('Chi tiết NVL'!$I:$I,$A396,'Chi tiết NVL'!Q:Q)</f>
        <v/>
      </c>
      <c r="I396" s="57">
        <f>+SUMIF('Chi tiết NVL'!$I:$I,$A396,'Chi tiết NVL'!R:R)</f>
        <v/>
      </c>
      <c r="J396" s="57">
        <f>+SUMIF('Chi tiết NVL'!$I:$I,$A396,'Chi tiết NVL'!S:S)</f>
        <v/>
      </c>
    </row>
    <row r="397">
      <c r="A397" s="56" t="inlineStr">
        <is>
          <t>SƠN FUTURA CLASSIC STD4066 4.57L</t>
        </is>
      </c>
      <c r="B397" s="56">
        <f>+VLOOKUP(A397,'Chi tiết NVL'!$I$10:$J$4158,2,0)</f>
        <v/>
      </c>
      <c r="C397" s="57">
        <f>+SUMIF('Chi tiết NVL'!$I:$I,$A397,'Chi tiết NVL'!L:L)</f>
        <v/>
      </c>
      <c r="D397" s="57">
        <f>+SUMIF('Chi tiết NVL'!$I:$I,$A397,'Chi tiết NVL'!M:M)</f>
        <v/>
      </c>
      <c r="E397" s="57">
        <f>+SUMIF('Chi tiết NVL'!$I:$I,$A397,'Chi tiết NVL'!N:N)</f>
        <v/>
      </c>
      <c r="F397" s="57">
        <f>+SUMIF('Chi tiết NVL'!$I:$I,$A397,'Chi tiết NVL'!O:O)</f>
        <v/>
      </c>
      <c r="G397" s="57">
        <f>+SUMIF('Chi tiết NVL'!$I:$I,$A397,'Chi tiết NVL'!P:P)</f>
        <v/>
      </c>
      <c r="H397" s="57">
        <f>+SUMIF('Chi tiết NVL'!$I:$I,$A397,'Chi tiết NVL'!Q:Q)</f>
        <v/>
      </c>
      <c r="I397" s="57">
        <f>+SUMIF('Chi tiết NVL'!$I:$I,$A397,'Chi tiết NVL'!R:R)</f>
        <v/>
      </c>
      <c r="J397" s="57">
        <f>+SUMIF('Chi tiết NVL'!$I:$I,$A397,'Chi tiết NVL'!S:S)</f>
        <v/>
      </c>
    </row>
    <row r="398">
      <c r="A398" s="56" t="inlineStr">
        <is>
          <t>Thép tấm Q355/A572 18lyx2000x12000</t>
        </is>
      </c>
      <c r="B398" s="56">
        <f>+VLOOKUP(A398,'Chi tiết NVL'!$I$10:$J$4158,2,0)</f>
        <v/>
      </c>
      <c r="C398" s="57">
        <f>+SUMIF('Chi tiết NVL'!$I:$I,$A398,'Chi tiết NVL'!L:L)</f>
        <v/>
      </c>
      <c r="D398" s="57">
        <f>+SUMIF('Chi tiết NVL'!$I:$I,$A398,'Chi tiết NVL'!M:M)</f>
        <v/>
      </c>
      <c r="E398" s="57">
        <f>+SUMIF('Chi tiết NVL'!$I:$I,$A398,'Chi tiết NVL'!N:N)</f>
        <v/>
      </c>
      <c r="F398" s="57">
        <f>+SUMIF('Chi tiết NVL'!$I:$I,$A398,'Chi tiết NVL'!O:O)</f>
        <v/>
      </c>
      <c r="G398" s="57">
        <f>+SUMIF('Chi tiết NVL'!$I:$I,$A398,'Chi tiết NVL'!P:P)</f>
        <v/>
      </c>
      <c r="H398" s="57">
        <f>+SUMIF('Chi tiết NVL'!$I:$I,$A398,'Chi tiết NVL'!Q:Q)</f>
        <v/>
      </c>
      <c r="I398" s="57">
        <f>+SUMIF('Chi tiết NVL'!$I:$I,$A398,'Chi tiết NVL'!R:R)</f>
        <v/>
      </c>
      <c r="J398" s="57">
        <f>+SUMIF('Chi tiết NVL'!$I:$I,$A398,'Chi tiết NVL'!S:S)</f>
        <v/>
      </c>
    </row>
    <row r="399">
      <c r="A399" s="56" t="inlineStr">
        <is>
          <t>Thép tấm Q355/A572 22lyx2000x12000</t>
        </is>
      </c>
      <c r="B399" s="56">
        <f>+VLOOKUP(A399,'Chi tiết NVL'!$I$10:$J$4158,2,0)</f>
        <v/>
      </c>
      <c r="C399" s="57">
        <f>+SUMIF('Chi tiết NVL'!$I:$I,$A399,'Chi tiết NVL'!L:L)</f>
        <v/>
      </c>
      <c r="D399" s="57">
        <f>+SUMIF('Chi tiết NVL'!$I:$I,$A399,'Chi tiết NVL'!M:M)</f>
        <v/>
      </c>
      <c r="E399" s="57">
        <f>+SUMIF('Chi tiết NVL'!$I:$I,$A399,'Chi tiết NVL'!N:N)</f>
        <v/>
      </c>
      <c r="F399" s="57">
        <f>+SUMIF('Chi tiết NVL'!$I:$I,$A399,'Chi tiết NVL'!O:O)</f>
        <v/>
      </c>
      <c r="G399" s="57">
        <f>+SUMIF('Chi tiết NVL'!$I:$I,$A399,'Chi tiết NVL'!P:P)</f>
        <v/>
      </c>
      <c r="H399" s="57">
        <f>+SUMIF('Chi tiết NVL'!$I:$I,$A399,'Chi tiết NVL'!Q:Q)</f>
        <v/>
      </c>
      <c r="I399" s="57">
        <f>+SUMIF('Chi tiết NVL'!$I:$I,$A399,'Chi tiết NVL'!R:R)</f>
        <v/>
      </c>
      <c r="J399" s="57">
        <f>+SUMIF('Chi tiết NVL'!$I:$I,$A399,'Chi tiết NVL'!S:S)</f>
        <v/>
      </c>
    </row>
    <row r="400">
      <c r="A400" s="56" t="inlineStr">
        <is>
          <t>Thép tấm Q355/A572 28lyx2000x12000</t>
        </is>
      </c>
      <c r="B400" s="56">
        <f>+VLOOKUP(A400,'Chi tiết NVL'!$I$10:$J$4158,2,0)</f>
        <v/>
      </c>
      <c r="C400" s="57">
        <f>+SUMIF('Chi tiết NVL'!$I:$I,$A400,'Chi tiết NVL'!L:L)</f>
        <v/>
      </c>
      <c r="D400" s="57">
        <f>+SUMIF('Chi tiết NVL'!$I:$I,$A400,'Chi tiết NVL'!M:M)</f>
        <v/>
      </c>
      <c r="E400" s="57">
        <f>+SUMIF('Chi tiết NVL'!$I:$I,$A400,'Chi tiết NVL'!N:N)</f>
        <v/>
      </c>
      <c r="F400" s="57">
        <f>+SUMIF('Chi tiết NVL'!$I:$I,$A400,'Chi tiết NVL'!O:O)</f>
        <v/>
      </c>
      <c r="G400" s="57">
        <f>+SUMIF('Chi tiết NVL'!$I:$I,$A400,'Chi tiết NVL'!P:P)</f>
        <v/>
      </c>
      <c r="H400" s="57">
        <f>+SUMIF('Chi tiết NVL'!$I:$I,$A400,'Chi tiết NVL'!Q:Q)</f>
        <v/>
      </c>
      <c r="I400" s="57">
        <f>+SUMIF('Chi tiết NVL'!$I:$I,$A400,'Chi tiết NVL'!R:R)</f>
        <v/>
      </c>
      <c r="J400" s="57">
        <f>+SUMIF('Chi tiết NVL'!$I:$I,$A400,'Chi tiết NVL'!S:S)</f>
        <v/>
      </c>
    </row>
    <row r="401">
      <c r="A401" s="56" t="inlineStr">
        <is>
          <t>Thép tấm Q355/A572 30lyx2000x12000</t>
        </is>
      </c>
      <c r="B401" s="56">
        <f>+VLOOKUP(A401,'Chi tiết NVL'!$I$10:$J$4158,2,0)</f>
        <v/>
      </c>
      <c r="C401" s="57">
        <f>+SUMIF('Chi tiết NVL'!$I:$I,$A401,'Chi tiết NVL'!L:L)</f>
        <v/>
      </c>
      <c r="D401" s="57">
        <f>+SUMIF('Chi tiết NVL'!$I:$I,$A401,'Chi tiết NVL'!M:M)</f>
        <v/>
      </c>
      <c r="E401" s="57">
        <f>+SUMIF('Chi tiết NVL'!$I:$I,$A401,'Chi tiết NVL'!N:N)</f>
        <v/>
      </c>
      <c r="F401" s="57">
        <f>+SUMIF('Chi tiết NVL'!$I:$I,$A401,'Chi tiết NVL'!O:O)</f>
        <v/>
      </c>
      <c r="G401" s="57">
        <f>+SUMIF('Chi tiết NVL'!$I:$I,$A401,'Chi tiết NVL'!P:P)</f>
        <v/>
      </c>
      <c r="H401" s="57">
        <f>+SUMIF('Chi tiết NVL'!$I:$I,$A401,'Chi tiết NVL'!Q:Q)</f>
        <v/>
      </c>
      <c r="I401" s="57">
        <f>+SUMIF('Chi tiết NVL'!$I:$I,$A401,'Chi tiết NVL'!R:R)</f>
        <v/>
      </c>
      <c r="J401" s="57">
        <f>+SUMIF('Chi tiết NVL'!$I:$I,$A401,'Chi tiết NVL'!S:S)</f>
        <v/>
      </c>
    </row>
    <row r="402">
      <c r="A402" s="56" t="inlineStr">
        <is>
          <t>Thép tấm Q355/A572 35lyx2000x12000</t>
        </is>
      </c>
      <c r="B402" s="56">
        <f>+VLOOKUP(A402,'Chi tiết NVL'!$I$10:$J$4158,2,0)</f>
        <v/>
      </c>
      <c r="C402" s="57">
        <f>+SUMIF('Chi tiết NVL'!$I:$I,$A402,'Chi tiết NVL'!L:L)</f>
        <v/>
      </c>
      <c r="D402" s="57">
        <f>+SUMIF('Chi tiết NVL'!$I:$I,$A402,'Chi tiết NVL'!M:M)</f>
        <v/>
      </c>
      <c r="E402" s="57">
        <f>+SUMIF('Chi tiết NVL'!$I:$I,$A402,'Chi tiết NVL'!N:N)</f>
        <v/>
      </c>
      <c r="F402" s="57">
        <f>+SUMIF('Chi tiết NVL'!$I:$I,$A402,'Chi tiết NVL'!O:O)</f>
        <v/>
      </c>
      <c r="G402" s="57">
        <f>+SUMIF('Chi tiết NVL'!$I:$I,$A402,'Chi tiết NVL'!P:P)</f>
        <v/>
      </c>
      <c r="H402" s="57">
        <f>+SUMIF('Chi tiết NVL'!$I:$I,$A402,'Chi tiết NVL'!Q:Q)</f>
        <v/>
      </c>
      <c r="I402" s="57">
        <f>+SUMIF('Chi tiết NVL'!$I:$I,$A402,'Chi tiết NVL'!R:R)</f>
        <v/>
      </c>
      <c r="J402" s="57">
        <f>+SUMIF('Chi tiết NVL'!$I:$I,$A402,'Chi tiết NVL'!S:S)</f>
        <v/>
      </c>
    </row>
    <row r="403">
      <c r="A403" s="56" t="inlineStr">
        <is>
          <t>Thép tấm Q355/A572 40lyx2000x12000</t>
        </is>
      </c>
      <c r="B403" s="56">
        <f>+VLOOKUP(A403,'Chi tiết NVL'!$I$10:$J$4158,2,0)</f>
        <v/>
      </c>
      <c r="C403" s="57">
        <f>+SUMIF('Chi tiết NVL'!$I:$I,$A403,'Chi tiết NVL'!L:L)</f>
        <v/>
      </c>
      <c r="D403" s="57">
        <f>+SUMIF('Chi tiết NVL'!$I:$I,$A403,'Chi tiết NVL'!M:M)</f>
        <v/>
      </c>
      <c r="E403" s="57">
        <f>+SUMIF('Chi tiết NVL'!$I:$I,$A403,'Chi tiết NVL'!N:N)</f>
        <v/>
      </c>
      <c r="F403" s="57">
        <f>+SUMIF('Chi tiết NVL'!$I:$I,$A403,'Chi tiết NVL'!O:O)</f>
        <v/>
      </c>
      <c r="G403" s="57">
        <f>+SUMIF('Chi tiết NVL'!$I:$I,$A403,'Chi tiết NVL'!P:P)</f>
        <v/>
      </c>
      <c r="H403" s="57">
        <f>+SUMIF('Chi tiết NVL'!$I:$I,$A403,'Chi tiết NVL'!Q:Q)</f>
        <v/>
      </c>
      <c r="I403" s="57">
        <f>+SUMIF('Chi tiết NVL'!$I:$I,$A403,'Chi tiết NVL'!R:R)</f>
        <v/>
      </c>
      <c r="J403" s="57">
        <f>+SUMIF('Chi tiết NVL'!$I:$I,$A403,'Chi tiết NVL'!S:S)</f>
        <v/>
      </c>
    </row>
    <row r="404">
      <c r="A404" s="56" t="inlineStr">
        <is>
          <t>Thép tấm Q355/A572 50lyx2000x6000</t>
        </is>
      </c>
      <c r="B404" s="56">
        <f>+VLOOKUP(A404,'Chi tiết NVL'!$I$10:$J$4158,2,0)</f>
        <v/>
      </c>
      <c r="C404" s="57">
        <f>+SUMIF('Chi tiết NVL'!$I:$I,$A404,'Chi tiết NVL'!L:L)</f>
        <v/>
      </c>
      <c r="D404" s="57">
        <f>+SUMIF('Chi tiết NVL'!$I:$I,$A404,'Chi tiết NVL'!M:M)</f>
        <v/>
      </c>
      <c r="E404" s="57">
        <f>+SUMIF('Chi tiết NVL'!$I:$I,$A404,'Chi tiết NVL'!N:N)</f>
        <v/>
      </c>
      <c r="F404" s="57">
        <f>+SUMIF('Chi tiết NVL'!$I:$I,$A404,'Chi tiết NVL'!O:O)</f>
        <v/>
      </c>
      <c r="G404" s="57">
        <f>+SUMIF('Chi tiết NVL'!$I:$I,$A404,'Chi tiết NVL'!P:P)</f>
        <v/>
      </c>
      <c r="H404" s="57">
        <f>+SUMIF('Chi tiết NVL'!$I:$I,$A404,'Chi tiết NVL'!Q:Q)</f>
        <v/>
      </c>
      <c r="I404" s="57">
        <f>+SUMIF('Chi tiết NVL'!$I:$I,$A404,'Chi tiết NVL'!R:R)</f>
        <v/>
      </c>
      <c r="J404" s="57">
        <f>+SUMIF('Chi tiết NVL'!$I:$I,$A404,'Chi tiết NVL'!S:S)</f>
        <v/>
      </c>
    </row>
    <row r="405">
      <c r="A405" s="56" t="inlineStr">
        <is>
          <t>Thép tấm (60x260x900mm)</t>
        </is>
      </c>
      <c r="B405" s="56">
        <f>+VLOOKUP(A405,'Chi tiết NVL'!$I$10:$J$4158,2,0)</f>
        <v/>
      </c>
      <c r="C405" s="57">
        <f>+SUMIF('Chi tiết NVL'!$I:$I,$A405,'Chi tiết NVL'!L:L)</f>
        <v/>
      </c>
      <c r="D405" s="57">
        <f>+SUMIF('Chi tiết NVL'!$I:$I,$A405,'Chi tiết NVL'!M:M)</f>
        <v/>
      </c>
      <c r="E405" s="57">
        <f>+SUMIF('Chi tiết NVL'!$I:$I,$A405,'Chi tiết NVL'!N:N)</f>
        <v/>
      </c>
      <c r="F405" s="57">
        <f>+SUMIF('Chi tiết NVL'!$I:$I,$A405,'Chi tiết NVL'!O:O)</f>
        <v/>
      </c>
      <c r="G405" s="57">
        <f>+SUMIF('Chi tiết NVL'!$I:$I,$A405,'Chi tiết NVL'!P:P)</f>
        <v/>
      </c>
      <c r="H405" s="57">
        <f>+SUMIF('Chi tiết NVL'!$I:$I,$A405,'Chi tiết NVL'!Q:Q)</f>
        <v/>
      </c>
      <c r="I405" s="57">
        <f>+SUMIF('Chi tiết NVL'!$I:$I,$A405,'Chi tiết NVL'!R:R)</f>
        <v/>
      </c>
      <c r="J405" s="57">
        <f>+SUMIF('Chi tiết NVL'!$I:$I,$A405,'Chi tiết NVL'!S:S)</f>
        <v/>
      </c>
    </row>
    <row r="406">
      <c r="A406" s="56" t="inlineStr">
        <is>
          <t>Thép tấm (70x260x900mm)</t>
        </is>
      </c>
      <c r="B406" s="56">
        <f>+VLOOKUP(A406,'Chi tiết NVL'!$I$10:$J$4158,2,0)</f>
        <v/>
      </c>
      <c r="C406" s="57">
        <f>+SUMIF('Chi tiết NVL'!$I:$I,$A406,'Chi tiết NVL'!L:L)</f>
        <v/>
      </c>
      <c r="D406" s="57">
        <f>+SUMIF('Chi tiết NVL'!$I:$I,$A406,'Chi tiết NVL'!M:M)</f>
        <v/>
      </c>
      <c r="E406" s="57">
        <f>+SUMIF('Chi tiết NVL'!$I:$I,$A406,'Chi tiết NVL'!N:N)</f>
        <v/>
      </c>
      <c r="F406" s="57">
        <f>+SUMIF('Chi tiết NVL'!$I:$I,$A406,'Chi tiết NVL'!O:O)</f>
        <v/>
      </c>
      <c r="G406" s="57">
        <f>+SUMIF('Chi tiết NVL'!$I:$I,$A406,'Chi tiết NVL'!P:P)</f>
        <v/>
      </c>
      <c r="H406" s="57">
        <f>+SUMIF('Chi tiết NVL'!$I:$I,$A406,'Chi tiết NVL'!Q:Q)</f>
        <v/>
      </c>
      <c r="I406" s="57">
        <f>+SUMIF('Chi tiết NVL'!$I:$I,$A406,'Chi tiết NVL'!R:R)</f>
        <v/>
      </c>
      <c r="J406" s="57">
        <f>+SUMIF('Chi tiết NVL'!$I:$I,$A406,'Chi tiết NVL'!S:S)</f>
        <v/>
      </c>
    </row>
    <row r="407">
      <c r="A407" s="56" t="inlineStr">
        <is>
          <t>Thép tấm (80x260x900mm)</t>
        </is>
      </c>
      <c r="B407" s="56">
        <f>+VLOOKUP(A407,'Chi tiết NVL'!$I$10:$J$4158,2,0)</f>
        <v/>
      </c>
      <c r="C407" s="57">
        <f>+SUMIF('Chi tiết NVL'!$I:$I,$A407,'Chi tiết NVL'!L:L)</f>
        <v/>
      </c>
      <c r="D407" s="57">
        <f>+SUMIF('Chi tiết NVL'!$I:$I,$A407,'Chi tiết NVL'!M:M)</f>
        <v/>
      </c>
      <c r="E407" s="57">
        <f>+SUMIF('Chi tiết NVL'!$I:$I,$A407,'Chi tiết NVL'!N:N)</f>
        <v/>
      </c>
      <c r="F407" s="57">
        <f>+SUMIF('Chi tiết NVL'!$I:$I,$A407,'Chi tiết NVL'!O:O)</f>
        <v/>
      </c>
      <c r="G407" s="57">
        <f>+SUMIF('Chi tiết NVL'!$I:$I,$A407,'Chi tiết NVL'!P:P)</f>
        <v/>
      </c>
      <c r="H407" s="57">
        <f>+SUMIF('Chi tiết NVL'!$I:$I,$A407,'Chi tiết NVL'!Q:Q)</f>
        <v/>
      </c>
      <c r="I407" s="57">
        <f>+SUMIF('Chi tiết NVL'!$I:$I,$A407,'Chi tiết NVL'!R:R)</f>
        <v/>
      </c>
      <c r="J407" s="57">
        <f>+SUMIF('Chi tiết NVL'!$I:$I,$A407,'Chi tiết NVL'!S:S)</f>
        <v/>
      </c>
    </row>
    <row r="408">
      <c r="A408" s="56" t="inlineStr">
        <is>
          <t>Thép tấm (90x260x900mm)</t>
        </is>
      </c>
      <c r="B408" s="56">
        <f>+VLOOKUP(A408,'Chi tiết NVL'!$I$10:$J$4158,2,0)</f>
        <v/>
      </c>
      <c r="C408" s="57">
        <f>+SUMIF('Chi tiết NVL'!$I:$I,$A408,'Chi tiết NVL'!L:L)</f>
        <v/>
      </c>
      <c r="D408" s="57">
        <f>+SUMIF('Chi tiết NVL'!$I:$I,$A408,'Chi tiết NVL'!M:M)</f>
        <v/>
      </c>
      <c r="E408" s="57">
        <f>+SUMIF('Chi tiết NVL'!$I:$I,$A408,'Chi tiết NVL'!N:N)</f>
        <v/>
      </c>
      <c r="F408" s="57">
        <f>+SUMIF('Chi tiết NVL'!$I:$I,$A408,'Chi tiết NVL'!O:O)</f>
        <v/>
      </c>
      <c r="G408" s="57">
        <f>+SUMIF('Chi tiết NVL'!$I:$I,$A408,'Chi tiết NVL'!P:P)</f>
        <v/>
      </c>
      <c r="H408" s="57">
        <f>+SUMIF('Chi tiết NVL'!$I:$I,$A408,'Chi tiết NVL'!Q:Q)</f>
        <v/>
      </c>
      <c r="I408" s="57">
        <f>+SUMIF('Chi tiết NVL'!$I:$I,$A408,'Chi tiết NVL'!R:R)</f>
        <v/>
      </c>
      <c r="J408" s="57">
        <f>+SUMIF('Chi tiết NVL'!$I:$I,$A408,'Chi tiết NVL'!S:S)</f>
        <v/>
      </c>
    </row>
    <row r="409">
      <c r="A409" s="56" t="inlineStr">
        <is>
          <t>Thép tấm (120x70x860mm)</t>
        </is>
      </c>
      <c r="B409" s="56">
        <f>+VLOOKUP(A409,'Chi tiết NVL'!$I$10:$J$4158,2,0)</f>
        <v/>
      </c>
      <c r="C409" s="57">
        <f>+SUMIF('Chi tiết NVL'!$I:$I,$A409,'Chi tiết NVL'!L:L)</f>
        <v/>
      </c>
      <c r="D409" s="57">
        <f>+SUMIF('Chi tiết NVL'!$I:$I,$A409,'Chi tiết NVL'!M:M)</f>
        <v/>
      </c>
      <c r="E409" s="57">
        <f>+SUMIF('Chi tiết NVL'!$I:$I,$A409,'Chi tiết NVL'!N:N)</f>
        <v/>
      </c>
      <c r="F409" s="57">
        <f>+SUMIF('Chi tiết NVL'!$I:$I,$A409,'Chi tiết NVL'!O:O)</f>
        <v/>
      </c>
      <c r="G409" s="57">
        <f>+SUMIF('Chi tiết NVL'!$I:$I,$A409,'Chi tiết NVL'!P:P)</f>
        <v/>
      </c>
      <c r="H409" s="57">
        <f>+SUMIF('Chi tiết NVL'!$I:$I,$A409,'Chi tiết NVL'!Q:Q)</f>
        <v/>
      </c>
      <c r="I409" s="57">
        <f>+SUMIF('Chi tiết NVL'!$I:$I,$A409,'Chi tiết NVL'!R:R)</f>
        <v/>
      </c>
      <c r="J409" s="57">
        <f>+SUMIF('Chi tiết NVL'!$I:$I,$A409,'Chi tiết NVL'!S:S)</f>
        <v/>
      </c>
    </row>
    <row r="410">
      <c r="A410" s="56" t="inlineStr">
        <is>
          <t>Thép tấm (45x2000x12000mm)</t>
        </is>
      </c>
      <c r="B410" s="56">
        <f>+VLOOKUP(A410,'Chi tiết NVL'!$I$10:$J$4158,2,0)</f>
        <v/>
      </c>
      <c r="C410" s="57">
        <f>+SUMIF('Chi tiết NVL'!$I:$I,$A410,'Chi tiết NVL'!L:L)</f>
        <v/>
      </c>
      <c r="D410" s="57">
        <f>+SUMIF('Chi tiết NVL'!$I:$I,$A410,'Chi tiết NVL'!M:M)</f>
        <v/>
      </c>
      <c r="E410" s="57">
        <f>+SUMIF('Chi tiết NVL'!$I:$I,$A410,'Chi tiết NVL'!N:N)</f>
        <v/>
      </c>
      <c r="F410" s="57">
        <f>+SUMIF('Chi tiết NVL'!$I:$I,$A410,'Chi tiết NVL'!O:O)</f>
        <v/>
      </c>
      <c r="G410" s="57">
        <f>+SUMIF('Chi tiết NVL'!$I:$I,$A410,'Chi tiết NVL'!P:P)</f>
        <v/>
      </c>
      <c r="H410" s="57">
        <f>+SUMIF('Chi tiết NVL'!$I:$I,$A410,'Chi tiết NVL'!Q:Q)</f>
        <v/>
      </c>
      <c r="I410" s="57">
        <f>+SUMIF('Chi tiết NVL'!$I:$I,$A410,'Chi tiết NVL'!R:R)</f>
        <v/>
      </c>
      <c r="J410" s="57">
        <f>+SUMIF('Chi tiết NVL'!$I:$I,$A410,'Chi tiết NVL'!S:S)</f>
        <v/>
      </c>
    </row>
    <row r="411">
      <c r="A411" s="56" t="inlineStr">
        <is>
          <t>Thép tấm (50x2000x6000mm)</t>
        </is>
      </c>
      <c r="B411" s="56">
        <f>+VLOOKUP(A411,'Chi tiết NVL'!$I$10:$J$4158,2,0)</f>
        <v/>
      </c>
      <c r="C411" s="57">
        <f>+SUMIF('Chi tiết NVL'!$I:$I,$A411,'Chi tiết NVL'!L:L)</f>
        <v/>
      </c>
      <c r="D411" s="57">
        <f>+SUMIF('Chi tiết NVL'!$I:$I,$A411,'Chi tiết NVL'!M:M)</f>
        <v/>
      </c>
      <c r="E411" s="57">
        <f>+SUMIF('Chi tiết NVL'!$I:$I,$A411,'Chi tiết NVL'!N:N)</f>
        <v/>
      </c>
      <c r="F411" s="57">
        <f>+SUMIF('Chi tiết NVL'!$I:$I,$A411,'Chi tiết NVL'!O:O)</f>
        <v/>
      </c>
      <c r="G411" s="57">
        <f>+SUMIF('Chi tiết NVL'!$I:$I,$A411,'Chi tiết NVL'!P:P)</f>
        <v/>
      </c>
      <c r="H411" s="57">
        <f>+SUMIF('Chi tiết NVL'!$I:$I,$A411,'Chi tiết NVL'!Q:Q)</f>
        <v/>
      </c>
      <c r="I411" s="57">
        <f>+SUMIF('Chi tiết NVL'!$I:$I,$A411,'Chi tiết NVL'!R:R)</f>
        <v/>
      </c>
      <c r="J411" s="57">
        <f>+SUMIF('Chi tiết NVL'!$I:$I,$A411,'Chi tiết NVL'!S:S)</f>
        <v/>
      </c>
    </row>
    <row r="412">
      <c r="A412" s="56" t="inlineStr">
        <is>
          <t>Thép tấm 45ly</t>
        </is>
      </c>
      <c r="B412" s="56">
        <f>+VLOOKUP(A412,'Chi tiết NVL'!$I$10:$J$4158,2,0)</f>
        <v/>
      </c>
      <c r="C412" s="57">
        <f>+SUMIF('Chi tiết NVL'!$I:$I,$A412,'Chi tiết NVL'!L:L)</f>
        <v/>
      </c>
      <c r="D412" s="57">
        <f>+SUMIF('Chi tiết NVL'!$I:$I,$A412,'Chi tiết NVL'!M:M)</f>
        <v/>
      </c>
      <c r="E412" s="57">
        <f>+SUMIF('Chi tiết NVL'!$I:$I,$A412,'Chi tiết NVL'!N:N)</f>
        <v/>
      </c>
      <c r="F412" s="57">
        <f>+SUMIF('Chi tiết NVL'!$I:$I,$A412,'Chi tiết NVL'!O:O)</f>
        <v/>
      </c>
      <c r="G412" s="57">
        <f>+SUMIF('Chi tiết NVL'!$I:$I,$A412,'Chi tiết NVL'!P:P)</f>
        <v/>
      </c>
      <c r="H412" s="57">
        <f>+SUMIF('Chi tiết NVL'!$I:$I,$A412,'Chi tiết NVL'!Q:Q)</f>
        <v/>
      </c>
      <c r="I412" s="57">
        <f>+SUMIF('Chi tiết NVL'!$I:$I,$A412,'Chi tiết NVL'!R:R)</f>
        <v/>
      </c>
      <c r="J412" s="57">
        <f>+SUMIF('Chi tiết NVL'!$I:$I,$A412,'Chi tiết NVL'!S:S)</f>
        <v/>
      </c>
    </row>
    <row r="413">
      <c r="A413" s="56" t="inlineStr">
        <is>
          <t>Vít B2 Dacromet 12-24x32 HWFS (lục giác)</t>
        </is>
      </c>
      <c r="B413" s="56">
        <f>+VLOOKUP(A413,'Chi tiết NVL'!$I$10:$J$4158,2,0)</f>
        <v/>
      </c>
      <c r="C413" s="57">
        <f>+SUMIF('Chi tiết NVL'!$I:$I,$A413,'Chi tiết NVL'!L:L)</f>
        <v/>
      </c>
      <c r="D413" s="57">
        <f>+SUMIF('Chi tiết NVL'!$I:$I,$A413,'Chi tiết NVL'!M:M)</f>
        <v/>
      </c>
      <c r="E413" s="57">
        <f>+SUMIF('Chi tiết NVL'!$I:$I,$A413,'Chi tiết NVL'!N:N)</f>
        <v/>
      </c>
      <c r="F413" s="57">
        <f>+SUMIF('Chi tiết NVL'!$I:$I,$A413,'Chi tiết NVL'!O:O)</f>
        <v/>
      </c>
      <c r="G413" s="57">
        <f>+SUMIF('Chi tiết NVL'!$I:$I,$A413,'Chi tiết NVL'!P:P)</f>
        <v/>
      </c>
      <c r="H413" s="57">
        <f>+SUMIF('Chi tiết NVL'!$I:$I,$A413,'Chi tiết NVL'!Q:Q)</f>
        <v/>
      </c>
      <c r="I413" s="57">
        <f>+SUMIF('Chi tiết NVL'!$I:$I,$A413,'Chi tiết NVL'!R:R)</f>
        <v/>
      </c>
      <c r="J413" s="57">
        <f>+SUMIF('Chi tiết NVL'!$I:$I,$A413,'Chi tiết NVL'!S:S)</f>
        <v/>
      </c>
    </row>
    <row r="414">
      <c r="A414" s="56" t="inlineStr">
        <is>
          <t>Ty giằng 2 đầu ren 5.6 ZP M24</t>
        </is>
      </c>
      <c r="B414" s="56">
        <f>+VLOOKUP(A414,'Chi tiết NVL'!$I$10:$J$4158,2,0)</f>
        <v/>
      </c>
      <c r="C414" s="57">
        <f>+SUMIF('Chi tiết NVL'!$I:$I,$A414,'Chi tiết NVL'!L:L)</f>
        <v/>
      </c>
      <c r="D414" s="57">
        <f>+SUMIF('Chi tiết NVL'!$I:$I,$A414,'Chi tiết NVL'!M:M)</f>
        <v/>
      </c>
      <c r="E414" s="57">
        <f>+SUMIF('Chi tiết NVL'!$I:$I,$A414,'Chi tiết NVL'!N:N)</f>
        <v/>
      </c>
      <c r="F414" s="57">
        <f>+SUMIF('Chi tiết NVL'!$I:$I,$A414,'Chi tiết NVL'!O:O)</f>
        <v/>
      </c>
      <c r="G414" s="57">
        <f>+SUMIF('Chi tiết NVL'!$I:$I,$A414,'Chi tiết NVL'!P:P)</f>
        <v/>
      </c>
      <c r="H414" s="57">
        <f>+SUMIF('Chi tiết NVL'!$I:$I,$A414,'Chi tiết NVL'!Q:Q)</f>
        <v/>
      </c>
      <c r="I414" s="57">
        <f>+SUMIF('Chi tiết NVL'!$I:$I,$A414,'Chi tiết NVL'!R:R)</f>
        <v/>
      </c>
      <c r="J414" s="57">
        <f>+SUMIF('Chi tiết NVL'!$I:$I,$A414,'Chi tiết NVL'!S:S)</f>
        <v/>
      </c>
    </row>
    <row r="415">
      <c r="A415" s="56" t="inlineStr">
        <is>
          <t>W F436M Type 1 ZP M16</t>
        </is>
      </c>
      <c r="B415" s="56">
        <f>+VLOOKUP(A415,'Chi tiết NVL'!$I$10:$J$4158,2,0)</f>
        <v/>
      </c>
      <c r="C415" s="57">
        <f>+SUMIF('Chi tiết NVL'!$I:$I,$A415,'Chi tiết NVL'!L:L)</f>
        <v/>
      </c>
      <c r="D415" s="57">
        <f>+SUMIF('Chi tiết NVL'!$I:$I,$A415,'Chi tiết NVL'!M:M)</f>
        <v/>
      </c>
      <c r="E415" s="57">
        <f>+SUMIF('Chi tiết NVL'!$I:$I,$A415,'Chi tiết NVL'!N:N)</f>
        <v/>
      </c>
      <c r="F415" s="57">
        <f>+SUMIF('Chi tiết NVL'!$I:$I,$A415,'Chi tiết NVL'!O:O)</f>
        <v/>
      </c>
      <c r="G415" s="57">
        <f>+SUMIF('Chi tiết NVL'!$I:$I,$A415,'Chi tiết NVL'!P:P)</f>
        <v/>
      </c>
      <c r="H415" s="57">
        <f>+SUMIF('Chi tiết NVL'!$I:$I,$A415,'Chi tiết NVL'!Q:Q)</f>
        <v/>
      </c>
      <c r="I415" s="57">
        <f>+SUMIF('Chi tiết NVL'!$I:$I,$A415,'Chi tiết NVL'!R:R)</f>
        <v/>
      </c>
      <c r="J415" s="57">
        <f>+SUMIF('Chi tiết NVL'!$I:$I,$A415,'Chi tiết NVL'!S:S)</f>
        <v/>
      </c>
    </row>
    <row r="416">
      <c r="A416" s="56" t="inlineStr">
        <is>
          <t>H/H N A563M 10 ZP M16</t>
        </is>
      </c>
      <c r="B416" s="56">
        <f>+VLOOKUP(A416,'Chi tiết NVL'!$I$10:$J$4158,2,0)</f>
        <v/>
      </c>
      <c r="C416" s="57">
        <f>+SUMIF('Chi tiết NVL'!$I:$I,$A416,'Chi tiết NVL'!L:L)</f>
        <v/>
      </c>
      <c r="D416" s="57">
        <f>+SUMIF('Chi tiết NVL'!$I:$I,$A416,'Chi tiết NVL'!M:M)</f>
        <v/>
      </c>
      <c r="E416" s="57">
        <f>+SUMIF('Chi tiết NVL'!$I:$I,$A416,'Chi tiết NVL'!N:N)</f>
        <v/>
      </c>
      <c r="F416" s="57">
        <f>+SUMIF('Chi tiết NVL'!$I:$I,$A416,'Chi tiết NVL'!O:O)</f>
        <v/>
      </c>
      <c r="G416" s="57">
        <f>+SUMIF('Chi tiết NVL'!$I:$I,$A416,'Chi tiết NVL'!P:P)</f>
        <v/>
      </c>
      <c r="H416" s="57">
        <f>+SUMIF('Chi tiết NVL'!$I:$I,$A416,'Chi tiết NVL'!Q:Q)</f>
        <v/>
      </c>
      <c r="I416" s="57">
        <f>+SUMIF('Chi tiết NVL'!$I:$I,$A416,'Chi tiết NVL'!R:R)</f>
        <v/>
      </c>
      <c r="J416" s="57">
        <f>+SUMIF('Chi tiết NVL'!$I:$I,$A416,'Chi tiết NVL'!S:S)</f>
        <v/>
      </c>
    </row>
    <row r="417">
      <c r="A417" s="56" t="inlineStr">
        <is>
          <t>STR H/H B A325M Type 1 ZP M16x50(50)</t>
        </is>
      </c>
      <c r="B417" s="56">
        <f>+VLOOKUP(A417,'Chi tiết NVL'!$I$10:$J$4158,2,0)</f>
        <v/>
      </c>
      <c r="C417" s="57">
        <f>+SUMIF('Chi tiết NVL'!$I:$I,$A417,'Chi tiết NVL'!L:L)</f>
        <v/>
      </c>
      <c r="D417" s="57">
        <f>+SUMIF('Chi tiết NVL'!$I:$I,$A417,'Chi tiết NVL'!M:M)</f>
        <v/>
      </c>
      <c r="E417" s="57">
        <f>+SUMIF('Chi tiết NVL'!$I:$I,$A417,'Chi tiết NVL'!N:N)</f>
        <v/>
      </c>
      <c r="F417" s="57">
        <f>+SUMIF('Chi tiết NVL'!$I:$I,$A417,'Chi tiết NVL'!O:O)</f>
        <v/>
      </c>
      <c r="G417" s="57">
        <f>+SUMIF('Chi tiết NVL'!$I:$I,$A417,'Chi tiết NVL'!P:P)</f>
        <v/>
      </c>
      <c r="H417" s="57">
        <f>+SUMIF('Chi tiết NVL'!$I:$I,$A417,'Chi tiết NVL'!Q:Q)</f>
        <v/>
      </c>
      <c r="I417" s="57">
        <f>+SUMIF('Chi tiết NVL'!$I:$I,$A417,'Chi tiết NVL'!R:R)</f>
        <v/>
      </c>
      <c r="J417" s="57">
        <f>+SUMIF('Chi tiết NVL'!$I:$I,$A417,'Chi tiết NVL'!S:S)</f>
        <v/>
      </c>
    </row>
    <row r="418">
      <c r="A418" s="56" t="inlineStr">
        <is>
          <t>STR H/H B A325M Type 1 ZP M16x60(60)</t>
        </is>
      </c>
      <c r="B418" s="56">
        <f>+VLOOKUP(A418,'Chi tiết NVL'!$I$10:$J$4158,2,0)</f>
        <v/>
      </c>
      <c r="C418" s="57">
        <f>+SUMIF('Chi tiết NVL'!$I:$I,$A418,'Chi tiết NVL'!L:L)</f>
        <v/>
      </c>
      <c r="D418" s="57">
        <f>+SUMIF('Chi tiết NVL'!$I:$I,$A418,'Chi tiết NVL'!M:M)</f>
        <v/>
      </c>
      <c r="E418" s="57">
        <f>+SUMIF('Chi tiết NVL'!$I:$I,$A418,'Chi tiết NVL'!N:N)</f>
        <v/>
      </c>
      <c r="F418" s="57">
        <f>+SUMIF('Chi tiết NVL'!$I:$I,$A418,'Chi tiết NVL'!O:O)</f>
        <v/>
      </c>
      <c r="G418" s="57">
        <f>+SUMIF('Chi tiết NVL'!$I:$I,$A418,'Chi tiết NVL'!P:P)</f>
        <v/>
      </c>
      <c r="H418" s="57">
        <f>+SUMIF('Chi tiết NVL'!$I:$I,$A418,'Chi tiết NVL'!Q:Q)</f>
        <v/>
      </c>
      <c r="I418" s="57">
        <f>+SUMIF('Chi tiết NVL'!$I:$I,$A418,'Chi tiết NVL'!R:R)</f>
        <v/>
      </c>
      <c r="J418" s="57">
        <f>+SUMIF('Chi tiết NVL'!$I:$I,$A418,'Chi tiết NVL'!S:S)</f>
        <v/>
      </c>
    </row>
    <row r="419">
      <c r="A419" s="56" t="inlineStr">
        <is>
          <t>STR H/H B A325M Type 1 ZP M16x180(180)</t>
        </is>
      </c>
      <c r="B419" s="56">
        <f>+VLOOKUP(A419,'Chi tiết NVL'!$I$10:$J$4158,2,0)</f>
        <v/>
      </c>
      <c r="C419" s="57">
        <f>+SUMIF('Chi tiết NVL'!$I:$I,$A419,'Chi tiết NVL'!L:L)</f>
        <v/>
      </c>
      <c r="D419" s="57">
        <f>+SUMIF('Chi tiết NVL'!$I:$I,$A419,'Chi tiết NVL'!M:M)</f>
        <v/>
      </c>
      <c r="E419" s="57">
        <f>+SUMIF('Chi tiết NVL'!$I:$I,$A419,'Chi tiết NVL'!N:N)</f>
        <v/>
      </c>
      <c r="F419" s="57">
        <f>+SUMIF('Chi tiết NVL'!$I:$I,$A419,'Chi tiết NVL'!O:O)</f>
        <v/>
      </c>
      <c r="G419" s="57">
        <f>+SUMIF('Chi tiết NVL'!$I:$I,$A419,'Chi tiết NVL'!P:P)</f>
        <v/>
      </c>
      <c r="H419" s="57">
        <f>+SUMIF('Chi tiết NVL'!$I:$I,$A419,'Chi tiết NVL'!Q:Q)</f>
        <v/>
      </c>
      <c r="I419" s="57">
        <f>+SUMIF('Chi tiết NVL'!$I:$I,$A419,'Chi tiết NVL'!R:R)</f>
        <v/>
      </c>
      <c r="J419" s="57">
        <f>+SUMIF('Chi tiết NVL'!$I:$I,$A419,'Chi tiết NVL'!S:S)</f>
        <v/>
      </c>
    </row>
    <row r="420">
      <c r="A420" s="56" t="inlineStr">
        <is>
          <t>STR H/H B A325M Type 1 ZP M16x200(200)</t>
        </is>
      </c>
      <c r="B420" s="56">
        <f>+VLOOKUP(A420,'Chi tiết NVL'!$I$10:$J$4158,2,0)</f>
        <v/>
      </c>
      <c r="C420" s="57">
        <f>+SUMIF('Chi tiết NVL'!$I:$I,$A420,'Chi tiết NVL'!L:L)</f>
        <v/>
      </c>
      <c r="D420" s="57">
        <f>+SUMIF('Chi tiết NVL'!$I:$I,$A420,'Chi tiết NVL'!M:M)</f>
        <v/>
      </c>
      <c r="E420" s="57">
        <f>+SUMIF('Chi tiết NVL'!$I:$I,$A420,'Chi tiết NVL'!N:N)</f>
        <v/>
      </c>
      <c r="F420" s="57">
        <f>+SUMIF('Chi tiết NVL'!$I:$I,$A420,'Chi tiết NVL'!O:O)</f>
        <v/>
      </c>
      <c r="G420" s="57">
        <f>+SUMIF('Chi tiết NVL'!$I:$I,$A420,'Chi tiết NVL'!P:P)</f>
        <v/>
      </c>
      <c r="H420" s="57">
        <f>+SUMIF('Chi tiết NVL'!$I:$I,$A420,'Chi tiết NVL'!Q:Q)</f>
        <v/>
      </c>
      <c r="I420" s="57">
        <f>+SUMIF('Chi tiết NVL'!$I:$I,$A420,'Chi tiết NVL'!R:R)</f>
        <v/>
      </c>
      <c r="J420" s="57">
        <f>+SUMIF('Chi tiết NVL'!$I:$I,$A420,'Chi tiết NVL'!S:S)</f>
        <v/>
      </c>
    </row>
    <row r="421">
      <c r="A421" s="56" t="inlineStr">
        <is>
          <t>STR H/H B A325M Type 1 ZP M24x80(80)</t>
        </is>
      </c>
      <c r="B421" s="56">
        <f>+VLOOKUP(A421,'Chi tiết NVL'!$I$10:$J$4158,2,0)</f>
        <v/>
      </c>
      <c r="C421" s="57">
        <f>+SUMIF('Chi tiết NVL'!$I:$I,$A421,'Chi tiết NVL'!L:L)</f>
        <v/>
      </c>
      <c r="D421" s="57">
        <f>+SUMIF('Chi tiết NVL'!$I:$I,$A421,'Chi tiết NVL'!M:M)</f>
        <v/>
      </c>
      <c r="E421" s="57">
        <f>+SUMIF('Chi tiết NVL'!$I:$I,$A421,'Chi tiết NVL'!N:N)</f>
        <v/>
      </c>
      <c r="F421" s="57">
        <f>+SUMIF('Chi tiết NVL'!$I:$I,$A421,'Chi tiết NVL'!O:O)</f>
        <v/>
      </c>
      <c r="G421" s="57">
        <f>+SUMIF('Chi tiết NVL'!$I:$I,$A421,'Chi tiết NVL'!P:P)</f>
        <v/>
      </c>
      <c r="H421" s="57">
        <f>+SUMIF('Chi tiết NVL'!$I:$I,$A421,'Chi tiết NVL'!Q:Q)</f>
        <v/>
      </c>
      <c r="I421" s="57">
        <f>+SUMIF('Chi tiết NVL'!$I:$I,$A421,'Chi tiết NVL'!R:R)</f>
        <v/>
      </c>
      <c r="J421" s="57">
        <f>+SUMIF('Chi tiết NVL'!$I:$I,$A421,'Chi tiết NVL'!S:S)</f>
        <v/>
      </c>
    </row>
    <row r="422">
      <c r="A422" s="56" t="inlineStr">
        <is>
          <t>W F436M Type 1 ZP M24</t>
        </is>
      </c>
      <c r="B422" s="56">
        <f>+VLOOKUP(A422,'Chi tiết NVL'!$I$10:$J$4158,2,0)</f>
        <v/>
      </c>
      <c r="C422" s="57">
        <f>+SUMIF('Chi tiết NVL'!$I:$I,$A422,'Chi tiết NVL'!L:L)</f>
        <v/>
      </c>
      <c r="D422" s="57">
        <f>+SUMIF('Chi tiết NVL'!$I:$I,$A422,'Chi tiết NVL'!M:M)</f>
        <v/>
      </c>
      <c r="E422" s="57">
        <f>+SUMIF('Chi tiết NVL'!$I:$I,$A422,'Chi tiết NVL'!N:N)</f>
        <v/>
      </c>
      <c r="F422" s="57">
        <f>+SUMIF('Chi tiết NVL'!$I:$I,$A422,'Chi tiết NVL'!O:O)</f>
        <v/>
      </c>
      <c r="G422" s="57">
        <f>+SUMIF('Chi tiết NVL'!$I:$I,$A422,'Chi tiết NVL'!P:P)</f>
        <v/>
      </c>
      <c r="H422" s="57">
        <f>+SUMIF('Chi tiết NVL'!$I:$I,$A422,'Chi tiết NVL'!Q:Q)</f>
        <v/>
      </c>
      <c r="I422" s="57">
        <f>+SUMIF('Chi tiết NVL'!$I:$I,$A422,'Chi tiết NVL'!R:R)</f>
        <v/>
      </c>
      <c r="J422" s="57">
        <f>+SUMIF('Chi tiết NVL'!$I:$I,$A422,'Chi tiết NVL'!S:S)</f>
        <v/>
      </c>
    </row>
    <row r="423">
      <c r="A423" s="56" t="inlineStr">
        <is>
          <t>H/H N A563M 10 ZP M24</t>
        </is>
      </c>
      <c r="B423" s="56">
        <f>+VLOOKUP(A423,'Chi tiết NVL'!$I$10:$J$4158,2,0)</f>
        <v/>
      </c>
      <c r="C423" s="57">
        <f>+SUMIF('Chi tiết NVL'!$I:$I,$A423,'Chi tiết NVL'!L:L)</f>
        <v/>
      </c>
      <c r="D423" s="57">
        <f>+SUMIF('Chi tiết NVL'!$I:$I,$A423,'Chi tiết NVL'!M:M)</f>
        <v/>
      </c>
      <c r="E423" s="57">
        <f>+SUMIF('Chi tiết NVL'!$I:$I,$A423,'Chi tiết NVL'!N:N)</f>
        <v/>
      </c>
      <c r="F423" s="57">
        <f>+SUMIF('Chi tiết NVL'!$I:$I,$A423,'Chi tiết NVL'!O:O)</f>
        <v/>
      </c>
      <c r="G423" s="57">
        <f>+SUMIF('Chi tiết NVL'!$I:$I,$A423,'Chi tiết NVL'!P:P)</f>
        <v/>
      </c>
      <c r="H423" s="57">
        <f>+SUMIF('Chi tiết NVL'!$I:$I,$A423,'Chi tiết NVL'!Q:Q)</f>
        <v/>
      </c>
      <c r="I423" s="57">
        <f>+SUMIF('Chi tiết NVL'!$I:$I,$A423,'Chi tiết NVL'!R:R)</f>
        <v/>
      </c>
      <c r="J423" s="57">
        <f>+SUMIF('Chi tiết NVL'!$I:$I,$A423,'Chi tiết NVL'!S:S)</f>
        <v/>
      </c>
    </row>
    <row r="424">
      <c r="A424" s="56" t="inlineStr">
        <is>
          <t>STR H/H B A325M Type 1 ZP M24x90(90)</t>
        </is>
      </c>
      <c r="B424" s="56">
        <f>+VLOOKUP(A424,'Chi tiết NVL'!$I$10:$J$4158,2,0)</f>
        <v/>
      </c>
      <c r="C424" s="57">
        <f>+SUMIF('Chi tiết NVL'!$I:$I,$A424,'Chi tiết NVL'!L:L)</f>
        <v/>
      </c>
      <c r="D424" s="57">
        <f>+SUMIF('Chi tiết NVL'!$I:$I,$A424,'Chi tiết NVL'!M:M)</f>
        <v/>
      </c>
      <c r="E424" s="57">
        <f>+SUMIF('Chi tiết NVL'!$I:$I,$A424,'Chi tiết NVL'!N:N)</f>
        <v/>
      </c>
      <c r="F424" s="57">
        <f>+SUMIF('Chi tiết NVL'!$I:$I,$A424,'Chi tiết NVL'!O:O)</f>
        <v/>
      </c>
      <c r="G424" s="57">
        <f>+SUMIF('Chi tiết NVL'!$I:$I,$A424,'Chi tiết NVL'!P:P)</f>
        <v/>
      </c>
      <c r="H424" s="57">
        <f>+SUMIF('Chi tiết NVL'!$I:$I,$A424,'Chi tiết NVL'!Q:Q)</f>
        <v/>
      </c>
      <c r="I424" s="57">
        <f>+SUMIF('Chi tiết NVL'!$I:$I,$A424,'Chi tiết NVL'!R:R)</f>
        <v/>
      </c>
      <c r="J424" s="57">
        <f>+SUMIF('Chi tiết NVL'!$I:$I,$A424,'Chi tiết NVL'!S:S)</f>
        <v/>
      </c>
    </row>
    <row r="425">
      <c r="A425" s="56" t="inlineStr">
        <is>
          <t>STR H/H B A325M Type 1 ZP M24x100(100)</t>
        </is>
      </c>
      <c r="B425" s="56">
        <f>+VLOOKUP(A425,'Chi tiết NVL'!$I$10:$J$4158,2,0)</f>
        <v/>
      </c>
      <c r="C425" s="57">
        <f>+SUMIF('Chi tiết NVL'!$I:$I,$A425,'Chi tiết NVL'!L:L)</f>
        <v/>
      </c>
      <c r="D425" s="57">
        <f>+SUMIF('Chi tiết NVL'!$I:$I,$A425,'Chi tiết NVL'!M:M)</f>
        <v/>
      </c>
      <c r="E425" s="57">
        <f>+SUMIF('Chi tiết NVL'!$I:$I,$A425,'Chi tiết NVL'!N:N)</f>
        <v/>
      </c>
      <c r="F425" s="57">
        <f>+SUMIF('Chi tiết NVL'!$I:$I,$A425,'Chi tiết NVL'!O:O)</f>
        <v/>
      </c>
      <c r="G425" s="57">
        <f>+SUMIF('Chi tiết NVL'!$I:$I,$A425,'Chi tiết NVL'!P:P)</f>
        <v/>
      </c>
      <c r="H425" s="57">
        <f>+SUMIF('Chi tiết NVL'!$I:$I,$A425,'Chi tiết NVL'!Q:Q)</f>
        <v/>
      </c>
      <c r="I425" s="57">
        <f>+SUMIF('Chi tiết NVL'!$I:$I,$A425,'Chi tiết NVL'!R:R)</f>
        <v/>
      </c>
      <c r="J425" s="57">
        <f>+SUMIF('Chi tiết NVL'!$I:$I,$A425,'Chi tiết NVL'!S:S)</f>
        <v/>
      </c>
    </row>
    <row r="426">
      <c r="A426" s="56" t="inlineStr">
        <is>
          <t>STR H/H B A325M Type 1 ZP M24x120(120)</t>
        </is>
      </c>
      <c r="B426" s="56">
        <f>+VLOOKUP(A426,'Chi tiết NVL'!$I$10:$J$4158,2,0)</f>
        <v/>
      </c>
      <c r="C426" s="57">
        <f>+SUMIF('Chi tiết NVL'!$I:$I,$A426,'Chi tiết NVL'!L:L)</f>
        <v/>
      </c>
      <c r="D426" s="57">
        <f>+SUMIF('Chi tiết NVL'!$I:$I,$A426,'Chi tiết NVL'!M:M)</f>
        <v/>
      </c>
      <c r="E426" s="57">
        <f>+SUMIF('Chi tiết NVL'!$I:$I,$A426,'Chi tiết NVL'!N:N)</f>
        <v/>
      </c>
      <c r="F426" s="57">
        <f>+SUMIF('Chi tiết NVL'!$I:$I,$A426,'Chi tiết NVL'!O:O)</f>
        <v/>
      </c>
      <c r="G426" s="57">
        <f>+SUMIF('Chi tiết NVL'!$I:$I,$A426,'Chi tiết NVL'!P:P)</f>
        <v/>
      </c>
      <c r="H426" s="57">
        <f>+SUMIF('Chi tiết NVL'!$I:$I,$A426,'Chi tiết NVL'!Q:Q)</f>
        <v/>
      </c>
      <c r="I426" s="57">
        <f>+SUMIF('Chi tiết NVL'!$I:$I,$A426,'Chi tiết NVL'!R:R)</f>
        <v/>
      </c>
      <c r="J426" s="57">
        <f>+SUMIF('Chi tiết NVL'!$I:$I,$A426,'Chi tiết NVL'!S:S)</f>
        <v/>
      </c>
    </row>
    <row r="427">
      <c r="A427" s="56" t="inlineStr">
        <is>
          <t>H/H N A563M 10 ZP M30</t>
        </is>
      </c>
      <c r="B427" s="56">
        <f>+VLOOKUP(A427,'Chi tiết NVL'!$I$10:$J$4158,2,0)</f>
        <v/>
      </c>
      <c r="C427" s="57">
        <f>+SUMIF('Chi tiết NVL'!$I:$I,$A427,'Chi tiết NVL'!L:L)</f>
        <v/>
      </c>
      <c r="D427" s="57">
        <f>+SUMIF('Chi tiết NVL'!$I:$I,$A427,'Chi tiết NVL'!M:M)</f>
        <v/>
      </c>
      <c r="E427" s="57">
        <f>+SUMIF('Chi tiết NVL'!$I:$I,$A427,'Chi tiết NVL'!N:N)</f>
        <v/>
      </c>
      <c r="F427" s="57">
        <f>+SUMIF('Chi tiết NVL'!$I:$I,$A427,'Chi tiết NVL'!O:O)</f>
        <v/>
      </c>
      <c r="G427" s="57">
        <f>+SUMIF('Chi tiết NVL'!$I:$I,$A427,'Chi tiết NVL'!P:P)</f>
        <v/>
      </c>
      <c r="H427" s="57">
        <f>+SUMIF('Chi tiết NVL'!$I:$I,$A427,'Chi tiết NVL'!Q:Q)</f>
        <v/>
      </c>
      <c r="I427" s="57">
        <f>+SUMIF('Chi tiết NVL'!$I:$I,$A427,'Chi tiết NVL'!R:R)</f>
        <v/>
      </c>
      <c r="J427" s="57">
        <f>+SUMIF('Chi tiết NVL'!$I:$I,$A427,'Chi tiết NVL'!S:S)</f>
        <v/>
      </c>
    </row>
    <row r="428">
      <c r="A428" s="56" t="inlineStr">
        <is>
          <t>W F436M Type 1 ZP M30</t>
        </is>
      </c>
      <c r="B428" s="56">
        <f>+VLOOKUP(A428,'Chi tiết NVL'!$I$10:$J$4158,2,0)</f>
        <v/>
      </c>
      <c r="C428" s="57">
        <f>+SUMIF('Chi tiết NVL'!$I:$I,$A428,'Chi tiết NVL'!L:L)</f>
        <v/>
      </c>
      <c r="D428" s="57">
        <f>+SUMIF('Chi tiết NVL'!$I:$I,$A428,'Chi tiết NVL'!M:M)</f>
        <v/>
      </c>
      <c r="E428" s="57">
        <f>+SUMIF('Chi tiết NVL'!$I:$I,$A428,'Chi tiết NVL'!N:N)</f>
        <v/>
      </c>
      <c r="F428" s="57">
        <f>+SUMIF('Chi tiết NVL'!$I:$I,$A428,'Chi tiết NVL'!O:O)</f>
        <v/>
      </c>
      <c r="G428" s="57">
        <f>+SUMIF('Chi tiết NVL'!$I:$I,$A428,'Chi tiết NVL'!P:P)</f>
        <v/>
      </c>
      <c r="H428" s="57">
        <f>+SUMIF('Chi tiết NVL'!$I:$I,$A428,'Chi tiết NVL'!Q:Q)</f>
        <v/>
      </c>
      <c r="I428" s="57">
        <f>+SUMIF('Chi tiết NVL'!$I:$I,$A428,'Chi tiết NVL'!R:R)</f>
        <v/>
      </c>
      <c r="J428" s="57">
        <f>+SUMIF('Chi tiết NVL'!$I:$I,$A428,'Chi tiết NVL'!S:S)</f>
        <v/>
      </c>
    </row>
    <row r="429">
      <c r="A429" s="56" t="inlineStr">
        <is>
          <t>STR H/H B A325M Type 1 ZP M30x100(100)</t>
        </is>
      </c>
      <c r="B429" s="56">
        <f>+VLOOKUP(A429,'Chi tiết NVL'!$I$10:$J$4158,2,0)</f>
        <v/>
      </c>
      <c r="C429" s="57">
        <f>+SUMIF('Chi tiết NVL'!$I:$I,$A429,'Chi tiết NVL'!L:L)</f>
        <v/>
      </c>
      <c r="D429" s="57">
        <f>+SUMIF('Chi tiết NVL'!$I:$I,$A429,'Chi tiết NVL'!M:M)</f>
        <v/>
      </c>
      <c r="E429" s="57">
        <f>+SUMIF('Chi tiết NVL'!$I:$I,$A429,'Chi tiết NVL'!N:N)</f>
        <v/>
      </c>
      <c r="F429" s="57">
        <f>+SUMIF('Chi tiết NVL'!$I:$I,$A429,'Chi tiết NVL'!O:O)</f>
        <v/>
      </c>
      <c r="G429" s="57">
        <f>+SUMIF('Chi tiết NVL'!$I:$I,$A429,'Chi tiết NVL'!P:P)</f>
        <v/>
      </c>
      <c r="H429" s="57">
        <f>+SUMIF('Chi tiết NVL'!$I:$I,$A429,'Chi tiết NVL'!Q:Q)</f>
        <v/>
      </c>
      <c r="I429" s="57">
        <f>+SUMIF('Chi tiết NVL'!$I:$I,$A429,'Chi tiết NVL'!R:R)</f>
        <v/>
      </c>
      <c r="J429" s="57">
        <f>+SUMIF('Chi tiết NVL'!$I:$I,$A429,'Chi tiết NVL'!S:S)</f>
        <v/>
      </c>
    </row>
    <row r="430">
      <c r="A430" s="56" t="inlineStr">
        <is>
          <t>STR H/H B A325M Type 1 ZP M30x110(110)</t>
        </is>
      </c>
      <c r="B430" s="56">
        <f>+VLOOKUP(A430,'Chi tiết NVL'!$I$10:$J$4158,2,0)</f>
        <v/>
      </c>
      <c r="C430" s="57">
        <f>+SUMIF('Chi tiết NVL'!$I:$I,$A430,'Chi tiết NVL'!L:L)</f>
        <v/>
      </c>
      <c r="D430" s="57">
        <f>+SUMIF('Chi tiết NVL'!$I:$I,$A430,'Chi tiết NVL'!M:M)</f>
        <v/>
      </c>
      <c r="E430" s="57">
        <f>+SUMIF('Chi tiết NVL'!$I:$I,$A430,'Chi tiết NVL'!N:N)</f>
        <v/>
      </c>
      <c r="F430" s="57">
        <f>+SUMIF('Chi tiết NVL'!$I:$I,$A430,'Chi tiết NVL'!O:O)</f>
        <v/>
      </c>
      <c r="G430" s="57">
        <f>+SUMIF('Chi tiết NVL'!$I:$I,$A430,'Chi tiết NVL'!P:P)</f>
        <v/>
      </c>
      <c r="H430" s="57">
        <f>+SUMIF('Chi tiết NVL'!$I:$I,$A430,'Chi tiết NVL'!Q:Q)</f>
        <v/>
      </c>
      <c r="I430" s="57">
        <f>+SUMIF('Chi tiết NVL'!$I:$I,$A430,'Chi tiết NVL'!R:R)</f>
        <v/>
      </c>
      <c r="J430" s="57">
        <f>+SUMIF('Chi tiết NVL'!$I:$I,$A430,'Chi tiết NVL'!S:S)</f>
        <v/>
      </c>
    </row>
    <row r="431">
      <c r="A431" s="56" t="inlineStr">
        <is>
          <t>STR H/H B A325M Type 1 ZP M30x120(120)</t>
        </is>
      </c>
      <c r="B431" s="56">
        <f>+VLOOKUP(A431,'Chi tiết NVL'!$I$10:$J$4158,2,0)</f>
        <v/>
      </c>
      <c r="C431" s="57">
        <f>+SUMIF('Chi tiết NVL'!$I:$I,$A431,'Chi tiết NVL'!L:L)</f>
        <v/>
      </c>
      <c r="D431" s="57">
        <f>+SUMIF('Chi tiết NVL'!$I:$I,$A431,'Chi tiết NVL'!M:M)</f>
        <v/>
      </c>
      <c r="E431" s="57">
        <f>+SUMIF('Chi tiết NVL'!$I:$I,$A431,'Chi tiết NVL'!N:N)</f>
        <v/>
      </c>
      <c r="F431" s="57">
        <f>+SUMIF('Chi tiết NVL'!$I:$I,$A431,'Chi tiết NVL'!O:O)</f>
        <v/>
      </c>
      <c r="G431" s="57">
        <f>+SUMIF('Chi tiết NVL'!$I:$I,$A431,'Chi tiết NVL'!P:P)</f>
        <v/>
      </c>
      <c r="H431" s="57">
        <f>+SUMIF('Chi tiết NVL'!$I:$I,$A431,'Chi tiết NVL'!Q:Q)</f>
        <v/>
      </c>
      <c r="I431" s="57">
        <f>+SUMIF('Chi tiết NVL'!$I:$I,$A431,'Chi tiết NVL'!R:R)</f>
        <v/>
      </c>
      <c r="J431" s="57">
        <f>+SUMIF('Chi tiết NVL'!$I:$I,$A431,'Chi tiết NVL'!S:S)</f>
        <v/>
      </c>
    </row>
    <row r="432">
      <c r="A432" s="56" t="inlineStr">
        <is>
          <t>STR H/H B A325M Type 1 ZP M30x130(130)</t>
        </is>
      </c>
      <c r="B432" s="56">
        <f>+VLOOKUP(A432,'Chi tiết NVL'!$I$10:$J$4158,2,0)</f>
        <v/>
      </c>
      <c r="C432" s="57">
        <f>+SUMIF('Chi tiết NVL'!$I:$I,$A432,'Chi tiết NVL'!L:L)</f>
        <v/>
      </c>
      <c r="D432" s="57">
        <f>+SUMIF('Chi tiết NVL'!$I:$I,$A432,'Chi tiết NVL'!M:M)</f>
        <v/>
      </c>
      <c r="E432" s="57">
        <f>+SUMIF('Chi tiết NVL'!$I:$I,$A432,'Chi tiết NVL'!N:N)</f>
        <v/>
      </c>
      <c r="F432" s="57">
        <f>+SUMIF('Chi tiết NVL'!$I:$I,$A432,'Chi tiết NVL'!O:O)</f>
        <v/>
      </c>
      <c r="G432" s="57">
        <f>+SUMIF('Chi tiết NVL'!$I:$I,$A432,'Chi tiết NVL'!P:P)</f>
        <v/>
      </c>
      <c r="H432" s="57">
        <f>+SUMIF('Chi tiết NVL'!$I:$I,$A432,'Chi tiết NVL'!Q:Q)</f>
        <v/>
      </c>
      <c r="I432" s="57">
        <f>+SUMIF('Chi tiết NVL'!$I:$I,$A432,'Chi tiết NVL'!R:R)</f>
        <v/>
      </c>
      <c r="J432" s="57">
        <f>+SUMIF('Chi tiết NVL'!$I:$I,$A432,'Chi tiết NVL'!S:S)</f>
        <v/>
      </c>
    </row>
    <row r="433">
      <c r="A433" s="56" t="inlineStr">
        <is>
          <t>STR H/H B A325M Type 1 ZP M30x140(140)</t>
        </is>
      </c>
      <c r="B433" s="56">
        <f>+VLOOKUP(A433,'Chi tiết NVL'!$I$10:$J$4158,2,0)</f>
        <v/>
      </c>
      <c r="C433" s="57">
        <f>+SUMIF('Chi tiết NVL'!$I:$I,$A433,'Chi tiết NVL'!L:L)</f>
        <v/>
      </c>
      <c r="D433" s="57">
        <f>+SUMIF('Chi tiết NVL'!$I:$I,$A433,'Chi tiết NVL'!M:M)</f>
        <v/>
      </c>
      <c r="E433" s="57">
        <f>+SUMIF('Chi tiết NVL'!$I:$I,$A433,'Chi tiết NVL'!N:N)</f>
        <v/>
      </c>
      <c r="F433" s="57">
        <f>+SUMIF('Chi tiết NVL'!$I:$I,$A433,'Chi tiết NVL'!O:O)</f>
        <v/>
      </c>
      <c r="G433" s="57">
        <f>+SUMIF('Chi tiết NVL'!$I:$I,$A433,'Chi tiết NVL'!P:P)</f>
        <v/>
      </c>
      <c r="H433" s="57">
        <f>+SUMIF('Chi tiết NVL'!$I:$I,$A433,'Chi tiết NVL'!Q:Q)</f>
        <v/>
      </c>
      <c r="I433" s="57">
        <f>+SUMIF('Chi tiết NVL'!$I:$I,$A433,'Chi tiết NVL'!R:R)</f>
        <v/>
      </c>
      <c r="J433" s="57">
        <f>+SUMIF('Chi tiết NVL'!$I:$I,$A433,'Chi tiết NVL'!S:S)</f>
        <v/>
      </c>
    </row>
    <row r="434">
      <c r="A434" s="56" t="inlineStr">
        <is>
          <t>STR H/H B A325M Type 1 ZP M30x150(150)</t>
        </is>
      </c>
      <c r="B434" s="56">
        <f>+VLOOKUP(A434,'Chi tiết NVL'!$I$10:$J$4158,2,0)</f>
        <v/>
      </c>
      <c r="C434" s="57">
        <f>+SUMIF('Chi tiết NVL'!$I:$I,$A434,'Chi tiết NVL'!L:L)</f>
        <v/>
      </c>
      <c r="D434" s="57">
        <f>+SUMIF('Chi tiết NVL'!$I:$I,$A434,'Chi tiết NVL'!M:M)</f>
        <v/>
      </c>
      <c r="E434" s="57">
        <f>+SUMIF('Chi tiết NVL'!$I:$I,$A434,'Chi tiết NVL'!N:N)</f>
        <v/>
      </c>
      <c r="F434" s="57">
        <f>+SUMIF('Chi tiết NVL'!$I:$I,$A434,'Chi tiết NVL'!O:O)</f>
        <v/>
      </c>
      <c r="G434" s="57">
        <f>+SUMIF('Chi tiết NVL'!$I:$I,$A434,'Chi tiết NVL'!P:P)</f>
        <v/>
      </c>
      <c r="H434" s="57">
        <f>+SUMIF('Chi tiết NVL'!$I:$I,$A434,'Chi tiết NVL'!Q:Q)</f>
        <v/>
      </c>
      <c r="I434" s="57">
        <f>+SUMIF('Chi tiết NVL'!$I:$I,$A434,'Chi tiết NVL'!R:R)</f>
        <v/>
      </c>
      <c r="J434" s="57">
        <f>+SUMIF('Chi tiết NVL'!$I:$I,$A434,'Chi tiết NVL'!S:S)</f>
        <v/>
      </c>
    </row>
    <row r="435">
      <c r="A435" s="56" t="inlineStr">
        <is>
          <t>H/H N A563M 10 ZP M36</t>
        </is>
      </c>
      <c r="B435" s="56">
        <f>+VLOOKUP(A435,'Chi tiết NVL'!$I$10:$J$4158,2,0)</f>
        <v/>
      </c>
      <c r="C435" s="57">
        <f>+SUMIF('Chi tiết NVL'!$I:$I,$A435,'Chi tiết NVL'!L:L)</f>
        <v/>
      </c>
      <c r="D435" s="57">
        <f>+SUMIF('Chi tiết NVL'!$I:$I,$A435,'Chi tiết NVL'!M:M)</f>
        <v/>
      </c>
      <c r="E435" s="57">
        <f>+SUMIF('Chi tiết NVL'!$I:$I,$A435,'Chi tiết NVL'!N:N)</f>
        <v/>
      </c>
      <c r="F435" s="57">
        <f>+SUMIF('Chi tiết NVL'!$I:$I,$A435,'Chi tiết NVL'!O:O)</f>
        <v/>
      </c>
      <c r="G435" s="57">
        <f>+SUMIF('Chi tiết NVL'!$I:$I,$A435,'Chi tiết NVL'!P:P)</f>
        <v/>
      </c>
      <c r="H435" s="57">
        <f>+SUMIF('Chi tiết NVL'!$I:$I,$A435,'Chi tiết NVL'!Q:Q)</f>
        <v/>
      </c>
      <c r="I435" s="57">
        <f>+SUMIF('Chi tiết NVL'!$I:$I,$A435,'Chi tiết NVL'!R:R)</f>
        <v/>
      </c>
      <c r="J435" s="57">
        <f>+SUMIF('Chi tiết NVL'!$I:$I,$A435,'Chi tiết NVL'!S:S)</f>
        <v/>
      </c>
    </row>
    <row r="436">
      <c r="A436" s="56" t="inlineStr">
        <is>
          <t>W F436M Type 1 ZP M36</t>
        </is>
      </c>
      <c r="B436" s="56">
        <f>+VLOOKUP(A436,'Chi tiết NVL'!$I$10:$J$4158,2,0)</f>
        <v/>
      </c>
      <c r="C436" s="57">
        <f>+SUMIF('Chi tiết NVL'!$I:$I,$A436,'Chi tiết NVL'!L:L)</f>
        <v/>
      </c>
      <c r="D436" s="57">
        <f>+SUMIF('Chi tiết NVL'!$I:$I,$A436,'Chi tiết NVL'!M:M)</f>
        <v/>
      </c>
      <c r="E436" s="57">
        <f>+SUMIF('Chi tiết NVL'!$I:$I,$A436,'Chi tiết NVL'!N:N)</f>
        <v/>
      </c>
      <c r="F436" s="57">
        <f>+SUMIF('Chi tiết NVL'!$I:$I,$A436,'Chi tiết NVL'!O:O)</f>
        <v/>
      </c>
      <c r="G436" s="57">
        <f>+SUMIF('Chi tiết NVL'!$I:$I,$A436,'Chi tiết NVL'!P:P)</f>
        <v/>
      </c>
      <c r="H436" s="57">
        <f>+SUMIF('Chi tiết NVL'!$I:$I,$A436,'Chi tiết NVL'!Q:Q)</f>
        <v/>
      </c>
      <c r="I436" s="57">
        <f>+SUMIF('Chi tiết NVL'!$I:$I,$A436,'Chi tiết NVL'!R:R)</f>
        <v/>
      </c>
      <c r="J436" s="57">
        <f>+SUMIF('Chi tiết NVL'!$I:$I,$A436,'Chi tiết NVL'!S:S)</f>
        <v/>
      </c>
    </row>
    <row r="437">
      <c r="A437" s="56" t="inlineStr">
        <is>
          <t>STR H/H B A325M Type 1 ZP M36x100(100)</t>
        </is>
      </c>
      <c r="B437" s="56">
        <f>+VLOOKUP(A437,'Chi tiết NVL'!$I$10:$J$4158,2,0)</f>
        <v/>
      </c>
      <c r="C437" s="57">
        <f>+SUMIF('Chi tiết NVL'!$I:$I,$A437,'Chi tiết NVL'!L:L)</f>
        <v/>
      </c>
      <c r="D437" s="57">
        <f>+SUMIF('Chi tiết NVL'!$I:$I,$A437,'Chi tiết NVL'!M:M)</f>
        <v/>
      </c>
      <c r="E437" s="57">
        <f>+SUMIF('Chi tiết NVL'!$I:$I,$A437,'Chi tiết NVL'!N:N)</f>
        <v/>
      </c>
      <c r="F437" s="57">
        <f>+SUMIF('Chi tiết NVL'!$I:$I,$A437,'Chi tiết NVL'!O:O)</f>
        <v/>
      </c>
      <c r="G437" s="57">
        <f>+SUMIF('Chi tiết NVL'!$I:$I,$A437,'Chi tiết NVL'!P:P)</f>
        <v/>
      </c>
      <c r="H437" s="57">
        <f>+SUMIF('Chi tiết NVL'!$I:$I,$A437,'Chi tiết NVL'!Q:Q)</f>
        <v/>
      </c>
      <c r="I437" s="57">
        <f>+SUMIF('Chi tiết NVL'!$I:$I,$A437,'Chi tiết NVL'!R:R)</f>
        <v/>
      </c>
      <c r="J437" s="57">
        <f>+SUMIF('Chi tiết NVL'!$I:$I,$A437,'Chi tiết NVL'!S:S)</f>
        <v/>
      </c>
    </row>
    <row r="438">
      <c r="A438" s="56" t="inlineStr">
        <is>
          <t>STR H/H B A325M Type 1 ZP M36x130(130)</t>
        </is>
      </c>
      <c r="B438" s="56">
        <f>+VLOOKUP(A438,'Chi tiết NVL'!$I$10:$J$4158,2,0)</f>
        <v/>
      </c>
      <c r="C438" s="57">
        <f>+SUMIF('Chi tiết NVL'!$I:$I,$A438,'Chi tiết NVL'!L:L)</f>
        <v/>
      </c>
      <c r="D438" s="57">
        <f>+SUMIF('Chi tiết NVL'!$I:$I,$A438,'Chi tiết NVL'!M:M)</f>
        <v/>
      </c>
      <c r="E438" s="57">
        <f>+SUMIF('Chi tiết NVL'!$I:$I,$A438,'Chi tiết NVL'!N:N)</f>
        <v/>
      </c>
      <c r="F438" s="57">
        <f>+SUMIF('Chi tiết NVL'!$I:$I,$A438,'Chi tiết NVL'!O:O)</f>
        <v/>
      </c>
      <c r="G438" s="57">
        <f>+SUMIF('Chi tiết NVL'!$I:$I,$A438,'Chi tiết NVL'!P:P)</f>
        <v/>
      </c>
      <c r="H438" s="57">
        <f>+SUMIF('Chi tiết NVL'!$I:$I,$A438,'Chi tiết NVL'!Q:Q)</f>
        <v/>
      </c>
      <c r="I438" s="57">
        <f>+SUMIF('Chi tiết NVL'!$I:$I,$A438,'Chi tiết NVL'!R:R)</f>
        <v/>
      </c>
      <c r="J438" s="57">
        <f>+SUMIF('Chi tiết NVL'!$I:$I,$A438,'Chi tiết NVL'!S:S)</f>
        <v/>
      </c>
    </row>
    <row r="439">
      <c r="A439" s="56" t="inlineStr">
        <is>
          <t>SƠN FUTURA CLASSIC STD 7395 19.15L</t>
        </is>
      </c>
      <c r="B439" s="56">
        <f>+VLOOKUP(A439,'Chi tiết NVL'!$I$10:$J$4158,2,0)</f>
        <v/>
      </c>
      <c r="C439" s="57">
        <f>+SUMIF('Chi tiết NVL'!$I:$I,$A439,'Chi tiết NVL'!L:L)</f>
        <v/>
      </c>
      <c r="D439" s="57">
        <f>+SUMIF('Chi tiết NVL'!$I:$I,$A439,'Chi tiết NVL'!M:M)</f>
        <v/>
      </c>
      <c r="E439" s="57">
        <f>+SUMIF('Chi tiết NVL'!$I:$I,$A439,'Chi tiết NVL'!N:N)</f>
        <v/>
      </c>
      <c r="F439" s="57">
        <f>+SUMIF('Chi tiết NVL'!$I:$I,$A439,'Chi tiết NVL'!O:O)</f>
        <v/>
      </c>
      <c r="G439" s="57">
        <f>+SUMIF('Chi tiết NVL'!$I:$I,$A439,'Chi tiết NVL'!P:P)</f>
        <v/>
      </c>
      <c r="H439" s="57">
        <f>+SUMIF('Chi tiết NVL'!$I:$I,$A439,'Chi tiết NVL'!Q:Q)</f>
        <v/>
      </c>
      <c r="I439" s="57">
        <f>+SUMIF('Chi tiết NVL'!$I:$I,$A439,'Chi tiết NVL'!R:R)</f>
        <v/>
      </c>
      <c r="J439" s="57">
        <f>+SUMIF('Chi tiết NVL'!$I:$I,$A439,'Chi tiết NVL'!S:S)</f>
        <v/>
      </c>
    </row>
    <row r="440">
      <c r="A440" s="56" t="inlineStr">
        <is>
          <t>Thép ống đen 141</t>
        </is>
      </c>
      <c r="B440" s="56">
        <f>+VLOOKUP(A440,'Chi tiết NVL'!$I$10:$J$4158,2,0)</f>
        <v/>
      </c>
      <c r="C440" s="57">
        <f>+SUMIF('Chi tiết NVL'!$I:$I,$A440,'Chi tiết NVL'!L:L)</f>
        <v/>
      </c>
      <c r="D440" s="57">
        <f>+SUMIF('Chi tiết NVL'!$I:$I,$A440,'Chi tiết NVL'!M:M)</f>
        <v/>
      </c>
      <c r="E440" s="57">
        <f>+SUMIF('Chi tiết NVL'!$I:$I,$A440,'Chi tiết NVL'!N:N)</f>
        <v/>
      </c>
      <c r="F440" s="57">
        <f>+SUMIF('Chi tiết NVL'!$I:$I,$A440,'Chi tiết NVL'!O:O)</f>
        <v/>
      </c>
      <c r="G440" s="57">
        <f>+SUMIF('Chi tiết NVL'!$I:$I,$A440,'Chi tiết NVL'!P:P)</f>
        <v/>
      </c>
      <c r="H440" s="57">
        <f>+SUMIF('Chi tiết NVL'!$I:$I,$A440,'Chi tiết NVL'!Q:Q)</f>
        <v/>
      </c>
      <c r="I440" s="57">
        <f>+SUMIF('Chi tiết NVL'!$I:$I,$A440,'Chi tiết NVL'!R:R)</f>
        <v/>
      </c>
      <c r="J440" s="57">
        <f>+SUMIF('Chi tiết NVL'!$I:$I,$A440,'Chi tiết NVL'!S:S)</f>
        <v/>
      </c>
    </row>
    <row r="441">
      <c r="A441" s="56" t="inlineStr">
        <is>
          <t>Thép ống đen 90</t>
        </is>
      </c>
      <c r="B441" s="56">
        <f>+VLOOKUP(A441,'Chi tiết NVL'!$I$10:$J$4158,2,0)</f>
        <v/>
      </c>
      <c r="C441" s="57">
        <f>+SUMIF('Chi tiết NVL'!$I:$I,$A441,'Chi tiết NVL'!L:L)</f>
        <v/>
      </c>
      <c r="D441" s="57">
        <f>+SUMIF('Chi tiết NVL'!$I:$I,$A441,'Chi tiết NVL'!M:M)</f>
        <v/>
      </c>
      <c r="E441" s="57">
        <f>+SUMIF('Chi tiết NVL'!$I:$I,$A441,'Chi tiết NVL'!N:N)</f>
        <v/>
      </c>
      <c r="F441" s="57">
        <f>+SUMIF('Chi tiết NVL'!$I:$I,$A441,'Chi tiết NVL'!O:O)</f>
        <v/>
      </c>
      <c r="G441" s="57">
        <f>+SUMIF('Chi tiết NVL'!$I:$I,$A441,'Chi tiết NVL'!P:P)</f>
        <v/>
      </c>
      <c r="H441" s="57">
        <f>+SUMIF('Chi tiết NVL'!$I:$I,$A441,'Chi tiết NVL'!Q:Q)</f>
        <v/>
      </c>
      <c r="I441" s="57">
        <f>+SUMIF('Chi tiết NVL'!$I:$I,$A441,'Chi tiết NVL'!R:R)</f>
        <v/>
      </c>
      <c r="J441" s="57">
        <f>+SUMIF('Chi tiết NVL'!$I:$I,$A441,'Chi tiết NVL'!S:S)</f>
        <v/>
      </c>
    </row>
    <row r="442">
      <c r="A442" s="56" t="inlineStr">
        <is>
          <t>Thép hình I346</t>
        </is>
      </c>
      <c r="B442" s="56">
        <f>+VLOOKUP(A442,'Chi tiết NVL'!$I$10:$J$4158,2,0)</f>
        <v/>
      </c>
      <c r="C442" s="57">
        <f>+SUMIF('Chi tiết NVL'!$I:$I,$A442,'Chi tiết NVL'!L:L)</f>
        <v/>
      </c>
      <c r="D442" s="57">
        <f>+SUMIF('Chi tiết NVL'!$I:$I,$A442,'Chi tiết NVL'!M:M)</f>
        <v/>
      </c>
      <c r="E442" s="57">
        <f>+SUMIF('Chi tiết NVL'!$I:$I,$A442,'Chi tiết NVL'!N:N)</f>
        <v/>
      </c>
      <c r="F442" s="57">
        <f>+SUMIF('Chi tiết NVL'!$I:$I,$A442,'Chi tiết NVL'!O:O)</f>
        <v/>
      </c>
      <c r="G442" s="57">
        <f>+SUMIF('Chi tiết NVL'!$I:$I,$A442,'Chi tiết NVL'!P:P)</f>
        <v/>
      </c>
      <c r="H442" s="57">
        <f>+SUMIF('Chi tiết NVL'!$I:$I,$A442,'Chi tiết NVL'!Q:Q)</f>
        <v/>
      </c>
      <c r="I442" s="57">
        <f>+SUMIF('Chi tiết NVL'!$I:$I,$A442,'Chi tiết NVL'!R:R)</f>
        <v/>
      </c>
      <c r="J442" s="57">
        <f>+SUMIF('Chi tiết NVL'!$I:$I,$A442,'Chi tiết NVL'!S:S)</f>
        <v/>
      </c>
    </row>
    <row r="443">
      <c r="A443" s="56" t="inlineStr">
        <is>
          <t>Thép hình I198</t>
        </is>
      </c>
      <c r="B443" s="56">
        <f>+VLOOKUP(A443,'Chi tiết NVL'!$I$10:$J$4158,2,0)</f>
        <v/>
      </c>
      <c r="C443" s="57">
        <f>+SUMIF('Chi tiết NVL'!$I:$I,$A443,'Chi tiết NVL'!L:L)</f>
        <v/>
      </c>
      <c r="D443" s="57">
        <f>+SUMIF('Chi tiết NVL'!$I:$I,$A443,'Chi tiết NVL'!M:M)</f>
        <v/>
      </c>
      <c r="E443" s="57">
        <f>+SUMIF('Chi tiết NVL'!$I:$I,$A443,'Chi tiết NVL'!N:N)</f>
        <v/>
      </c>
      <c r="F443" s="57">
        <f>+SUMIF('Chi tiết NVL'!$I:$I,$A443,'Chi tiết NVL'!O:O)</f>
        <v/>
      </c>
      <c r="G443" s="57">
        <f>+SUMIF('Chi tiết NVL'!$I:$I,$A443,'Chi tiết NVL'!P:P)</f>
        <v/>
      </c>
      <c r="H443" s="57">
        <f>+SUMIF('Chi tiết NVL'!$I:$I,$A443,'Chi tiết NVL'!Q:Q)</f>
        <v/>
      </c>
      <c r="I443" s="57">
        <f>+SUMIF('Chi tiết NVL'!$I:$I,$A443,'Chi tiết NVL'!R:R)</f>
        <v/>
      </c>
      <c r="J443" s="57">
        <f>+SUMIF('Chi tiết NVL'!$I:$I,$A443,'Chi tiết NVL'!S:S)</f>
        <v/>
      </c>
    </row>
    <row r="444">
      <c r="A444" s="56" t="inlineStr">
        <is>
          <t>Steel Plate 70*1800*9400 (mm)</t>
        </is>
      </c>
      <c r="B444" s="56">
        <f>+VLOOKUP(A444,'Chi tiết NVL'!$I$10:$J$4158,2,0)</f>
        <v/>
      </c>
      <c r="C444" s="57">
        <f>+SUMIF('Chi tiết NVL'!$I:$I,$A444,'Chi tiết NVL'!L:L)</f>
        <v/>
      </c>
      <c r="D444" s="57">
        <f>+SUMIF('Chi tiết NVL'!$I:$I,$A444,'Chi tiết NVL'!M:M)</f>
        <v/>
      </c>
      <c r="E444" s="57">
        <f>+SUMIF('Chi tiết NVL'!$I:$I,$A444,'Chi tiết NVL'!N:N)</f>
        <v/>
      </c>
      <c r="F444" s="57">
        <f>+SUMIF('Chi tiết NVL'!$I:$I,$A444,'Chi tiết NVL'!O:O)</f>
        <v/>
      </c>
      <c r="G444" s="57">
        <f>+SUMIF('Chi tiết NVL'!$I:$I,$A444,'Chi tiết NVL'!P:P)</f>
        <v/>
      </c>
      <c r="H444" s="57">
        <f>+SUMIF('Chi tiết NVL'!$I:$I,$A444,'Chi tiết NVL'!Q:Q)</f>
        <v/>
      </c>
      <c r="I444" s="57">
        <f>+SUMIF('Chi tiết NVL'!$I:$I,$A444,'Chi tiết NVL'!R:R)</f>
        <v/>
      </c>
      <c r="J444" s="57">
        <f>+SUMIF('Chi tiết NVL'!$I:$I,$A444,'Chi tiết NVL'!S:S)</f>
        <v/>
      </c>
    </row>
    <row r="445">
      <c r="A445" s="56" t="inlineStr">
        <is>
          <t>Steel Plate 90*2000*9610 (mm)</t>
        </is>
      </c>
      <c r="B445" s="56">
        <f>+VLOOKUP(A445,'Chi tiết NVL'!$I$10:$J$4158,2,0)</f>
        <v/>
      </c>
      <c r="C445" s="57">
        <f>+SUMIF('Chi tiết NVL'!$I:$I,$A445,'Chi tiết NVL'!L:L)</f>
        <v/>
      </c>
      <c r="D445" s="57">
        <f>+SUMIF('Chi tiết NVL'!$I:$I,$A445,'Chi tiết NVL'!M:M)</f>
        <v/>
      </c>
      <c r="E445" s="57">
        <f>+SUMIF('Chi tiết NVL'!$I:$I,$A445,'Chi tiết NVL'!N:N)</f>
        <v/>
      </c>
      <c r="F445" s="57">
        <f>+SUMIF('Chi tiết NVL'!$I:$I,$A445,'Chi tiết NVL'!O:O)</f>
        <v/>
      </c>
      <c r="G445" s="57">
        <f>+SUMIF('Chi tiết NVL'!$I:$I,$A445,'Chi tiết NVL'!P:P)</f>
        <v/>
      </c>
      <c r="H445" s="57">
        <f>+SUMIF('Chi tiết NVL'!$I:$I,$A445,'Chi tiết NVL'!Q:Q)</f>
        <v/>
      </c>
      <c r="I445" s="57">
        <f>+SUMIF('Chi tiết NVL'!$I:$I,$A445,'Chi tiết NVL'!R:R)</f>
        <v/>
      </c>
      <c r="J445" s="57">
        <f>+SUMIF('Chi tiết NVL'!$I:$I,$A445,'Chi tiết NVL'!S:S)</f>
        <v/>
      </c>
    </row>
    <row r="446">
      <c r="A446" s="56" t="inlineStr">
        <is>
          <t>Steel Plate 70*1800*9400</t>
        </is>
      </c>
      <c r="B446" s="56">
        <f>+VLOOKUP(A446,'Chi tiết NVL'!$I$10:$J$4158,2,0)</f>
        <v/>
      </c>
      <c r="C446" s="57">
        <f>+SUMIF('Chi tiết NVL'!$I:$I,$A446,'Chi tiết NVL'!L:L)</f>
        <v/>
      </c>
      <c r="D446" s="57">
        <f>+SUMIF('Chi tiết NVL'!$I:$I,$A446,'Chi tiết NVL'!M:M)</f>
        <v/>
      </c>
      <c r="E446" s="57">
        <f>+SUMIF('Chi tiết NVL'!$I:$I,$A446,'Chi tiết NVL'!N:N)</f>
        <v/>
      </c>
      <c r="F446" s="57">
        <f>+SUMIF('Chi tiết NVL'!$I:$I,$A446,'Chi tiết NVL'!O:O)</f>
        <v/>
      </c>
      <c r="G446" s="57">
        <f>+SUMIF('Chi tiết NVL'!$I:$I,$A446,'Chi tiết NVL'!P:P)</f>
        <v/>
      </c>
      <c r="H446" s="57">
        <f>+SUMIF('Chi tiết NVL'!$I:$I,$A446,'Chi tiết NVL'!Q:Q)</f>
        <v/>
      </c>
      <c r="I446" s="57">
        <f>+SUMIF('Chi tiết NVL'!$I:$I,$A446,'Chi tiết NVL'!R:R)</f>
        <v/>
      </c>
      <c r="J446" s="57">
        <f>+SUMIF('Chi tiết NVL'!$I:$I,$A446,'Chi tiết NVL'!S:S)</f>
        <v/>
      </c>
    </row>
    <row r="447">
      <c r="A447" s="56" t="inlineStr">
        <is>
          <t>Steel Plate 90*2000*9610</t>
        </is>
      </c>
      <c r="B447" s="56">
        <f>+VLOOKUP(A447,'Chi tiết NVL'!$I$10:$J$4158,2,0)</f>
        <v/>
      </c>
      <c r="C447" s="57">
        <f>+SUMIF('Chi tiết NVL'!$I:$I,$A447,'Chi tiết NVL'!L:L)</f>
        <v/>
      </c>
      <c r="D447" s="57">
        <f>+SUMIF('Chi tiết NVL'!$I:$I,$A447,'Chi tiết NVL'!M:M)</f>
        <v/>
      </c>
      <c r="E447" s="57">
        <f>+SUMIF('Chi tiết NVL'!$I:$I,$A447,'Chi tiết NVL'!N:N)</f>
        <v/>
      </c>
      <c r="F447" s="57">
        <f>+SUMIF('Chi tiết NVL'!$I:$I,$A447,'Chi tiết NVL'!O:O)</f>
        <v/>
      </c>
      <c r="G447" s="57">
        <f>+SUMIF('Chi tiết NVL'!$I:$I,$A447,'Chi tiết NVL'!P:P)</f>
        <v/>
      </c>
      <c r="H447" s="57">
        <f>+SUMIF('Chi tiết NVL'!$I:$I,$A447,'Chi tiết NVL'!Q:Q)</f>
        <v/>
      </c>
      <c r="I447" s="57">
        <f>+SUMIF('Chi tiết NVL'!$I:$I,$A447,'Chi tiết NVL'!R:R)</f>
        <v/>
      </c>
      <c r="J447" s="57">
        <f>+SUMIF('Chi tiết NVL'!$I:$I,$A447,'Chi tiết NVL'!S:S)</f>
        <v/>
      </c>
    </row>
    <row r="448">
      <c r="A448" s="56" t="inlineStr">
        <is>
          <t>SƠN FUTURA CLASSIC STD4224 19.93L</t>
        </is>
      </c>
      <c r="B448" s="56">
        <f>+VLOOKUP(A448,'Chi tiết NVL'!$I$10:$J$4158,2,0)</f>
        <v/>
      </c>
      <c r="C448" s="57">
        <f>+SUMIF('Chi tiết NVL'!$I:$I,$A448,'Chi tiết NVL'!L:L)</f>
        <v/>
      </c>
      <c r="D448" s="57">
        <f>+SUMIF('Chi tiết NVL'!$I:$I,$A448,'Chi tiết NVL'!M:M)</f>
        <v/>
      </c>
      <c r="E448" s="57">
        <f>+SUMIF('Chi tiết NVL'!$I:$I,$A448,'Chi tiết NVL'!N:N)</f>
        <v/>
      </c>
      <c r="F448" s="57">
        <f>+SUMIF('Chi tiết NVL'!$I:$I,$A448,'Chi tiết NVL'!O:O)</f>
        <v/>
      </c>
      <c r="G448" s="57">
        <f>+SUMIF('Chi tiết NVL'!$I:$I,$A448,'Chi tiết NVL'!P:P)</f>
        <v/>
      </c>
      <c r="H448" s="57">
        <f>+SUMIF('Chi tiết NVL'!$I:$I,$A448,'Chi tiết NVL'!Q:Q)</f>
        <v/>
      </c>
      <c r="I448" s="57">
        <f>+SUMIF('Chi tiết NVL'!$I:$I,$A448,'Chi tiết NVL'!R:R)</f>
        <v/>
      </c>
      <c r="J448" s="57">
        <f>+SUMIF('Chi tiết NVL'!$I:$I,$A448,'Chi tiết NVL'!S:S)</f>
        <v/>
      </c>
    </row>
    <row r="449">
      <c r="A449" s="56" t="inlineStr">
        <is>
          <t>SƠN FUTURA CLASSIC RAL9005 19.06L</t>
        </is>
      </c>
      <c r="B449" s="56">
        <f>+VLOOKUP(A449,'Chi tiết NVL'!$I$10:$J$4158,2,0)</f>
        <v/>
      </c>
      <c r="C449" s="57">
        <f>+SUMIF('Chi tiết NVL'!$I:$I,$A449,'Chi tiết NVL'!L:L)</f>
        <v/>
      </c>
      <c r="D449" s="57">
        <f>+SUMIF('Chi tiết NVL'!$I:$I,$A449,'Chi tiết NVL'!M:M)</f>
        <v/>
      </c>
      <c r="E449" s="57">
        <f>+SUMIF('Chi tiết NVL'!$I:$I,$A449,'Chi tiết NVL'!N:N)</f>
        <v/>
      </c>
      <c r="F449" s="57">
        <f>+SUMIF('Chi tiết NVL'!$I:$I,$A449,'Chi tiết NVL'!O:O)</f>
        <v/>
      </c>
      <c r="G449" s="57">
        <f>+SUMIF('Chi tiết NVL'!$I:$I,$A449,'Chi tiết NVL'!P:P)</f>
        <v/>
      </c>
      <c r="H449" s="57">
        <f>+SUMIF('Chi tiết NVL'!$I:$I,$A449,'Chi tiết NVL'!Q:Q)</f>
        <v/>
      </c>
      <c r="I449" s="57">
        <f>+SUMIF('Chi tiết NVL'!$I:$I,$A449,'Chi tiết NVL'!R:R)</f>
        <v/>
      </c>
      <c r="J449" s="57">
        <f>+SUMIF('Chi tiết NVL'!$I:$I,$A449,'Chi tiết NVL'!S:S)</f>
        <v/>
      </c>
    </row>
    <row r="450">
      <c r="A450" s="56" t="inlineStr">
        <is>
          <t>Thép tấm 50 ly</t>
        </is>
      </c>
      <c r="B450" s="56">
        <f>+VLOOKUP(A450,'Chi tiết NVL'!$I$10:$J$4158,2,0)</f>
        <v/>
      </c>
      <c r="C450" s="57">
        <f>+SUMIF('Chi tiết NVL'!$I:$I,$A450,'Chi tiết NVL'!L:L)</f>
        <v/>
      </c>
      <c r="D450" s="57">
        <f>+SUMIF('Chi tiết NVL'!$I:$I,$A450,'Chi tiết NVL'!M:M)</f>
        <v/>
      </c>
      <c r="E450" s="57">
        <f>+SUMIF('Chi tiết NVL'!$I:$I,$A450,'Chi tiết NVL'!N:N)</f>
        <v/>
      </c>
      <c r="F450" s="57">
        <f>+SUMIF('Chi tiết NVL'!$I:$I,$A450,'Chi tiết NVL'!O:O)</f>
        <v/>
      </c>
      <c r="G450" s="57">
        <f>+SUMIF('Chi tiết NVL'!$I:$I,$A450,'Chi tiết NVL'!P:P)</f>
        <v/>
      </c>
      <c r="H450" s="57">
        <f>+SUMIF('Chi tiết NVL'!$I:$I,$A450,'Chi tiết NVL'!Q:Q)</f>
        <v/>
      </c>
      <c r="I450" s="57">
        <f>+SUMIF('Chi tiết NVL'!$I:$I,$A450,'Chi tiết NVL'!R:R)</f>
        <v/>
      </c>
      <c r="J450" s="57">
        <f>+SUMIF('Chi tiết NVL'!$I:$I,$A450,'Chi tiết NVL'!S:S)</f>
        <v/>
      </c>
    </row>
    <row r="451">
      <c r="A451" s="56" t="inlineStr">
        <is>
          <t>Thép tấm 45 ly</t>
        </is>
      </c>
      <c r="B451" s="56">
        <f>+VLOOKUP(A451,'Chi tiết NVL'!$I$10:$J$4158,2,0)</f>
        <v/>
      </c>
      <c r="C451" s="57">
        <f>+SUMIF('Chi tiết NVL'!$I:$I,$A451,'Chi tiết NVL'!L:L)</f>
        <v/>
      </c>
      <c r="D451" s="57">
        <f>+SUMIF('Chi tiết NVL'!$I:$I,$A451,'Chi tiết NVL'!M:M)</f>
        <v/>
      </c>
      <c r="E451" s="57">
        <f>+SUMIF('Chi tiết NVL'!$I:$I,$A451,'Chi tiết NVL'!N:N)</f>
        <v/>
      </c>
      <c r="F451" s="57">
        <f>+SUMIF('Chi tiết NVL'!$I:$I,$A451,'Chi tiết NVL'!O:O)</f>
        <v/>
      </c>
      <c r="G451" s="57">
        <f>+SUMIF('Chi tiết NVL'!$I:$I,$A451,'Chi tiết NVL'!P:P)</f>
        <v/>
      </c>
      <c r="H451" s="57">
        <f>+SUMIF('Chi tiết NVL'!$I:$I,$A451,'Chi tiết NVL'!Q:Q)</f>
        <v/>
      </c>
      <c r="I451" s="57">
        <f>+SUMIF('Chi tiết NVL'!$I:$I,$A451,'Chi tiết NVL'!R:R)</f>
        <v/>
      </c>
      <c r="J451" s="57">
        <f>+SUMIF('Chi tiết NVL'!$I:$I,$A451,'Chi tiết NVL'!S:S)</f>
        <v/>
      </c>
    </row>
    <row r="452">
      <c r="A452" s="56" t="inlineStr">
        <is>
          <t>Thép tấm 14x2000x12000mm A572</t>
        </is>
      </c>
      <c r="B452" s="56">
        <f>+VLOOKUP(A452,'Chi tiết NVL'!$I$10:$J$4158,2,0)</f>
        <v/>
      </c>
      <c r="C452" s="57">
        <f>+SUMIF('Chi tiết NVL'!$I:$I,$A452,'Chi tiết NVL'!L:L)</f>
        <v/>
      </c>
      <c r="D452" s="57">
        <f>+SUMIF('Chi tiết NVL'!$I:$I,$A452,'Chi tiết NVL'!M:M)</f>
        <v/>
      </c>
      <c r="E452" s="57">
        <f>+SUMIF('Chi tiết NVL'!$I:$I,$A452,'Chi tiết NVL'!N:N)</f>
        <v/>
      </c>
      <c r="F452" s="57">
        <f>+SUMIF('Chi tiết NVL'!$I:$I,$A452,'Chi tiết NVL'!O:O)</f>
        <v/>
      </c>
      <c r="G452" s="57">
        <f>+SUMIF('Chi tiết NVL'!$I:$I,$A452,'Chi tiết NVL'!P:P)</f>
        <v/>
      </c>
      <c r="H452" s="57">
        <f>+SUMIF('Chi tiết NVL'!$I:$I,$A452,'Chi tiết NVL'!Q:Q)</f>
        <v/>
      </c>
      <c r="I452" s="57">
        <f>+SUMIF('Chi tiết NVL'!$I:$I,$A452,'Chi tiết NVL'!R:R)</f>
        <v/>
      </c>
      <c r="J452" s="57">
        <f>+SUMIF('Chi tiết NVL'!$I:$I,$A452,'Chi tiết NVL'!S:S)</f>
        <v/>
      </c>
    </row>
    <row r="453">
      <c r="A453" s="56" t="inlineStr">
        <is>
          <t>Thép tấm 12x2000x12000mm A572</t>
        </is>
      </c>
      <c r="B453" s="56">
        <f>+VLOOKUP(A453,'Chi tiết NVL'!$I$10:$J$4158,2,0)</f>
        <v/>
      </c>
      <c r="C453" s="57">
        <f>+SUMIF('Chi tiết NVL'!$I:$I,$A453,'Chi tiết NVL'!L:L)</f>
        <v/>
      </c>
      <c r="D453" s="57">
        <f>+SUMIF('Chi tiết NVL'!$I:$I,$A453,'Chi tiết NVL'!M:M)</f>
        <v/>
      </c>
      <c r="E453" s="57">
        <f>+SUMIF('Chi tiết NVL'!$I:$I,$A453,'Chi tiết NVL'!N:N)</f>
        <v/>
      </c>
      <c r="F453" s="57">
        <f>+SUMIF('Chi tiết NVL'!$I:$I,$A453,'Chi tiết NVL'!O:O)</f>
        <v/>
      </c>
      <c r="G453" s="57">
        <f>+SUMIF('Chi tiết NVL'!$I:$I,$A453,'Chi tiết NVL'!P:P)</f>
        <v/>
      </c>
      <c r="H453" s="57">
        <f>+SUMIF('Chi tiết NVL'!$I:$I,$A453,'Chi tiết NVL'!Q:Q)</f>
        <v/>
      </c>
      <c r="I453" s="57">
        <f>+SUMIF('Chi tiết NVL'!$I:$I,$A453,'Chi tiết NVL'!R:R)</f>
        <v/>
      </c>
      <c r="J453" s="57">
        <f>+SUMIF('Chi tiết NVL'!$I:$I,$A453,'Chi tiết NVL'!S:S)</f>
        <v/>
      </c>
    </row>
    <row r="454">
      <c r="A454" s="56" t="inlineStr">
        <is>
          <t>Cáp Ф19.5 6x36+IWRC M20</t>
        </is>
      </c>
      <c r="B454" s="56">
        <f>+VLOOKUP(A454,'Chi tiết NVL'!$I$10:$J$4158,2,0)</f>
        <v/>
      </c>
      <c r="C454" s="57">
        <f>+SUMIF('Chi tiết NVL'!$I:$I,$A454,'Chi tiết NVL'!L:L)</f>
        <v/>
      </c>
      <c r="D454" s="57">
        <f>+SUMIF('Chi tiết NVL'!$I:$I,$A454,'Chi tiết NVL'!M:M)</f>
        <v/>
      </c>
      <c r="E454" s="57">
        <f>+SUMIF('Chi tiết NVL'!$I:$I,$A454,'Chi tiết NVL'!N:N)</f>
        <v/>
      </c>
      <c r="F454" s="57">
        <f>+SUMIF('Chi tiết NVL'!$I:$I,$A454,'Chi tiết NVL'!O:O)</f>
        <v/>
      </c>
      <c r="G454" s="57">
        <f>+SUMIF('Chi tiết NVL'!$I:$I,$A454,'Chi tiết NVL'!P:P)</f>
        <v/>
      </c>
      <c r="H454" s="57">
        <f>+SUMIF('Chi tiết NVL'!$I:$I,$A454,'Chi tiết NVL'!Q:Q)</f>
        <v/>
      </c>
      <c r="I454" s="57">
        <f>+SUMIF('Chi tiết NVL'!$I:$I,$A454,'Chi tiết NVL'!R:R)</f>
        <v/>
      </c>
      <c r="J454" s="57">
        <f>+SUMIF('Chi tiết NVL'!$I:$I,$A454,'Chi tiết NVL'!S:S)</f>
        <v/>
      </c>
    </row>
    <row r="455">
      <c r="A455" s="56" t="inlineStr">
        <is>
          <t>Chì (bấm) M20</t>
        </is>
      </c>
      <c r="B455" s="56">
        <f>+VLOOKUP(A455,'Chi tiết NVL'!$I$10:$J$4158,2,0)</f>
        <v/>
      </c>
      <c r="C455" s="57">
        <f>+SUMIF('Chi tiết NVL'!$I:$I,$A455,'Chi tiết NVL'!L:L)</f>
        <v/>
      </c>
      <c r="D455" s="57">
        <f>+SUMIF('Chi tiết NVL'!$I:$I,$A455,'Chi tiết NVL'!M:M)</f>
        <v/>
      </c>
      <c r="E455" s="57">
        <f>+SUMIF('Chi tiết NVL'!$I:$I,$A455,'Chi tiết NVL'!N:N)</f>
        <v/>
      </c>
      <c r="F455" s="57">
        <f>+SUMIF('Chi tiết NVL'!$I:$I,$A455,'Chi tiết NVL'!O:O)</f>
        <v/>
      </c>
      <c r="G455" s="57">
        <f>+SUMIF('Chi tiết NVL'!$I:$I,$A455,'Chi tiết NVL'!P:P)</f>
        <v/>
      </c>
      <c r="H455" s="57">
        <f>+SUMIF('Chi tiết NVL'!$I:$I,$A455,'Chi tiết NVL'!Q:Q)</f>
        <v/>
      </c>
      <c r="I455" s="57">
        <f>+SUMIF('Chi tiết NVL'!$I:$I,$A455,'Chi tiết NVL'!R:R)</f>
        <v/>
      </c>
      <c r="J455" s="57">
        <f>+SUMIF('Chi tiết NVL'!$I:$I,$A455,'Chi tiết NVL'!S:S)</f>
        <v/>
      </c>
    </row>
    <row r="456">
      <c r="A456" s="56" t="inlineStr">
        <is>
          <t>SƠN FUTURA CLASSIC RAL7037 19.03L</t>
        </is>
      </c>
      <c r="B456" s="56">
        <f>+VLOOKUP(A456,'Chi tiết NVL'!$I$10:$J$4158,2,0)</f>
        <v/>
      </c>
      <c r="C456" s="57">
        <f>+SUMIF('Chi tiết NVL'!$I:$I,$A456,'Chi tiết NVL'!L:L)</f>
        <v/>
      </c>
      <c r="D456" s="57">
        <f>+SUMIF('Chi tiết NVL'!$I:$I,$A456,'Chi tiết NVL'!M:M)</f>
        <v/>
      </c>
      <c r="E456" s="57">
        <f>+SUMIF('Chi tiết NVL'!$I:$I,$A456,'Chi tiết NVL'!N:N)</f>
        <v/>
      </c>
      <c r="F456" s="57">
        <f>+SUMIF('Chi tiết NVL'!$I:$I,$A456,'Chi tiết NVL'!O:O)</f>
        <v/>
      </c>
      <c r="G456" s="57">
        <f>+SUMIF('Chi tiết NVL'!$I:$I,$A456,'Chi tiết NVL'!P:P)</f>
        <v/>
      </c>
      <c r="H456" s="57">
        <f>+SUMIF('Chi tiết NVL'!$I:$I,$A456,'Chi tiết NVL'!Q:Q)</f>
        <v/>
      </c>
      <c r="I456" s="57">
        <f>+SUMIF('Chi tiết NVL'!$I:$I,$A456,'Chi tiết NVL'!R:R)</f>
        <v/>
      </c>
      <c r="J456" s="57">
        <f>+SUMIF('Chi tiết NVL'!$I:$I,$A456,'Chi tiết NVL'!S:S)</f>
        <v/>
      </c>
    </row>
    <row r="457">
      <c r="A457" s="56" t="inlineStr">
        <is>
          <t>SƠN FUTURA CLASSIC RAL 7037 20L</t>
        </is>
      </c>
      <c r="B457" s="56">
        <f>+VLOOKUP(A457,'Chi tiết NVL'!$I$10:$J$4158,2,0)</f>
        <v/>
      </c>
      <c r="C457" s="57">
        <f>+SUMIF('Chi tiết NVL'!$I:$I,$A457,'Chi tiết NVL'!L:L)</f>
        <v/>
      </c>
      <c r="D457" s="57">
        <f>+SUMIF('Chi tiết NVL'!$I:$I,$A457,'Chi tiết NVL'!M:M)</f>
        <v/>
      </c>
      <c r="E457" s="57">
        <f>+SUMIF('Chi tiết NVL'!$I:$I,$A457,'Chi tiết NVL'!N:N)</f>
        <v/>
      </c>
      <c r="F457" s="57">
        <f>+SUMIF('Chi tiết NVL'!$I:$I,$A457,'Chi tiết NVL'!O:O)</f>
        <v/>
      </c>
      <c r="G457" s="57">
        <f>+SUMIF('Chi tiết NVL'!$I:$I,$A457,'Chi tiết NVL'!P:P)</f>
        <v/>
      </c>
      <c r="H457" s="57">
        <f>+SUMIF('Chi tiết NVL'!$I:$I,$A457,'Chi tiết NVL'!Q:Q)</f>
        <v/>
      </c>
      <c r="I457" s="57">
        <f>+SUMIF('Chi tiết NVL'!$I:$I,$A457,'Chi tiết NVL'!R:R)</f>
        <v/>
      </c>
      <c r="J457" s="57">
        <f>+SUMIF('Chi tiết NVL'!$I:$I,$A457,'Chi tiết NVL'!S:S)</f>
        <v/>
      </c>
    </row>
    <row r="458">
      <c r="A458" s="56" t="inlineStr">
        <is>
          <t>Thép tấm 28x2000x12000mm  A572</t>
        </is>
      </c>
      <c r="B458" s="56">
        <f>+VLOOKUP(A458,'Chi tiết NVL'!$I$10:$J$4158,2,0)</f>
        <v/>
      </c>
      <c r="C458" s="57">
        <f>+SUMIF('Chi tiết NVL'!$I:$I,$A458,'Chi tiết NVL'!L:L)</f>
        <v/>
      </c>
      <c r="D458" s="57">
        <f>+SUMIF('Chi tiết NVL'!$I:$I,$A458,'Chi tiết NVL'!M:M)</f>
        <v/>
      </c>
      <c r="E458" s="57">
        <f>+SUMIF('Chi tiết NVL'!$I:$I,$A458,'Chi tiết NVL'!N:N)</f>
        <v/>
      </c>
      <c r="F458" s="57">
        <f>+SUMIF('Chi tiết NVL'!$I:$I,$A458,'Chi tiết NVL'!O:O)</f>
        <v/>
      </c>
      <c r="G458" s="57">
        <f>+SUMIF('Chi tiết NVL'!$I:$I,$A458,'Chi tiết NVL'!P:P)</f>
        <v/>
      </c>
      <c r="H458" s="57">
        <f>+SUMIF('Chi tiết NVL'!$I:$I,$A458,'Chi tiết NVL'!Q:Q)</f>
        <v/>
      </c>
      <c r="I458" s="57">
        <f>+SUMIF('Chi tiết NVL'!$I:$I,$A458,'Chi tiết NVL'!R:R)</f>
        <v/>
      </c>
      <c r="J458" s="57">
        <f>+SUMIF('Chi tiết NVL'!$I:$I,$A458,'Chi tiết NVL'!S:S)</f>
        <v/>
      </c>
    </row>
    <row r="459">
      <c r="A459" s="56" t="inlineStr">
        <is>
          <t>Thép tấm 30x2000x12000mm  A572</t>
        </is>
      </c>
      <c r="B459" s="56">
        <f>+VLOOKUP(A459,'Chi tiết NVL'!$I$10:$J$4158,2,0)</f>
        <v/>
      </c>
      <c r="C459" s="57">
        <f>+SUMIF('Chi tiết NVL'!$I:$I,$A459,'Chi tiết NVL'!L:L)</f>
        <v/>
      </c>
      <c r="D459" s="57">
        <f>+SUMIF('Chi tiết NVL'!$I:$I,$A459,'Chi tiết NVL'!M:M)</f>
        <v/>
      </c>
      <c r="E459" s="57">
        <f>+SUMIF('Chi tiết NVL'!$I:$I,$A459,'Chi tiết NVL'!N:N)</f>
        <v/>
      </c>
      <c r="F459" s="57">
        <f>+SUMIF('Chi tiết NVL'!$I:$I,$A459,'Chi tiết NVL'!O:O)</f>
        <v/>
      </c>
      <c r="G459" s="57">
        <f>+SUMIF('Chi tiết NVL'!$I:$I,$A459,'Chi tiết NVL'!P:P)</f>
        <v/>
      </c>
      <c r="H459" s="57">
        <f>+SUMIF('Chi tiết NVL'!$I:$I,$A459,'Chi tiết NVL'!Q:Q)</f>
        <v/>
      </c>
      <c r="I459" s="57">
        <f>+SUMIF('Chi tiết NVL'!$I:$I,$A459,'Chi tiết NVL'!R:R)</f>
        <v/>
      </c>
      <c r="J459" s="57">
        <f>+SUMIF('Chi tiết NVL'!$I:$I,$A459,'Chi tiết NVL'!S:S)</f>
        <v/>
      </c>
    </row>
    <row r="460">
      <c r="A460" s="56" t="inlineStr">
        <is>
          <t>Thép tấm 40x2000x12000mm  A572</t>
        </is>
      </c>
      <c r="B460" s="56">
        <f>+VLOOKUP(A460,'Chi tiết NVL'!$I$10:$J$4158,2,0)</f>
        <v/>
      </c>
      <c r="C460" s="57">
        <f>+SUMIF('Chi tiết NVL'!$I:$I,$A460,'Chi tiết NVL'!L:L)</f>
        <v/>
      </c>
      <c r="D460" s="57">
        <f>+SUMIF('Chi tiết NVL'!$I:$I,$A460,'Chi tiết NVL'!M:M)</f>
        <v/>
      </c>
      <c r="E460" s="57">
        <f>+SUMIF('Chi tiết NVL'!$I:$I,$A460,'Chi tiết NVL'!N:N)</f>
        <v/>
      </c>
      <c r="F460" s="57">
        <f>+SUMIF('Chi tiết NVL'!$I:$I,$A460,'Chi tiết NVL'!O:O)</f>
        <v/>
      </c>
      <c r="G460" s="57">
        <f>+SUMIF('Chi tiết NVL'!$I:$I,$A460,'Chi tiết NVL'!P:P)</f>
        <v/>
      </c>
      <c r="H460" s="57">
        <f>+SUMIF('Chi tiết NVL'!$I:$I,$A460,'Chi tiết NVL'!Q:Q)</f>
        <v/>
      </c>
      <c r="I460" s="57">
        <f>+SUMIF('Chi tiết NVL'!$I:$I,$A460,'Chi tiết NVL'!R:R)</f>
        <v/>
      </c>
      <c r="J460" s="57">
        <f>+SUMIF('Chi tiết NVL'!$I:$I,$A460,'Chi tiết NVL'!S:S)</f>
        <v/>
      </c>
    </row>
    <row r="461">
      <c r="A461" s="56" t="inlineStr">
        <is>
          <t>Bulong nở 4.6 ZP M12x120</t>
        </is>
      </c>
      <c r="B461" s="56">
        <f>+VLOOKUP(A461,'Chi tiết NVL'!$I$10:$J$4158,2,0)</f>
        <v/>
      </c>
      <c r="C461" s="57">
        <f>+SUMIF('Chi tiết NVL'!$I:$I,$A461,'Chi tiết NVL'!L:L)</f>
        <v/>
      </c>
      <c r="D461" s="57">
        <f>+SUMIF('Chi tiết NVL'!$I:$I,$A461,'Chi tiết NVL'!M:M)</f>
        <v/>
      </c>
      <c r="E461" s="57">
        <f>+SUMIF('Chi tiết NVL'!$I:$I,$A461,'Chi tiết NVL'!N:N)</f>
        <v/>
      </c>
      <c r="F461" s="57">
        <f>+SUMIF('Chi tiết NVL'!$I:$I,$A461,'Chi tiết NVL'!O:O)</f>
        <v/>
      </c>
      <c r="G461" s="57">
        <f>+SUMIF('Chi tiết NVL'!$I:$I,$A461,'Chi tiết NVL'!P:P)</f>
        <v/>
      </c>
      <c r="H461" s="57">
        <f>+SUMIF('Chi tiết NVL'!$I:$I,$A461,'Chi tiết NVL'!Q:Q)</f>
        <v/>
      </c>
      <c r="I461" s="57">
        <f>+SUMIF('Chi tiết NVL'!$I:$I,$A461,'Chi tiết NVL'!R:R)</f>
        <v/>
      </c>
      <c r="J461" s="57">
        <f>+SUMIF('Chi tiết NVL'!$I:$I,$A461,'Chi tiết NVL'!S:S)</f>
        <v/>
      </c>
    </row>
    <row r="462">
      <c r="A462" s="56" t="inlineStr">
        <is>
          <t>Bulong khía 4.6 ZP M12x30</t>
        </is>
      </c>
      <c r="B462" s="56">
        <f>+VLOOKUP(A462,'Chi tiết NVL'!$I$10:$J$4158,2,0)</f>
        <v/>
      </c>
      <c r="C462" s="57">
        <f>+SUMIF('Chi tiết NVL'!$I:$I,$A462,'Chi tiết NVL'!L:L)</f>
        <v/>
      </c>
      <c r="D462" s="57">
        <f>+SUMIF('Chi tiết NVL'!$I:$I,$A462,'Chi tiết NVL'!M:M)</f>
        <v/>
      </c>
      <c r="E462" s="57">
        <f>+SUMIF('Chi tiết NVL'!$I:$I,$A462,'Chi tiết NVL'!N:N)</f>
        <v/>
      </c>
      <c r="F462" s="57">
        <f>+SUMIF('Chi tiết NVL'!$I:$I,$A462,'Chi tiết NVL'!O:O)</f>
        <v/>
      </c>
      <c r="G462" s="57">
        <f>+SUMIF('Chi tiết NVL'!$I:$I,$A462,'Chi tiết NVL'!P:P)</f>
        <v/>
      </c>
      <c r="H462" s="57">
        <f>+SUMIF('Chi tiết NVL'!$I:$I,$A462,'Chi tiết NVL'!Q:Q)</f>
        <v/>
      </c>
      <c r="I462" s="57">
        <f>+SUMIF('Chi tiết NVL'!$I:$I,$A462,'Chi tiết NVL'!R:R)</f>
        <v/>
      </c>
      <c r="J462" s="57">
        <f>+SUMIF('Chi tiết NVL'!$I:$I,$A462,'Chi tiết NVL'!S:S)</f>
        <v/>
      </c>
    </row>
    <row r="463">
      <c r="A463" s="56" t="inlineStr">
        <is>
          <t>Bulong Din 933 8.8 ZP M12x40</t>
        </is>
      </c>
      <c r="B463" s="56">
        <f>+VLOOKUP(A463,'Chi tiết NVL'!$I$10:$J$4158,2,0)</f>
        <v/>
      </c>
      <c r="C463" s="57">
        <f>+SUMIF('Chi tiết NVL'!$I:$I,$A463,'Chi tiết NVL'!L:L)</f>
        <v/>
      </c>
      <c r="D463" s="57">
        <f>+SUMIF('Chi tiết NVL'!$I:$I,$A463,'Chi tiết NVL'!M:M)</f>
        <v/>
      </c>
      <c r="E463" s="57">
        <f>+SUMIF('Chi tiết NVL'!$I:$I,$A463,'Chi tiết NVL'!N:N)</f>
        <v/>
      </c>
      <c r="F463" s="57">
        <f>+SUMIF('Chi tiết NVL'!$I:$I,$A463,'Chi tiết NVL'!O:O)</f>
        <v/>
      </c>
      <c r="G463" s="57">
        <f>+SUMIF('Chi tiết NVL'!$I:$I,$A463,'Chi tiết NVL'!P:P)</f>
        <v/>
      </c>
      <c r="H463" s="57">
        <f>+SUMIF('Chi tiết NVL'!$I:$I,$A463,'Chi tiết NVL'!Q:Q)</f>
        <v/>
      </c>
      <c r="I463" s="57">
        <f>+SUMIF('Chi tiết NVL'!$I:$I,$A463,'Chi tiết NVL'!R:R)</f>
        <v/>
      </c>
      <c r="J463" s="57">
        <f>+SUMIF('Chi tiết NVL'!$I:$I,$A463,'Chi tiết NVL'!S:S)</f>
        <v/>
      </c>
    </row>
    <row r="464">
      <c r="A464" s="56" t="inlineStr">
        <is>
          <t>Đai ốc Din 934 8 ZP M12</t>
        </is>
      </c>
      <c r="B464" s="56">
        <f>+VLOOKUP(A464,'Chi tiết NVL'!$I$10:$J$4158,2,0)</f>
        <v/>
      </c>
      <c r="C464" s="57">
        <f>+SUMIF('Chi tiết NVL'!$I:$I,$A464,'Chi tiết NVL'!L:L)</f>
        <v/>
      </c>
      <c r="D464" s="57">
        <f>+SUMIF('Chi tiết NVL'!$I:$I,$A464,'Chi tiết NVL'!M:M)</f>
        <v/>
      </c>
      <c r="E464" s="57">
        <f>+SUMIF('Chi tiết NVL'!$I:$I,$A464,'Chi tiết NVL'!N:N)</f>
        <v/>
      </c>
      <c r="F464" s="57">
        <f>+SUMIF('Chi tiết NVL'!$I:$I,$A464,'Chi tiết NVL'!O:O)</f>
        <v/>
      </c>
      <c r="G464" s="57">
        <f>+SUMIF('Chi tiết NVL'!$I:$I,$A464,'Chi tiết NVL'!P:P)</f>
        <v/>
      </c>
      <c r="H464" s="57">
        <f>+SUMIF('Chi tiết NVL'!$I:$I,$A464,'Chi tiết NVL'!Q:Q)</f>
        <v/>
      </c>
      <c r="I464" s="57">
        <f>+SUMIF('Chi tiết NVL'!$I:$I,$A464,'Chi tiết NVL'!R:R)</f>
        <v/>
      </c>
      <c r="J464" s="57">
        <f>+SUMIF('Chi tiết NVL'!$I:$I,$A464,'Chi tiết NVL'!S:S)</f>
        <v/>
      </c>
    </row>
    <row r="465">
      <c r="A465" s="56" t="inlineStr">
        <is>
          <t>STR H/H B A325M Type 1 ZP M20x50(50)</t>
        </is>
      </c>
      <c r="B465" s="56">
        <f>+VLOOKUP(A465,'Chi tiết NVL'!$I$10:$J$4158,2,0)</f>
        <v/>
      </c>
      <c r="C465" s="57">
        <f>+SUMIF('Chi tiết NVL'!$I:$I,$A465,'Chi tiết NVL'!L:L)</f>
        <v/>
      </c>
      <c r="D465" s="57">
        <f>+SUMIF('Chi tiết NVL'!$I:$I,$A465,'Chi tiết NVL'!M:M)</f>
        <v/>
      </c>
      <c r="E465" s="57">
        <f>+SUMIF('Chi tiết NVL'!$I:$I,$A465,'Chi tiết NVL'!N:N)</f>
        <v/>
      </c>
      <c r="F465" s="57">
        <f>+SUMIF('Chi tiết NVL'!$I:$I,$A465,'Chi tiết NVL'!O:O)</f>
        <v/>
      </c>
      <c r="G465" s="57">
        <f>+SUMIF('Chi tiết NVL'!$I:$I,$A465,'Chi tiết NVL'!P:P)</f>
        <v/>
      </c>
      <c r="H465" s="57">
        <f>+SUMIF('Chi tiết NVL'!$I:$I,$A465,'Chi tiết NVL'!Q:Q)</f>
        <v/>
      </c>
      <c r="I465" s="57">
        <f>+SUMIF('Chi tiết NVL'!$I:$I,$A465,'Chi tiết NVL'!R:R)</f>
        <v/>
      </c>
      <c r="J465" s="57">
        <f>+SUMIF('Chi tiết NVL'!$I:$I,$A465,'Chi tiết NVL'!S:S)</f>
        <v/>
      </c>
    </row>
    <row r="466">
      <c r="A466" s="56" t="inlineStr">
        <is>
          <t>H/H N A563M 10 ZP M20</t>
        </is>
      </c>
      <c r="B466" s="56">
        <f>+VLOOKUP(A466,'Chi tiết NVL'!$I$10:$J$4158,2,0)</f>
        <v/>
      </c>
      <c r="C466" s="57">
        <f>+SUMIF('Chi tiết NVL'!$I:$I,$A466,'Chi tiết NVL'!L:L)</f>
        <v/>
      </c>
      <c r="D466" s="57">
        <f>+SUMIF('Chi tiết NVL'!$I:$I,$A466,'Chi tiết NVL'!M:M)</f>
        <v/>
      </c>
      <c r="E466" s="57">
        <f>+SUMIF('Chi tiết NVL'!$I:$I,$A466,'Chi tiết NVL'!N:N)</f>
        <v/>
      </c>
      <c r="F466" s="57">
        <f>+SUMIF('Chi tiết NVL'!$I:$I,$A466,'Chi tiết NVL'!O:O)</f>
        <v/>
      </c>
      <c r="G466" s="57">
        <f>+SUMIF('Chi tiết NVL'!$I:$I,$A466,'Chi tiết NVL'!P:P)</f>
        <v/>
      </c>
      <c r="H466" s="57">
        <f>+SUMIF('Chi tiết NVL'!$I:$I,$A466,'Chi tiết NVL'!Q:Q)</f>
        <v/>
      </c>
      <c r="I466" s="57">
        <f>+SUMIF('Chi tiết NVL'!$I:$I,$A466,'Chi tiết NVL'!R:R)</f>
        <v/>
      </c>
      <c r="J466" s="57">
        <f>+SUMIF('Chi tiết NVL'!$I:$I,$A466,'Chi tiết NVL'!S:S)</f>
        <v/>
      </c>
    </row>
    <row r="467">
      <c r="A467" s="56" t="inlineStr">
        <is>
          <t>W F436M Type 1 ZP M20</t>
        </is>
      </c>
      <c r="B467" s="56">
        <f>+VLOOKUP(A467,'Chi tiết NVL'!$I$10:$J$4158,2,0)</f>
        <v/>
      </c>
      <c r="C467" s="57">
        <f>+SUMIF('Chi tiết NVL'!$I:$I,$A467,'Chi tiết NVL'!L:L)</f>
        <v/>
      </c>
      <c r="D467" s="57">
        <f>+SUMIF('Chi tiết NVL'!$I:$I,$A467,'Chi tiết NVL'!M:M)</f>
        <v/>
      </c>
      <c r="E467" s="57">
        <f>+SUMIF('Chi tiết NVL'!$I:$I,$A467,'Chi tiết NVL'!N:N)</f>
        <v/>
      </c>
      <c r="F467" s="57">
        <f>+SUMIF('Chi tiết NVL'!$I:$I,$A467,'Chi tiết NVL'!O:O)</f>
        <v/>
      </c>
      <c r="G467" s="57">
        <f>+SUMIF('Chi tiết NVL'!$I:$I,$A467,'Chi tiết NVL'!P:P)</f>
        <v/>
      </c>
      <c r="H467" s="57">
        <f>+SUMIF('Chi tiết NVL'!$I:$I,$A467,'Chi tiết NVL'!Q:Q)</f>
        <v/>
      </c>
      <c r="I467" s="57">
        <f>+SUMIF('Chi tiết NVL'!$I:$I,$A467,'Chi tiết NVL'!R:R)</f>
        <v/>
      </c>
      <c r="J467" s="57">
        <f>+SUMIF('Chi tiết NVL'!$I:$I,$A467,'Chi tiết NVL'!S:S)</f>
        <v/>
      </c>
    </row>
    <row r="468">
      <c r="A468" s="56" t="inlineStr">
        <is>
          <t>STR H/H B A325M Type 1 ZP M20x70(70)</t>
        </is>
      </c>
      <c r="B468" s="56">
        <f>+VLOOKUP(A468,'Chi tiết NVL'!$I$10:$J$4158,2,0)</f>
        <v/>
      </c>
      <c r="C468" s="57">
        <f>+SUMIF('Chi tiết NVL'!$I:$I,$A468,'Chi tiết NVL'!L:L)</f>
        <v/>
      </c>
      <c r="D468" s="57">
        <f>+SUMIF('Chi tiết NVL'!$I:$I,$A468,'Chi tiết NVL'!M:M)</f>
        <v/>
      </c>
      <c r="E468" s="57">
        <f>+SUMIF('Chi tiết NVL'!$I:$I,$A468,'Chi tiết NVL'!N:N)</f>
        <v/>
      </c>
      <c r="F468" s="57">
        <f>+SUMIF('Chi tiết NVL'!$I:$I,$A468,'Chi tiết NVL'!O:O)</f>
        <v/>
      </c>
      <c r="G468" s="57">
        <f>+SUMIF('Chi tiết NVL'!$I:$I,$A468,'Chi tiết NVL'!P:P)</f>
        <v/>
      </c>
      <c r="H468" s="57">
        <f>+SUMIF('Chi tiết NVL'!$I:$I,$A468,'Chi tiết NVL'!Q:Q)</f>
        <v/>
      </c>
      <c r="I468" s="57">
        <f>+SUMIF('Chi tiết NVL'!$I:$I,$A468,'Chi tiết NVL'!R:R)</f>
        <v/>
      </c>
      <c r="J468" s="57">
        <f>+SUMIF('Chi tiết NVL'!$I:$I,$A468,'Chi tiết NVL'!S:S)</f>
        <v/>
      </c>
    </row>
    <row r="469">
      <c r="A469" s="56" t="inlineStr">
        <is>
          <t>STR H/H B A325M Type 1 ZP M20x80(80)</t>
        </is>
      </c>
      <c r="B469" s="56">
        <f>+VLOOKUP(A469,'Chi tiết NVL'!$I$10:$J$4158,2,0)</f>
        <v/>
      </c>
      <c r="C469" s="57">
        <f>+SUMIF('Chi tiết NVL'!$I:$I,$A469,'Chi tiết NVL'!L:L)</f>
        <v/>
      </c>
      <c r="D469" s="57">
        <f>+SUMIF('Chi tiết NVL'!$I:$I,$A469,'Chi tiết NVL'!M:M)</f>
        <v/>
      </c>
      <c r="E469" s="57">
        <f>+SUMIF('Chi tiết NVL'!$I:$I,$A469,'Chi tiết NVL'!N:N)</f>
        <v/>
      </c>
      <c r="F469" s="57">
        <f>+SUMIF('Chi tiết NVL'!$I:$I,$A469,'Chi tiết NVL'!O:O)</f>
        <v/>
      </c>
      <c r="G469" s="57">
        <f>+SUMIF('Chi tiết NVL'!$I:$I,$A469,'Chi tiết NVL'!P:P)</f>
        <v/>
      </c>
      <c r="H469" s="57">
        <f>+SUMIF('Chi tiết NVL'!$I:$I,$A469,'Chi tiết NVL'!Q:Q)</f>
        <v/>
      </c>
      <c r="I469" s="57">
        <f>+SUMIF('Chi tiết NVL'!$I:$I,$A469,'Chi tiết NVL'!R:R)</f>
        <v/>
      </c>
      <c r="J469" s="57">
        <f>+SUMIF('Chi tiết NVL'!$I:$I,$A469,'Chi tiết NVL'!S:S)</f>
        <v/>
      </c>
    </row>
    <row r="470">
      <c r="A470" s="56" t="inlineStr">
        <is>
          <t>STR H/H B A325M Type 1 ZP M27x80(80)</t>
        </is>
      </c>
      <c r="B470" s="56">
        <f>+VLOOKUP(A470,'Chi tiết NVL'!$I$10:$J$4158,2,0)</f>
        <v/>
      </c>
      <c r="C470" s="57">
        <f>+SUMIF('Chi tiết NVL'!$I:$I,$A470,'Chi tiết NVL'!L:L)</f>
        <v/>
      </c>
      <c r="D470" s="57">
        <f>+SUMIF('Chi tiết NVL'!$I:$I,$A470,'Chi tiết NVL'!M:M)</f>
        <v/>
      </c>
      <c r="E470" s="57">
        <f>+SUMIF('Chi tiết NVL'!$I:$I,$A470,'Chi tiết NVL'!N:N)</f>
        <v/>
      </c>
      <c r="F470" s="57">
        <f>+SUMIF('Chi tiết NVL'!$I:$I,$A470,'Chi tiết NVL'!O:O)</f>
        <v/>
      </c>
      <c r="G470" s="57">
        <f>+SUMIF('Chi tiết NVL'!$I:$I,$A470,'Chi tiết NVL'!P:P)</f>
        <v/>
      </c>
      <c r="H470" s="57">
        <f>+SUMIF('Chi tiết NVL'!$I:$I,$A470,'Chi tiết NVL'!Q:Q)</f>
        <v/>
      </c>
      <c r="I470" s="57">
        <f>+SUMIF('Chi tiết NVL'!$I:$I,$A470,'Chi tiết NVL'!R:R)</f>
        <v/>
      </c>
      <c r="J470" s="57">
        <f>+SUMIF('Chi tiết NVL'!$I:$I,$A470,'Chi tiết NVL'!S:S)</f>
        <v/>
      </c>
    </row>
    <row r="471">
      <c r="A471" s="56" t="inlineStr">
        <is>
          <t>H/H N A563M 10 ZP M27</t>
        </is>
      </c>
      <c r="B471" s="56">
        <f>+VLOOKUP(A471,'Chi tiết NVL'!$I$10:$J$4158,2,0)</f>
        <v/>
      </c>
      <c r="C471" s="57">
        <f>+SUMIF('Chi tiết NVL'!$I:$I,$A471,'Chi tiết NVL'!L:L)</f>
        <v/>
      </c>
      <c r="D471" s="57">
        <f>+SUMIF('Chi tiết NVL'!$I:$I,$A471,'Chi tiết NVL'!M:M)</f>
        <v/>
      </c>
      <c r="E471" s="57">
        <f>+SUMIF('Chi tiết NVL'!$I:$I,$A471,'Chi tiết NVL'!N:N)</f>
        <v/>
      </c>
      <c r="F471" s="57">
        <f>+SUMIF('Chi tiết NVL'!$I:$I,$A471,'Chi tiết NVL'!O:O)</f>
        <v/>
      </c>
      <c r="G471" s="57">
        <f>+SUMIF('Chi tiết NVL'!$I:$I,$A471,'Chi tiết NVL'!P:P)</f>
        <v/>
      </c>
      <c r="H471" s="57">
        <f>+SUMIF('Chi tiết NVL'!$I:$I,$A471,'Chi tiết NVL'!Q:Q)</f>
        <v/>
      </c>
      <c r="I471" s="57">
        <f>+SUMIF('Chi tiết NVL'!$I:$I,$A471,'Chi tiết NVL'!R:R)</f>
        <v/>
      </c>
      <c r="J471" s="57">
        <f>+SUMIF('Chi tiết NVL'!$I:$I,$A471,'Chi tiết NVL'!S:S)</f>
        <v/>
      </c>
    </row>
    <row r="472">
      <c r="A472" s="56" t="inlineStr">
        <is>
          <t>W F436M Type 1 ZP M27</t>
        </is>
      </c>
      <c r="B472" s="56">
        <f>+VLOOKUP(A472,'Chi tiết NVL'!$I$10:$J$4158,2,0)</f>
        <v/>
      </c>
      <c r="C472" s="57">
        <f>+SUMIF('Chi tiết NVL'!$I:$I,$A472,'Chi tiết NVL'!L:L)</f>
        <v/>
      </c>
      <c r="D472" s="57">
        <f>+SUMIF('Chi tiết NVL'!$I:$I,$A472,'Chi tiết NVL'!M:M)</f>
        <v/>
      </c>
      <c r="E472" s="57">
        <f>+SUMIF('Chi tiết NVL'!$I:$I,$A472,'Chi tiết NVL'!N:N)</f>
        <v/>
      </c>
      <c r="F472" s="57">
        <f>+SUMIF('Chi tiết NVL'!$I:$I,$A472,'Chi tiết NVL'!O:O)</f>
        <v/>
      </c>
      <c r="G472" s="57">
        <f>+SUMIF('Chi tiết NVL'!$I:$I,$A472,'Chi tiết NVL'!P:P)</f>
        <v/>
      </c>
      <c r="H472" s="57">
        <f>+SUMIF('Chi tiết NVL'!$I:$I,$A472,'Chi tiết NVL'!Q:Q)</f>
        <v/>
      </c>
      <c r="I472" s="57">
        <f>+SUMIF('Chi tiết NVL'!$I:$I,$A472,'Chi tiết NVL'!R:R)</f>
        <v/>
      </c>
      <c r="J472" s="57">
        <f>+SUMIF('Chi tiết NVL'!$I:$I,$A472,'Chi tiết NVL'!S:S)</f>
        <v/>
      </c>
    </row>
    <row r="473">
      <c r="A473" s="56" t="inlineStr">
        <is>
          <t>STR H/H B A325M Type 1 ZP M30x90(90)</t>
        </is>
      </c>
      <c r="B473" s="56">
        <f>+VLOOKUP(A473,'Chi tiết NVL'!$I$10:$J$4158,2,0)</f>
        <v/>
      </c>
      <c r="C473" s="57">
        <f>+SUMIF('Chi tiết NVL'!$I:$I,$A473,'Chi tiết NVL'!L:L)</f>
        <v/>
      </c>
      <c r="D473" s="57">
        <f>+SUMIF('Chi tiết NVL'!$I:$I,$A473,'Chi tiết NVL'!M:M)</f>
        <v/>
      </c>
      <c r="E473" s="57">
        <f>+SUMIF('Chi tiết NVL'!$I:$I,$A473,'Chi tiết NVL'!N:N)</f>
        <v/>
      </c>
      <c r="F473" s="57">
        <f>+SUMIF('Chi tiết NVL'!$I:$I,$A473,'Chi tiết NVL'!O:O)</f>
        <v/>
      </c>
      <c r="G473" s="57">
        <f>+SUMIF('Chi tiết NVL'!$I:$I,$A473,'Chi tiết NVL'!P:P)</f>
        <v/>
      </c>
      <c r="H473" s="57">
        <f>+SUMIF('Chi tiết NVL'!$I:$I,$A473,'Chi tiết NVL'!Q:Q)</f>
        <v/>
      </c>
      <c r="I473" s="57">
        <f>+SUMIF('Chi tiết NVL'!$I:$I,$A473,'Chi tiết NVL'!R:R)</f>
        <v/>
      </c>
      <c r="J473" s="57">
        <f>+SUMIF('Chi tiết NVL'!$I:$I,$A473,'Chi tiết NVL'!S:S)</f>
        <v/>
      </c>
    </row>
    <row r="474">
      <c r="A474" s="56" t="inlineStr">
        <is>
          <t>Dịch vụ vận chuyển</t>
        </is>
      </c>
      <c r="B474" s="56">
        <f>+VLOOKUP(A474,'Chi tiết NVL'!$I$10:$J$4158,2,0)</f>
        <v/>
      </c>
      <c r="C474" s="57">
        <f>+SUMIF('Chi tiết NVL'!$I:$I,$A474,'Chi tiết NVL'!L:L)</f>
        <v/>
      </c>
      <c r="D474" s="57">
        <f>+SUMIF('Chi tiết NVL'!$I:$I,$A474,'Chi tiết NVL'!M:M)</f>
        <v/>
      </c>
      <c r="E474" s="57">
        <f>+SUMIF('Chi tiết NVL'!$I:$I,$A474,'Chi tiết NVL'!N:N)</f>
        <v/>
      </c>
      <c r="F474" s="57">
        <f>+SUMIF('Chi tiết NVL'!$I:$I,$A474,'Chi tiết NVL'!O:O)</f>
        <v/>
      </c>
      <c r="G474" s="57">
        <f>+SUMIF('Chi tiết NVL'!$I:$I,$A474,'Chi tiết NVL'!P:P)</f>
        <v/>
      </c>
      <c r="H474" s="57">
        <f>+SUMIF('Chi tiết NVL'!$I:$I,$A474,'Chi tiết NVL'!Q:Q)</f>
        <v/>
      </c>
      <c r="I474" s="57">
        <f>+SUMIF('Chi tiết NVL'!$I:$I,$A474,'Chi tiết NVL'!R:R)</f>
        <v/>
      </c>
      <c r="J474" s="57">
        <f>+SUMIF('Chi tiết NVL'!$I:$I,$A474,'Chi tiết NVL'!S:S)</f>
        <v/>
      </c>
    </row>
    <row r="475">
      <c r="A475" s="56" t="inlineStr">
        <is>
          <t>Thép tấm 28x2000x12000mm   A572</t>
        </is>
      </c>
      <c r="B475" s="56">
        <f>+VLOOKUP(A475,'Chi tiết NVL'!$I$10:$J$4158,2,0)</f>
        <v/>
      </c>
      <c r="C475" s="57">
        <f>+SUMIF('Chi tiết NVL'!$I:$I,$A475,'Chi tiết NVL'!L:L)</f>
        <v/>
      </c>
      <c r="D475" s="57">
        <f>+SUMIF('Chi tiết NVL'!$I:$I,$A475,'Chi tiết NVL'!M:M)</f>
        <v/>
      </c>
      <c r="E475" s="57">
        <f>+SUMIF('Chi tiết NVL'!$I:$I,$A475,'Chi tiết NVL'!N:N)</f>
        <v/>
      </c>
      <c r="F475" s="57">
        <f>+SUMIF('Chi tiết NVL'!$I:$I,$A475,'Chi tiết NVL'!O:O)</f>
        <v/>
      </c>
      <c r="G475" s="57">
        <f>+SUMIF('Chi tiết NVL'!$I:$I,$A475,'Chi tiết NVL'!P:P)</f>
        <v/>
      </c>
      <c r="H475" s="57">
        <f>+SUMIF('Chi tiết NVL'!$I:$I,$A475,'Chi tiết NVL'!Q:Q)</f>
        <v/>
      </c>
      <c r="I475" s="57">
        <f>+SUMIF('Chi tiết NVL'!$I:$I,$A475,'Chi tiết NVL'!R:R)</f>
        <v/>
      </c>
      <c r="J475" s="57">
        <f>+SUMIF('Chi tiết NVL'!$I:$I,$A475,'Chi tiết NVL'!S:S)</f>
        <v/>
      </c>
    </row>
    <row r="476">
      <c r="A476" s="56" t="inlineStr">
        <is>
          <t>Thép tấm (91x450x5032mm)</t>
        </is>
      </c>
      <c r="B476" s="56">
        <f>+VLOOKUP(A476,'Chi tiết NVL'!$I$10:$J$4158,2,0)</f>
        <v/>
      </c>
      <c r="C476" s="57">
        <f>+SUMIF('Chi tiết NVL'!$I:$I,$A476,'Chi tiết NVL'!L:L)</f>
        <v/>
      </c>
      <c r="D476" s="57">
        <f>+SUMIF('Chi tiết NVL'!$I:$I,$A476,'Chi tiết NVL'!M:M)</f>
        <v/>
      </c>
      <c r="E476" s="57">
        <f>+SUMIF('Chi tiết NVL'!$I:$I,$A476,'Chi tiết NVL'!N:N)</f>
        <v/>
      </c>
      <c r="F476" s="57">
        <f>+SUMIF('Chi tiết NVL'!$I:$I,$A476,'Chi tiết NVL'!O:O)</f>
        <v/>
      </c>
      <c r="G476" s="57">
        <f>+SUMIF('Chi tiết NVL'!$I:$I,$A476,'Chi tiết NVL'!P:P)</f>
        <v/>
      </c>
      <c r="H476" s="57">
        <f>+SUMIF('Chi tiết NVL'!$I:$I,$A476,'Chi tiết NVL'!Q:Q)</f>
        <v/>
      </c>
      <c r="I476" s="57">
        <f>+SUMIF('Chi tiết NVL'!$I:$I,$A476,'Chi tiết NVL'!R:R)</f>
        <v/>
      </c>
      <c r="J476" s="57">
        <f>+SUMIF('Chi tiết NVL'!$I:$I,$A476,'Chi tiết NVL'!S:S)</f>
        <v/>
      </c>
    </row>
    <row r="477">
      <c r="A477" s="56" t="inlineStr">
        <is>
          <t>Thép tấm (91x450x6212mm)</t>
        </is>
      </c>
      <c r="B477" s="56">
        <f>+VLOOKUP(A477,'Chi tiết NVL'!$I$10:$J$4158,2,0)</f>
        <v/>
      </c>
      <c r="C477" s="57">
        <f>+SUMIF('Chi tiết NVL'!$I:$I,$A477,'Chi tiết NVL'!L:L)</f>
        <v/>
      </c>
      <c r="D477" s="57">
        <f>+SUMIF('Chi tiết NVL'!$I:$I,$A477,'Chi tiết NVL'!M:M)</f>
        <v/>
      </c>
      <c r="E477" s="57">
        <f>+SUMIF('Chi tiết NVL'!$I:$I,$A477,'Chi tiết NVL'!N:N)</f>
        <v/>
      </c>
      <c r="F477" s="57">
        <f>+SUMIF('Chi tiết NVL'!$I:$I,$A477,'Chi tiết NVL'!O:O)</f>
        <v/>
      </c>
      <c r="G477" s="57">
        <f>+SUMIF('Chi tiết NVL'!$I:$I,$A477,'Chi tiết NVL'!P:P)</f>
        <v/>
      </c>
      <c r="H477" s="57">
        <f>+SUMIF('Chi tiết NVL'!$I:$I,$A477,'Chi tiết NVL'!Q:Q)</f>
        <v/>
      </c>
      <c r="I477" s="57">
        <f>+SUMIF('Chi tiết NVL'!$I:$I,$A477,'Chi tiết NVL'!R:R)</f>
        <v/>
      </c>
      <c r="J477" s="57">
        <f>+SUMIF('Chi tiết NVL'!$I:$I,$A477,'Chi tiết NVL'!S:S)</f>
        <v/>
      </c>
    </row>
    <row r="478">
      <c r="A478" s="56" t="inlineStr">
        <is>
          <t>Thép tấm (91x450x5766mm)</t>
        </is>
      </c>
      <c r="B478" s="56">
        <f>+VLOOKUP(A478,'Chi tiết NVL'!$I$10:$J$4158,2,0)</f>
        <v/>
      </c>
      <c r="C478" s="57">
        <f>+SUMIF('Chi tiết NVL'!$I:$I,$A478,'Chi tiết NVL'!L:L)</f>
        <v/>
      </c>
      <c r="D478" s="57">
        <f>+SUMIF('Chi tiết NVL'!$I:$I,$A478,'Chi tiết NVL'!M:M)</f>
        <v/>
      </c>
      <c r="E478" s="57">
        <f>+SUMIF('Chi tiết NVL'!$I:$I,$A478,'Chi tiết NVL'!N:N)</f>
        <v/>
      </c>
      <c r="F478" s="57">
        <f>+SUMIF('Chi tiết NVL'!$I:$I,$A478,'Chi tiết NVL'!O:O)</f>
        <v/>
      </c>
      <c r="G478" s="57">
        <f>+SUMIF('Chi tiết NVL'!$I:$I,$A478,'Chi tiết NVL'!P:P)</f>
        <v/>
      </c>
      <c r="H478" s="57">
        <f>+SUMIF('Chi tiết NVL'!$I:$I,$A478,'Chi tiết NVL'!Q:Q)</f>
        <v/>
      </c>
      <c r="I478" s="57">
        <f>+SUMIF('Chi tiết NVL'!$I:$I,$A478,'Chi tiết NVL'!R:R)</f>
        <v/>
      </c>
      <c r="J478" s="57">
        <f>+SUMIF('Chi tiết NVL'!$I:$I,$A478,'Chi tiết NVL'!S:S)</f>
        <v/>
      </c>
    </row>
    <row r="479">
      <c r="A479" s="56" t="inlineStr">
        <is>
          <t>Thép tấm (91x450x7402mm)</t>
        </is>
      </c>
      <c r="B479" s="56">
        <f>+VLOOKUP(A479,'Chi tiết NVL'!$I$10:$J$4158,2,0)</f>
        <v/>
      </c>
      <c r="C479" s="57">
        <f>+SUMIF('Chi tiết NVL'!$I:$I,$A479,'Chi tiết NVL'!L:L)</f>
        <v/>
      </c>
      <c r="D479" s="57">
        <f>+SUMIF('Chi tiết NVL'!$I:$I,$A479,'Chi tiết NVL'!M:M)</f>
        <v/>
      </c>
      <c r="E479" s="57">
        <f>+SUMIF('Chi tiết NVL'!$I:$I,$A479,'Chi tiết NVL'!N:N)</f>
        <v/>
      </c>
      <c r="F479" s="57">
        <f>+SUMIF('Chi tiết NVL'!$I:$I,$A479,'Chi tiết NVL'!O:O)</f>
        <v/>
      </c>
      <c r="G479" s="57">
        <f>+SUMIF('Chi tiết NVL'!$I:$I,$A479,'Chi tiết NVL'!P:P)</f>
        <v/>
      </c>
      <c r="H479" s="57">
        <f>+SUMIF('Chi tiết NVL'!$I:$I,$A479,'Chi tiết NVL'!Q:Q)</f>
        <v/>
      </c>
      <c r="I479" s="57">
        <f>+SUMIF('Chi tiết NVL'!$I:$I,$A479,'Chi tiết NVL'!R:R)</f>
        <v/>
      </c>
      <c r="J479" s="57">
        <f>+SUMIF('Chi tiết NVL'!$I:$I,$A479,'Chi tiết NVL'!S:S)</f>
        <v/>
      </c>
    </row>
    <row r="480">
      <c r="A480" s="56" t="inlineStr">
        <is>
          <t>Thép tấm (91x450x2742mm)</t>
        </is>
      </c>
      <c r="B480" s="56">
        <f>+VLOOKUP(A480,'Chi tiết NVL'!$I$10:$J$4158,2,0)</f>
        <v/>
      </c>
      <c r="C480" s="57">
        <f>+SUMIF('Chi tiết NVL'!$I:$I,$A480,'Chi tiết NVL'!L:L)</f>
        <v/>
      </c>
      <c r="D480" s="57">
        <f>+SUMIF('Chi tiết NVL'!$I:$I,$A480,'Chi tiết NVL'!M:M)</f>
        <v/>
      </c>
      <c r="E480" s="57">
        <f>+SUMIF('Chi tiết NVL'!$I:$I,$A480,'Chi tiết NVL'!N:N)</f>
        <v/>
      </c>
      <c r="F480" s="57">
        <f>+SUMIF('Chi tiết NVL'!$I:$I,$A480,'Chi tiết NVL'!O:O)</f>
        <v/>
      </c>
      <c r="G480" s="57">
        <f>+SUMIF('Chi tiết NVL'!$I:$I,$A480,'Chi tiết NVL'!P:P)</f>
        <v/>
      </c>
      <c r="H480" s="57">
        <f>+SUMIF('Chi tiết NVL'!$I:$I,$A480,'Chi tiết NVL'!Q:Q)</f>
        <v/>
      </c>
      <c r="I480" s="57">
        <f>+SUMIF('Chi tiết NVL'!$I:$I,$A480,'Chi tiết NVL'!R:R)</f>
        <v/>
      </c>
      <c r="J480" s="57">
        <f>+SUMIF('Chi tiết NVL'!$I:$I,$A480,'Chi tiết NVL'!S:S)</f>
        <v/>
      </c>
    </row>
    <row r="481">
      <c r="A481" s="56" t="inlineStr">
        <is>
          <t>Thép tấm (91x450x5776mm)</t>
        </is>
      </c>
      <c r="B481" s="56">
        <f>+VLOOKUP(A481,'Chi tiết NVL'!$I$10:$J$4158,2,0)</f>
        <v/>
      </c>
      <c r="C481" s="57">
        <f>+SUMIF('Chi tiết NVL'!$I:$I,$A481,'Chi tiết NVL'!L:L)</f>
        <v/>
      </c>
      <c r="D481" s="57">
        <f>+SUMIF('Chi tiết NVL'!$I:$I,$A481,'Chi tiết NVL'!M:M)</f>
        <v/>
      </c>
      <c r="E481" s="57">
        <f>+SUMIF('Chi tiết NVL'!$I:$I,$A481,'Chi tiết NVL'!N:N)</f>
        <v/>
      </c>
      <c r="F481" s="57">
        <f>+SUMIF('Chi tiết NVL'!$I:$I,$A481,'Chi tiết NVL'!O:O)</f>
        <v/>
      </c>
      <c r="G481" s="57">
        <f>+SUMIF('Chi tiết NVL'!$I:$I,$A481,'Chi tiết NVL'!P:P)</f>
        <v/>
      </c>
      <c r="H481" s="57">
        <f>+SUMIF('Chi tiết NVL'!$I:$I,$A481,'Chi tiết NVL'!Q:Q)</f>
        <v/>
      </c>
      <c r="I481" s="57">
        <f>+SUMIF('Chi tiết NVL'!$I:$I,$A481,'Chi tiết NVL'!R:R)</f>
        <v/>
      </c>
      <c r="J481" s="57">
        <f>+SUMIF('Chi tiết NVL'!$I:$I,$A481,'Chi tiết NVL'!S:S)</f>
        <v/>
      </c>
    </row>
    <row r="482">
      <c r="A482" s="56" t="inlineStr">
        <is>
          <t>Thép tấm (91x450x6217mm)</t>
        </is>
      </c>
      <c r="B482" s="56">
        <f>+VLOOKUP(A482,'Chi tiết NVL'!$I$10:$J$4158,2,0)</f>
        <v/>
      </c>
      <c r="C482" s="57">
        <f>+SUMIF('Chi tiết NVL'!$I:$I,$A482,'Chi tiết NVL'!L:L)</f>
        <v/>
      </c>
      <c r="D482" s="57">
        <f>+SUMIF('Chi tiết NVL'!$I:$I,$A482,'Chi tiết NVL'!M:M)</f>
        <v/>
      </c>
      <c r="E482" s="57">
        <f>+SUMIF('Chi tiết NVL'!$I:$I,$A482,'Chi tiết NVL'!N:N)</f>
        <v/>
      </c>
      <c r="F482" s="57">
        <f>+SUMIF('Chi tiết NVL'!$I:$I,$A482,'Chi tiết NVL'!O:O)</f>
        <v/>
      </c>
      <c r="G482" s="57">
        <f>+SUMIF('Chi tiết NVL'!$I:$I,$A482,'Chi tiết NVL'!P:P)</f>
        <v/>
      </c>
      <c r="H482" s="57">
        <f>+SUMIF('Chi tiết NVL'!$I:$I,$A482,'Chi tiết NVL'!Q:Q)</f>
        <v/>
      </c>
      <c r="I482" s="57">
        <f>+SUMIF('Chi tiết NVL'!$I:$I,$A482,'Chi tiết NVL'!R:R)</f>
        <v/>
      </c>
      <c r="J482" s="57">
        <f>+SUMIF('Chi tiết NVL'!$I:$I,$A482,'Chi tiết NVL'!S:S)</f>
        <v/>
      </c>
    </row>
    <row r="483">
      <c r="A483" s="56" t="inlineStr">
        <is>
          <t>STR H/H B A325M Type 1 ZP M30x160(160)</t>
        </is>
      </c>
      <c r="B483" s="56">
        <f>+VLOOKUP(A483,'Chi tiết NVL'!$I$10:$J$4158,2,0)</f>
        <v/>
      </c>
      <c r="C483" s="57">
        <f>+SUMIF('Chi tiết NVL'!$I:$I,$A483,'Chi tiết NVL'!L:L)</f>
        <v/>
      </c>
      <c r="D483" s="57">
        <f>+SUMIF('Chi tiết NVL'!$I:$I,$A483,'Chi tiết NVL'!M:M)</f>
        <v/>
      </c>
      <c r="E483" s="57">
        <f>+SUMIF('Chi tiết NVL'!$I:$I,$A483,'Chi tiết NVL'!N:N)</f>
        <v/>
      </c>
      <c r="F483" s="57">
        <f>+SUMIF('Chi tiết NVL'!$I:$I,$A483,'Chi tiết NVL'!O:O)</f>
        <v/>
      </c>
      <c r="G483" s="57">
        <f>+SUMIF('Chi tiết NVL'!$I:$I,$A483,'Chi tiết NVL'!P:P)</f>
        <v/>
      </c>
      <c r="H483" s="57">
        <f>+SUMIF('Chi tiết NVL'!$I:$I,$A483,'Chi tiết NVL'!Q:Q)</f>
        <v/>
      </c>
      <c r="I483" s="57">
        <f>+SUMIF('Chi tiết NVL'!$I:$I,$A483,'Chi tiết NVL'!R:R)</f>
        <v/>
      </c>
      <c r="J483" s="57">
        <f>+SUMIF('Chi tiết NVL'!$I:$I,$A483,'Chi tiết NVL'!S:S)</f>
        <v/>
      </c>
    </row>
    <row r="484">
      <c r="A484" s="56" t="inlineStr">
        <is>
          <t>STR H/H B A325M Type 1 ZP M30x170(170)</t>
        </is>
      </c>
      <c r="B484" s="56">
        <f>+VLOOKUP(A484,'Chi tiết NVL'!$I$10:$J$4158,2,0)</f>
        <v/>
      </c>
      <c r="C484" s="57">
        <f>+SUMIF('Chi tiết NVL'!$I:$I,$A484,'Chi tiết NVL'!L:L)</f>
        <v/>
      </c>
      <c r="D484" s="57">
        <f>+SUMIF('Chi tiết NVL'!$I:$I,$A484,'Chi tiết NVL'!M:M)</f>
        <v/>
      </c>
      <c r="E484" s="57">
        <f>+SUMIF('Chi tiết NVL'!$I:$I,$A484,'Chi tiết NVL'!N:N)</f>
        <v/>
      </c>
      <c r="F484" s="57">
        <f>+SUMIF('Chi tiết NVL'!$I:$I,$A484,'Chi tiết NVL'!O:O)</f>
        <v/>
      </c>
      <c r="G484" s="57">
        <f>+SUMIF('Chi tiết NVL'!$I:$I,$A484,'Chi tiết NVL'!P:P)</f>
        <v/>
      </c>
      <c r="H484" s="57">
        <f>+SUMIF('Chi tiết NVL'!$I:$I,$A484,'Chi tiết NVL'!Q:Q)</f>
        <v/>
      </c>
      <c r="I484" s="57">
        <f>+SUMIF('Chi tiết NVL'!$I:$I,$A484,'Chi tiết NVL'!R:R)</f>
        <v/>
      </c>
      <c r="J484" s="57">
        <f>+SUMIF('Chi tiết NVL'!$I:$I,$A484,'Chi tiết NVL'!S:S)</f>
        <v/>
      </c>
    </row>
    <row r="485">
      <c r="A485" s="56" t="inlineStr">
        <is>
          <t>STR H/H B A325M Type 1 ZP M30x180(180)</t>
        </is>
      </c>
      <c r="B485" s="56">
        <f>+VLOOKUP(A485,'Chi tiết NVL'!$I$10:$J$4158,2,0)</f>
        <v/>
      </c>
      <c r="C485" s="57">
        <f>+SUMIF('Chi tiết NVL'!$I:$I,$A485,'Chi tiết NVL'!L:L)</f>
        <v/>
      </c>
      <c r="D485" s="57">
        <f>+SUMIF('Chi tiết NVL'!$I:$I,$A485,'Chi tiết NVL'!M:M)</f>
        <v/>
      </c>
      <c r="E485" s="57">
        <f>+SUMIF('Chi tiết NVL'!$I:$I,$A485,'Chi tiết NVL'!N:N)</f>
        <v/>
      </c>
      <c r="F485" s="57">
        <f>+SUMIF('Chi tiết NVL'!$I:$I,$A485,'Chi tiết NVL'!O:O)</f>
        <v/>
      </c>
      <c r="G485" s="57">
        <f>+SUMIF('Chi tiết NVL'!$I:$I,$A485,'Chi tiết NVL'!P:P)</f>
        <v/>
      </c>
      <c r="H485" s="57">
        <f>+SUMIF('Chi tiết NVL'!$I:$I,$A485,'Chi tiết NVL'!Q:Q)</f>
        <v/>
      </c>
      <c r="I485" s="57">
        <f>+SUMIF('Chi tiết NVL'!$I:$I,$A485,'Chi tiết NVL'!R:R)</f>
        <v/>
      </c>
      <c r="J485" s="57">
        <f>+SUMIF('Chi tiết NVL'!$I:$I,$A485,'Chi tiết NVL'!S:S)</f>
        <v/>
      </c>
    </row>
    <row r="486">
      <c r="A486" s="56" t="inlineStr">
        <is>
          <t>Thép ống 113.5x4.0x6m</t>
        </is>
      </c>
      <c r="B486" s="56">
        <f>+VLOOKUP(A486,'Chi tiết NVL'!$I$10:$J$4158,2,0)</f>
        <v/>
      </c>
      <c r="C486" s="57">
        <f>+SUMIF('Chi tiết NVL'!$I:$I,$A486,'Chi tiết NVL'!L:L)</f>
        <v/>
      </c>
      <c r="D486" s="57">
        <f>+SUMIF('Chi tiết NVL'!$I:$I,$A486,'Chi tiết NVL'!M:M)</f>
        <v/>
      </c>
      <c r="E486" s="57">
        <f>+SUMIF('Chi tiết NVL'!$I:$I,$A486,'Chi tiết NVL'!N:N)</f>
        <v/>
      </c>
      <c r="F486" s="57">
        <f>+SUMIF('Chi tiết NVL'!$I:$I,$A486,'Chi tiết NVL'!O:O)</f>
        <v/>
      </c>
      <c r="G486" s="57">
        <f>+SUMIF('Chi tiết NVL'!$I:$I,$A486,'Chi tiết NVL'!P:P)</f>
        <v/>
      </c>
      <c r="H486" s="57">
        <f>+SUMIF('Chi tiết NVL'!$I:$I,$A486,'Chi tiết NVL'!Q:Q)</f>
        <v/>
      </c>
      <c r="I486" s="57">
        <f>+SUMIF('Chi tiết NVL'!$I:$I,$A486,'Chi tiết NVL'!R:R)</f>
        <v/>
      </c>
      <c r="J486" s="57">
        <f>+SUMIF('Chi tiết NVL'!$I:$I,$A486,'Chi tiết NVL'!S:S)</f>
        <v/>
      </c>
    </row>
    <row r="487">
      <c r="A487" s="56" t="inlineStr">
        <is>
          <t>Thép ống141.3x3.96x6m</t>
        </is>
      </c>
      <c r="B487" s="56">
        <f>+VLOOKUP(A487,'Chi tiết NVL'!$I$10:$J$4158,2,0)</f>
        <v/>
      </c>
      <c r="C487" s="57">
        <f>+SUMIF('Chi tiết NVL'!$I:$I,$A487,'Chi tiết NVL'!L:L)</f>
        <v/>
      </c>
      <c r="D487" s="57">
        <f>+SUMIF('Chi tiết NVL'!$I:$I,$A487,'Chi tiết NVL'!M:M)</f>
        <v/>
      </c>
      <c r="E487" s="57">
        <f>+SUMIF('Chi tiết NVL'!$I:$I,$A487,'Chi tiết NVL'!N:N)</f>
        <v/>
      </c>
      <c r="F487" s="57">
        <f>+SUMIF('Chi tiết NVL'!$I:$I,$A487,'Chi tiết NVL'!O:O)</f>
        <v/>
      </c>
      <c r="G487" s="57">
        <f>+SUMIF('Chi tiết NVL'!$I:$I,$A487,'Chi tiết NVL'!P:P)</f>
        <v/>
      </c>
      <c r="H487" s="57">
        <f>+SUMIF('Chi tiết NVL'!$I:$I,$A487,'Chi tiết NVL'!Q:Q)</f>
        <v/>
      </c>
      <c r="I487" s="57">
        <f>+SUMIF('Chi tiết NVL'!$I:$I,$A487,'Chi tiết NVL'!R:R)</f>
        <v/>
      </c>
      <c r="J487" s="57">
        <f>+SUMIF('Chi tiết NVL'!$I:$I,$A487,'Chi tiết NVL'!S:S)</f>
        <v/>
      </c>
    </row>
    <row r="488">
      <c r="A488" s="56" t="inlineStr">
        <is>
          <t>Thép ống 141.3x5.16x6m</t>
        </is>
      </c>
      <c r="B488" s="56">
        <f>+VLOOKUP(A488,'Chi tiết NVL'!$I$10:$J$4158,2,0)</f>
        <v/>
      </c>
      <c r="C488" s="57">
        <f>+SUMIF('Chi tiết NVL'!$I:$I,$A488,'Chi tiết NVL'!L:L)</f>
        <v/>
      </c>
      <c r="D488" s="57">
        <f>+SUMIF('Chi tiết NVL'!$I:$I,$A488,'Chi tiết NVL'!M:M)</f>
        <v/>
      </c>
      <c r="E488" s="57">
        <f>+SUMIF('Chi tiết NVL'!$I:$I,$A488,'Chi tiết NVL'!N:N)</f>
        <v/>
      </c>
      <c r="F488" s="57">
        <f>+SUMIF('Chi tiết NVL'!$I:$I,$A488,'Chi tiết NVL'!O:O)</f>
        <v/>
      </c>
      <c r="G488" s="57">
        <f>+SUMIF('Chi tiết NVL'!$I:$I,$A488,'Chi tiết NVL'!P:P)</f>
        <v/>
      </c>
      <c r="H488" s="57">
        <f>+SUMIF('Chi tiết NVL'!$I:$I,$A488,'Chi tiết NVL'!Q:Q)</f>
        <v/>
      </c>
      <c r="I488" s="57">
        <f>+SUMIF('Chi tiết NVL'!$I:$I,$A488,'Chi tiết NVL'!R:R)</f>
        <v/>
      </c>
      <c r="J488" s="57">
        <f>+SUMIF('Chi tiết NVL'!$I:$I,$A488,'Chi tiết NVL'!S:S)</f>
        <v/>
      </c>
    </row>
    <row r="489">
      <c r="A489" s="56" t="inlineStr">
        <is>
          <t>Thép ống 168.3x5.56x6m</t>
        </is>
      </c>
      <c r="B489" s="56">
        <f>+VLOOKUP(A489,'Chi tiết NVL'!$I$10:$J$4158,2,0)</f>
        <v/>
      </c>
      <c r="C489" s="57">
        <f>+SUMIF('Chi tiết NVL'!$I:$I,$A489,'Chi tiết NVL'!L:L)</f>
        <v/>
      </c>
      <c r="D489" s="57">
        <f>+SUMIF('Chi tiết NVL'!$I:$I,$A489,'Chi tiết NVL'!M:M)</f>
        <v/>
      </c>
      <c r="E489" s="57">
        <f>+SUMIF('Chi tiết NVL'!$I:$I,$A489,'Chi tiết NVL'!N:N)</f>
        <v/>
      </c>
      <c r="F489" s="57">
        <f>+SUMIF('Chi tiết NVL'!$I:$I,$A489,'Chi tiết NVL'!O:O)</f>
        <v/>
      </c>
      <c r="G489" s="57">
        <f>+SUMIF('Chi tiết NVL'!$I:$I,$A489,'Chi tiết NVL'!P:P)</f>
        <v/>
      </c>
      <c r="H489" s="57">
        <f>+SUMIF('Chi tiết NVL'!$I:$I,$A489,'Chi tiết NVL'!Q:Q)</f>
        <v/>
      </c>
      <c r="I489" s="57">
        <f>+SUMIF('Chi tiết NVL'!$I:$I,$A489,'Chi tiết NVL'!R:R)</f>
        <v/>
      </c>
      <c r="J489" s="57">
        <f>+SUMIF('Chi tiết NVL'!$I:$I,$A489,'Chi tiết NVL'!S:S)</f>
        <v/>
      </c>
    </row>
    <row r="490">
      <c r="A490" s="56" t="inlineStr">
        <is>
          <t>Thép ống 168.3x7.11x6m</t>
        </is>
      </c>
      <c r="B490" s="56">
        <f>+VLOOKUP(A490,'Chi tiết NVL'!$I$10:$J$4158,2,0)</f>
        <v/>
      </c>
      <c r="C490" s="57">
        <f>+SUMIF('Chi tiết NVL'!$I:$I,$A490,'Chi tiết NVL'!L:L)</f>
        <v/>
      </c>
      <c r="D490" s="57">
        <f>+SUMIF('Chi tiết NVL'!$I:$I,$A490,'Chi tiết NVL'!M:M)</f>
        <v/>
      </c>
      <c r="E490" s="57">
        <f>+SUMIF('Chi tiết NVL'!$I:$I,$A490,'Chi tiết NVL'!N:N)</f>
        <v/>
      </c>
      <c r="F490" s="57">
        <f>+SUMIF('Chi tiết NVL'!$I:$I,$A490,'Chi tiết NVL'!O:O)</f>
        <v/>
      </c>
      <c r="G490" s="57">
        <f>+SUMIF('Chi tiết NVL'!$I:$I,$A490,'Chi tiết NVL'!P:P)</f>
        <v/>
      </c>
      <c r="H490" s="57">
        <f>+SUMIF('Chi tiết NVL'!$I:$I,$A490,'Chi tiết NVL'!Q:Q)</f>
        <v/>
      </c>
      <c r="I490" s="57">
        <f>+SUMIF('Chi tiết NVL'!$I:$I,$A490,'Chi tiết NVL'!R:R)</f>
        <v/>
      </c>
      <c r="J490" s="57">
        <f>+SUMIF('Chi tiết NVL'!$I:$I,$A490,'Chi tiết NVL'!S:S)</f>
        <v/>
      </c>
    </row>
    <row r="491">
      <c r="A491" s="56" t="inlineStr">
        <is>
          <t>Thép ống 88.3x3.0x6m</t>
        </is>
      </c>
      <c r="B491" s="56">
        <f>+VLOOKUP(A491,'Chi tiết NVL'!$I$10:$J$4158,2,0)</f>
        <v/>
      </c>
      <c r="C491" s="57">
        <f>+SUMIF('Chi tiết NVL'!$I:$I,$A491,'Chi tiết NVL'!L:L)</f>
        <v/>
      </c>
      <c r="D491" s="57">
        <f>+SUMIF('Chi tiết NVL'!$I:$I,$A491,'Chi tiết NVL'!M:M)</f>
        <v/>
      </c>
      <c r="E491" s="57">
        <f>+SUMIF('Chi tiết NVL'!$I:$I,$A491,'Chi tiết NVL'!N:N)</f>
        <v/>
      </c>
      <c r="F491" s="57">
        <f>+SUMIF('Chi tiết NVL'!$I:$I,$A491,'Chi tiết NVL'!O:O)</f>
        <v/>
      </c>
      <c r="G491" s="57">
        <f>+SUMIF('Chi tiết NVL'!$I:$I,$A491,'Chi tiết NVL'!P:P)</f>
        <v/>
      </c>
      <c r="H491" s="57">
        <f>+SUMIF('Chi tiết NVL'!$I:$I,$A491,'Chi tiết NVL'!Q:Q)</f>
        <v/>
      </c>
      <c r="I491" s="57">
        <f>+SUMIF('Chi tiết NVL'!$I:$I,$A491,'Chi tiết NVL'!R:R)</f>
        <v/>
      </c>
      <c r="J491" s="57">
        <f>+SUMIF('Chi tiết NVL'!$I:$I,$A491,'Chi tiết NVL'!S:S)</f>
        <v/>
      </c>
    </row>
    <row r="492">
      <c r="A492" s="56" t="inlineStr">
        <is>
          <t>Thép hộp 150x150x4.5x6m</t>
        </is>
      </c>
      <c r="B492" s="56">
        <f>+VLOOKUP(A492,'Chi tiết NVL'!$I$10:$J$4158,2,0)</f>
        <v/>
      </c>
      <c r="C492" s="57">
        <f>+SUMIF('Chi tiết NVL'!$I:$I,$A492,'Chi tiết NVL'!L:L)</f>
        <v/>
      </c>
      <c r="D492" s="57">
        <f>+SUMIF('Chi tiết NVL'!$I:$I,$A492,'Chi tiết NVL'!M:M)</f>
        <v/>
      </c>
      <c r="E492" s="57">
        <f>+SUMIF('Chi tiết NVL'!$I:$I,$A492,'Chi tiết NVL'!N:N)</f>
        <v/>
      </c>
      <c r="F492" s="57">
        <f>+SUMIF('Chi tiết NVL'!$I:$I,$A492,'Chi tiết NVL'!O:O)</f>
        <v/>
      </c>
      <c r="G492" s="57">
        <f>+SUMIF('Chi tiết NVL'!$I:$I,$A492,'Chi tiết NVL'!P:P)</f>
        <v/>
      </c>
      <c r="H492" s="57">
        <f>+SUMIF('Chi tiết NVL'!$I:$I,$A492,'Chi tiết NVL'!Q:Q)</f>
        <v/>
      </c>
      <c r="I492" s="57">
        <f>+SUMIF('Chi tiết NVL'!$I:$I,$A492,'Chi tiết NVL'!R:R)</f>
        <v/>
      </c>
      <c r="J492" s="57">
        <f>+SUMIF('Chi tiết NVL'!$I:$I,$A492,'Chi tiết NVL'!S:S)</f>
        <v/>
      </c>
    </row>
    <row r="493">
      <c r="A493" s="56" t="inlineStr">
        <is>
          <t>Thép hộp 200x200x4.0x6m</t>
        </is>
      </c>
      <c r="B493" s="56">
        <f>+VLOOKUP(A493,'Chi tiết NVL'!$I$10:$J$4158,2,0)</f>
        <v/>
      </c>
      <c r="C493" s="57">
        <f>+SUMIF('Chi tiết NVL'!$I:$I,$A493,'Chi tiết NVL'!L:L)</f>
        <v/>
      </c>
      <c r="D493" s="57">
        <f>+SUMIF('Chi tiết NVL'!$I:$I,$A493,'Chi tiết NVL'!M:M)</f>
        <v/>
      </c>
      <c r="E493" s="57">
        <f>+SUMIF('Chi tiết NVL'!$I:$I,$A493,'Chi tiết NVL'!N:N)</f>
        <v/>
      </c>
      <c r="F493" s="57">
        <f>+SUMIF('Chi tiết NVL'!$I:$I,$A493,'Chi tiết NVL'!O:O)</f>
        <v/>
      </c>
      <c r="G493" s="57">
        <f>+SUMIF('Chi tiết NVL'!$I:$I,$A493,'Chi tiết NVL'!P:P)</f>
        <v/>
      </c>
      <c r="H493" s="57">
        <f>+SUMIF('Chi tiết NVL'!$I:$I,$A493,'Chi tiết NVL'!Q:Q)</f>
        <v/>
      </c>
      <c r="I493" s="57">
        <f>+SUMIF('Chi tiết NVL'!$I:$I,$A493,'Chi tiết NVL'!R:R)</f>
        <v/>
      </c>
      <c r="J493" s="57">
        <f>+SUMIF('Chi tiết NVL'!$I:$I,$A493,'Chi tiết NVL'!S:S)</f>
        <v/>
      </c>
    </row>
    <row r="494">
      <c r="A494" s="56" t="inlineStr">
        <is>
          <t>Bulong neo i M24x530, DIN 976, 4.6</t>
        </is>
      </c>
      <c r="B494" s="56">
        <f>+VLOOKUP(A494,'Chi tiết NVL'!$I$10:$J$4158,2,0)</f>
        <v/>
      </c>
      <c r="C494" s="57">
        <f>+SUMIF('Chi tiết NVL'!$I:$I,$A494,'Chi tiết NVL'!L:L)</f>
        <v/>
      </c>
      <c r="D494" s="57">
        <f>+SUMIF('Chi tiết NVL'!$I:$I,$A494,'Chi tiết NVL'!M:M)</f>
        <v/>
      </c>
      <c r="E494" s="57">
        <f>+SUMIF('Chi tiết NVL'!$I:$I,$A494,'Chi tiết NVL'!N:N)</f>
        <v/>
      </c>
      <c r="F494" s="57">
        <f>+SUMIF('Chi tiết NVL'!$I:$I,$A494,'Chi tiết NVL'!O:O)</f>
        <v/>
      </c>
      <c r="G494" s="57">
        <f>+SUMIF('Chi tiết NVL'!$I:$I,$A494,'Chi tiết NVL'!P:P)</f>
        <v/>
      </c>
      <c r="H494" s="57">
        <f>+SUMIF('Chi tiết NVL'!$I:$I,$A494,'Chi tiết NVL'!Q:Q)</f>
        <v/>
      </c>
      <c r="I494" s="57">
        <f>+SUMIF('Chi tiết NVL'!$I:$I,$A494,'Chi tiết NVL'!R:R)</f>
        <v/>
      </c>
      <c r="J494" s="57">
        <f>+SUMIF('Chi tiết NVL'!$I:$I,$A494,'Chi tiết NVL'!S:S)</f>
        <v/>
      </c>
    </row>
    <row r="495">
      <c r="A495" s="56" t="inlineStr">
        <is>
          <t>Thép tấm (57x365x11750mm)</t>
        </is>
      </c>
      <c r="B495" s="56">
        <f>+VLOOKUP(A495,'Chi tiết NVL'!$I$10:$J$4158,2,0)</f>
        <v/>
      </c>
      <c r="C495" s="57">
        <f>+SUMIF('Chi tiết NVL'!$I:$I,$A495,'Chi tiết NVL'!L:L)</f>
        <v/>
      </c>
      <c r="D495" s="57">
        <f>+SUMIF('Chi tiết NVL'!$I:$I,$A495,'Chi tiết NVL'!M:M)</f>
        <v/>
      </c>
      <c r="E495" s="57">
        <f>+SUMIF('Chi tiết NVL'!$I:$I,$A495,'Chi tiết NVL'!N:N)</f>
        <v/>
      </c>
      <c r="F495" s="57">
        <f>+SUMIF('Chi tiết NVL'!$I:$I,$A495,'Chi tiết NVL'!O:O)</f>
        <v/>
      </c>
      <c r="G495" s="57">
        <f>+SUMIF('Chi tiết NVL'!$I:$I,$A495,'Chi tiết NVL'!P:P)</f>
        <v/>
      </c>
      <c r="H495" s="57">
        <f>+SUMIF('Chi tiết NVL'!$I:$I,$A495,'Chi tiết NVL'!Q:Q)</f>
        <v/>
      </c>
      <c r="I495" s="57">
        <f>+SUMIF('Chi tiết NVL'!$I:$I,$A495,'Chi tiết NVL'!R:R)</f>
        <v/>
      </c>
      <c r="J495" s="57">
        <f>+SUMIF('Chi tiết NVL'!$I:$I,$A495,'Chi tiết NVL'!S:S)</f>
        <v/>
      </c>
    </row>
    <row r="496">
      <c r="A496" s="56" t="inlineStr">
        <is>
          <t>Thép tấm (57x365x11612mm)</t>
        </is>
      </c>
      <c r="B496" s="56">
        <f>+VLOOKUP(A496,'Chi tiết NVL'!$I$10:$J$4158,2,0)</f>
        <v/>
      </c>
      <c r="C496" s="57">
        <f>+SUMIF('Chi tiết NVL'!$I:$I,$A496,'Chi tiết NVL'!L:L)</f>
        <v/>
      </c>
      <c r="D496" s="57">
        <f>+SUMIF('Chi tiết NVL'!$I:$I,$A496,'Chi tiết NVL'!M:M)</f>
        <v/>
      </c>
      <c r="E496" s="57">
        <f>+SUMIF('Chi tiết NVL'!$I:$I,$A496,'Chi tiết NVL'!N:N)</f>
        <v/>
      </c>
      <c r="F496" s="57">
        <f>+SUMIF('Chi tiết NVL'!$I:$I,$A496,'Chi tiết NVL'!O:O)</f>
        <v/>
      </c>
      <c r="G496" s="57">
        <f>+SUMIF('Chi tiết NVL'!$I:$I,$A496,'Chi tiết NVL'!P:P)</f>
        <v/>
      </c>
      <c r="H496" s="57">
        <f>+SUMIF('Chi tiết NVL'!$I:$I,$A496,'Chi tiết NVL'!Q:Q)</f>
        <v/>
      </c>
      <c r="I496" s="57">
        <f>+SUMIF('Chi tiết NVL'!$I:$I,$A496,'Chi tiết NVL'!R:R)</f>
        <v/>
      </c>
      <c r="J496" s="57">
        <f>+SUMIF('Chi tiết NVL'!$I:$I,$A496,'Chi tiết NVL'!S:S)</f>
        <v/>
      </c>
    </row>
    <row r="497">
      <c r="A497" s="56" t="inlineStr">
        <is>
          <t>Thép tấm (57x365x6690mm)</t>
        </is>
      </c>
      <c r="B497" s="56">
        <f>+VLOOKUP(A497,'Chi tiết NVL'!$I$10:$J$4158,2,0)</f>
        <v/>
      </c>
      <c r="C497" s="57">
        <f>+SUMIF('Chi tiết NVL'!$I:$I,$A497,'Chi tiết NVL'!L:L)</f>
        <v/>
      </c>
      <c r="D497" s="57">
        <f>+SUMIF('Chi tiết NVL'!$I:$I,$A497,'Chi tiết NVL'!M:M)</f>
        <v/>
      </c>
      <c r="E497" s="57">
        <f>+SUMIF('Chi tiết NVL'!$I:$I,$A497,'Chi tiết NVL'!N:N)</f>
        <v/>
      </c>
      <c r="F497" s="57">
        <f>+SUMIF('Chi tiết NVL'!$I:$I,$A497,'Chi tiết NVL'!O:O)</f>
        <v/>
      </c>
      <c r="G497" s="57">
        <f>+SUMIF('Chi tiết NVL'!$I:$I,$A497,'Chi tiết NVL'!P:P)</f>
        <v/>
      </c>
      <c r="H497" s="57">
        <f>+SUMIF('Chi tiết NVL'!$I:$I,$A497,'Chi tiết NVL'!Q:Q)</f>
        <v/>
      </c>
      <c r="I497" s="57">
        <f>+SUMIF('Chi tiết NVL'!$I:$I,$A497,'Chi tiết NVL'!R:R)</f>
        <v/>
      </c>
      <c r="J497" s="57">
        <f>+SUMIF('Chi tiết NVL'!$I:$I,$A497,'Chi tiết NVL'!S:S)</f>
        <v/>
      </c>
    </row>
    <row r="498">
      <c r="A498" s="56" t="inlineStr">
        <is>
          <t>Thép tấm (57x365x6574mm)</t>
        </is>
      </c>
      <c r="B498" s="56">
        <f>+VLOOKUP(A498,'Chi tiết NVL'!$I$10:$J$4158,2,0)</f>
        <v/>
      </c>
      <c r="C498" s="57">
        <f>+SUMIF('Chi tiết NVL'!$I:$I,$A498,'Chi tiết NVL'!L:L)</f>
        <v/>
      </c>
      <c r="D498" s="57">
        <f>+SUMIF('Chi tiết NVL'!$I:$I,$A498,'Chi tiết NVL'!M:M)</f>
        <v/>
      </c>
      <c r="E498" s="57">
        <f>+SUMIF('Chi tiết NVL'!$I:$I,$A498,'Chi tiết NVL'!N:N)</f>
        <v/>
      </c>
      <c r="F498" s="57">
        <f>+SUMIF('Chi tiết NVL'!$I:$I,$A498,'Chi tiết NVL'!O:O)</f>
        <v/>
      </c>
      <c r="G498" s="57">
        <f>+SUMIF('Chi tiết NVL'!$I:$I,$A498,'Chi tiết NVL'!P:P)</f>
        <v/>
      </c>
      <c r="H498" s="57">
        <f>+SUMIF('Chi tiết NVL'!$I:$I,$A498,'Chi tiết NVL'!Q:Q)</f>
        <v/>
      </c>
      <c r="I498" s="57">
        <f>+SUMIF('Chi tiết NVL'!$I:$I,$A498,'Chi tiết NVL'!R:R)</f>
        <v/>
      </c>
      <c r="J498" s="57">
        <f>+SUMIF('Chi tiết NVL'!$I:$I,$A498,'Chi tiết NVL'!S:S)</f>
        <v/>
      </c>
    </row>
    <row r="499">
      <c r="A499" s="56" t="inlineStr">
        <is>
          <t>Thép tấm (57x365x5172mm)</t>
        </is>
      </c>
      <c r="B499" s="56">
        <f>+VLOOKUP(A499,'Chi tiết NVL'!$I$10:$J$4158,2,0)</f>
        <v/>
      </c>
      <c r="C499" s="57">
        <f>+SUMIF('Chi tiết NVL'!$I:$I,$A499,'Chi tiết NVL'!L:L)</f>
        <v/>
      </c>
      <c r="D499" s="57">
        <f>+SUMIF('Chi tiết NVL'!$I:$I,$A499,'Chi tiết NVL'!M:M)</f>
        <v/>
      </c>
      <c r="E499" s="57">
        <f>+SUMIF('Chi tiết NVL'!$I:$I,$A499,'Chi tiết NVL'!N:N)</f>
        <v/>
      </c>
      <c r="F499" s="57">
        <f>+SUMIF('Chi tiết NVL'!$I:$I,$A499,'Chi tiết NVL'!O:O)</f>
        <v/>
      </c>
      <c r="G499" s="57">
        <f>+SUMIF('Chi tiết NVL'!$I:$I,$A499,'Chi tiết NVL'!P:P)</f>
        <v/>
      </c>
      <c r="H499" s="57">
        <f>+SUMIF('Chi tiết NVL'!$I:$I,$A499,'Chi tiết NVL'!Q:Q)</f>
        <v/>
      </c>
      <c r="I499" s="57">
        <f>+SUMIF('Chi tiết NVL'!$I:$I,$A499,'Chi tiết NVL'!R:R)</f>
        <v/>
      </c>
      <c r="J499" s="57">
        <f>+SUMIF('Chi tiết NVL'!$I:$I,$A499,'Chi tiết NVL'!S:S)</f>
        <v/>
      </c>
    </row>
    <row r="500">
      <c r="A500" s="56" t="inlineStr">
        <is>
          <t>Thép tấm (56x346x939mm)</t>
        </is>
      </c>
      <c r="B500" s="56">
        <f>+VLOOKUP(A500,'Chi tiết NVL'!$I$10:$J$4158,2,0)</f>
        <v/>
      </c>
      <c r="C500" s="57">
        <f>+SUMIF('Chi tiết NVL'!$I:$I,$A500,'Chi tiết NVL'!L:L)</f>
        <v/>
      </c>
      <c r="D500" s="57">
        <f>+SUMIF('Chi tiết NVL'!$I:$I,$A500,'Chi tiết NVL'!M:M)</f>
        <v/>
      </c>
      <c r="E500" s="57">
        <f>+SUMIF('Chi tiết NVL'!$I:$I,$A500,'Chi tiết NVL'!N:N)</f>
        <v/>
      </c>
      <c r="F500" s="57">
        <f>+SUMIF('Chi tiết NVL'!$I:$I,$A500,'Chi tiết NVL'!O:O)</f>
        <v/>
      </c>
      <c r="G500" s="57">
        <f>+SUMIF('Chi tiết NVL'!$I:$I,$A500,'Chi tiết NVL'!P:P)</f>
        <v/>
      </c>
      <c r="H500" s="57">
        <f>+SUMIF('Chi tiết NVL'!$I:$I,$A500,'Chi tiết NVL'!Q:Q)</f>
        <v/>
      </c>
      <c r="I500" s="57">
        <f>+SUMIF('Chi tiết NVL'!$I:$I,$A500,'Chi tiết NVL'!R:R)</f>
        <v/>
      </c>
      <c r="J500" s="57">
        <f>+SUMIF('Chi tiết NVL'!$I:$I,$A500,'Chi tiết NVL'!S:S)</f>
        <v/>
      </c>
    </row>
    <row r="501">
      <c r="A501" s="56" t="inlineStr">
        <is>
          <t>Thép tấm (56x340x946mm)</t>
        </is>
      </c>
      <c r="B501" s="56">
        <f>+VLOOKUP(A501,'Chi tiết NVL'!$I$10:$J$4158,2,0)</f>
        <v/>
      </c>
      <c r="C501" s="57">
        <f>+SUMIF('Chi tiết NVL'!$I:$I,$A501,'Chi tiết NVL'!L:L)</f>
        <v/>
      </c>
      <c r="D501" s="57">
        <f>+SUMIF('Chi tiết NVL'!$I:$I,$A501,'Chi tiết NVL'!M:M)</f>
        <v/>
      </c>
      <c r="E501" s="57">
        <f>+SUMIF('Chi tiết NVL'!$I:$I,$A501,'Chi tiết NVL'!N:N)</f>
        <v/>
      </c>
      <c r="F501" s="57">
        <f>+SUMIF('Chi tiết NVL'!$I:$I,$A501,'Chi tiết NVL'!O:O)</f>
        <v/>
      </c>
      <c r="G501" s="57">
        <f>+SUMIF('Chi tiết NVL'!$I:$I,$A501,'Chi tiết NVL'!P:P)</f>
        <v/>
      </c>
      <c r="H501" s="57">
        <f>+SUMIF('Chi tiết NVL'!$I:$I,$A501,'Chi tiết NVL'!Q:Q)</f>
        <v/>
      </c>
      <c r="I501" s="57">
        <f>+SUMIF('Chi tiết NVL'!$I:$I,$A501,'Chi tiết NVL'!R:R)</f>
        <v/>
      </c>
      <c r="J501" s="57">
        <f>+SUMIF('Chi tiết NVL'!$I:$I,$A501,'Chi tiết NVL'!S:S)</f>
        <v/>
      </c>
    </row>
    <row r="502">
      <c r="A502" s="56" t="inlineStr">
        <is>
          <t>Thép tấm (56x340x931mm)</t>
        </is>
      </c>
      <c r="B502" s="56">
        <f>+VLOOKUP(A502,'Chi tiết NVL'!$I$10:$J$4158,2,0)</f>
        <v/>
      </c>
      <c r="C502" s="57">
        <f>+SUMIF('Chi tiết NVL'!$I:$I,$A502,'Chi tiết NVL'!L:L)</f>
        <v/>
      </c>
      <c r="D502" s="57">
        <f>+SUMIF('Chi tiết NVL'!$I:$I,$A502,'Chi tiết NVL'!M:M)</f>
        <v/>
      </c>
      <c r="E502" s="57">
        <f>+SUMIF('Chi tiết NVL'!$I:$I,$A502,'Chi tiết NVL'!N:N)</f>
        <v/>
      </c>
      <c r="F502" s="57">
        <f>+SUMIF('Chi tiết NVL'!$I:$I,$A502,'Chi tiết NVL'!O:O)</f>
        <v/>
      </c>
      <c r="G502" s="57">
        <f>+SUMIF('Chi tiết NVL'!$I:$I,$A502,'Chi tiết NVL'!P:P)</f>
        <v/>
      </c>
      <c r="H502" s="57">
        <f>+SUMIF('Chi tiết NVL'!$I:$I,$A502,'Chi tiết NVL'!Q:Q)</f>
        <v/>
      </c>
      <c r="I502" s="57">
        <f>+SUMIF('Chi tiết NVL'!$I:$I,$A502,'Chi tiết NVL'!R:R)</f>
        <v/>
      </c>
      <c r="J502" s="57">
        <f>+SUMIF('Chi tiết NVL'!$I:$I,$A502,'Chi tiết NVL'!S:S)</f>
        <v/>
      </c>
    </row>
    <row r="503">
      <c r="A503" s="56" t="inlineStr">
        <is>
          <t>Thép tấm (56x340x928mm)</t>
        </is>
      </c>
      <c r="B503" s="56">
        <f>+VLOOKUP(A503,'Chi tiết NVL'!$I$10:$J$4158,2,0)</f>
        <v/>
      </c>
      <c r="C503" s="57">
        <f>+SUMIF('Chi tiết NVL'!$I:$I,$A503,'Chi tiết NVL'!L:L)</f>
        <v/>
      </c>
      <c r="D503" s="57">
        <f>+SUMIF('Chi tiết NVL'!$I:$I,$A503,'Chi tiết NVL'!M:M)</f>
        <v/>
      </c>
      <c r="E503" s="57">
        <f>+SUMIF('Chi tiết NVL'!$I:$I,$A503,'Chi tiết NVL'!N:N)</f>
        <v/>
      </c>
      <c r="F503" s="57">
        <f>+SUMIF('Chi tiết NVL'!$I:$I,$A503,'Chi tiết NVL'!O:O)</f>
        <v/>
      </c>
      <c r="G503" s="57">
        <f>+SUMIF('Chi tiết NVL'!$I:$I,$A503,'Chi tiết NVL'!P:P)</f>
        <v/>
      </c>
      <c r="H503" s="57">
        <f>+SUMIF('Chi tiết NVL'!$I:$I,$A503,'Chi tiết NVL'!Q:Q)</f>
        <v/>
      </c>
      <c r="I503" s="57">
        <f>+SUMIF('Chi tiết NVL'!$I:$I,$A503,'Chi tiết NVL'!R:R)</f>
        <v/>
      </c>
      <c r="J503" s="57">
        <f>+SUMIF('Chi tiết NVL'!$I:$I,$A503,'Chi tiết NVL'!S:S)</f>
        <v/>
      </c>
    </row>
    <row r="504">
      <c r="A504" s="56" t="inlineStr">
        <is>
          <t>Thép tấm (56x330x817mm)</t>
        </is>
      </c>
      <c r="B504" s="56">
        <f>+VLOOKUP(A504,'Chi tiết NVL'!$I$10:$J$4158,2,0)</f>
        <v/>
      </c>
      <c r="C504" s="57">
        <f>+SUMIF('Chi tiết NVL'!$I:$I,$A504,'Chi tiết NVL'!L:L)</f>
        <v/>
      </c>
      <c r="D504" s="57">
        <f>+SUMIF('Chi tiết NVL'!$I:$I,$A504,'Chi tiết NVL'!M:M)</f>
        <v/>
      </c>
      <c r="E504" s="57">
        <f>+SUMIF('Chi tiết NVL'!$I:$I,$A504,'Chi tiết NVL'!N:N)</f>
        <v/>
      </c>
      <c r="F504" s="57">
        <f>+SUMIF('Chi tiết NVL'!$I:$I,$A504,'Chi tiết NVL'!O:O)</f>
        <v/>
      </c>
      <c r="G504" s="57">
        <f>+SUMIF('Chi tiết NVL'!$I:$I,$A504,'Chi tiết NVL'!P:P)</f>
        <v/>
      </c>
      <c r="H504" s="57">
        <f>+SUMIF('Chi tiết NVL'!$I:$I,$A504,'Chi tiết NVL'!Q:Q)</f>
        <v/>
      </c>
      <c r="I504" s="57">
        <f>+SUMIF('Chi tiết NVL'!$I:$I,$A504,'Chi tiết NVL'!R:R)</f>
        <v/>
      </c>
      <c r="J504" s="57">
        <f>+SUMIF('Chi tiết NVL'!$I:$I,$A504,'Chi tiết NVL'!S:S)</f>
        <v/>
      </c>
    </row>
    <row r="505">
      <c r="A505" s="56" t="inlineStr">
        <is>
          <t>Thép tấm (56x330x815mm)</t>
        </is>
      </c>
      <c r="B505" s="56">
        <f>+VLOOKUP(A505,'Chi tiết NVL'!$I$10:$J$4158,2,0)</f>
        <v/>
      </c>
      <c r="C505" s="57">
        <f>+SUMIF('Chi tiết NVL'!$I:$I,$A505,'Chi tiết NVL'!L:L)</f>
        <v/>
      </c>
      <c r="D505" s="57">
        <f>+SUMIF('Chi tiết NVL'!$I:$I,$A505,'Chi tiết NVL'!M:M)</f>
        <v/>
      </c>
      <c r="E505" s="57">
        <f>+SUMIF('Chi tiết NVL'!$I:$I,$A505,'Chi tiết NVL'!N:N)</f>
        <v/>
      </c>
      <c r="F505" s="57">
        <f>+SUMIF('Chi tiết NVL'!$I:$I,$A505,'Chi tiết NVL'!O:O)</f>
        <v/>
      </c>
      <c r="G505" s="57">
        <f>+SUMIF('Chi tiết NVL'!$I:$I,$A505,'Chi tiết NVL'!P:P)</f>
        <v/>
      </c>
      <c r="H505" s="57">
        <f>+SUMIF('Chi tiết NVL'!$I:$I,$A505,'Chi tiết NVL'!Q:Q)</f>
        <v/>
      </c>
      <c r="I505" s="57">
        <f>+SUMIF('Chi tiết NVL'!$I:$I,$A505,'Chi tiết NVL'!R:R)</f>
        <v/>
      </c>
      <c r="J505" s="57">
        <f>+SUMIF('Chi tiết NVL'!$I:$I,$A505,'Chi tiết NVL'!S:S)</f>
        <v/>
      </c>
    </row>
    <row r="506">
      <c r="A506" s="56" t="inlineStr">
        <is>
          <t>Thép tấm (56x255x650mm)</t>
        </is>
      </c>
      <c r="B506" s="56">
        <f>+VLOOKUP(A506,'Chi tiết NVL'!$I$10:$J$4158,2,0)</f>
        <v/>
      </c>
      <c r="C506" s="57">
        <f>+SUMIF('Chi tiết NVL'!$I:$I,$A506,'Chi tiết NVL'!L:L)</f>
        <v/>
      </c>
      <c r="D506" s="57">
        <f>+SUMIF('Chi tiết NVL'!$I:$I,$A506,'Chi tiết NVL'!M:M)</f>
        <v/>
      </c>
      <c r="E506" s="57">
        <f>+SUMIF('Chi tiết NVL'!$I:$I,$A506,'Chi tiết NVL'!N:N)</f>
        <v/>
      </c>
      <c r="F506" s="57">
        <f>+SUMIF('Chi tiết NVL'!$I:$I,$A506,'Chi tiết NVL'!O:O)</f>
        <v/>
      </c>
      <c r="G506" s="57">
        <f>+SUMIF('Chi tiết NVL'!$I:$I,$A506,'Chi tiết NVL'!P:P)</f>
        <v/>
      </c>
      <c r="H506" s="57">
        <f>+SUMIF('Chi tiết NVL'!$I:$I,$A506,'Chi tiết NVL'!Q:Q)</f>
        <v/>
      </c>
      <c r="I506" s="57">
        <f>+SUMIF('Chi tiết NVL'!$I:$I,$A506,'Chi tiết NVL'!R:R)</f>
        <v/>
      </c>
      <c r="J506" s="57">
        <f>+SUMIF('Chi tiết NVL'!$I:$I,$A506,'Chi tiết NVL'!S:S)</f>
        <v/>
      </c>
    </row>
    <row r="507">
      <c r="A507" s="56" t="inlineStr">
        <is>
          <t>Thép tấm (60x335x7402mm)</t>
        </is>
      </c>
      <c r="B507" s="56">
        <f>+VLOOKUP(A507,'Chi tiết NVL'!$I$10:$J$4158,2,0)</f>
        <v/>
      </c>
      <c r="C507" s="57">
        <f>+SUMIF('Chi tiết NVL'!$I:$I,$A507,'Chi tiết NVL'!L:L)</f>
        <v/>
      </c>
      <c r="D507" s="57">
        <f>+SUMIF('Chi tiết NVL'!$I:$I,$A507,'Chi tiết NVL'!M:M)</f>
        <v/>
      </c>
      <c r="E507" s="57">
        <f>+SUMIF('Chi tiết NVL'!$I:$I,$A507,'Chi tiết NVL'!N:N)</f>
        <v/>
      </c>
      <c r="F507" s="57">
        <f>+SUMIF('Chi tiết NVL'!$I:$I,$A507,'Chi tiết NVL'!O:O)</f>
        <v/>
      </c>
      <c r="G507" s="57">
        <f>+SUMIF('Chi tiết NVL'!$I:$I,$A507,'Chi tiết NVL'!P:P)</f>
        <v/>
      </c>
      <c r="H507" s="57">
        <f>+SUMIF('Chi tiết NVL'!$I:$I,$A507,'Chi tiết NVL'!Q:Q)</f>
        <v/>
      </c>
      <c r="I507" s="57">
        <f>+SUMIF('Chi tiết NVL'!$I:$I,$A507,'Chi tiết NVL'!R:R)</f>
        <v/>
      </c>
      <c r="J507" s="57">
        <f>+SUMIF('Chi tiết NVL'!$I:$I,$A507,'Chi tiết NVL'!S:S)</f>
        <v/>
      </c>
    </row>
    <row r="508">
      <c r="A508" s="56" t="inlineStr">
        <is>
          <t>Thép tấm (60x335x6198mm)</t>
        </is>
      </c>
      <c r="B508" s="56">
        <f>+VLOOKUP(A508,'Chi tiết NVL'!$I$10:$J$4158,2,0)</f>
        <v/>
      </c>
      <c r="C508" s="57">
        <f>+SUMIF('Chi tiết NVL'!$I:$I,$A508,'Chi tiết NVL'!L:L)</f>
        <v/>
      </c>
      <c r="D508" s="57">
        <f>+SUMIF('Chi tiết NVL'!$I:$I,$A508,'Chi tiết NVL'!M:M)</f>
        <v/>
      </c>
      <c r="E508" s="57">
        <f>+SUMIF('Chi tiết NVL'!$I:$I,$A508,'Chi tiết NVL'!N:N)</f>
        <v/>
      </c>
      <c r="F508" s="57">
        <f>+SUMIF('Chi tiết NVL'!$I:$I,$A508,'Chi tiết NVL'!O:O)</f>
        <v/>
      </c>
      <c r="G508" s="57">
        <f>+SUMIF('Chi tiết NVL'!$I:$I,$A508,'Chi tiết NVL'!P:P)</f>
        <v/>
      </c>
      <c r="H508" s="57">
        <f>+SUMIF('Chi tiết NVL'!$I:$I,$A508,'Chi tiết NVL'!Q:Q)</f>
        <v/>
      </c>
      <c r="I508" s="57">
        <f>+SUMIF('Chi tiết NVL'!$I:$I,$A508,'Chi tiết NVL'!R:R)</f>
        <v/>
      </c>
      <c r="J508" s="57">
        <f>+SUMIF('Chi tiết NVL'!$I:$I,$A508,'Chi tiết NVL'!S:S)</f>
        <v/>
      </c>
    </row>
    <row r="509">
      <c r="A509" s="56" t="inlineStr">
        <is>
          <t>Thép tấm (60x335x6193mm)</t>
        </is>
      </c>
      <c r="B509" s="56">
        <f>+VLOOKUP(A509,'Chi tiết NVL'!$I$10:$J$4158,2,0)</f>
        <v/>
      </c>
      <c r="C509" s="57">
        <f>+SUMIF('Chi tiết NVL'!$I:$I,$A509,'Chi tiết NVL'!L:L)</f>
        <v/>
      </c>
      <c r="D509" s="57">
        <f>+SUMIF('Chi tiết NVL'!$I:$I,$A509,'Chi tiết NVL'!M:M)</f>
        <v/>
      </c>
      <c r="E509" s="57">
        <f>+SUMIF('Chi tiết NVL'!$I:$I,$A509,'Chi tiết NVL'!N:N)</f>
        <v/>
      </c>
      <c r="F509" s="57">
        <f>+SUMIF('Chi tiết NVL'!$I:$I,$A509,'Chi tiết NVL'!O:O)</f>
        <v/>
      </c>
      <c r="G509" s="57">
        <f>+SUMIF('Chi tiết NVL'!$I:$I,$A509,'Chi tiết NVL'!P:P)</f>
        <v/>
      </c>
      <c r="H509" s="57">
        <f>+SUMIF('Chi tiết NVL'!$I:$I,$A509,'Chi tiết NVL'!Q:Q)</f>
        <v/>
      </c>
      <c r="I509" s="57">
        <f>+SUMIF('Chi tiết NVL'!$I:$I,$A509,'Chi tiết NVL'!R:R)</f>
        <v/>
      </c>
      <c r="J509" s="57">
        <f>+SUMIF('Chi tiết NVL'!$I:$I,$A509,'Chi tiết NVL'!S:S)</f>
        <v/>
      </c>
    </row>
    <row r="510">
      <c r="A510" s="56" t="inlineStr">
        <is>
          <t>Thép tấm (60x335x5758mm)</t>
        </is>
      </c>
      <c r="B510" s="56">
        <f>+VLOOKUP(A510,'Chi tiết NVL'!$I$10:$J$4158,2,0)</f>
        <v/>
      </c>
      <c r="C510" s="57">
        <f>+SUMIF('Chi tiết NVL'!$I:$I,$A510,'Chi tiết NVL'!L:L)</f>
        <v/>
      </c>
      <c r="D510" s="57">
        <f>+SUMIF('Chi tiết NVL'!$I:$I,$A510,'Chi tiết NVL'!M:M)</f>
        <v/>
      </c>
      <c r="E510" s="57">
        <f>+SUMIF('Chi tiết NVL'!$I:$I,$A510,'Chi tiết NVL'!N:N)</f>
        <v/>
      </c>
      <c r="F510" s="57">
        <f>+SUMIF('Chi tiết NVL'!$I:$I,$A510,'Chi tiết NVL'!O:O)</f>
        <v/>
      </c>
      <c r="G510" s="57">
        <f>+SUMIF('Chi tiết NVL'!$I:$I,$A510,'Chi tiết NVL'!P:P)</f>
        <v/>
      </c>
      <c r="H510" s="57">
        <f>+SUMIF('Chi tiết NVL'!$I:$I,$A510,'Chi tiết NVL'!Q:Q)</f>
        <v/>
      </c>
      <c r="I510" s="57">
        <f>+SUMIF('Chi tiết NVL'!$I:$I,$A510,'Chi tiết NVL'!R:R)</f>
        <v/>
      </c>
      <c r="J510" s="57">
        <f>+SUMIF('Chi tiết NVL'!$I:$I,$A510,'Chi tiết NVL'!S:S)</f>
        <v/>
      </c>
    </row>
    <row r="511">
      <c r="A511" s="56" t="inlineStr">
        <is>
          <t>Thép tấm (60x335x5747mm)</t>
        </is>
      </c>
      <c r="B511" s="56">
        <f>+VLOOKUP(A511,'Chi tiết NVL'!$I$10:$J$4158,2,0)</f>
        <v/>
      </c>
      <c r="C511" s="57">
        <f>+SUMIF('Chi tiết NVL'!$I:$I,$A511,'Chi tiết NVL'!L:L)</f>
        <v/>
      </c>
      <c r="D511" s="57">
        <f>+SUMIF('Chi tiết NVL'!$I:$I,$A511,'Chi tiết NVL'!M:M)</f>
        <v/>
      </c>
      <c r="E511" s="57">
        <f>+SUMIF('Chi tiết NVL'!$I:$I,$A511,'Chi tiết NVL'!N:N)</f>
        <v/>
      </c>
      <c r="F511" s="57">
        <f>+SUMIF('Chi tiết NVL'!$I:$I,$A511,'Chi tiết NVL'!O:O)</f>
        <v/>
      </c>
      <c r="G511" s="57">
        <f>+SUMIF('Chi tiết NVL'!$I:$I,$A511,'Chi tiết NVL'!P:P)</f>
        <v/>
      </c>
      <c r="H511" s="57">
        <f>+SUMIF('Chi tiết NVL'!$I:$I,$A511,'Chi tiết NVL'!Q:Q)</f>
        <v/>
      </c>
      <c r="I511" s="57">
        <f>+SUMIF('Chi tiết NVL'!$I:$I,$A511,'Chi tiết NVL'!R:R)</f>
        <v/>
      </c>
      <c r="J511" s="57">
        <f>+SUMIF('Chi tiết NVL'!$I:$I,$A511,'Chi tiết NVL'!S:S)</f>
        <v/>
      </c>
    </row>
    <row r="512">
      <c r="A512" s="56" t="inlineStr">
        <is>
          <t>Thép tấm (60x335x5317mm)</t>
        </is>
      </c>
      <c r="B512" s="56">
        <f>+VLOOKUP(A512,'Chi tiết NVL'!$I$10:$J$4158,2,0)</f>
        <v/>
      </c>
      <c r="C512" s="57">
        <f>+SUMIF('Chi tiết NVL'!$I:$I,$A512,'Chi tiết NVL'!L:L)</f>
        <v/>
      </c>
      <c r="D512" s="57">
        <f>+SUMIF('Chi tiết NVL'!$I:$I,$A512,'Chi tiết NVL'!M:M)</f>
        <v/>
      </c>
      <c r="E512" s="57">
        <f>+SUMIF('Chi tiết NVL'!$I:$I,$A512,'Chi tiết NVL'!N:N)</f>
        <v/>
      </c>
      <c r="F512" s="57">
        <f>+SUMIF('Chi tiết NVL'!$I:$I,$A512,'Chi tiết NVL'!O:O)</f>
        <v/>
      </c>
      <c r="G512" s="57">
        <f>+SUMIF('Chi tiết NVL'!$I:$I,$A512,'Chi tiết NVL'!P:P)</f>
        <v/>
      </c>
      <c r="H512" s="57">
        <f>+SUMIF('Chi tiết NVL'!$I:$I,$A512,'Chi tiết NVL'!Q:Q)</f>
        <v/>
      </c>
      <c r="I512" s="57">
        <f>+SUMIF('Chi tiết NVL'!$I:$I,$A512,'Chi tiết NVL'!R:R)</f>
        <v/>
      </c>
      <c r="J512" s="57">
        <f>+SUMIF('Chi tiết NVL'!$I:$I,$A512,'Chi tiết NVL'!S:S)</f>
        <v/>
      </c>
    </row>
    <row r="513">
      <c r="A513" s="56" t="inlineStr">
        <is>
          <t>Thép tấm (60x335x5301mm)</t>
        </is>
      </c>
      <c r="B513" s="56">
        <f>+VLOOKUP(A513,'Chi tiết NVL'!$I$10:$J$4158,2,0)</f>
        <v/>
      </c>
      <c r="C513" s="57">
        <f>+SUMIF('Chi tiết NVL'!$I:$I,$A513,'Chi tiết NVL'!L:L)</f>
        <v/>
      </c>
      <c r="D513" s="57">
        <f>+SUMIF('Chi tiết NVL'!$I:$I,$A513,'Chi tiết NVL'!M:M)</f>
        <v/>
      </c>
      <c r="E513" s="57">
        <f>+SUMIF('Chi tiết NVL'!$I:$I,$A513,'Chi tiết NVL'!N:N)</f>
        <v/>
      </c>
      <c r="F513" s="57">
        <f>+SUMIF('Chi tiết NVL'!$I:$I,$A513,'Chi tiết NVL'!O:O)</f>
        <v/>
      </c>
      <c r="G513" s="57">
        <f>+SUMIF('Chi tiết NVL'!$I:$I,$A513,'Chi tiết NVL'!P:P)</f>
        <v/>
      </c>
      <c r="H513" s="57">
        <f>+SUMIF('Chi tiết NVL'!$I:$I,$A513,'Chi tiết NVL'!Q:Q)</f>
        <v/>
      </c>
      <c r="I513" s="57">
        <f>+SUMIF('Chi tiết NVL'!$I:$I,$A513,'Chi tiết NVL'!R:R)</f>
        <v/>
      </c>
      <c r="J513" s="57">
        <f>+SUMIF('Chi tiết NVL'!$I:$I,$A513,'Chi tiết NVL'!S:S)</f>
        <v/>
      </c>
    </row>
    <row r="514">
      <c r="A514" s="56" t="inlineStr">
        <is>
          <t>Thép tấm (60x335x4877mm)</t>
        </is>
      </c>
      <c r="B514" s="56">
        <f>+VLOOKUP(A514,'Chi tiết NVL'!$I$10:$J$4158,2,0)</f>
        <v/>
      </c>
      <c r="C514" s="57">
        <f>+SUMIF('Chi tiết NVL'!$I:$I,$A514,'Chi tiết NVL'!L:L)</f>
        <v/>
      </c>
      <c r="D514" s="57">
        <f>+SUMIF('Chi tiết NVL'!$I:$I,$A514,'Chi tiết NVL'!M:M)</f>
        <v/>
      </c>
      <c r="E514" s="57">
        <f>+SUMIF('Chi tiết NVL'!$I:$I,$A514,'Chi tiết NVL'!N:N)</f>
        <v/>
      </c>
      <c r="F514" s="57">
        <f>+SUMIF('Chi tiết NVL'!$I:$I,$A514,'Chi tiết NVL'!O:O)</f>
        <v/>
      </c>
      <c r="G514" s="57">
        <f>+SUMIF('Chi tiết NVL'!$I:$I,$A514,'Chi tiết NVL'!P:P)</f>
        <v/>
      </c>
      <c r="H514" s="57">
        <f>+SUMIF('Chi tiết NVL'!$I:$I,$A514,'Chi tiết NVL'!Q:Q)</f>
        <v/>
      </c>
      <c r="I514" s="57">
        <f>+SUMIF('Chi tiết NVL'!$I:$I,$A514,'Chi tiết NVL'!R:R)</f>
        <v/>
      </c>
      <c r="J514" s="57">
        <f>+SUMIF('Chi tiết NVL'!$I:$I,$A514,'Chi tiết NVL'!S:S)</f>
        <v/>
      </c>
    </row>
    <row r="515">
      <c r="A515" s="56" t="inlineStr">
        <is>
          <t>Thép tấm (60x335x4855mm)</t>
        </is>
      </c>
      <c r="B515" s="56">
        <f>+VLOOKUP(A515,'Chi tiết NVL'!$I$10:$J$4158,2,0)</f>
        <v/>
      </c>
      <c r="C515" s="57">
        <f>+SUMIF('Chi tiết NVL'!$I:$I,$A515,'Chi tiết NVL'!L:L)</f>
        <v/>
      </c>
      <c r="D515" s="57">
        <f>+SUMIF('Chi tiết NVL'!$I:$I,$A515,'Chi tiết NVL'!M:M)</f>
        <v/>
      </c>
      <c r="E515" s="57">
        <f>+SUMIF('Chi tiết NVL'!$I:$I,$A515,'Chi tiết NVL'!N:N)</f>
        <v/>
      </c>
      <c r="F515" s="57">
        <f>+SUMIF('Chi tiết NVL'!$I:$I,$A515,'Chi tiết NVL'!O:O)</f>
        <v/>
      </c>
      <c r="G515" s="57">
        <f>+SUMIF('Chi tiết NVL'!$I:$I,$A515,'Chi tiết NVL'!P:P)</f>
        <v/>
      </c>
      <c r="H515" s="57">
        <f>+SUMIF('Chi tiết NVL'!$I:$I,$A515,'Chi tiết NVL'!Q:Q)</f>
        <v/>
      </c>
      <c r="I515" s="57">
        <f>+SUMIF('Chi tiết NVL'!$I:$I,$A515,'Chi tiết NVL'!R:R)</f>
        <v/>
      </c>
      <c r="J515" s="57">
        <f>+SUMIF('Chi tiết NVL'!$I:$I,$A515,'Chi tiết NVL'!S:S)</f>
        <v/>
      </c>
    </row>
    <row r="516">
      <c r="A516" s="56" t="inlineStr">
        <is>
          <t>Thép tấm (70x433x742mm)</t>
        </is>
      </c>
      <c r="B516" s="56">
        <f>+VLOOKUP(A516,'Chi tiết NVL'!$I$10:$J$4158,2,0)</f>
        <v/>
      </c>
      <c r="C516" s="57">
        <f>+SUMIF('Chi tiết NVL'!$I:$I,$A516,'Chi tiết NVL'!L:L)</f>
        <v/>
      </c>
      <c r="D516" s="57">
        <f>+SUMIF('Chi tiết NVL'!$I:$I,$A516,'Chi tiết NVL'!M:M)</f>
        <v/>
      </c>
      <c r="E516" s="57">
        <f>+SUMIF('Chi tiết NVL'!$I:$I,$A516,'Chi tiết NVL'!N:N)</f>
        <v/>
      </c>
      <c r="F516" s="57">
        <f>+SUMIF('Chi tiết NVL'!$I:$I,$A516,'Chi tiết NVL'!O:O)</f>
        <v/>
      </c>
      <c r="G516" s="57">
        <f>+SUMIF('Chi tiết NVL'!$I:$I,$A516,'Chi tiết NVL'!P:P)</f>
        <v/>
      </c>
      <c r="H516" s="57">
        <f>+SUMIF('Chi tiết NVL'!$I:$I,$A516,'Chi tiết NVL'!Q:Q)</f>
        <v/>
      </c>
      <c r="I516" s="57">
        <f>+SUMIF('Chi tiết NVL'!$I:$I,$A516,'Chi tiết NVL'!R:R)</f>
        <v/>
      </c>
      <c r="J516" s="57">
        <f>+SUMIF('Chi tiết NVL'!$I:$I,$A516,'Chi tiết NVL'!S:S)</f>
        <v/>
      </c>
    </row>
    <row r="517">
      <c r="A517" s="56" t="inlineStr">
        <is>
          <t>Thép tấm (70x338x921mm)</t>
        </is>
      </c>
      <c r="B517" s="56">
        <f>+VLOOKUP(A517,'Chi tiết NVL'!$I$10:$J$4158,2,0)</f>
        <v/>
      </c>
      <c r="C517" s="57">
        <f>+SUMIF('Chi tiết NVL'!$I:$I,$A517,'Chi tiết NVL'!L:L)</f>
        <v/>
      </c>
      <c r="D517" s="57">
        <f>+SUMIF('Chi tiết NVL'!$I:$I,$A517,'Chi tiết NVL'!M:M)</f>
        <v/>
      </c>
      <c r="E517" s="57">
        <f>+SUMIF('Chi tiết NVL'!$I:$I,$A517,'Chi tiết NVL'!N:N)</f>
        <v/>
      </c>
      <c r="F517" s="57">
        <f>+SUMIF('Chi tiết NVL'!$I:$I,$A517,'Chi tiết NVL'!O:O)</f>
        <v/>
      </c>
      <c r="G517" s="57">
        <f>+SUMIF('Chi tiết NVL'!$I:$I,$A517,'Chi tiết NVL'!P:P)</f>
        <v/>
      </c>
      <c r="H517" s="57">
        <f>+SUMIF('Chi tiết NVL'!$I:$I,$A517,'Chi tiết NVL'!Q:Q)</f>
        <v/>
      </c>
      <c r="I517" s="57">
        <f>+SUMIF('Chi tiết NVL'!$I:$I,$A517,'Chi tiết NVL'!R:R)</f>
        <v/>
      </c>
      <c r="J517" s="57">
        <f>+SUMIF('Chi tiết NVL'!$I:$I,$A517,'Chi tiết NVL'!S:S)</f>
        <v/>
      </c>
    </row>
    <row r="518">
      <c r="A518" s="56" t="inlineStr">
        <is>
          <t>Thép tấm (70x332x905mm)</t>
        </is>
      </c>
      <c r="B518" s="56">
        <f>+VLOOKUP(A518,'Chi tiết NVL'!$I$10:$J$4158,2,0)</f>
        <v/>
      </c>
      <c r="C518" s="57">
        <f>+SUMIF('Chi tiết NVL'!$I:$I,$A518,'Chi tiết NVL'!L:L)</f>
        <v/>
      </c>
      <c r="D518" s="57">
        <f>+SUMIF('Chi tiết NVL'!$I:$I,$A518,'Chi tiết NVL'!M:M)</f>
        <v/>
      </c>
      <c r="E518" s="57">
        <f>+SUMIF('Chi tiết NVL'!$I:$I,$A518,'Chi tiết NVL'!N:N)</f>
        <v/>
      </c>
      <c r="F518" s="57">
        <f>+SUMIF('Chi tiết NVL'!$I:$I,$A518,'Chi tiết NVL'!O:O)</f>
        <v/>
      </c>
      <c r="G518" s="57">
        <f>+SUMIF('Chi tiết NVL'!$I:$I,$A518,'Chi tiết NVL'!P:P)</f>
        <v/>
      </c>
      <c r="H518" s="57">
        <f>+SUMIF('Chi tiết NVL'!$I:$I,$A518,'Chi tiết NVL'!Q:Q)</f>
        <v/>
      </c>
      <c r="I518" s="57">
        <f>+SUMIF('Chi tiết NVL'!$I:$I,$A518,'Chi tiết NVL'!R:R)</f>
        <v/>
      </c>
      <c r="J518" s="57">
        <f>+SUMIF('Chi tiết NVL'!$I:$I,$A518,'Chi tiết NVL'!S:S)</f>
        <v/>
      </c>
    </row>
    <row r="519">
      <c r="A519" s="56" t="inlineStr">
        <is>
          <t>Thép tấm (89x450x7402mm)</t>
        </is>
      </c>
      <c r="B519" s="56">
        <f>+VLOOKUP(A519,'Chi tiết NVL'!$I$10:$J$4158,2,0)</f>
        <v/>
      </c>
      <c r="C519" s="57">
        <f>+SUMIF('Chi tiết NVL'!$I:$I,$A519,'Chi tiết NVL'!L:L)</f>
        <v/>
      </c>
      <c r="D519" s="57">
        <f>+SUMIF('Chi tiết NVL'!$I:$I,$A519,'Chi tiết NVL'!M:M)</f>
        <v/>
      </c>
      <c r="E519" s="57">
        <f>+SUMIF('Chi tiết NVL'!$I:$I,$A519,'Chi tiết NVL'!N:N)</f>
        <v/>
      </c>
      <c r="F519" s="57">
        <f>+SUMIF('Chi tiết NVL'!$I:$I,$A519,'Chi tiết NVL'!O:O)</f>
        <v/>
      </c>
      <c r="G519" s="57">
        <f>+SUMIF('Chi tiết NVL'!$I:$I,$A519,'Chi tiết NVL'!P:P)</f>
        <v/>
      </c>
      <c r="H519" s="57">
        <f>+SUMIF('Chi tiết NVL'!$I:$I,$A519,'Chi tiết NVL'!Q:Q)</f>
        <v/>
      </c>
      <c r="I519" s="57">
        <f>+SUMIF('Chi tiết NVL'!$I:$I,$A519,'Chi tiết NVL'!R:R)</f>
        <v/>
      </c>
      <c r="J519" s="57">
        <f>+SUMIF('Chi tiết NVL'!$I:$I,$A519,'Chi tiết NVL'!S:S)</f>
        <v/>
      </c>
    </row>
    <row r="520">
      <c r="A520" s="56" t="inlineStr">
        <is>
          <t>Thép tấm (91x450x5336mm)</t>
        </is>
      </c>
      <c r="B520" s="56">
        <f>+VLOOKUP(A520,'Chi tiết NVL'!$I$10:$J$4158,2,0)</f>
        <v/>
      </c>
      <c r="C520" s="57">
        <f>+SUMIF('Chi tiết NVL'!$I:$I,$A520,'Chi tiết NVL'!L:L)</f>
        <v/>
      </c>
      <c r="D520" s="57">
        <f>+SUMIF('Chi tiết NVL'!$I:$I,$A520,'Chi tiết NVL'!M:M)</f>
        <v/>
      </c>
      <c r="E520" s="57">
        <f>+SUMIF('Chi tiết NVL'!$I:$I,$A520,'Chi tiết NVL'!N:N)</f>
        <v/>
      </c>
      <c r="F520" s="57">
        <f>+SUMIF('Chi tiết NVL'!$I:$I,$A520,'Chi tiết NVL'!O:O)</f>
        <v/>
      </c>
      <c r="G520" s="57">
        <f>+SUMIF('Chi tiết NVL'!$I:$I,$A520,'Chi tiết NVL'!P:P)</f>
        <v/>
      </c>
      <c r="H520" s="57">
        <f>+SUMIF('Chi tiết NVL'!$I:$I,$A520,'Chi tiết NVL'!Q:Q)</f>
        <v/>
      </c>
      <c r="I520" s="57">
        <f>+SUMIF('Chi tiết NVL'!$I:$I,$A520,'Chi tiết NVL'!R:R)</f>
        <v/>
      </c>
      <c r="J520" s="57">
        <f>+SUMIF('Chi tiết NVL'!$I:$I,$A520,'Chi tiết NVL'!S:S)</f>
        <v/>
      </c>
    </row>
    <row r="521">
      <c r="A521" s="56" t="inlineStr">
        <is>
          <t>Thép tấm (89x450x4895mm)</t>
        </is>
      </c>
      <c r="B521" s="56">
        <f>+VLOOKUP(A521,'Chi tiết NVL'!$I$10:$J$4158,2,0)</f>
        <v/>
      </c>
      <c r="C521" s="57">
        <f>+SUMIF('Chi tiết NVL'!$I:$I,$A521,'Chi tiết NVL'!L:L)</f>
        <v/>
      </c>
      <c r="D521" s="57">
        <f>+SUMIF('Chi tiết NVL'!$I:$I,$A521,'Chi tiết NVL'!M:M)</f>
        <v/>
      </c>
      <c r="E521" s="57">
        <f>+SUMIF('Chi tiết NVL'!$I:$I,$A521,'Chi tiết NVL'!N:N)</f>
        <v/>
      </c>
      <c r="F521" s="57">
        <f>+SUMIF('Chi tiết NVL'!$I:$I,$A521,'Chi tiết NVL'!O:O)</f>
        <v/>
      </c>
      <c r="G521" s="57">
        <f>+SUMIF('Chi tiết NVL'!$I:$I,$A521,'Chi tiết NVL'!P:P)</f>
        <v/>
      </c>
      <c r="H521" s="57">
        <f>+SUMIF('Chi tiết NVL'!$I:$I,$A521,'Chi tiết NVL'!Q:Q)</f>
        <v/>
      </c>
      <c r="I521" s="57">
        <f>+SUMIF('Chi tiết NVL'!$I:$I,$A521,'Chi tiết NVL'!R:R)</f>
        <v/>
      </c>
      <c r="J521" s="57">
        <f>+SUMIF('Chi tiết NVL'!$I:$I,$A521,'Chi tiết NVL'!S:S)</f>
        <v/>
      </c>
    </row>
    <row r="522">
      <c r="A522" s="56" t="inlineStr">
        <is>
          <t>Thép tấm (89x450x4874mm)</t>
        </is>
      </c>
      <c r="B522" s="56">
        <f>+VLOOKUP(A522,'Chi tiết NVL'!$I$10:$J$4158,2,0)</f>
        <v/>
      </c>
      <c r="C522" s="57">
        <f>+SUMIF('Chi tiết NVL'!$I:$I,$A522,'Chi tiết NVL'!L:L)</f>
        <v/>
      </c>
      <c r="D522" s="57">
        <f>+SUMIF('Chi tiết NVL'!$I:$I,$A522,'Chi tiết NVL'!M:M)</f>
        <v/>
      </c>
      <c r="E522" s="57">
        <f>+SUMIF('Chi tiết NVL'!$I:$I,$A522,'Chi tiết NVL'!N:N)</f>
        <v/>
      </c>
      <c r="F522" s="57">
        <f>+SUMIF('Chi tiết NVL'!$I:$I,$A522,'Chi tiết NVL'!O:O)</f>
        <v/>
      </c>
      <c r="G522" s="57">
        <f>+SUMIF('Chi tiết NVL'!$I:$I,$A522,'Chi tiết NVL'!P:P)</f>
        <v/>
      </c>
      <c r="H522" s="57">
        <f>+SUMIF('Chi tiết NVL'!$I:$I,$A522,'Chi tiết NVL'!Q:Q)</f>
        <v/>
      </c>
      <c r="I522" s="57">
        <f>+SUMIF('Chi tiết NVL'!$I:$I,$A522,'Chi tiết NVL'!R:R)</f>
        <v/>
      </c>
      <c r="J522" s="57">
        <f>+SUMIF('Chi tiết NVL'!$I:$I,$A522,'Chi tiết NVL'!S:S)</f>
        <v/>
      </c>
    </row>
    <row r="523">
      <c r="A523" s="56" t="inlineStr">
        <is>
          <t>Thép tấm (89x450x4728mm)</t>
        </is>
      </c>
      <c r="B523" s="56">
        <f>+VLOOKUP(A523,'Chi tiết NVL'!$I$10:$J$4158,2,0)</f>
        <v/>
      </c>
      <c r="C523" s="57">
        <f>+SUMIF('Chi tiết NVL'!$I:$I,$A523,'Chi tiết NVL'!L:L)</f>
        <v/>
      </c>
      <c r="D523" s="57">
        <f>+SUMIF('Chi tiết NVL'!$I:$I,$A523,'Chi tiết NVL'!M:M)</f>
        <v/>
      </c>
      <c r="E523" s="57">
        <f>+SUMIF('Chi tiết NVL'!$I:$I,$A523,'Chi tiết NVL'!N:N)</f>
        <v/>
      </c>
      <c r="F523" s="57">
        <f>+SUMIF('Chi tiết NVL'!$I:$I,$A523,'Chi tiết NVL'!O:O)</f>
        <v/>
      </c>
      <c r="G523" s="57">
        <f>+SUMIF('Chi tiết NVL'!$I:$I,$A523,'Chi tiết NVL'!P:P)</f>
        <v/>
      </c>
      <c r="H523" s="57">
        <f>+SUMIF('Chi tiết NVL'!$I:$I,$A523,'Chi tiết NVL'!Q:Q)</f>
        <v/>
      </c>
      <c r="I523" s="57">
        <f>+SUMIF('Chi tiết NVL'!$I:$I,$A523,'Chi tiết NVL'!R:R)</f>
        <v/>
      </c>
      <c r="J523" s="57">
        <f>+SUMIF('Chi tiết NVL'!$I:$I,$A523,'Chi tiết NVL'!S:S)</f>
        <v/>
      </c>
    </row>
    <row r="524">
      <c r="A524" s="56" t="inlineStr">
        <is>
          <t>Thép tấm (91x450x3482mm)</t>
        </is>
      </c>
      <c r="B524" s="56">
        <f>+VLOOKUP(A524,'Chi tiết NVL'!$I$10:$J$4158,2,0)</f>
        <v/>
      </c>
      <c r="C524" s="57">
        <f>+SUMIF('Chi tiết NVL'!$I:$I,$A524,'Chi tiết NVL'!L:L)</f>
        <v/>
      </c>
      <c r="D524" s="57">
        <f>+SUMIF('Chi tiết NVL'!$I:$I,$A524,'Chi tiết NVL'!M:M)</f>
        <v/>
      </c>
      <c r="E524" s="57">
        <f>+SUMIF('Chi tiết NVL'!$I:$I,$A524,'Chi tiết NVL'!N:N)</f>
        <v/>
      </c>
      <c r="F524" s="57">
        <f>+SUMIF('Chi tiết NVL'!$I:$I,$A524,'Chi tiết NVL'!O:O)</f>
        <v/>
      </c>
      <c r="G524" s="57">
        <f>+SUMIF('Chi tiết NVL'!$I:$I,$A524,'Chi tiết NVL'!P:P)</f>
        <v/>
      </c>
      <c r="H524" s="57">
        <f>+SUMIF('Chi tiết NVL'!$I:$I,$A524,'Chi tiết NVL'!Q:Q)</f>
        <v/>
      </c>
      <c r="I524" s="57">
        <f>+SUMIF('Chi tiết NVL'!$I:$I,$A524,'Chi tiết NVL'!R:R)</f>
        <v/>
      </c>
      <c r="J524" s="57">
        <f>+SUMIF('Chi tiết NVL'!$I:$I,$A524,'Chi tiết NVL'!S:S)</f>
        <v/>
      </c>
    </row>
    <row r="525">
      <c r="A525" s="56" t="inlineStr">
        <is>
          <t>Thép tấm cán nóng 22x2000x12000</t>
        </is>
      </c>
      <c r="B525" s="56">
        <f>+VLOOKUP(A525,'Chi tiết NVL'!$I$10:$J$4158,2,0)</f>
        <v/>
      </c>
      <c r="C525" s="57">
        <f>+SUMIF('Chi tiết NVL'!$I:$I,$A525,'Chi tiết NVL'!L:L)</f>
        <v/>
      </c>
      <c r="D525" s="57">
        <f>+SUMIF('Chi tiết NVL'!$I:$I,$A525,'Chi tiết NVL'!M:M)</f>
        <v/>
      </c>
      <c r="E525" s="57">
        <f>+SUMIF('Chi tiết NVL'!$I:$I,$A525,'Chi tiết NVL'!N:N)</f>
        <v/>
      </c>
      <c r="F525" s="57">
        <f>+SUMIF('Chi tiết NVL'!$I:$I,$A525,'Chi tiết NVL'!O:O)</f>
        <v/>
      </c>
      <c r="G525" s="57">
        <f>+SUMIF('Chi tiết NVL'!$I:$I,$A525,'Chi tiết NVL'!P:P)</f>
        <v/>
      </c>
      <c r="H525" s="57">
        <f>+SUMIF('Chi tiết NVL'!$I:$I,$A525,'Chi tiết NVL'!Q:Q)</f>
        <v/>
      </c>
      <c r="I525" s="57">
        <f>+SUMIF('Chi tiết NVL'!$I:$I,$A525,'Chi tiết NVL'!R:R)</f>
        <v/>
      </c>
      <c r="J525" s="57">
        <f>+SUMIF('Chi tiết NVL'!$I:$I,$A525,'Chi tiết NVL'!S:S)</f>
        <v/>
      </c>
    </row>
    <row r="526">
      <c r="A526" s="56" t="inlineStr">
        <is>
          <t>Thép tấm cán nóng 35x2000x12000</t>
        </is>
      </c>
      <c r="B526" s="56">
        <f>+VLOOKUP(A526,'Chi tiết NVL'!$I$10:$J$4158,2,0)</f>
        <v/>
      </c>
      <c r="C526" s="57">
        <f>+SUMIF('Chi tiết NVL'!$I:$I,$A526,'Chi tiết NVL'!L:L)</f>
        <v/>
      </c>
      <c r="D526" s="57">
        <f>+SUMIF('Chi tiết NVL'!$I:$I,$A526,'Chi tiết NVL'!M:M)</f>
        <v/>
      </c>
      <c r="E526" s="57">
        <f>+SUMIF('Chi tiết NVL'!$I:$I,$A526,'Chi tiết NVL'!N:N)</f>
        <v/>
      </c>
      <c r="F526" s="57">
        <f>+SUMIF('Chi tiết NVL'!$I:$I,$A526,'Chi tiết NVL'!O:O)</f>
        <v/>
      </c>
      <c r="G526" s="57">
        <f>+SUMIF('Chi tiết NVL'!$I:$I,$A526,'Chi tiết NVL'!P:P)</f>
        <v/>
      </c>
      <c r="H526" s="57">
        <f>+SUMIF('Chi tiết NVL'!$I:$I,$A526,'Chi tiết NVL'!Q:Q)</f>
        <v/>
      </c>
      <c r="I526" s="57">
        <f>+SUMIF('Chi tiết NVL'!$I:$I,$A526,'Chi tiết NVL'!R:R)</f>
        <v/>
      </c>
      <c r="J526" s="57">
        <f>+SUMIF('Chi tiết NVL'!$I:$I,$A526,'Chi tiết NVL'!S:S)</f>
        <v/>
      </c>
    </row>
    <row r="527">
      <c r="A527" s="56" t="inlineStr">
        <is>
          <t>Thép tấm (55x365x3677mm)</t>
        </is>
      </c>
      <c r="B527" s="56">
        <f>+VLOOKUP(A527,'Chi tiết NVL'!$I$10:$J$4158,2,0)</f>
        <v/>
      </c>
      <c r="C527" s="57">
        <f>+SUMIF('Chi tiết NVL'!$I:$I,$A527,'Chi tiết NVL'!L:L)</f>
        <v/>
      </c>
      <c r="D527" s="57">
        <f>+SUMIF('Chi tiết NVL'!$I:$I,$A527,'Chi tiết NVL'!M:M)</f>
        <v/>
      </c>
      <c r="E527" s="57">
        <f>+SUMIF('Chi tiết NVL'!$I:$I,$A527,'Chi tiết NVL'!N:N)</f>
        <v/>
      </c>
      <c r="F527" s="57">
        <f>+SUMIF('Chi tiết NVL'!$I:$I,$A527,'Chi tiết NVL'!O:O)</f>
        <v/>
      </c>
      <c r="G527" s="57">
        <f>+SUMIF('Chi tiết NVL'!$I:$I,$A527,'Chi tiết NVL'!P:P)</f>
        <v/>
      </c>
      <c r="H527" s="57">
        <f>+SUMIF('Chi tiết NVL'!$I:$I,$A527,'Chi tiết NVL'!Q:Q)</f>
        <v/>
      </c>
      <c r="I527" s="57">
        <f>+SUMIF('Chi tiết NVL'!$I:$I,$A527,'Chi tiết NVL'!R:R)</f>
        <v/>
      </c>
      <c r="J527" s="57">
        <f>+SUMIF('Chi tiết NVL'!$I:$I,$A527,'Chi tiết NVL'!S:S)</f>
        <v/>
      </c>
    </row>
    <row r="528">
      <c r="A528" s="56" t="inlineStr">
        <is>
          <t>Thép tấm (72x530x530mm)</t>
        </is>
      </c>
      <c r="B528" s="56">
        <f>+VLOOKUP(A528,'Chi tiết NVL'!$I$10:$J$4158,2,0)</f>
        <v/>
      </c>
      <c r="C528" s="57">
        <f>+SUMIF('Chi tiết NVL'!$I:$I,$A528,'Chi tiết NVL'!L:L)</f>
        <v/>
      </c>
      <c r="D528" s="57">
        <f>+SUMIF('Chi tiết NVL'!$I:$I,$A528,'Chi tiết NVL'!M:M)</f>
        <v/>
      </c>
      <c r="E528" s="57">
        <f>+SUMIF('Chi tiết NVL'!$I:$I,$A528,'Chi tiết NVL'!N:N)</f>
        <v/>
      </c>
      <c r="F528" s="57">
        <f>+SUMIF('Chi tiết NVL'!$I:$I,$A528,'Chi tiết NVL'!O:O)</f>
        <v/>
      </c>
      <c r="G528" s="57">
        <f>+SUMIF('Chi tiết NVL'!$I:$I,$A528,'Chi tiết NVL'!P:P)</f>
        <v/>
      </c>
      <c r="H528" s="57">
        <f>+SUMIF('Chi tiết NVL'!$I:$I,$A528,'Chi tiết NVL'!Q:Q)</f>
        <v/>
      </c>
      <c r="I528" s="57">
        <f>+SUMIF('Chi tiết NVL'!$I:$I,$A528,'Chi tiết NVL'!R:R)</f>
        <v/>
      </c>
      <c r="J528" s="57">
        <f>+SUMIF('Chi tiết NVL'!$I:$I,$A528,'Chi tiết NVL'!S:S)</f>
        <v/>
      </c>
    </row>
    <row r="529">
      <c r="A529" s="56" t="inlineStr">
        <is>
          <t>Thép tấm (72x530x515mm)</t>
        </is>
      </c>
      <c r="B529" s="56">
        <f>+VLOOKUP(A529,'Chi tiết NVL'!$I$10:$J$4158,2,0)</f>
        <v/>
      </c>
      <c r="C529" s="57">
        <f>+SUMIF('Chi tiết NVL'!$I:$I,$A529,'Chi tiết NVL'!L:L)</f>
        <v/>
      </c>
      <c r="D529" s="57">
        <f>+SUMIF('Chi tiết NVL'!$I:$I,$A529,'Chi tiết NVL'!M:M)</f>
        <v/>
      </c>
      <c r="E529" s="57">
        <f>+SUMIF('Chi tiết NVL'!$I:$I,$A529,'Chi tiết NVL'!N:N)</f>
        <v/>
      </c>
      <c r="F529" s="57">
        <f>+SUMIF('Chi tiết NVL'!$I:$I,$A529,'Chi tiết NVL'!O:O)</f>
        <v/>
      </c>
      <c r="G529" s="57">
        <f>+SUMIF('Chi tiết NVL'!$I:$I,$A529,'Chi tiết NVL'!P:P)</f>
        <v/>
      </c>
      <c r="H529" s="57">
        <f>+SUMIF('Chi tiết NVL'!$I:$I,$A529,'Chi tiết NVL'!Q:Q)</f>
        <v/>
      </c>
      <c r="I529" s="57">
        <f>+SUMIF('Chi tiết NVL'!$I:$I,$A529,'Chi tiết NVL'!R:R)</f>
        <v/>
      </c>
      <c r="J529" s="57">
        <f>+SUMIF('Chi tiết NVL'!$I:$I,$A529,'Chi tiết NVL'!S:S)</f>
        <v/>
      </c>
    </row>
    <row r="530">
      <c r="A530" s="56" t="inlineStr">
        <is>
          <t>Thép tấm (72x338x919mm)</t>
        </is>
      </c>
      <c r="B530" s="56">
        <f>+VLOOKUP(A530,'Chi tiết NVL'!$I$10:$J$4158,2,0)</f>
        <v/>
      </c>
      <c r="C530" s="57">
        <f>+SUMIF('Chi tiết NVL'!$I:$I,$A530,'Chi tiết NVL'!L:L)</f>
        <v/>
      </c>
      <c r="D530" s="57">
        <f>+SUMIF('Chi tiết NVL'!$I:$I,$A530,'Chi tiết NVL'!M:M)</f>
        <v/>
      </c>
      <c r="E530" s="57">
        <f>+SUMIF('Chi tiết NVL'!$I:$I,$A530,'Chi tiết NVL'!N:N)</f>
        <v/>
      </c>
      <c r="F530" s="57">
        <f>+SUMIF('Chi tiết NVL'!$I:$I,$A530,'Chi tiết NVL'!O:O)</f>
        <v/>
      </c>
      <c r="G530" s="57">
        <f>+SUMIF('Chi tiết NVL'!$I:$I,$A530,'Chi tiết NVL'!P:P)</f>
        <v/>
      </c>
      <c r="H530" s="57">
        <f>+SUMIF('Chi tiết NVL'!$I:$I,$A530,'Chi tiết NVL'!Q:Q)</f>
        <v/>
      </c>
      <c r="I530" s="57">
        <f>+SUMIF('Chi tiết NVL'!$I:$I,$A530,'Chi tiết NVL'!R:R)</f>
        <v/>
      </c>
      <c r="J530" s="57">
        <f>+SUMIF('Chi tiết NVL'!$I:$I,$A530,'Chi tiết NVL'!S:S)</f>
        <v/>
      </c>
    </row>
    <row r="531">
      <c r="A531" s="56" t="inlineStr">
        <is>
          <t>Thép tấm (72x338x912mm)</t>
        </is>
      </c>
      <c r="B531" s="56">
        <f>+VLOOKUP(A531,'Chi tiết NVL'!$I$10:$J$4158,2,0)</f>
        <v/>
      </c>
      <c r="C531" s="57">
        <f>+SUMIF('Chi tiết NVL'!$I:$I,$A531,'Chi tiết NVL'!L:L)</f>
        <v/>
      </c>
      <c r="D531" s="57">
        <f>+SUMIF('Chi tiết NVL'!$I:$I,$A531,'Chi tiết NVL'!M:M)</f>
        <v/>
      </c>
      <c r="E531" s="57">
        <f>+SUMIF('Chi tiết NVL'!$I:$I,$A531,'Chi tiết NVL'!N:N)</f>
        <v/>
      </c>
      <c r="F531" s="57">
        <f>+SUMIF('Chi tiết NVL'!$I:$I,$A531,'Chi tiết NVL'!O:O)</f>
        <v/>
      </c>
      <c r="G531" s="57">
        <f>+SUMIF('Chi tiết NVL'!$I:$I,$A531,'Chi tiết NVL'!P:P)</f>
        <v/>
      </c>
      <c r="H531" s="57">
        <f>+SUMIF('Chi tiết NVL'!$I:$I,$A531,'Chi tiết NVL'!Q:Q)</f>
        <v/>
      </c>
      <c r="I531" s="57">
        <f>+SUMIF('Chi tiết NVL'!$I:$I,$A531,'Chi tiết NVL'!R:R)</f>
        <v/>
      </c>
      <c r="J531" s="57">
        <f>+SUMIF('Chi tiết NVL'!$I:$I,$A531,'Chi tiết NVL'!S:S)</f>
        <v/>
      </c>
    </row>
    <row r="532">
      <c r="A532" s="56" t="inlineStr">
        <is>
          <t>Thép tấm (72x338x910mm)</t>
        </is>
      </c>
      <c r="B532" s="56">
        <f>+VLOOKUP(A532,'Chi tiết NVL'!$I$10:$J$4158,2,0)</f>
        <v/>
      </c>
      <c r="C532" s="57">
        <f>+SUMIF('Chi tiết NVL'!$I:$I,$A532,'Chi tiết NVL'!L:L)</f>
        <v/>
      </c>
      <c r="D532" s="57">
        <f>+SUMIF('Chi tiết NVL'!$I:$I,$A532,'Chi tiết NVL'!M:M)</f>
        <v/>
      </c>
      <c r="E532" s="57">
        <f>+SUMIF('Chi tiết NVL'!$I:$I,$A532,'Chi tiết NVL'!N:N)</f>
        <v/>
      </c>
      <c r="F532" s="57">
        <f>+SUMIF('Chi tiết NVL'!$I:$I,$A532,'Chi tiết NVL'!O:O)</f>
        <v/>
      </c>
      <c r="G532" s="57">
        <f>+SUMIF('Chi tiết NVL'!$I:$I,$A532,'Chi tiết NVL'!P:P)</f>
        <v/>
      </c>
      <c r="H532" s="57">
        <f>+SUMIF('Chi tiết NVL'!$I:$I,$A532,'Chi tiết NVL'!Q:Q)</f>
        <v/>
      </c>
      <c r="I532" s="57">
        <f>+SUMIF('Chi tiết NVL'!$I:$I,$A532,'Chi tiết NVL'!R:R)</f>
        <v/>
      </c>
      <c r="J532" s="57">
        <f>+SUMIF('Chi tiết NVL'!$I:$I,$A532,'Chi tiết NVL'!S:S)</f>
        <v/>
      </c>
    </row>
    <row r="533">
      <c r="A533" s="56" t="inlineStr">
        <is>
          <t>Thép tấm (72x337x916mm)</t>
        </is>
      </c>
      <c r="B533" s="56">
        <f>+VLOOKUP(A533,'Chi tiết NVL'!$I$10:$J$4158,2,0)</f>
        <v/>
      </c>
      <c r="C533" s="57">
        <f>+SUMIF('Chi tiết NVL'!$I:$I,$A533,'Chi tiết NVL'!L:L)</f>
        <v/>
      </c>
      <c r="D533" s="57">
        <f>+SUMIF('Chi tiết NVL'!$I:$I,$A533,'Chi tiết NVL'!M:M)</f>
        <v/>
      </c>
      <c r="E533" s="57">
        <f>+SUMIF('Chi tiết NVL'!$I:$I,$A533,'Chi tiết NVL'!N:N)</f>
        <v/>
      </c>
      <c r="F533" s="57">
        <f>+SUMIF('Chi tiết NVL'!$I:$I,$A533,'Chi tiết NVL'!O:O)</f>
        <v/>
      </c>
      <c r="G533" s="57">
        <f>+SUMIF('Chi tiết NVL'!$I:$I,$A533,'Chi tiết NVL'!P:P)</f>
        <v/>
      </c>
      <c r="H533" s="57">
        <f>+SUMIF('Chi tiết NVL'!$I:$I,$A533,'Chi tiết NVL'!Q:Q)</f>
        <v/>
      </c>
      <c r="I533" s="57">
        <f>+SUMIF('Chi tiết NVL'!$I:$I,$A533,'Chi tiết NVL'!R:R)</f>
        <v/>
      </c>
      <c r="J533" s="57">
        <f>+SUMIF('Chi tiết NVL'!$I:$I,$A533,'Chi tiết NVL'!S:S)</f>
        <v/>
      </c>
    </row>
    <row r="534">
      <c r="A534" s="56" t="inlineStr">
        <is>
          <t>Thép tấm (72x337x915mm)</t>
        </is>
      </c>
      <c r="B534" s="56">
        <f>+VLOOKUP(A534,'Chi tiết NVL'!$I$10:$J$4158,2,0)</f>
        <v/>
      </c>
      <c r="C534" s="57">
        <f>+SUMIF('Chi tiết NVL'!$I:$I,$A534,'Chi tiết NVL'!L:L)</f>
        <v/>
      </c>
      <c r="D534" s="57">
        <f>+SUMIF('Chi tiết NVL'!$I:$I,$A534,'Chi tiết NVL'!M:M)</f>
        <v/>
      </c>
      <c r="E534" s="57">
        <f>+SUMIF('Chi tiết NVL'!$I:$I,$A534,'Chi tiết NVL'!N:N)</f>
        <v/>
      </c>
      <c r="F534" s="57">
        <f>+SUMIF('Chi tiết NVL'!$I:$I,$A534,'Chi tiết NVL'!O:O)</f>
        <v/>
      </c>
      <c r="G534" s="57">
        <f>+SUMIF('Chi tiết NVL'!$I:$I,$A534,'Chi tiết NVL'!P:P)</f>
        <v/>
      </c>
      <c r="H534" s="57">
        <f>+SUMIF('Chi tiết NVL'!$I:$I,$A534,'Chi tiết NVL'!Q:Q)</f>
        <v/>
      </c>
      <c r="I534" s="57">
        <f>+SUMIF('Chi tiết NVL'!$I:$I,$A534,'Chi tiết NVL'!R:R)</f>
        <v/>
      </c>
      <c r="J534" s="57">
        <f>+SUMIF('Chi tiết NVL'!$I:$I,$A534,'Chi tiết NVL'!S:S)</f>
        <v/>
      </c>
    </row>
    <row r="535">
      <c r="A535" s="56" t="inlineStr">
        <is>
          <t>Thép tấm (72x337x911mm)</t>
        </is>
      </c>
      <c r="B535" s="56">
        <f>+VLOOKUP(A535,'Chi tiết NVL'!$I$10:$J$4158,2,0)</f>
        <v/>
      </c>
      <c r="C535" s="57">
        <f>+SUMIF('Chi tiết NVL'!$I:$I,$A535,'Chi tiết NVL'!L:L)</f>
        <v/>
      </c>
      <c r="D535" s="57">
        <f>+SUMIF('Chi tiết NVL'!$I:$I,$A535,'Chi tiết NVL'!M:M)</f>
        <v/>
      </c>
      <c r="E535" s="57">
        <f>+SUMIF('Chi tiết NVL'!$I:$I,$A535,'Chi tiết NVL'!N:N)</f>
        <v/>
      </c>
      <c r="F535" s="57">
        <f>+SUMIF('Chi tiết NVL'!$I:$I,$A535,'Chi tiết NVL'!O:O)</f>
        <v/>
      </c>
      <c r="G535" s="57">
        <f>+SUMIF('Chi tiết NVL'!$I:$I,$A535,'Chi tiết NVL'!P:P)</f>
        <v/>
      </c>
      <c r="H535" s="57">
        <f>+SUMIF('Chi tiết NVL'!$I:$I,$A535,'Chi tiết NVL'!Q:Q)</f>
        <v/>
      </c>
      <c r="I535" s="57">
        <f>+SUMIF('Chi tiết NVL'!$I:$I,$A535,'Chi tiết NVL'!R:R)</f>
        <v/>
      </c>
      <c r="J535" s="57">
        <f>+SUMIF('Chi tiết NVL'!$I:$I,$A535,'Chi tiết NVL'!S:S)</f>
        <v/>
      </c>
    </row>
    <row r="536">
      <c r="A536" s="56" t="inlineStr">
        <is>
          <t>Thép tấm (70x332x927mm)</t>
        </is>
      </c>
      <c r="B536" s="56">
        <f>+VLOOKUP(A536,'Chi tiết NVL'!$I$10:$J$4158,2,0)</f>
        <v/>
      </c>
      <c r="C536" s="57">
        <f>+SUMIF('Chi tiết NVL'!$I:$I,$A536,'Chi tiết NVL'!L:L)</f>
        <v/>
      </c>
      <c r="D536" s="57">
        <f>+SUMIF('Chi tiết NVL'!$I:$I,$A536,'Chi tiết NVL'!M:M)</f>
        <v/>
      </c>
      <c r="E536" s="57">
        <f>+SUMIF('Chi tiết NVL'!$I:$I,$A536,'Chi tiết NVL'!N:N)</f>
        <v/>
      </c>
      <c r="F536" s="57">
        <f>+SUMIF('Chi tiết NVL'!$I:$I,$A536,'Chi tiết NVL'!O:O)</f>
        <v/>
      </c>
      <c r="G536" s="57">
        <f>+SUMIF('Chi tiết NVL'!$I:$I,$A536,'Chi tiết NVL'!P:P)</f>
        <v/>
      </c>
      <c r="H536" s="57">
        <f>+SUMIF('Chi tiết NVL'!$I:$I,$A536,'Chi tiết NVL'!Q:Q)</f>
        <v/>
      </c>
      <c r="I536" s="57">
        <f>+SUMIF('Chi tiết NVL'!$I:$I,$A536,'Chi tiết NVL'!R:R)</f>
        <v/>
      </c>
      <c r="J536" s="57">
        <f>+SUMIF('Chi tiết NVL'!$I:$I,$A536,'Chi tiết NVL'!S:S)</f>
        <v/>
      </c>
    </row>
    <row r="537">
      <c r="A537" s="56" t="inlineStr">
        <is>
          <t>Thép tấm (72x335x5032mm)</t>
        </is>
      </c>
      <c r="B537" s="56">
        <f>+VLOOKUP(A537,'Chi tiết NVL'!$I$10:$J$4158,2,0)</f>
        <v/>
      </c>
      <c r="C537" s="57">
        <f>+SUMIF('Chi tiết NVL'!$I:$I,$A537,'Chi tiết NVL'!L:L)</f>
        <v/>
      </c>
      <c r="D537" s="57">
        <f>+SUMIF('Chi tiết NVL'!$I:$I,$A537,'Chi tiết NVL'!M:M)</f>
        <v/>
      </c>
      <c r="E537" s="57">
        <f>+SUMIF('Chi tiết NVL'!$I:$I,$A537,'Chi tiết NVL'!N:N)</f>
        <v/>
      </c>
      <c r="F537" s="57">
        <f>+SUMIF('Chi tiết NVL'!$I:$I,$A537,'Chi tiết NVL'!O:O)</f>
        <v/>
      </c>
      <c r="G537" s="57">
        <f>+SUMIF('Chi tiết NVL'!$I:$I,$A537,'Chi tiết NVL'!P:P)</f>
        <v/>
      </c>
      <c r="H537" s="57">
        <f>+SUMIF('Chi tiết NVL'!$I:$I,$A537,'Chi tiết NVL'!Q:Q)</f>
        <v/>
      </c>
      <c r="I537" s="57">
        <f>+SUMIF('Chi tiết NVL'!$I:$I,$A537,'Chi tiết NVL'!R:R)</f>
        <v/>
      </c>
      <c r="J537" s="57">
        <f>+SUMIF('Chi tiết NVL'!$I:$I,$A537,'Chi tiết NVL'!S:S)</f>
        <v/>
      </c>
    </row>
    <row r="538">
      <c r="A538" s="56" t="inlineStr">
        <is>
          <t>Thép tấm (72x335x4711mm)</t>
        </is>
      </c>
      <c r="B538" s="56">
        <f>+VLOOKUP(A538,'Chi tiết NVL'!$I$10:$J$4158,2,0)</f>
        <v/>
      </c>
      <c r="C538" s="57">
        <f>+SUMIF('Chi tiết NVL'!$I:$I,$A538,'Chi tiết NVL'!L:L)</f>
        <v/>
      </c>
      <c r="D538" s="57">
        <f>+SUMIF('Chi tiết NVL'!$I:$I,$A538,'Chi tiết NVL'!M:M)</f>
        <v/>
      </c>
      <c r="E538" s="57">
        <f>+SUMIF('Chi tiết NVL'!$I:$I,$A538,'Chi tiết NVL'!N:N)</f>
        <v/>
      </c>
      <c r="F538" s="57">
        <f>+SUMIF('Chi tiết NVL'!$I:$I,$A538,'Chi tiết NVL'!O:O)</f>
        <v/>
      </c>
      <c r="G538" s="57">
        <f>+SUMIF('Chi tiết NVL'!$I:$I,$A538,'Chi tiết NVL'!P:P)</f>
        <v/>
      </c>
      <c r="H538" s="57">
        <f>+SUMIF('Chi tiết NVL'!$I:$I,$A538,'Chi tiết NVL'!Q:Q)</f>
        <v/>
      </c>
      <c r="I538" s="57">
        <f>+SUMIF('Chi tiết NVL'!$I:$I,$A538,'Chi tiết NVL'!R:R)</f>
        <v/>
      </c>
      <c r="J538" s="57">
        <f>+SUMIF('Chi tiết NVL'!$I:$I,$A538,'Chi tiết NVL'!S:S)</f>
        <v/>
      </c>
    </row>
    <row r="539">
      <c r="A539" s="56" t="inlineStr">
        <is>
          <t>Thép tấm (72x335x3482mm)</t>
        </is>
      </c>
      <c r="B539" s="56">
        <f>+VLOOKUP(A539,'Chi tiết NVL'!$I$10:$J$4158,2,0)</f>
        <v/>
      </c>
      <c r="C539" s="57">
        <f>+SUMIF('Chi tiết NVL'!$I:$I,$A539,'Chi tiết NVL'!L:L)</f>
        <v/>
      </c>
      <c r="D539" s="57">
        <f>+SUMIF('Chi tiết NVL'!$I:$I,$A539,'Chi tiết NVL'!M:M)</f>
        <v/>
      </c>
      <c r="E539" s="57">
        <f>+SUMIF('Chi tiết NVL'!$I:$I,$A539,'Chi tiết NVL'!N:N)</f>
        <v/>
      </c>
      <c r="F539" s="57">
        <f>+SUMIF('Chi tiết NVL'!$I:$I,$A539,'Chi tiết NVL'!O:O)</f>
        <v/>
      </c>
      <c r="G539" s="57">
        <f>+SUMIF('Chi tiết NVL'!$I:$I,$A539,'Chi tiết NVL'!P:P)</f>
        <v/>
      </c>
      <c r="H539" s="57">
        <f>+SUMIF('Chi tiết NVL'!$I:$I,$A539,'Chi tiết NVL'!Q:Q)</f>
        <v/>
      </c>
      <c r="I539" s="57">
        <f>+SUMIF('Chi tiết NVL'!$I:$I,$A539,'Chi tiết NVL'!R:R)</f>
        <v/>
      </c>
      <c r="J539" s="57">
        <f>+SUMIF('Chi tiết NVL'!$I:$I,$A539,'Chi tiết NVL'!S:S)</f>
        <v/>
      </c>
    </row>
    <row r="540">
      <c r="A540" s="56" t="inlineStr">
        <is>
          <t>Thép tấm (72x335x2772mm)</t>
        </is>
      </c>
      <c r="B540" s="56">
        <f>+VLOOKUP(A540,'Chi tiết NVL'!$I$10:$J$4158,2,0)</f>
        <v/>
      </c>
      <c r="C540" s="57">
        <f>+SUMIF('Chi tiết NVL'!$I:$I,$A540,'Chi tiết NVL'!L:L)</f>
        <v/>
      </c>
      <c r="D540" s="57">
        <f>+SUMIF('Chi tiết NVL'!$I:$I,$A540,'Chi tiết NVL'!M:M)</f>
        <v/>
      </c>
      <c r="E540" s="57">
        <f>+SUMIF('Chi tiết NVL'!$I:$I,$A540,'Chi tiết NVL'!N:N)</f>
        <v/>
      </c>
      <c r="F540" s="57">
        <f>+SUMIF('Chi tiết NVL'!$I:$I,$A540,'Chi tiết NVL'!O:O)</f>
        <v/>
      </c>
      <c r="G540" s="57">
        <f>+SUMIF('Chi tiết NVL'!$I:$I,$A540,'Chi tiết NVL'!P:P)</f>
        <v/>
      </c>
      <c r="H540" s="57">
        <f>+SUMIF('Chi tiết NVL'!$I:$I,$A540,'Chi tiết NVL'!Q:Q)</f>
        <v/>
      </c>
      <c r="I540" s="57">
        <f>+SUMIF('Chi tiết NVL'!$I:$I,$A540,'Chi tiết NVL'!R:R)</f>
        <v/>
      </c>
      <c r="J540" s="57">
        <f>+SUMIF('Chi tiết NVL'!$I:$I,$A540,'Chi tiết NVL'!S:S)</f>
        <v/>
      </c>
    </row>
    <row r="541">
      <c r="A541" s="56" t="inlineStr">
        <is>
          <t>Thép tấm (72x335x2742mm)</t>
        </is>
      </c>
      <c r="B541" s="56">
        <f>+VLOOKUP(A541,'Chi tiết NVL'!$I$10:$J$4158,2,0)</f>
        <v/>
      </c>
      <c r="C541" s="57">
        <f>+SUMIF('Chi tiết NVL'!$I:$I,$A541,'Chi tiết NVL'!L:L)</f>
        <v/>
      </c>
      <c r="D541" s="57">
        <f>+SUMIF('Chi tiết NVL'!$I:$I,$A541,'Chi tiết NVL'!M:M)</f>
        <v/>
      </c>
      <c r="E541" s="57">
        <f>+SUMIF('Chi tiết NVL'!$I:$I,$A541,'Chi tiết NVL'!N:N)</f>
        <v/>
      </c>
      <c r="F541" s="57">
        <f>+SUMIF('Chi tiết NVL'!$I:$I,$A541,'Chi tiết NVL'!O:O)</f>
        <v/>
      </c>
      <c r="G541" s="57">
        <f>+SUMIF('Chi tiết NVL'!$I:$I,$A541,'Chi tiết NVL'!P:P)</f>
        <v/>
      </c>
      <c r="H541" s="57">
        <f>+SUMIF('Chi tiết NVL'!$I:$I,$A541,'Chi tiết NVL'!Q:Q)</f>
        <v/>
      </c>
      <c r="I541" s="57">
        <f>+SUMIF('Chi tiết NVL'!$I:$I,$A541,'Chi tiết NVL'!R:R)</f>
        <v/>
      </c>
      <c r="J541" s="57">
        <f>+SUMIF('Chi tiết NVL'!$I:$I,$A541,'Chi tiết NVL'!S:S)</f>
        <v/>
      </c>
    </row>
    <row r="542">
      <c r="A542" s="56" t="inlineStr">
        <is>
          <t>Thép tấm (72x330x6891mm)</t>
        </is>
      </c>
      <c r="B542" s="56">
        <f>+VLOOKUP(A542,'Chi tiết NVL'!$I$10:$J$4158,2,0)</f>
        <v/>
      </c>
      <c r="C542" s="57">
        <f>+SUMIF('Chi tiết NVL'!$I:$I,$A542,'Chi tiết NVL'!L:L)</f>
        <v/>
      </c>
      <c r="D542" s="57">
        <f>+SUMIF('Chi tiết NVL'!$I:$I,$A542,'Chi tiết NVL'!M:M)</f>
        <v/>
      </c>
      <c r="E542" s="57">
        <f>+SUMIF('Chi tiết NVL'!$I:$I,$A542,'Chi tiết NVL'!N:N)</f>
        <v/>
      </c>
      <c r="F542" s="57">
        <f>+SUMIF('Chi tiết NVL'!$I:$I,$A542,'Chi tiết NVL'!O:O)</f>
        <v/>
      </c>
      <c r="G542" s="57">
        <f>+SUMIF('Chi tiết NVL'!$I:$I,$A542,'Chi tiết NVL'!P:P)</f>
        <v/>
      </c>
      <c r="H542" s="57">
        <f>+SUMIF('Chi tiết NVL'!$I:$I,$A542,'Chi tiết NVL'!Q:Q)</f>
        <v/>
      </c>
      <c r="I542" s="57">
        <f>+SUMIF('Chi tiết NVL'!$I:$I,$A542,'Chi tiết NVL'!R:R)</f>
        <v/>
      </c>
      <c r="J542" s="57">
        <f>+SUMIF('Chi tiết NVL'!$I:$I,$A542,'Chi tiết NVL'!S:S)</f>
        <v/>
      </c>
    </row>
    <row r="543">
      <c r="A543" s="56" t="inlineStr">
        <is>
          <t>Thép tấm (55x185x335mm)</t>
        </is>
      </c>
      <c r="B543" s="56">
        <f>+VLOOKUP(A543,'Chi tiết NVL'!$I$10:$J$4158,2,0)</f>
        <v/>
      </c>
      <c r="C543" s="57">
        <f>+SUMIF('Chi tiết NVL'!$I:$I,$A543,'Chi tiết NVL'!L:L)</f>
        <v/>
      </c>
      <c r="D543" s="57">
        <f>+SUMIF('Chi tiết NVL'!$I:$I,$A543,'Chi tiết NVL'!M:M)</f>
        <v/>
      </c>
      <c r="E543" s="57">
        <f>+SUMIF('Chi tiết NVL'!$I:$I,$A543,'Chi tiết NVL'!N:N)</f>
        <v/>
      </c>
      <c r="F543" s="57">
        <f>+SUMIF('Chi tiết NVL'!$I:$I,$A543,'Chi tiết NVL'!O:O)</f>
        <v/>
      </c>
      <c r="G543" s="57">
        <f>+SUMIF('Chi tiết NVL'!$I:$I,$A543,'Chi tiết NVL'!P:P)</f>
        <v/>
      </c>
      <c r="H543" s="57">
        <f>+SUMIF('Chi tiết NVL'!$I:$I,$A543,'Chi tiết NVL'!Q:Q)</f>
        <v/>
      </c>
      <c r="I543" s="57">
        <f>+SUMIF('Chi tiết NVL'!$I:$I,$A543,'Chi tiết NVL'!R:R)</f>
        <v/>
      </c>
      <c r="J543" s="57">
        <f>+SUMIF('Chi tiết NVL'!$I:$I,$A543,'Chi tiết NVL'!S:S)</f>
        <v/>
      </c>
    </row>
    <row r="544">
      <c r="A544" s="56" t="inlineStr">
        <is>
          <t>Thép tấm (57x255x650mm)</t>
        </is>
      </c>
      <c r="B544" s="56">
        <f>+VLOOKUP(A544,'Chi tiết NVL'!$I$10:$J$4158,2,0)</f>
        <v/>
      </c>
      <c r="C544" s="57">
        <f>+SUMIF('Chi tiết NVL'!$I:$I,$A544,'Chi tiết NVL'!L:L)</f>
        <v/>
      </c>
      <c r="D544" s="57">
        <f>+SUMIF('Chi tiết NVL'!$I:$I,$A544,'Chi tiết NVL'!M:M)</f>
        <v/>
      </c>
      <c r="E544" s="57">
        <f>+SUMIF('Chi tiết NVL'!$I:$I,$A544,'Chi tiết NVL'!N:N)</f>
        <v/>
      </c>
      <c r="F544" s="57">
        <f>+SUMIF('Chi tiết NVL'!$I:$I,$A544,'Chi tiết NVL'!O:O)</f>
        <v/>
      </c>
      <c r="G544" s="57">
        <f>+SUMIF('Chi tiết NVL'!$I:$I,$A544,'Chi tiết NVL'!P:P)</f>
        <v/>
      </c>
      <c r="H544" s="57">
        <f>+SUMIF('Chi tiết NVL'!$I:$I,$A544,'Chi tiết NVL'!Q:Q)</f>
        <v/>
      </c>
      <c r="I544" s="57">
        <f>+SUMIF('Chi tiết NVL'!$I:$I,$A544,'Chi tiết NVL'!R:R)</f>
        <v/>
      </c>
      <c r="J544" s="57">
        <f>+SUMIF('Chi tiết NVL'!$I:$I,$A544,'Chi tiết NVL'!S:S)</f>
        <v/>
      </c>
    </row>
    <row r="545">
      <c r="A545" s="56" t="inlineStr">
        <is>
          <t>Thép tấm (57x340x948mm)</t>
        </is>
      </c>
      <c r="B545" s="56">
        <f>+VLOOKUP(A545,'Chi tiết NVL'!$I$10:$J$4158,2,0)</f>
        <v/>
      </c>
      <c r="C545" s="57">
        <f>+SUMIF('Chi tiết NVL'!$I:$I,$A545,'Chi tiết NVL'!L:L)</f>
        <v/>
      </c>
      <c r="D545" s="57">
        <f>+SUMIF('Chi tiết NVL'!$I:$I,$A545,'Chi tiết NVL'!M:M)</f>
        <v/>
      </c>
      <c r="E545" s="57">
        <f>+SUMIF('Chi tiết NVL'!$I:$I,$A545,'Chi tiết NVL'!N:N)</f>
        <v/>
      </c>
      <c r="F545" s="57">
        <f>+SUMIF('Chi tiết NVL'!$I:$I,$A545,'Chi tiết NVL'!O:O)</f>
        <v/>
      </c>
      <c r="G545" s="57">
        <f>+SUMIF('Chi tiết NVL'!$I:$I,$A545,'Chi tiết NVL'!P:P)</f>
        <v/>
      </c>
      <c r="H545" s="57">
        <f>+SUMIF('Chi tiết NVL'!$I:$I,$A545,'Chi tiết NVL'!Q:Q)</f>
        <v/>
      </c>
      <c r="I545" s="57">
        <f>+SUMIF('Chi tiết NVL'!$I:$I,$A545,'Chi tiết NVL'!R:R)</f>
        <v/>
      </c>
      <c r="J545" s="57">
        <f>+SUMIF('Chi tiết NVL'!$I:$I,$A545,'Chi tiết NVL'!S:S)</f>
        <v/>
      </c>
    </row>
    <row r="546">
      <c r="A546" s="56" t="inlineStr">
        <is>
          <t>Thép tấm (70x185x335mm)</t>
        </is>
      </c>
      <c r="B546" s="56">
        <f>+VLOOKUP(A546,'Chi tiết NVL'!$I$10:$J$4158,2,0)</f>
        <v/>
      </c>
      <c r="C546" s="57">
        <f>+SUMIF('Chi tiết NVL'!$I:$I,$A546,'Chi tiết NVL'!L:L)</f>
        <v/>
      </c>
      <c r="D546" s="57">
        <f>+SUMIF('Chi tiết NVL'!$I:$I,$A546,'Chi tiết NVL'!M:M)</f>
        <v/>
      </c>
      <c r="E546" s="57">
        <f>+SUMIF('Chi tiết NVL'!$I:$I,$A546,'Chi tiết NVL'!N:N)</f>
        <v/>
      </c>
      <c r="F546" s="57">
        <f>+SUMIF('Chi tiết NVL'!$I:$I,$A546,'Chi tiết NVL'!O:O)</f>
        <v/>
      </c>
      <c r="G546" s="57">
        <f>+SUMIF('Chi tiết NVL'!$I:$I,$A546,'Chi tiết NVL'!P:P)</f>
        <v/>
      </c>
      <c r="H546" s="57">
        <f>+SUMIF('Chi tiết NVL'!$I:$I,$A546,'Chi tiết NVL'!Q:Q)</f>
        <v/>
      </c>
      <c r="I546" s="57">
        <f>+SUMIF('Chi tiết NVL'!$I:$I,$A546,'Chi tiết NVL'!R:R)</f>
        <v/>
      </c>
      <c r="J546" s="57">
        <f>+SUMIF('Chi tiết NVL'!$I:$I,$A546,'Chi tiết NVL'!S:S)</f>
        <v/>
      </c>
    </row>
    <row r="547">
      <c r="A547" s="56" t="inlineStr">
        <is>
          <t>Thép tấm (70x338x919mm)</t>
        </is>
      </c>
      <c r="B547" s="56">
        <f>+VLOOKUP(A547,'Chi tiết NVL'!$I$10:$J$4158,2,0)</f>
        <v/>
      </c>
      <c r="C547" s="57">
        <f>+SUMIF('Chi tiết NVL'!$I:$I,$A547,'Chi tiết NVL'!L:L)</f>
        <v/>
      </c>
      <c r="D547" s="57">
        <f>+SUMIF('Chi tiết NVL'!$I:$I,$A547,'Chi tiết NVL'!M:M)</f>
        <v/>
      </c>
      <c r="E547" s="57">
        <f>+SUMIF('Chi tiết NVL'!$I:$I,$A547,'Chi tiết NVL'!N:N)</f>
        <v/>
      </c>
      <c r="F547" s="57">
        <f>+SUMIF('Chi tiết NVL'!$I:$I,$A547,'Chi tiết NVL'!O:O)</f>
        <v/>
      </c>
      <c r="G547" s="57">
        <f>+SUMIF('Chi tiết NVL'!$I:$I,$A547,'Chi tiết NVL'!P:P)</f>
        <v/>
      </c>
      <c r="H547" s="57">
        <f>+SUMIF('Chi tiết NVL'!$I:$I,$A547,'Chi tiết NVL'!Q:Q)</f>
        <v/>
      </c>
      <c r="I547" s="57">
        <f>+SUMIF('Chi tiết NVL'!$I:$I,$A547,'Chi tiết NVL'!R:R)</f>
        <v/>
      </c>
      <c r="J547" s="57">
        <f>+SUMIF('Chi tiết NVL'!$I:$I,$A547,'Chi tiết NVL'!S:S)</f>
        <v/>
      </c>
    </row>
    <row r="548">
      <c r="A548" s="56" t="inlineStr">
        <is>
          <t>Thép tấm (70x143x185mm)</t>
        </is>
      </c>
      <c r="B548" s="56">
        <f>+VLOOKUP(A548,'Chi tiết NVL'!$I$10:$J$4158,2,0)</f>
        <v/>
      </c>
      <c r="C548" s="57">
        <f>+SUMIF('Chi tiết NVL'!$I:$I,$A548,'Chi tiết NVL'!L:L)</f>
        <v/>
      </c>
      <c r="D548" s="57">
        <f>+SUMIF('Chi tiết NVL'!$I:$I,$A548,'Chi tiết NVL'!M:M)</f>
        <v/>
      </c>
      <c r="E548" s="57">
        <f>+SUMIF('Chi tiết NVL'!$I:$I,$A548,'Chi tiết NVL'!N:N)</f>
        <v/>
      </c>
      <c r="F548" s="57">
        <f>+SUMIF('Chi tiết NVL'!$I:$I,$A548,'Chi tiết NVL'!O:O)</f>
        <v/>
      </c>
      <c r="G548" s="57">
        <f>+SUMIF('Chi tiết NVL'!$I:$I,$A548,'Chi tiết NVL'!P:P)</f>
        <v/>
      </c>
      <c r="H548" s="57">
        <f>+SUMIF('Chi tiết NVL'!$I:$I,$A548,'Chi tiết NVL'!Q:Q)</f>
        <v/>
      </c>
      <c r="I548" s="57">
        <f>+SUMIF('Chi tiết NVL'!$I:$I,$A548,'Chi tiết NVL'!R:R)</f>
        <v/>
      </c>
      <c r="J548" s="57">
        <f>+SUMIF('Chi tiết NVL'!$I:$I,$A548,'Chi tiết NVL'!S:S)</f>
        <v/>
      </c>
    </row>
    <row r="549">
      <c r="A549" s="56" t="inlineStr">
        <is>
          <t>Thép tấm (70x195x330mm)</t>
        </is>
      </c>
      <c r="B549" s="56">
        <f>+VLOOKUP(A549,'Chi tiết NVL'!$I$10:$J$4158,2,0)</f>
        <v/>
      </c>
      <c r="C549" s="57">
        <f>+SUMIF('Chi tiết NVL'!$I:$I,$A549,'Chi tiết NVL'!L:L)</f>
        <v/>
      </c>
      <c r="D549" s="57">
        <f>+SUMIF('Chi tiết NVL'!$I:$I,$A549,'Chi tiết NVL'!M:M)</f>
        <v/>
      </c>
      <c r="E549" s="57">
        <f>+SUMIF('Chi tiết NVL'!$I:$I,$A549,'Chi tiết NVL'!N:N)</f>
        <v/>
      </c>
      <c r="F549" s="57">
        <f>+SUMIF('Chi tiết NVL'!$I:$I,$A549,'Chi tiết NVL'!O:O)</f>
        <v/>
      </c>
      <c r="G549" s="57">
        <f>+SUMIF('Chi tiết NVL'!$I:$I,$A549,'Chi tiết NVL'!P:P)</f>
        <v/>
      </c>
      <c r="H549" s="57">
        <f>+SUMIF('Chi tiết NVL'!$I:$I,$A549,'Chi tiết NVL'!Q:Q)</f>
        <v/>
      </c>
      <c r="I549" s="57">
        <f>+SUMIF('Chi tiết NVL'!$I:$I,$A549,'Chi tiết NVL'!R:R)</f>
        <v/>
      </c>
      <c r="J549" s="57">
        <f>+SUMIF('Chi tiết NVL'!$I:$I,$A549,'Chi tiết NVL'!S:S)</f>
        <v/>
      </c>
    </row>
    <row r="550">
      <c r="A550" s="56" t="inlineStr">
        <is>
          <t>Thép tấm (70x176x185mm)</t>
        </is>
      </c>
      <c r="B550" s="56">
        <f>+VLOOKUP(A550,'Chi tiết NVL'!$I$10:$J$4158,2,0)</f>
        <v/>
      </c>
      <c r="C550" s="57">
        <f>+SUMIF('Chi tiết NVL'!$I:$I,$A550,'Chi tiết NVL'!L:L)</f>
        <v/>
      </c>
      <c r="D550" s="57">
        <f>+SUMIF('Chi tiết NVL'!$I:$I,$A550,'Chi tiết NVL'!M:M)</f>
        <v/>
      </c>
      <c r="E550" s="57">
        <f>+SUMIF('Chi tiết NVL'!$I:$I,$A550,'Chi tiết NVL'!N:N)</f>
        <v/>
      </c>
      <c r="F550" s="57">
        <f>+SUMIF('Chi tiết NVL'!$I:$I,$A550,'Chi tiết NVL'!O:O)</f>
        <v/>
      </c>
      <c r="G550" s="57">
        <f>+SUMIF('Chi tiết NVL'!$I:$I,$A550,'Chi tiết NVL'!P:P)</f>
        <v/>
      </c>
      <c r="H550" s="57">
        <f>+SUMIF('Chi tiết NVL'!$I:$I,$A550,'Chi tiết NVL'!Q:Q)</f>
        <v/>
      </c>
      <c r="I550" s="57">
        <f>+SUMIF('Chi tiết NVL'!$I:$I,$A550,'Chi tiết NVL'!R:R)</f>
        <v/>
      </c>
      <c r="J550" s="57">
        <f>+SUMIF('Chi tiết NVL'!$I:$I,$A550,'Chi tiết NVL'!S:S)</f>
        <v/>
      </c>
    </row>
    <row r="551">
      <c r="A551" s="56" t="inlineStr">
        <is>
          <t>Thép tấm (70x355x2742mm)</t>
        </is>
      </c>
      <c r="B551" s="56">
        <f>+VLOOKUP(A551,'Chi tiết NVL'!$I$10:$J$4158,2,0)</f>
        <v/>
      </c>
      <c r="C551" s="57">
        <f>+SUMIF('Chi tiết NVL'!$I:$I,$A551,'Chi tiết NVL'!L:L)</f>
        <v/>
      </c>
      <c r="D551" s="57">
        <f>+SUMIF('Chi tiết NVL'!$I:$I,$A551,'Chi tiết NVL'!M:M)</f>
        <v/>
      </c>
      <c r="E551" s="57">
        <f>+SUMIF('Chi tiết NVL'!$I:$I,$A551,'Chi tiết NVL'!N:N)</f>
        <v/>
      </c>
      <c r="F551" s="57">
        <f>+SUMIF('Chi tiết NVL'!$I:$I,$A551,'Chi tiết NVL'!O:O)</f>
        <v/>
      </c>
      <c r="G551" s="57">
        <f>+SUMIF('Chi tiết NVL'!$I:$I,$A551,'Chi tiết NVL'!P:P)</f>
        <v/>
      </c>
      <c r="H551" s="57">
        <f>+SUMIF('Chi tiết NVL'!$I:$I,$A551,'Chi tiết NVL'!Q:Q)</f>
        <v/>
      </c>
      <c r="I551" s="57">
        <f>+SUMIF('Chi tiết NVL'!$I:$I,$A551,'Chi tiết NVL'!R:R)</f>
        <v/>
      </c>
      <c r="J551" s="57">
        <f>+SUMIF('Chi tiết NVL'!$I:$I,$A551,'Chi tiết NVL'!S:S)</f>
        <v/>
      </c>
    </row>
    <row r="552">
      <c r="A552" s="56" t="inlineStr">
        <is>
          <t>Thép tấm (91x450x2772mm)</t>
        </is>
      </c>
      <c r="B552" s="56">
        <f>+VLOOKUP(A552,'Chi tiết NVL'!$I$10:$J$4158,2,0)</f>
        <v/>
      </c>
      <c r="C552" s="57">
        <f>+SUMIF('Chi tiết NVL'!$I:$I,$A552,'Chi tiết NVL'!L:L)</f>
        <v/>
      </c>
      <c r="D552" s="57">
        <f>+SUMIF('Chi tiết NVL'!$I:$I,$A552,'Chi tiết NVL'!M:M)</f>
        <v/>
      </c>
      <c r="E552" s="57">
        <f>+SUMIF('Chi tiết NVL'!$I:$I,$A552,'Chi tiết NVL'!N:N)</f>
        <v/>
      </c>
      <c r="F552" s="57">
        <f>+SUMIF('Chi tiết NVL'!$I:$I,$A552,'Chi tiết NVL'!O:O)</f>
        <v/>
      </c>
      <c r="G552" s="57">
        <f>+SUMIF('Chi tiết NVL'!$I:$I,$A552,'Chi tiết NVL'!P:P)</f>
        <v/>
      </c>
      <c r="H552" s="57">
        <f>+SUMIF('Chi tiết NVL'!$I:$I,$A552,'Chi tiết NVL'!Q:Q)</f>
        <v/>
      </c>
      <c r="I552" s="57">
        <f>+SUMIF('Chi tiết NVL'!$I:$I,$A552,'Chi tiết NVL'!R:R)</f>
        <v/>
      </c>
      <c r="J552" s="57">
        <f>+SUMIF('Chi tiết NVL'!$I:$I,$A552,'Chi tiết NVL'!S:S)</f>
        <v/>
      </c>
    </row>
    <row r="553">
      <c r="A553" s="56" t="inlineStr">
        <is>
          <t>Thép tấm (90x450x5320mm)</t>
        </is>
      </c>
      <c r="B553" s="56">
        <f>+VLOOKUP(A553,'Chi tiết NVL'!$I$10:$J$4158,2,0)</f>
        <v/>
      </c>
      <c r="C553" s="57">
        <f>+SUMIF('Chi tiết NVL'!$I:$I,$A553,'Chi tiết NVL'!L:L)</f>
        <v/>
      </c>
      <c r="D553" s="57">
        <f>+SUMIF('Chi tiết NVL'!$I:$I,$A553,'Chi tiết NVL'!M:M)</f>
        <v/>
      </c>
      <c r="E553" s="57">
        <f>+SUMIF('Chi tiết NVL'!$I:$I,$A553,'Chi tiết NVL'!N:N)</f>
        <v/>
      </c>
      <c r="F553" s="57">
        <f>+SUMIF('Chi tiết NVL'!$I:$I,$A553,'Chi tiết NVL'!O:O)</f>
        <v/>
      </c>
      <c r="G553" s="57">
        <f>+SUMIF('Chi tiết NVL'!$I:$I,$A553,'Chi tiết NVL'!P:P)</f>
        <v/>
      </c>
      <c r="H553" s="57">
        <f>+SUMIF('Chi tiết NVL'!$I:$I,$A553,'Chi tiết NVL'!Q:Q)</f>
        <v/>
      </c>
      <c r="I553" s="57">
        <f>+SUMIF('Chi tiết NVL'!$I:$I,$A553,'Chi tiết NVL'!R:R)</f>
        <v/>
      </c>
      <c r="J553" s="57">
        <f>+SUMIF('Chi tiết NVL'!$I:$I,$A553,'Chi tiết NVL'!S:S)</f>
        <v/>
      </c>
    </row>
    <row r="554">
      <c r="A554" s="56" t="inlineStr">
        <is>
          <t>Thép tấm (101x460x7052mm)</t>
        </is>
      </c>
      <c r="B554" s="56">
        <f>+VLOOKUP(A554,'Chi tiết NVL'!$I$10:$J$4158,2,0)</f>
        <v/>
      </c>
      <c r="C554" s="57">
        <f>+SUMIF('Chi tiết NVL'!$I:$I,$A554,'Chi tiết NVL'!L:L)</f>
        <v/>
      </c>
      <c r="D554" s="57">
        <f>+SUMIF('Chi tiết NVL'!$I:$I,$A554,'Chi tiết NVL'!M:M)</f>
        <v/>
      </c>
      <c r="E554" s="57">
        <f>+SUMIF('Chi tiết NVL'!$I:$I,$A554,'Chi tiết NVL'!N:N)</f>
        <v/>
      </c>
      <c r="F554" s="57">
        <f>+SUMIF('Chi tiết NVL'!$I:$I,$A554,'Chi tiết NVL'!O:O)</f>
        <v/>
      </c>
      <c r="G554" s="57">
        <f>+SUMIF('Chi tiết NVL'!$I:$I,$A554,'Chi tiết NVL'!P:P)</f>
        <v/>
      </c>
      <c r="H554" s="57">
        <f>+SUMIF('Chi tiết NVL'!$I:$I,$A554,'Chi tiết NVL'!Q:Q)</f>
        <v/>
      </c>
      <c r="I554" s="57">
        <f>+SUMIF('Chi tiết NVL'!$I:$I,$A554,'Chi tiết NVL'!R:R)</f>
        <v/>
      </c>
      <c r="J554" s="57">
        <f>+SUMIF('Chi tiết NVL'!$I:$I,$A554,'Chi tiết NVL'!S:S)</f>
        <v/>
      </c>
    </row>
    <row r="555">
      <c r="A555" s="56" t="inlineStr">
        <is>
          <t>Thép hộp mạ kẽm</t>
        </is>
      </c>
      <c r="B555" s="56">
        <f>+VLOOKUP(A555,'Chi tiết NVL'!$I$10:$J$4158,2,0)</f>
        <v/>
      </c>
      <c r="C555" s="57">
        <f>+SUMIF('Chi tiết NVL'!$I:$I,$A555,'Chi tiết NVL'!L:L)</f>
        <v/>
      </c>
      <c r="D555" s="57">
        <f>+SUMIF('Chi tiết NVL'!$I:$I,$A555,'Chi tiết NVL'!M:M)</f>
        <v/>
      </c>
      <c r="E555" s="57">
        <f>+SUMIF('Chi tiết NVL'!$I:$I,$A555,'Chi tiết NVL'!N:N)</f>
        <v/>
      </c>
      <c r="F555" s="57">
        <f>+SUMIF('Chi tiết NVL'!$I:$I,$A555,'Chi tiết NVL'!O:O)</f>
        <v/>
      </c>
      <c r="G555" s="57">
        <f>+SUMIF('Chi tiết NVL'!$I:$I,$A555,'Chi tiết NVL'!P:P)</f>
        <v/>
      </c>
      <c r="H555" s="57">
        <f>+SUMIF('Chi tiết NVL'!$I:$I,$A555,'Chi tiết NVL'!Q:Q)</f>
        <v/>
      </c>
      <c r="I555" s="57">
        <f>+SUMIF('Chi tiết NVL'!$I:$I,$A555,'Chi tiết NVL'!R:R)</f>
        <v/>
      </c>
      <c r="J555" s="57">
        <f>+SUMIF('Chi tiết NVL'!$I:$I,$A555,'Chi tiết NVL'!S:S)</f>
        <v/>
      </c>
    </row>
    <row r="556">
      <c r="A556" s="56" t="inlineStr">
        <is>
          <t>Tắc kê M10x50</t>
        </is>
      </c>
      <c r="B556" s="56">
        <f>+VLOOKUP(A556,'Chi tiết NVL'!$I$10:$J$4158,2,0)</f>
        <v/>
      </c>
      <c r="C556" s="57">
        <f>+SUMIF('Chi tiết NVL'!$I:$I,$A556,'Chi tiết NVL'!L:L)</f>
        <v/>
      </c>
      <c r="D556" s="57">
        <f>+SUMIF('Chi tiết NVL'!$I:$I,$A556,'Chi tiết NVL'!M:M)</f>
        <v/>
      </c>
      <c r="E556" s="57">
        <f>+SUMIF('Chi tiết NVL'!$I:$I,$A556,'Chi tiết NVL'!N:N)</f>
        <v/>
      </c>
      <c r="F556" s="57">
        <f>+SUMIF('Chi tiết NVL'!$I:$I,$A556,'Chi tiết NVL'!O:O)</f>
        <v/>
      </c>
      <c r="G556" s="57">
        <f>+SUMIF('Chi tiết NVL'!$I:$I,$A556,'Chi tiết NVL'!P:P)</f>
        <v/>
      </c>
      <c r="H556" s="57">
        <f>+SUMIF('Chi tiết NVL'!$I:$I,$A556,'Chi tiết NVL'!Q:Q)</f>
        <v/>
      </c>
      <c r="I556" s="57">
        <f>+SUMIF('Chi tiết NVL'!$I:$I,$A556,'Chi tiết NVL'!R:R)</f>
        <v/>
      </c>
      <c r="J556" s="57">
        <f>+SUMIF('Chi tiết NVL'!$I:$I,$A556,'Chi tiết NVL'!S:S)</f>
        <v/>
      </c>
    </row>
    <row r="557">
      <c r="A557" s="56" t="inlineStr">
        <is>
          <t>Thép mạ nhôm kẽm</t>
        </is>
      </c>
      <c r="B557" s="56">
        <f>+VLOOKUP(A557,'Chi tiết NVL'!$I$10:$J$4158,2,0)</f>
        <v/>
      </c>
      <c r="C557" s="57">
        <f>+SUMIF('Chi tiết NVL'!$I:$I,$A557,'Chi tiết NVL'!L:L)</f>
        <v/>
      </c>
      <c r="D557" s="57">
        <f>+SUMIF('Chi tiết NVL'!$I:$I,$A557,'Chi tiết NVL'!M:M)</f>
        <v/>
      </c>
      <c r="E557" s="57">
        <f>+SUMIF('Chi tiết NVL'!$I:$I,$A557,'Chi tiết NVL'!N:N)</f>
        <v/>
      </c>
      <c r="F557" s="57">
        <f>+SUMIF('Chi tiết NVL'!$I:$I,$A557,'Chi tiết NVL'!O:O)</f>
        <v/>
      </c>
      <c r="G557" s="57">
        <f>+SUMIF('Chi tiết NVL'!$I:$I,$A557,'Chi tiết NVL'!P:P)</f>
        <v/>
      </c>
      <c r="H557" s="57">
        <f>+SUMIF('Chi tiết NVL'!$I:$I,$A557,'Chi tiết NVL'!Q:Q)</f>
        <v/>
      </c>
      <c r="I557" s="57">
        <f>+SUMIF('Chi tiết NVL'!$I:$I,$A557,'Chi tiết NVL'!R:R)</f>
        <v/>
      </c>
      <c r="J557" s="57">
        <f>+SUMIF('Chi tiết NVL'!$I:$I,$A557,'Chi tiết NVL'!S:S)</f>
        <v/>
      </c>
    </row>
    <row r="558">
      <c r="A558" s="56" t="inlineStr">
        <is>
          <t>Bulong Din 933 8.8 ZP M20x100</t>
        </is>
      </c>
      <c r="B558" s="56">
        <f>+VLOOKUP(A558,'Chi tiết NVL'!$I$10:$J$4158,2,0)</f>
        <v/>
      </c>
      <c r="C558" s="57">
        <f>+SUMIF('Chi tiết NVL'!$I:$I,$A558,'Chi tiết NVL'!L:L)</f>
        <v/>
      </c>
      <c r="D558" s="57">
        <f>+SUMIF('Chi tiết NVL'!$I:$I,$A558,'Chi tiết NVL'!M:M)</f>
        <v/>
      </c>
      <c r="E558" s="57">
        <f>+SUMIF('Chi tiết NVL'!$I:$I,$A558,'Chi tiết NVL'!N:N)</f>
        <v/>
      </c>
      <c r="F558" s="57">
        <f>+SUMIF('Chi tiết NVL'!$I:$I,$A558,'Chi tiết NVL'!O:O)</f>
        <v/>
      </c>
      <c r="G558" s="57">
        <f>+SUMIF('Chi tiết NVL'!$I:$I,$A558,'Chi tiết NVL'!P:P)</f>
        <v/>
      </c>
      <c r="H558" s="57">
        <f>+SUMIF('Chi tiết NVL'!$I:$I,$A558,'Chi tiết NVL'!Q:Q)</f>
        <v/>
      </c>
      <c r="I558" s="57">
        <f>+SUMIF('Chi tiết NVL'!$I:$I,$A558,'Chi tiết NVL'!R:R)</f>
        <v/>
      </c>
      <c r="J558" s="57">
        <f>+SUMIF('Chi tiết NVL'!$I:$I,$A558,'Chi tiết NVL'!S:S)</f>
        <v/>
      </c>
    </row>
    <row r="559">
      <c r="A559" s="56" t="inlineStr">
        <is>
          <t>Ống inox sus 304: 42.7 x 1.5 x 6000</t>
        </is>
      </c>
      <c r="B559" s="56">
        <f>+VLOOKUP(A559,'Chi tiết NVL'!$I$10:$J$4158,2,0)</f>
        <v/>
      </c>
      <c r="C559" s="57">
        <f>+SUMIF('Chi tiết NVL'!$I:$I,$A559,'Chi tiết NVL'!L:L)</f>
        <v/>
      </c>
      <c r="D559" s="57">
        <f>+SUMIF('Chi tiết NVL'!$I:$I,$A559,'Chi tiết NVL'!M:M)</f>
        <v/>
      </c>
      <c r="E559" s="57">
        <f>+SUMIF('Chi tiết NVL'!$I:$I,$A559,'Chi tiết NVL'!N:N)</f>
        <v/>
      </c>
      <c r="F559" s="57">
        <f>+SUMIF('Chi tiết NVL'!$I:$I,$A559,'Chi tiết NVL'!O:O)</f>
        <v/>
      </c>
      <c r="G559" s="57">
        <f>+SUMIF('Chi tiết NVL'!$I:$I,$A559,'Chi tiết NVL'!P:P)</f>
        <v/>
      </c>
      <c r="H559" s="57">
        <f>+SUMIF('Chi tiết NVL'!$I:$I,$A559,'Chi tiết NVL'!Q:Q)</f>
        <v/>
      </c>
      <c r="I559" s="57">
        <f>+SUMIF('Chi tiết NVL'!$I:$I,$A559,'Chi tiết NVL'!R:R)</f>
        <v/>
      </c>
      <c r="J559" s="57">
        <f>+SUMIF('Chi tiết NVL'!$I:$I,$A559,'Chi tiết NVL'!S:S)</f>
        <v/>
      </c>
    </row>
    <row r="560">
      <c r="A560" s="56" t="inlineStr">
        <is>
          <t>Inox tấm 304/No1 4mm x 400 x 500</t>
        </is>
      </c>
      <c r="B560" s="56">
        <f>+VLOOKUP(A560,'Chi tiết NVL'!$I$10:$J$4158,2,0)</f>
        <v/>
      </c>
      <c r="C560" s="57">
        <f>+SUMIF('Chi tiết NVL'!$I:$I,$A560,'Chi tiết NVL'!L:L)</f>
        <v/>
      </c>
      <c r="D560" s="57">
        <f>+SUMIF('Chi tiết NVL'!$I:$I,$A560,'Chi tiết NVL'!M:M)</f>
        <v/>
      </c>
      <c r="E560" s="57">
        <f>+SUMIF('Chi tiết NVL'!$I:$I,$A560,'Chi tiết NVL'!N:N)</f>
        <v/>
      </c>
      <c r="F560" s="57">
        <f>+SUMIF('Chi tiết NVL'!$I:$I,$A560,'Chi tiết NVL'!O:O)</f>
        <v/>
      </c>
      <c r="G560" s="57">
        <f>+SUMIF('Chi tiết NVL'!$I:$I,$A560,'Chi tiết NVL'!P:P)</f>
        <v/>
      </c>
      <c r="H560" s="57">
        <f>+SUMIF('Chi tiết NVL'!$I:$I,$A560,'Chi tiết NVL'!Q:Q)</f>
        <v/>
      </c>
      <c r="I560" s="57">
        <f>+SUMIF('Chi tiết NVL'!$I:$I,$A560,'Chi tiết NVL'!R:R)</f>
        <v/>
      </c>
      <c r="J560" s="57">
        <f>+SUMIF('Chi tiết NVL'!$I:$I,$A560,'Chi tiết NVL'!S:S)</f>
        <v/>
      </c>
    </row>
    <row r="561">
      <c r="A561" s="56" t="inlineStr">
        <is>
          <t>Co inox 304 42</t>
        </is>
      </c>
      <c r="B561" s="56">
        <f>+VLOOKUP(A561,'Chi tiết NVL'!$I$10:$J$4158,2,0)</f>
        <v/>
      </c>
      <c r="C561" s="57">
        <f>+SUMIF('Chi tiết NVL'!$I:$I,$A561,'Chi tiết NVL'!L:L)</f>
        <v/>
      </c>
      <c r="D561" s="57">
        <f>+SUMIF('Chi tiết NVL'!$I:$I,$A561,'Chi tiết NVL'!M:M)</f>
        <v/>
      </c>
      <c r="E561" s="57">
        <f>+SUMIF('Chi tiết NVL'!$I:$I,$A561,'Chi tiết NVL'!N:N)</f>
        <v/>
      </c>
      <c r="F561" s="57">
        <f>+SUMIF('Chi tiết NVL'!$I:$I,$A561,'Chi tiết NVL'!O:O)</f>
        <v/>
      </c>
      <c r="G561" s="57">
        <f>+SUMIF('Chi tiết NVL'!$I:$I,$A561,'Chi tiết NVL'!P:P)</f>
        <v/>
      </c>
      <c r="H561" s="57">
        <f>+SUMIF('Chi tiết NVL'!$I:$I,$A561,'Chi tiết NVL'!Q:Q)</f>
        <v/>
      </c>
      <c r="I561" s="57">
        <f>+SUMIF('Chi tiết NVL'!$I:$I,$A561,'Chi tiết NVL'!R:R)</f>
        <v/>
      </c>
      <c r="J561" s="57">
        <f>+SUMIF('Chi tiết NVL'!$I:$I,$A561,'Chi tiết NVL'!S:S)</f>
        <v/>
      </c>
    </row>
    <row r="562">
      <c r="A562" s="56" t="inlineStr">
        <is>
          <t>Hóa chất HIT-RE 500 V4/500</t>
        </is>
      </c>
      <c r="B562" s="56">
        <f>+VLOOKUP(A562,'Chi tiết NVL'!$I$10:$J$4158,2,0)</f>
        <v/>
      </c>
      <c r="C562" s="57">
        <f>+SUMIF('Chi tiết NVL'!$I:$I,$A562,'Chi tiết NVL'!L:L)</f>
        <v/>
      </c>
      <c r="D562" s="57">
        <f>+SUMIF('Chi tiết NVL'!$I:$I,$A562,'Chi tiết NVL'!M:M)</f>
        <v/>
      </c>
      <c r="E562" s="57">
        <f>+SUMIF('Chi tiết NVL'!$I:$I,$A562,'Chi tiết NVL'!N:N)</f>
        <v/>
      </c>
      <c r="F562" s="57">
        <f>+SUMIF('Chi tiết NVL'!$I:$I,$A562,'Chi tiết NVL'!O:O)</f>
        <v/>
      </c>
      <c r="G562" s="57">
        <f>+SUMIF('Chi tiết NVL'!$I:$I,$A562,'Chi tiết NVL'!P:P)</f>
        <v/>
      </c>
      <c r="H562" s="57">
        <f>+SUMIF('Chi tiết NVL'!$I:$I,$A562,'Chi tiết NVL'!Q:Q)</f>
        <v/>
      </c>
      <c r="I562" s="57">
        <f>+SUMIF('Chi tiết NVL'!$I:$I,$A562,'Chi tiết NVL'!R:R)</f>
        <v/>
      </c>
      <c r="J562" s="57">
        <f>+SUMIF('Chi tiết NVL'!$I:$I,$A562,'Chi tiết NVL'!S:S)</f>
        <v/>
      </c>
    </row>
    <row r="563">
      <c r="A563" s="56" t="inlineStr">
        <is>
          <t>Súng bơm HDM 500</t>
        </is>
      </c>
      <c r="B563" s="56">
        <f>+VLOOKUP(A563,'Chi tiết NVL'!$I$10:$J$4158,2,0)</f>
        <v/>
      </c>
      <c r="C563" s="57">
        <f>+SUMIF('Chi tiết NVL'!$I:$I,$A563,'Chi tiết NVL'!L:L)</f>
        <v/>
      </c>
      <c r="D563" s="57">
        <f>+SUMIF('Chi tiết NVL'!$I:$I,$A563,'Chi tiết NVL'!M:M)</f>
        <v/>
      </c>
      <c r="E563" s="57">
        <f>+SUMIF('Chi tiết NVL'!$I:$I,$A563,'Chi tiết NVL'!N:N)</f>
        <v/>
      </c>
      <c r="F563" s="57">
        <f>+SUMIF('Chi tiết NVL'!$I:$I,$A563,'Chi tiết NVL'!O:O)</f>
        <v/>
      </c>
      <c r="G563" s="57">
        <f>+SUMIF('Chi tiết NVL'!$I:$I,$A563,'Chi tiết NVL'!P:P)</f>
        <v/>
      </c>
      <c r="H563" s="57">
        <f>+SUMIF('Chi tiết NVL'!$I:$I,$A563,'Chi tiết NVL'!Q:Q)</f>
        <v/>
      </c>
      <c r="I563" s="57">
        <f>+SUMIF('Chi tiết NVL'!$I:$I,$A563,'Chi tiết NVL'!R:R)</f>
        <v/>
      </c>
      <c r="J563" s="57">
        <f>+SUMIF('Chi tiết NVL'!$I:$I,$A563,'Chi tiết NVL'!S:S)</f>
        <v/>
      </c>
    </row>
    <row r="564">
      <c r="A564" s="56" t="inlineStr">
        <is>
          <t>Ống đựng keo HIT-CB 500</t>
        </is>
      </c>
      <c r="B564" s="56">
        <f>+VLOOKUP(A564,'Chi tiết NVL'!$I$10:$J$4158,2,0)</f>
        <v/>
      </c>
      <c r="C564" s="57">
        <f>+SUMIF('Chi tiết NVL'!$I:$I,$A564,'Chi tiết NVL'!L:L)</f>
        <v/>
      </c>
      <c r="D564" s="57">
        <f>+SUMIF('Chi tiết NVL'!$I:$I,$A564,'Chi tiết NVL'!M:M)</f>
        <v/>
      </c>
      <c r="E564" s="57">
        <f>+SUMIF('Chi tiết NVL'!$I:$I,$A564,'Chi tiết NVL'!N:N)</f>
        <v/>
      </c>
      <c r="F564" s="57">
        <f>+SUMIF('Chi tiết NVL'!$I:$I,$A564,'Chi tiết NVL'!O:O)</f>
        <v/>
      </c>
      <c r="G564" s="57">
        <f>+SUMIF('Chi tiết NVL'!$I:$I,$A564,'Chi tiết NVL'!P:P)</f>
        <v/>
      </c>
      <c r="H564" s="57">
        <f>+SUMIF('Chi tiết NVL'!$I:$I,$A564,'Chi tiết NVL'!Q:Q)</f>
        <v/>
      </c>
      <c r="I564" s="57">
        <f>+SUMIF('Chi tiết NVL'!$I:$I,$A564,'Chi tiết NVL'!R:R)</f>
        <v/>
      </c>
      <c r="J564" s="57">
        <f>+SUMIF('Chi tiết NVL'!$I:$I,$A564,'Chi tiết NVL'!S:S)</f>
        <v/>
      </c>
    </row>
    <row r="565">
      <c r="A565" s="56" t="inlineStr">
        <is>
          <t>Thép tấm (57x365x11634mm)</t>
        </is>
      </c>
      <c r="B565" s="56">
        <f>+VLOOKUP(A565,'Chi tiết NVL'!$I$10:$J$4158,2,0)</f>
        <v/>
      </c>
      <c r="C565" s="57">
        <f>+SUMIF('Chi tiết NVL'!$I:$I,$A565,'Chi tiết NVL'!L:L)</f>
        <v/>
      </c>
      <c r="D565" s="57">
        <f>+SUMIF('Chi tiết NVL'!$I:$I,$A565,'Chi tiết NVL'!M:M)</f>
        <v/>
      </c>
      <c r="E565" s="57">
        <f>+SUMIF('Chi tiết NVL'!$I:$I,$A565,'Chi tiết NVL'!N:N)</f>
        <v/>
      </c>
      <c r="F565" s="57">
        <f>+SUMIF('Chi tiết NVL'!$I:$I,$A565,'Chi tiết NVL'!O:O)</f>
        <v/>
      </c>
      <c r="G565" s="57">
        <f>+SUMIF('Chi tiết NVL'!$I:$I,$A565,'Chi tiết NVL'!P:P)</f>
        <v/>
      </c>
      <c r="H565" s="57">
        <f>+SUMIF('Chi tiết NVL'!$I:$I,$A565,'Chi tiết NVL'!Q:Q)</f>
        <v/>
      </c>
      <c r="I565" s="57">
        <f>+SUMIF('Chi tiết NVL'!$I:$I,$A565,'Chi tiết NVL'!R:R)</f>
        <v/>
      </c>
      <c r="J565" s="57">
        <f>+SUMIF('Chi tiết NVL'!$I:$I,$A565,'Chi tiết NVL'!S:S)</f>
        <v/>
      </c>
    </row>
    <row r="566">
      <c r="A566" s="56" t="inlineStr">
        <is>
          <t>SƠN HARDTOP XPL RAL 9017 19.19L</t>
        </is>
      </c>
      <c r="B566" s="56">
        <f>+VLOOKUP(A566,'Chi tiết NVL'!$I$10:$J$4158,2,0)</f>
        <v/>
      </c>
      <c r="C566" s="57">
        <f>+SUMIF('Chi tiết NVL'!$I:$I,$A566,'Chi tiết NVL'!L:L)</f>
        <v/>
      </c>
      <c r="D566" s="57">
        <f>+SUMIF('Chi tiết NVL'!$I:$I,$A566,'Chi tiết NVL'!M:M)</f>
        <v/>
      </c>
      <c r="E566" s="57">
        <f>+SUMIF('Chi tiết NVL'!$I:$I,$A566,'Chi tiết NVL'!N:N)</f>
        <v/>
      </c>
      <c r="F566" s="57">
        <f>+SUMIF('Chi tiết NVL'!$I:$I,$A566,'Chi tiết NVL'!O:O)</f>
        <v/>
      </c>
      <c r="G566" s="57">
        <f>+SUMIF('Chi tiết NVL'!$I:$I,$A566,'Chi tiết NVL'!P:P)</f>
        <v/>
      </c>
      <c r="H566" s="57">
        <f>+SUMIF('Chi tiết NVL'!$I:$I,$A566,'Chi tiết NVL'!Q:Q)</f>
        <v/>
      </c>
      <c r="I566" s="57">
        <f>+SUMIF('Chi tiết NVL'!$I:$I,$A566,'Chi tiết NVL'!R:R)</f>
        <v/>
      </c>
      <c r="J566" s="57">
        <f>+SUMIF('Chi tiết NVL'!$I:$I,$A566,'Chi tiết NVL'!S:S)</f>
        <v/>
      </c>
    </row>
    <row r="567">
      <c r="A567" s="56" t="inlineStr">
        <is>
          <t>Bulong neo I 8.8 ZP M24x530</t>
        </is>
      </c>
      <c r="B567" s="56">
        <f>+VLOOKUP(A567,'Chi tiết NVL'!$I$10:$J$4158,2,0)</f>
        <v/>
      </c>
      <c r="C567" s="57">
        <f>+SUMIF('Chi tiết NVL'!$I:$I,$A567,'Chi tiết NVL'!L:L)</f>
        <v/>
      </c>
      <c r="D567" s="57">
        <f>+SUMIF('Chi tiết NVL'!$I:$I,$A567,'Chi tiết NVL'!M:M)</f>
        <v/>
      </c>
      <c r="E567" s="57">
        <f>+SUMIF('Chi tiết NVL'!$I:$I,$A567,'Chi tiết NVL'!N:N)</f>
        <v/>
      </c>
      <c r="F567" s="57">
        <f>+SUMIF('Chi tiết NVL'!$I:$I,$A567,'Chi tiết NVL'!O:O)</f>
        <v/>
      </c>
      <c r="G567" s="57">
        <f>+SUMIF('Chi tiết NVL'!$I:$I,$A567,'Chi tiết NVL'!P:P)</f>
        <v/>
      </c>
      <c r="H567" s="57">
        <f>+SUMIF('Chi tiết NVL'!$I:$I,$A567,'Chi tiết NVL'!Q:Q)</f>
        <v/>
      </c>
      <c r="I567" s="57">
        <f>+SUMIF('Chi tiết NVL'!$I:$I,$A567,'Chi tiết NVL'!R:R)</f>
        <v/>
      </c>
      <c r="J567" s="57">
        <f>+SUMIF('Chi tiết NVL'!$I:$I,$A567,'Chi tiết NVL'!S:S)</f>
        <v/>
      </c>
    </row>
    <row r="568">
      <c r="A568" s="56" t="inlineStr">
        <is>
          <t>Bulong neo I 8.8 ZP M30x645</t>
        </is>
      </c>
      <c r="B568" s="56">
        <f>+VLOOKUP(A568,'Chi tiết NVL'!$I$10:$J$4158,2,0)</f>
        <v/>
      </c>
      <c r="C568" s="57">
        <f>+SUMIF('Chi tiết NVL'!$I:$I,$A568,'Chi tiết NVL'!L:L)</f>
        <v/>
      </c>
      <c r="D568" s="57">
        <f>+SUMIF('Chi tiết NVL'!$I:$I,$A568,'Chi tiết NVL'!M:M)</f>
        <v/>
      </c>
      <c r="E568" s="57">
        <f>+SUMIF('Chi tiết NVL'!$I:$I,$A568,'Chi tiết NVL'!N:N)</f>
        <v/>
      </c>
      <c r="F568" s="57">
        <f>+SUMIF('Chi tiết NVL'!$I:$I,$A568,'Chi tiết NVL'!O:O)</f>
        <v/>
      </c>
      <c r="G568" s="57">
        <f>+SUMIF('Chi tiết NVL'!$I:$I,$A568,'Chi tiết NVL'!P:P)</f>
        <v/>
      </c>
      <c r="H568" s="57">
        <f>+SUMIF('Chi tiết NVL'!$I:$I,$A568,'Chi tiết NVL'!Q:Q)</f>
        <v/>
      </c>
      <c r="I568" s="57">
        <f>+SUMIF('Chi tiết NVL'!$I:$I,$A568,'Chi tiết NVL'!R:R)</f>
        <v/>
      </c>
      <c r="J568" s="57">
        <f>+SUMIF('Chi tiết NVL'!$I:$I,$A568,'Chi tiết NVL'!S:S)</f>
        <v/>
      </c>
    </row>
    <row r="569">
      <c r="A569" s="56" t="inlineStr">
        <is>
          <t>Long đền thường ZP M30B60D2</t>
        </is>
      </c>
      <c r="B569" s="56">
        <f>+VLOOKUP(A569,'Chi tiết NVL'!$I$10:$J$4158,2,0)</f>
        <v/>
      </c>
      <c r="C569" s="57">
        <f>+SUMIF('Chi tiết NVL'!$I:$I,$A569,'Chi tiết NVL'!L:L)</f>
        <v/>
      </c>
      <c r="D569" s="57">
        <f>+SUMIF('Chi tiết NVL'!$I:$I,$A569,'Chi tiết NVL'!M:M)</f>
        <v/>
      </c>
      <c r="E569" s="57">
        <f>+SUMIF('Chi tiết NVL'!$I:$I,$A569,'Chi tiết NVL'!N:N)</f>
        <v/>
      </c>
      <c r="F569" s="57">
        <f>+SUMIF('Chi tiết NVL'!$I:$I,$A569,'Chi tiết NVL'!O:O)</f>
        <v/>
      </c>
      <c r="G569" s="57">
        <f>+SUMIF('Chi tiết NVL'!$I:$I,$A569,'Chi tiết NVL'!P:P)</f>
        <v/>
      </c>
      <c r="H569" s="57">
        <f>+SUMIF('Chi tiết NVL'!$I:$I,$A569,'Chi tiết NVL'!Q:Q)</f>
        <v/>
      </c>
      <c r="I569" s="57">
        <f>+SUMIF('Chi tiết NVL'!$I:$I,$A569,'Chi tiết NVL'!R:R)</f>
        <v/>
      </c>
      <c r="J569" s="57">
        <f>+SUMIF('Chi tiết NVL'!$I:$I,$A569,'Chi tiết NVL'!S:S)</f>
        <v/>
      </c>
    </row>
    <row r="570">
      <c r="A570" s="56" t="inlineStr">
        <is>
          <t>Thép tấm (57 x 364 x 9200mm)</t>
        </is>
      </c>
      <c r="B570" s="56">
        <f>+VLOOKUP(A570,'Chi tiết NVL'!$I$10:$J$4158,2,0)</f>
        <v/>
      </c>
      <c r="C570" s="57">
        <f>+SUMIF('Chi tiết NVL'!$I:$I,$A570,'Chi tiết NVL'!L:L)</f>
        <v/>
      </c>
      <c r="D570" s="57">
        <f>+SUMIF('Chi tiết NVL'!$I:$I,$A570,'Chi tiết NVL'!M:M)</f>
        <v/>
      </c>
      <c r="E570" s="57">
        <f>+SUMIF('Chi tiết NVL'!$I:$I,$A570,'Chi tiết NVL'!N:N)</f>
        <v/>
      </c>
      <c r="F570" s="57">
        <f>+SUMIF('Chi tiết NVL'!$I:$I,$A570,'Chi tiết NVL'!O:O)</f>
        <v/>
      </c>
      <c r="G570" s="57">
        <f>+SUMIF('Chi tiết NVL'!$I:$I,$A570,'Chi tiết NVL'!P:P)</f>
        <v/>
      </c>
      <c r="H570" s="57">
        <f>+SUMIF('Chi tiết NVL'!$I:$I,$A570,'Chi tiết NVL'!Q:Q)</f>
        <v/>
      </c>
      <c r="I570" s="57">
        <f>+SUMIF('Chi tiết NVL'!$I:$I,$A570,'Chi tiết NVL'!R:R)</f>
        <v/>
      </c>
      <c r="J570" s="57">
        <f>+SUMIF('Chi tiết NVL'!$I:$I,$A570,'Chi tiết NVL'!S:S)</f>
        <v/>
      </c>
    </row>
    <row r="571">
      <c r="A571" s="56" t="inlineStr">
        <is>
          <t>Thép tấm (70 x 330 x 800mm)</t>
        </is>
      </c>
      <c r="B571" s="56">
        <f>+VLOOKUP(A571,'Chi tiết NVL'!$I$10:$J$4158,2,0)</f>
        <v/>
      </c>
      <c r="C571" s="57">
        <f>+SUMIF('Chi tiết NVL'!$I:$I,$A571,'Chi tiết NVL'!L:L)</f>
        <v/>
      </c>
      <c r="D571" s="57">
        <f>+SUMIF('Chi tiết NVL'!$I:$I,$A571,'Chi tiết NVL'!M:M)</f>
        <v/>
      </c>
      <c r="E571" s="57">
        <f>+SUMIF('Chi tiết NVL'!$I:$I,$A571,'Chi tiết NVL'!N:N)</f>
        <v/>
      </c>
      <c r="F571" s="57">
        <f>+SUMIF('Chi tiết NVL'!$I:$I,$A571,'Chi tiết NVL'!O:O)</f>
        <v/>
      </c>
      <c r="G571" s="57">
        <f>+SUMIF('Chi tiết NVL'!$I:$I,$A571,'Chi tiết NVL'!P:P)</f>
        <v/>
      </c>
      <c r="H571" s="57">
        <f>+SUMIF('Chi tiết NVL'!$I:$I,$A571,'Chi tiết NVL'!Q:Q)</f>
        <v/>
      </c>
      <c r="I571" s="57">
        <f>+SUMIF('Chi tiết NVL'!$I:$I,$A571,'Chi tiết NVL'!R:R)</f>
        <v/>
      </c>
      <c r="J571" s="57">
        <f>+SUMIF('Chi tiết NVL'!$I:$I,$A571,'Chi tiết NVL'!S:S)</f>
        <v/>
      </c>
    </row>
    <row r="572">
      <c r="A572" s="56" t="inlineStr">
        <is>
          <t>Thép tấm (70 x 337 x 911mm)</t>
        </is>
      </c>
      <c r="B572" s="56">
        <f>+VLOOKUP(A572,'Chi tiết NVL'!$I$10:$J$4158,2,0)</f>
        <v/>
      </c>
      <c r="C572" s="57">
        <f>+SUMIF('Chi tiết NVL'!$I:$I,$A572,'Chi tiết NVL'!L:L)</f>
        <v/>
      </c>
      <c r="D572" s="57">
        <f>+SUMIF('Chi tiết NVL'!$I:$I,$A572,'Chi tiết NVL'!M:M)</f>
        <v/>
      </c>
      <c r="E572" s="57">
        <f>+SUMIF('Chi tiết NVL'!$I:$I,$A572,'Chi tiết NVL'!N:N)</f>
        <v/>
      </c>
      <c r="F572" s="57">
        <f>+SUMIF('Chi tiết NVL'!$I:$I,$A572,'Chi tiết NVL'!O:O)</f>
        <v/>
      </c>
      <c r="G572" s="57">
        <f>+SUMIF('Chi tiết NVL'!$I:$I,$A572,'Chi tiết NVL'!P:P)</f>
        <v/>
      </c>
      <c r="H572" s="57">
        <f>+SUMIF('Chi tiết NVL'!$I:$I,$A572,'Chi tiết NVL'!Q:Q)</f>
        <v/>
      </c>
      <c r="I572" s="57">
        <f>+SUMIF('Chi tiết NVL'!$I:$I,$A572,'Chi tiết NVL'!R:R)</f>
        <v/>
      </c>
      <c r="J572" s="57">
        <f>+SUMIF('Chi tiết NVL'!$I:$I,$A572,'Chi tiết NVL'!S:S)</f>
        <v/>
      </c>
    </row>
    <row r="573">
      <c r="A573" s="56" t="inlineStr">
        <is>
          <t>Thép hộp 50x50x1.8x6m</t>
        </is>
      </c>
      <c r="B573" s="56">
        <f>+VLOOKUP(A573,'Chi tiết NVL'!$I$10:$J$4158,2,0)</f>
        <v/>
      </c>
      <c r="C573" s="57">
        <f>+SUMIF('Chi tiết NVL'!$I:$I,$A573,'Chi tiết NVL'!L:L)</f>
        <v/>
      </c>
      <c r="D573" s="57">
        <f>+SUMIF('Chi tiết NVL'!$I:$I,$A573,'Chi tiết NVL'!M:M)</f>
        <v/>
      </c>
      <c r="E573" s="57">
        <f>+SUMIF('Chi tiết NVL'!$I:$I,$A573,'Chi tiết NVL'!N:N)</f>
        <v/>
      </c>
      <c r="F573" s="57">
        <f>+SUMIF('Chi tiết NVL'!$I:$I,$A573,'Chi tiết NVL'!O:O)</f>
        <v/>
      </c>
      <c r="G573" s="57">
        <f>+SUMIF('Chi tiết NVL'!$I:$I,$A573,'Chi tiết NVL'!P:P)</f>
        <v/>
      </c>
      <c r="H573" s="57">
        <f>+SUMIF('Chi tiết NVL'!$I:$I,$A573,'Chi tiết NVL'!Q:Q)</f>
        <v/>
      </c>
      <c r="I573" s="57">
        <f>+SUMIF('Chi tiết NVL'!$I:$I,$A573,'Chi tiết NVL'!R:R)</f>
        <v/>
      </c>
      <c r="J573" s="57">
        <f>+SUMIF('Chi tiết NVL'!$I:$I,$A573,'Chi tiết NVL'!S:S)</f>
        <v/>
      </c>
    </row>
    <row r="574">
      <c r="A574" s="56" t="inlineStr">
        <is>
          <t>SƠN FUTURA CLASSIC STD 9911 18.29L</t>
        </is>
      </c>
      <c r="B574" s="56">
        <f>+VLOOKUP(A574,'Chi tiết NVL'!$I$10:$J$4158,2,0)</f>
        <v/>
      </c>
      <c r="C574" s="57">
        <f>+SUMIF('Chi tiết NVL'!$I:$I,$A574,'Chi tiết NVL'!L:L)</f>
        <v/>
      </c>
      <c r="D574" s="57">
        <f>+SUMIF('Chi tiết NVL'!$I:$I,$A574,'Chi tiết NVL'!M:M)</f>
        <v/>
      </c>
      <c r="E574" s="57">
        <f>+SUMIF('Chi tiết NVL'!$I:$I,$A574,'Chi tiết NVL'!N:N)</f>
        <v/>
      </c>
      <c r="F574" s="57">
        <f>+SUMIF('Chi tiết NVL'!$I:$I,$A574,'Chi tiết NVL'!O:O)</f>
        <v/>
      </c>
      <c r="G574" s="57">
        <f>+SUMIF('Chi tiết NVL'!$I:$I,$A574,'Chi tiết NVL'!P:P)</f>
        <v/>
      </c>
      <c r="H574" s="57">
        <f>+SUMIF('Chi tiết NVL'!$I:$I,$A574,'Chi tiết NVL'!Q:Q)</f>
        <v/>
      </c>
      <c r="I574" s="57">
        <f>+SUMIF('Chi tiết NVL'!$I:$I,$A574,'Chi tiết NVL'!R:R)</f>
        <v/>
      </c>
      <c r="J574" s="57">
        <f>+SUMIF('Chi tiết NVL'!$I:$I,$A574,'Chi tiết NVL'!S:S)</f>
        <v/>
      </c>
    </row>
    <row r="575">
      <c r="A575" s="56" t="inlineStr">
        <is>
          <t>Cung cấp cửa cuốn</t>
        </is>
      </c>
      <c r="B575" s="56">
        <f>+VLOOKUP(A575,'Chi tiết NVL'!$I$10:$J$4158,2,0)</f>
        <v/>
      </c>
      <c r="C575" s="57">
        <f>+SUMIF('Chi tiết NVL'!$I:$I,$A575,'Chi tiết NVL'!L:L)</f>
        <v/>
      </c>
      <c r="D575" s="57">
        <f>+SUMIF('Chi tiết NVL'!$I:$I,$A575,'Chi tiết NVL'!M:M)</f>
        <v/>
      </c>
      <c r="E575" s="57">
        <f>+SUMIF('Chi tiết NVL'!$I:$I,$A575,'Chi tiết NVL'!N:N)</f>
        <v/>
      </c>
      <c r="F575" s="57">
        <f>+SUMIF('Chi tiết NVL'!$I:$I,$A575,'Chi tiết NVL'!O:O)</f>
        <v/>
      </c>
      <c r="G575" s="57">
        <f>+SUMIF('Chi tiết NVL'!$I:$I,$A575,'Chi tiết NVL'!P:P)</f>
        <v/>
      </c>
      <c r="H575" s="57">
        <f>+SUMIF('Chi tiết NVL'!$I:$I,$A575,'Chi tiết NVL'!Q:Q)</f>
        <v/>
      </c>
      <c r="I575" s="57">
        <f>+SUMIF('Chi tiết NVL'!$I:$I,$A575,'Chi tiết NVL'!R:R)</f>
        <v/>
      </c>
      <c r="J575" s="57">
        <f>+SUMIF('Chi tiết NVL'!$I:$I,$A575,'Chi tiết NVL'!S:S)</f>
        <v/>
      </c>
    </row>
    <row r="576">
      <c r="A576" s="56" t="inlineStr">
        <is>
          <t>Steel Plate 90*2000*9400 (mm)</t>
        </is>
      </c>
      <c r="B576" s="56">
        <f>+VLOOKUP(A576,'Chi tiết NVL'!$I$10:$J$4158,2,0)</f>
        <v/>
      </c>
      <c r="C576" s="57">
        <f>+SUMIF('Chi tiết NVL'!$I:$I,$A576,'Chi tiết NVL'!L:L)</f>
        <v/>
      </c>
      <c r="D576" s="57">
        <f>+SUMIF('Chi tiết NVL'!$I:$I,$A576,'Chi tiết NVL'!M:M)</f>
        <v/>
      </c>
      <c r="E576" s="57">
        <f>+SUMIF('Chi tiết NVL'!$I:$I,$A576,'Chi tiết NVL'!N:N)</f>
        <v/>
      </c>
      <c r="F576" s="57">
        <f>+SUMIF('Chi tiết NVL'!$I:$I,$A576,'Chi tiết NVL'!O:O)</f>
        <v/>
      </c>
      <c r="G576" s="57">
        <f>+SUMIF('Chi tiết NVL'!$I:$I,$A576,'Chi tiết NVL'!P:P)</f>
        <v/>
      </c>
      <c r="H576" s="57">
        <f>+SUMIF('Chi tiết NVL'!$I:$I,$A576,'Chi tiết NVL'!Q:Q)</f>
        <v/>
      </c>
      <c r="I576" s="57">
        <f>+SUMIF('Chi tiết NVL'!$I:$I,$A576,'Chi tiết NVL'!R:R)</f>
        <v/>
      </c>
      <c r="J576" s="57">
        <f>+SUMIF('Chi tiết NVL'!$I:$I,$A576,'Chi tiết NVL'!S:S)</f>
        <v/>
      </c>
    </row>
    <row r="577">
      <c r="A577" s="56" t="inlineStr">
        <is>
          <t>Bulong B A325M Type 1 ZP M16x50(50)</t>
        </is>
      </c>
      <c r="B577" s="56">
        <f>+VLOOKUP(A577,'Chi tiết NVL'!$I$10:$J$4158,2,0)</f>
        <v/>
      </c>
      <c r="C577" s="57">
        <f>+SUMIF('Chi tiết NVL'!$I:$I,$A577,'Chi tiết NVL'!L:L)</f>
        <v/>
      </c>
      <c r="D577" s="57">
        <f>+SUMIF('Chi tiết NVL'!$I:$I,$A577,'Chi tiết NVL'!M:M)</f>
        <v/>
      </c>
      <c r="E577" s="57">
        <f>+SUMIF('Chi tiết NVL'!$I:$I,$A577,'Chi tiết NVL'!N:N)</f>
        <v/>
      </c>
      <c r="F577" s="57">
        <f>+SUMIF('Chi tiết NVL'!$I:$I,$A577,'Chi tiết NVL'!O:O)</f>
        <v/>
      </c>
      <c r="G577" s="57">
        <f>+SUMIF('Chi tiết NVL'!$I:$I,$A577,'Chi tiết NVL'!P:P)</f>
        <v/>
      </c>
      <c r="H577" s="57">
        <f>+SUMIF('Chi tiết NVL'!$I:$I,$A577,'Chi tiết NVL'!Q:Q)</f>
        <v/>
      </c>
      <c r="I577" s="57">
        <f>+SUMIF('Chi tiết NVL'!$I:$I,$A577,'Chi tiết NVL'!R:R)</f>
        <v/>
      </c>
      <c r="J577" s="57">
        <f>+SUMIF('Chi tiết NVL'!$I:$I,$A577,'Chi tiết NVL'!S:S)</f>
        <v/>
      </c>
    </row>
    <row r="578">
      <c r="A578" s="56" t="inlineStr">
        <is>
          <t>Long đền F436M Type 1 ZP M16</t>
        </is>
      </c>
      <c r="B578" s="56">
        <f>+VLOOKUP(A578,'Chi tiết NVL'!$I$10:$J$4158,2,0)</f>
        <v/>
      </c>
      <c r="C578" s="57">
        <f>+SUMIF('Chi tiết NVL'!$I:$I,$A578,'Chi tiết NVL'!L:L)</f>
        <v/>
      </c>
      <c r="D578" s="57">
        <f>+SUMIF('Chi tiết NVL'!$I:$I,$A578,'Chi tiết NVL'!M:M)</f>
        <v/>
      </c>
      <c r="E578" s="57">
        <f>+SUMIF('Chi tiết NVL'!$I:$I,$A578,'Chi tiết NVL'!N:N)</f>
        <v/>
      </c>
      <c r="F578" s="57">
        <f>+SUMIF('Chi tiết NVL'!$I:$I,$A578,'Chi tiết NVL'!O:O)</f>
        <v/>
      </c>
      <c r="G578" s="57">
        <f>+SUMIF('Chi tiết NVL'!$I:$I,$A578,'Chi tiết NVL'!P:P)</f>
        <v/>
      </c>
      <c r="H578" s="57">
        <f>+SUMIF('Chi tiết NVL'!$I:$I,$A578,'Chi tiết NVL'!Q:Q)</f>
        <v/>
      </c>
      <c r="I578" s="57">
        <f>+SUMIF('Chi tiết NVL'!$I:$I,$A578,'Chi tiết NVL'!R:R)</f>
        <v/>
      </c>
      <c r="J578" s="57">
        <f>+SUMIF('Chi tiết NVL'!$I:$I,$A578,'Chi tiết NVL'!S:S)</f>
        <v/>
      </c>
    </row>
    <row r="579">
      <c r="A579" s="56" t="inlineStr">
        <is>
          <t>Bulong A325M Type 1 ZP M16x60(60)</t>
        </is>
      </c>
      <c r="B579" s="56">
        <f>+VLOOKUP(A579,'Chi tiết NVL'!$I$10:$J$4158,2,0)</f>
        <v/>
      </c>
      <c r="C579" s="57">
        <f>+SUMIF('Chi tiết NVL'!$I:$I,$A579,'Chi tiết NVL'!L:L)</f>
        <v/>
      </c>
      <c r="D579" s="57">
        <f>+SUMIF('Chi tiết NVL'!$I:$I,$A579,'Chi tiết NVL'!M:M)</f>
        <v/>
      </c>
      <c r="E579" s="57">
        <f>+SUMIF('Chi tiết NVL'!$I:$I,$A579,'Chi tiết NVL'!N:N)</f>
        <v/>
      </c>
      <c r="F579" s="57">
        <f>+SUMIF('Chi tiết NVL'!$I:$I,$A579,'Chi tiết NVL'!O:O)</f>
        <v/>
      </c>
      <c r="G579" s="57">
        <f>+SUMIF('Chi tiết NVL'!$I:$I,$A579,'Chi tiết NVL'!P:P)</f>
        <v/>
      </c>
      <c r="H579" s="57">
        <f>+SUMIF('Chi tiết NVL'!$I:$I,$A579,'Chi tiết NVL'!Q:Q)</f>
        <v/>
      </c>
      <c r="I579" s="57">
        <f>+SUMIF('Chi tiết NVL'!$I:$I,$A579,'Chi tiết NVL'!R:R)</f>
        <v/>
      </c>
      <c r="J579" s="57">
        <f>+SUMIF('Chi tiết NVL'!$I:$I,$A579,'Chi tiết NVL'!S:S)</f>
        <v/>
      </c>
    </row>
    <row r="580">
      <c r="A580" s="56" t="inlineStr">
        <is>
          <t>Bulong B A325M Type 1 ZP M16x180(180)</t>
        </is>
      </c>
      <c r="B580" s="56">
        <f>+VLOOKUP(A580,'Chi tiết NVL'!$I$10:$J$4158,2,0)</f>
        <v/>
      </c>
      <c r="C580" s="57">
        <f>+SUMIF('Chi tiết NVL'!$I:$I,$A580,'Chi tiết NVL'!L:L)</f>
        <v/>
      </c>
      <c r="D580" s="57">
        <f>+SUMIF('Chi tiết NVL'!$I:$I,$A580,'Chi tiết NVL'!M:M)</f>
        <v/>
      </c>
      <c r="E580" s="57">
        <f>+SUMIF('Chi tiết NVL'!$I:$I,$A580,'Chi tiết NVL'!N:N)</f>
        <v/>
      </c>
      <c r="F580" s="57">
        <f>+SUMIF('Chi tiết NVL'!$I:$I,$A580,'Chi tiết NVL'!O:O)</f>
        <v/>
      </c>
      <c r="G580" s="57">
        <f>+SUMIF('Chi tiết NVL'!$I:$I,$A580,'Chi tiết NVL'!P:P)</f>
        <v/>
      </c>
      <c r="H580" s="57">
        <f>+SUMIF('Chi tiết NVL'!$I:$I,$A580,'Chi tiết NVL'!Q:Q)</f>
        <v/>
      </c>
      <c r="I580" s="57">
        <f>+SUMIF('Chi tiết NVL'!$I:$I,$A580,'Chi tiết NVL'!R:R)</f>
        <v/>
      </c>
      <c r="J580" s="57">
        <f>+SUMIF('Chi tiết NVL'!$I:$I,$A580,'Chi tiết NVL'!S:S)</f>
        <v/>
      </c>
    </row>
    <row r="581">
      <c r="A581" s="56" t="inlineStr">
        <is>
          <t>Bulong B A325M Type 1 ZP M24x80(80)</t>
        </is>
      </c>
      <c r="B581" s="56">
        <f>+VLOOKUP(A581,'Chi tiết NVL'!$I$10:$J$4158,2,0)</f>
        <v/>
      </c>
      <c r="C581" s="57">
        <f>+SUMIF('Chi tiết NVL'!$I:$I,$A581,'Chi tiết NVL'!L:L)</f>
        <v/>
      </c>
      <c r="D581" s="57">
        <f>+SUMIF('Chi tiết NVL'!$I:$I,$A581,'Chi tiết NVL'!M:M)</f>
        <v/>
      </c>
      <c r="E581" s="57">
        <f>+SUMIF('Chi tiết NVL'!$I:$I,$A581,'Chi tiết NVL'!N:N)</f>
        <v/>
      </c>
      <c r="F581" s="57">
        <f>+SUMIF('Chi tiết NVL'!$I:$I,$A581,'Chi tiết NVL'!O:O)</f>
        <v/>
      </c>
      <c r="G581" s="57">
        <f>+SUMIF('Chi tiết NVL'!$I:$I,$A581,'Chi tiết NVL'!P:P)</f>
        <v/>
      </c>
      <c r="H581" s="57">
        <f>+SUMIF('Chi tiết NVL'!$I:$I,$A581,'Chi tiết NVL'!Q:Q)</f>
        <v/>
      </c>
      <c r="I581" s="57">
        <f>+SUMIF('Chi tiết NVL'!$I:$I,$A581,'Chi tiết NVL'!R:R)</f>
        <v/>
      </c>
      <c r="J581" s="57">
        <f>+SUMIF('Chi tiết NVL'!$I:$I,$A581,'Chi tiết NVL'!S:S)</f>
        <v/>
      </c>
    </row>
    <row r="582">
      <c r="A582" s="56" t="inlineStr">
        <is>
          <t>Long đền F436M Type 1 ZP M24</t>
        </is>
      </c>
      <c r="B582" s="56">
        <f>+VLOOKUP(A582,'Chi tiết NVL'!$I$10:$J$4158,2,0)</f>
        <v/>
      </c>
      <c r="C582" s="57">
        <f>+SUMIF('Chi tiết NVL'!$I:$I,$A582,'Chi tiết NVL'!L:L)</f>
        <v/>
      </c>
      <c r="D582" s="57">
        <f>+SUMIF('Chi tiết NVL'!$I:$I,$A582,'Chi tiết NVL'!M:M)</f>
        <v/>
      </c>
      <c r="E582" s="57">
        <f>+SUMIF('Chi tiết NVL'!$I:$I,$A582,'Chi tiết NVL'!N:N)</f>
        <v/>
      </c>
      <c r="F582" s="57">
        <f>+SUMIF('Chi tiết NVL'!$I:$I,$A582,'Chi tiết NVL'!O:O)</f>
        <v/>
      </c>
      <c r="G582" s="57">
        <f>+SUMIF('Chi tiết NVL'!$I:$I,$A582,'Chi tiết NVL'!P:P)</f>
        <v/>
      </c>
      <c r="H582" s="57">
        <f>+SUMIF('Chi tiết NVL'!$I:$I,$A582,'Chi tiết NVL'!Q:Q)</f>
        <v/>
      </c>
      <c r="I582" s="57">
        <f>+SUMIF('Chi tiết NVL'!$I:$I,$A582,'Chi tiết NVL'!R:R)</f>
        <v/>
      </c>
      <c r="J582" s="57">
        <f>+SUMIF('Chi tiết NVL'!$I:$I,$A582,'Chi tiết NVL'!S:S)</f>
        <v/>
      </c>
    </row>
    <row r="583">
      <c r="A583" s="56" t="inlineStr">
        <is>
          <t>Bulong B A325M Type 1 ZP M24x90(90)</t>
        </is>
      </c>
      <c r="B583" s="56">
        <f>+VLOOKUP(A583,'Chi tiết NVL'!$I$10:$J$4158,2,0)</f>
        <v/>
      </c>
      <c r="C583" s="57">
        <f>+SUMIF('Chi tiết NVL'!$I:$I,$A583,'Chi tiết NVL'!L:L)</f>
        <v/>
      </c>
      <c r="D583" s="57">
        <f>+SUMIF('Chi tiết NVL'!$I:$I,$A583,'Chi tiết NVL'!M:M)</f>
        <v/>
      </c>
      <c r="E583" s="57">
        <f>+SUMIF('Chi tiết NVL'!$I:$I,$A583,'Chi tiết NVL'!N:N)</f>
        <v/>
      </c>
      <c r="F583" s="57">
        <f>+SUMIF('Chi tiết NVL'!$I:$I,$A583,'Chi tiết NVL'!O:O)</f>
        <v/>
      </c>
      <c r="G583" s="57">
        <f>+SUMIF('Chi tiết NVL'!$I:$I,$A583,'Chi tiết NVL'!P:P)</f>
        <v/>
      </c>
      <c r="H583" s="57">
        <f>+SUMIF('Chi tiết NVL'!$I:$I,$A583,'Chi tiết NVL'!Q:Q)</f>
        <v/>
      </c>
      <c r="I583" s="57">
        <f>+SUMIF('Chi tiết NVL'!$I:$I,$A583,'Chi tiết NVL'!R:R)</f>
        <v/>
      </c>
      <c r="J583" s="57">
        <f>+SUMIF('Chi tiết NVL'!$I:$I,$A583,'Chi tiết NVL'!S:S)</f>
        <v/>
      </c>
    </row>
    <row r="584">
      <c r="A584" s="56" t="inlineStr">
        <is>
          <t>Bulong B A325M Type 1 ZP M24x120(120)</t>
        </is>
      </c>
      <c r="B584" s="56">
        <f>+VLOOKUP(A584,'Chi tiết NVL'!$I$10:$J$4158,2,0)</f>
        <v/>
      </c>
      <c r="C584" s="57">
        <f>+SUMIF('Chi tiết NVL'!$I:$I,$A584,'Chi tiết NVL'!L:L)</f>
        <v/>
      </c>
      <c r="D584" s="57">
        <f>+SUMIF('Chi tiết NVL'!$I:$I,$A584,'Chi tiết NVL'!M:M)</f>
        <v/>
      </c>
      <c r="E584" s="57">
        <f>+SUMIF('Chi tiết NVL'!$I:$I,$A584,'Chi tiết NVL'!N:N)</f>
        <v/>
      </c>
      <c r="F584" s="57">
        <f>+SUMIF('Chi tiết NVL'!$I:$I,$A584,'Chi tiết NVL'!O:O)</f>
        <v/>
      </c>
      <c r="G584" s="57">
        <f>+SUMIF('Chi tiết NVL'!$I:$I,$A584,'Chi tiết NVL'!P:P)</f>
        <v/>
      </c>
      <c r="H584" s="57">
        <f>+SUMIF('Chi tiết NVL'!$I:$I,$A584,'Chi tiết NVL'!Q:Q)</f>
        <v/>
      </c>
      <c r="I584" s="57">
        <f>+SUMIF('Chi tiết NVL'!$I:$I,$A584,'Chi tiết NVL'!R:R)</f>
        <v/>
      </c>
      <c r="J584" s="57">
        <f>+SUMIF('Chi tiết NVL'!$I:$I,$A584,'Chi tiết NVL'!S:S)</f>
        <v/>
      </c>
    </row>
    <row r="585">
      <c r="A585" s="56" t="inlineStr">
        <is>
          <t>Bulong B A325M Type 1 ZP M30x90(90)</t>
        </is>
      </c>
      <c r="B585" s="56">
        <f>+VLOOKUP(A585,'Chi tiết NVL'!$I$10:$J$4158,2,0)</f>
        <v/>
      </c>
      <c r="C585" s="57">
        <f>+SUMIF('Chi tiết NVL'!$I:$I,$A585,'Chi tiết NVL'!L:L)</f>
        <v/>
      </c>
      <c r="D585" s="57">
        <f>+SUMIF('Chi tiết NVL'!$I:$I,$A585,'Chi tiết NVL'!M:M)</f>
        <v/>
      </c>
      <c r="E585" s="57">
        <f>+SUMIF('Chi tiết NVL'!$I:$I,$A585,'Chi tiết NVL'!N:N)</f>
        <v/>
      </c>
      <c r="F585" s="57">
        <f>+SUMIF('Chi tiết NVL'!$I:$I,$A585,'Chi tiết NVL'!O:O)</f>
        <v/>
      </c>
      <c r="G585" s="57">
        <f>+SUMIF('Chi tiết NVL'!$I:$I,$A585,'Chi tiết NVL'!P:P)</f>
        <v/>
      </c>
      <c r="H585" s="57">
        <f>+SUMIF('Chi tiết NVL'!$I:$I,$A585,'Chi tiết NVL'!Q:Q)</f>
        <v/>
      </c>
      <c r="I585" s="57">
        <f>+SUMIF('Chi tiết NVL'!$I:$I,$A585,'Chi tiết NVL'!R:R)</f>
        <v/>
      </c>
      <c r="J585" s="57">
        <f>+SUMIF('Chi tiết NVL'!$I:$I,$A585,'Chi tiết NVL'!S:S)</f>
        <v/>
      </c>
    </row>
    <row r="586">
      <c r="A586" s="56" t="inlineStr">
        <is>
          <t>Long đền F436M Type 1 ZP M30</t>
        </is>
      </c>
      <c r="B586" s="56">
        <f>+VLOOKUP(A586,'Chi tiết NVL'!$I$10:$J$4158,2,0)</f>
        <v/>
      </c>
      <c r="C586" s="57">
        <f>+SUMIF('Chi tiết NVL'!$I:$I,$A586,'Chi tiết NVL'!L:L)</f>
        <v/>
      </c>
      <c r="D586" s="57">
        <f>+SUMIF('Chi tiết NVL'!$I:$I,$A586,'Chi tiết NVL'!M:M)</f>
        <v/>
      </c>
      <c r="E586" s="57">
        <f>+SUMIF('Chi tiết NVL'!$I:$I,$A586,'Chi tiết NVL'!N:N)</f>
        <v/>
      </c>
      <c r="F586" s="57">
        <f>+SUMIF('Chi tiết NVL'!$I:$I,$A586,'Chi tiết NVL'!O:O)</f>
        <v/>
      </c>
      <c r="G586" s="57">
        <f>+SUMIF('Chi tiết NVL'!$I:$I,$A586,'Chi tiết NVL'!P:P)</f>
        <v/>
      </c>
      <c r="H586" s="57">
        <f>+SUMIF('Chi tiết NVL'!$I:$I,$A586,'Chi tiết NVL'!Q:Q)</f>
        <v/>
      </c>
      <c r="I586" s="57">
        <f>+SUMIF('Chi tiết NVL'!$I:$I,$A586,'Chi tiết NVL'!R:R)</f>
        <v/>
      </c>
      <c r="J586" s="57">
        <f>+SUMIF('Chi tiết NVL'!$I:$I,$A586,'Chi tiết NVL'!S:S)</f>
        <v/>
      </c>
    </row>
    <row r="587">
      <c r="A587" s="56" t="inlineStr">
        <is>
          <t>Bulong B A325M Type 1 ZP M30x100(100)</t>
        </is>
      </c>
      <c r="B587" s="56">
        <f>+VLOOKUP(A587,'Chi tiết NVL'!$I$10:$J$4158,2,0)</f>
        <v/>
      </c>
      <c r="C587" s="57">
        <f>+SUMIF('Chi tiết NVL'!$I:$I,$A587,'Chi tiết NVL'!L:L)</f>
        <v/>
      </c>
      <c r="D587" s="57">
        <f>+SUMIF('Chi tiết NVL'!$I:$I,$A587,'Chi tiết NVL'!M:M)</f>
        <v/>
      </c>
      <c r="E587" s="57">
        <f>+SUMIF('Chi tiết NVL'!$I:$I,$A587,'Chi tiết NVL'!N:N)</f>
        <v/>
      </c>
      <c r="F587" s="57">
        <f>+SUMIF('Chi tiết NVL'!$I:$I,$A587,'Chi tiết NVL'!O:O)</f>
        <v/>
      </c>
      <c r="G587" s="57">
        <f>+SUMIF('Chi tiết NVL'!$I:$I,$A587,'Chi tiết NVL'!P:P)</f>
        <v/>
      </c>
      <c r="H587" s="57">
        <f>+SUMIF('Chi tiết NVL'!$I:$I,$A587,'Chi tiết NVL'!Q:Q)</f>
        <v/>
      </c>
      <c r="I587" s="57">
        <f>+SUMIF('Chi tiết NVL'!$I:$I,$A587,'Chi tiết NVL'!R:R)</f>
        <v/>
      </c>
      <c r="J587" s="57">
        <f>+SUMIF('Chi tiết NVL'!$I:$I,$A587,'Chi tiết NVL'!S:S)</f>
        <v/>
      </c>
    </row>
    <row r="588">
      <c r="A588" s="56" t="inlineStr">
        <is>
          <t>Bulong A325M Type 1 ZP M30x110(110)</t>
        </is>
      </c>
      <c r="B588" s="56">
        <f>+VLOOKUP(A588,'Chi tiết NVL'!$I$10:$J$4158,2,0)</f>
        <v/>
      </c>
      <c r="C588" s="57">
        <f>+SUMIF('Chi tiết NVL'!$I:$I,$A588,'Chi tiết NVL'!L:L)</f>
        <v/>
      </c>
      <c r="D588" s="57">
        <f>+SUMIF('Chi tiết NVL'!$I:$I,$A588,'Chi tiết NVL'!M:M)</f>
        <v/>
      </c>
      <c r="E588" s="57">
        <f>+SUMIF('Chi tiết NVL'!$I:$I,$A588,'Chi tiết NVL'!N:N)</f>
        <v/>
      </c>
      <c r="F588" s="57">
        <f>+SUMIF('Chi tiết NVL'!$I:$I,$A588,'Chi tiết NVL'!O:O)</f>
        <v/>
      </c>
      <c r="G588" s="57">
        <f>+SUMIF('Chi tiết NVL'!$I:$I,$A588,'Chi tiết NVL'!P:P)</f>
        <v/>
      </c>
      <c r="H588" s="57">
        <f>+SUMIF('Chi tiết NVL'!$I:$I,$A588,'Chi tiết NVL'!Q:Q)</f>
        <v/>
      </c>
      <c r="I588" s="57">
        <f>+SUMIF('Chi tiết NVL'!$I:$I,$A588,'Chi tiết NVL'!R:R)</f>
        <v/>
      </c>
      <c r="J588" s="57">
        <f>+SUMIF('Chi tiết NVL'!$I:$I,$A588,'Chi tiết NVL'!S:S)</f>
        <v/>
      </c>
    </row>
    <row r="589">
      <c r="A589" s="56" t="inlineStr">
        <is>
          <t>Bulong A325M Type 1 ZP M30x120(120)</t>
        </is>
      </c>
      <c r="B589" s="56">
        <f>+VLOOKUP(A589,'Chi tiết NVL'!$I$10:$J$4158,2,0)</f>
        <v/>
      </c>
      <c r="C589" s="57">
        <f>+SUMIF('Chi tiết NVL'!$I:$I,$A589,'Chi tiết NVL'!L:L)</f>
        <v/>
      </c>
      <c r="D589" s="57">
        <f>+SUMIF('Chi tiết NVL'!$I:$I,$A589,'Chi tiết NVL'!M:M)</f>
        <v/>
      </c>
      <c r="E589" s="57">
        <f>+SUMIF('Chi tiết NVL'!$I:$I,$A589,'Chi tiết NVL'!N:N)</f>
        <v/>
      </c>
      <c r="F589" s="57">
        <f>+SUMIF('Chi tiết NVL'!$I:$I,$A589,'Chi tiết NVL'!O:O)</f>
        <v/>
      </c>
      <c r="G589" s="57">
        <f>+SUMIF('Chi tiết NVL'!$I:$I,$A589,'Chi tiết NVL'!P:P)</f>
        <v/>
      </c>
      <c r="H589" s="57">
        <f>+SUMIF('Chi tiết NVL'!$I:$I,$A589,'Chi tiết NVL'!Q:Q)</f>
        <v/>
      </c>
      <c r="I589" s="57">
        <f>+SUMIF('Chi tiết NVL'!$I:$I,$A589,'Chi tiết NVL'!R:R)</f>
        <v/>
      </c>
      <c r="J589" s="57">
        <f>+SUMIF('Chi tiết NVL'!$I:$I,$A589,'Chi tiết NVL'!S:S)</f>
        <v/>
      </c>
    </row>
    <row r="590">
      <c r="A590" s="56" t="inlineStr">
        <is>
          <t>Bulong B A325M Type 1 ZP M30x130(130)</t>
        </is>
      </c>
      <c r="B590" s="56">
        <f>+VLOOKUP(A590,'Chi tiết NVL'!$I$10:$J$4158,2,0)</f>
        <v/>
      </c>
      <c r="C590" s="57">
        <f>+SUMIF('Chi tiết NVL'!$I:$I,$A590,'Chi tiết NVL'!L:L)</f>
        <v/>
      </c>
      <c r="D590" s="57">
        <f>+SUMIF('Chi tiết NVL'!$I:$I,$A590,'Chi tiết NVL'!M:M)</f>
        <v/>
      </c>
      <c r="E590" s="57">
        <f>+SUMIF('Chi tiết NVL'!$I:$I,$A590,'Chi tiết NVL'!N:N)</f>
        <v/>
      </c>
      <c r="F590" s="57">
        <f>+SUMIF('Chi tiết NVL'!$I:$I,$A590,'Chi tiết NVL'!O:O)</f>
        <v/>
      </c>
      <c r="G590" s="57">
        <f>+SUMIF('Chi tiết NVL'!$I:$I,$A590,'Chi tiết NVL'!P:P)</f>
        <v/>
      </c>
      <c r="H590" s="57">
        <f>+SUMIF('Chi tiết NVL'!$I:$I,$A590,'Chi tiết NVL'!Q:Q)</f>
        <v/>
      </c>
      <c r="I590" s="57">
        <f>+SUMIF('Chi tiết NVL'!$I:$I,$A590,'Chi tiết NVL'!R:R)</f>
        <v/>
      </c>
      <c r="J590" s="57">
        <f>+SUMIF('Chi tiết NVL'!$I:$I,$A590,'Chi tiết NVL'!S:S)</f>
        <v/>
      </c>
    </row>
    <row r="591">
      <c r="A591" s="56" t="inlineStr">
        <is>
          <t>Bulong B A325M Type 1 ZP M30x140(140)</t>
        </is>
      </c>
      <c r="B591" s="56">
        <f>+VLOOKUP(A591,'Chi tiết NVL'!$I$10:$J$4158,2,0)</f>
        <v/>
      </c>
      <c r="C591" s="57">
        <f>+SUMIF('Chi tiết NVL'!$I:$I,$A591,'Chi tiết NVL'!L:L)</f>
        <v/>
      </c>
      <c r="D591" s="57">
        <f>+SUMIF('Chi tiết NVL'!$I:$I,$A591,'Chi tiết NVL'!M:M)</f>
        <v/>
      </c>
      <c r="E591" s="57">
        <f>+SUMIF('Chi tiết NVL'!$I:$I,$A591,'Chi tiết NVL'!N:N)</f>
        <v/>
      </c>
      <c r="F591" s="57">
        <f>+SUMIF('Chi tiết NVL'!$I:$I,$A591,'Chi tiết NVL'!O:O)</f>
        <v/>
      </c>
      <c r="G591" s="57">
        <f>+SUMIF('Chi tiết NVL'!$I:$I,$A591,'Chi tiết NVL'!P:P)</f>
        <v/>
      </c>
      <c r="H591" s="57">
        <f>+SUMIF('Chi tiết NVL'!$I:$I,$A591,'Chi tiết NVL'!Q:Q)</f>
        <v/>
      </c>
      <c r="I591" s="57">
        <f>+SUMIF('Chi tiết NVL'!$I:$I,$A591,'Chi tiết NVL'!R:R)</f>
        <v/>
      </c>
      <c r="J591" s="57">
        <f>+SUMIF('Chi tiết NVL'!$I:$I,$A591,'Chi tiết NVL'!S:S)</f>
        <v/>
      </c>
    </row>
    <row r="592">
      <c r="A592" s="56" t="inlineStr">
        <is>
          <t>Bulong B A325M Type 1 ZP M30x150(150)</t>
        </is>
      </c>
      <c r="B592" s="56">
        <f>+VLOOKUP(A592,'Chi tiết NVL'!$I$10:$J$4158,2,0)</f>
        <v/>
      </c>
      <c r="C592" s="57">
        <f>+SUMIF('Chi tiết NVL'!$I:$I,$A592,'Chi tiết NVL'!L:L)</f>
        <v/>
      </c>
      <c r="D592" s="57">
        <f>+SUMIF('Chi tiết NVL'!$I:$I,$A592,'Chi tiết NVL'!M:M)</f>
        <v/>
      </c>
      <c r="E592" s="57">
        <f>+SUMIF('Chi tiết NVL'!$I:$I,$A592,'Chi tiết NVL'!N:N)</f>
        <v/>
      </c>
      <c r="F592" s="57">
        <f>+SUMIF('Chi tiết NVL'!$I:$I,$A592,'Chi tiết NVL'!O:O)</f>
        <v/>
      </c>
      <c r="G592" s="57">
        <f>+SUMIF('Chi tiết NVL'!$I:$I,$A592,'Chi tiết NVL'!P:P)</f>
        <v/>
      </c>
      <c r="H592" s="57">
        <f>+SUMIF('Chi tiết NVL'!$I:$I,$A592,'Chi tiết NVL'!Q:Q)</f>
        <v/>
      </c>
      <c r="I592" s="57">
        <f>+SUMIF('Chi tiết NVL'!$I:$I,$A592,'Chi tiết NVL'!R:R)</f>
        <v/>
      </c>
      <c r="J592" s="57">
        <f>+SUMIF('Chi tiết NVL'!$I:$I,$A592,'Chi tiết NVL'!S:S)</f>
        <v/>
      </c>
    </row>
    <row r="593">
      <c r="A593" s="56" t="inlineStr">
        <is>
          <t>Bulong B A325M Type 1 ZP M30x160(160)</t>
        </is>
      </c>
      <c r="B593" s="56">
        <f>+VLOOKUP(A593,'Chi tiết NVL'!$I$10:$J$4158,2,0)</f>
        <v/>
      </c>
      <c r="C593" s="57">
        <f>+SUMIF('Chi tiết NVL'!$I:$I,$A593,'Chi tiết NVL'!L:L)</f>
        <v/>
      </c>
      <c r="D593" s="57">
        <f>+SUMIF('Chi tiết NVL'!$I:$I,$A593,'Chi tiết NVL'!M:M)</f>
        <v/>
      </c>
      <c r="E593" s="57">
        <f>+SUMIF('Chi tiết NVL'!$I:$I,$A593,'Chi tiết NVL'!N:N)</f>
        <v/>
      </c>
      <c r="F593" s="57">
        <f>+SUMIF('Chi tiết NVL'!$I:$I,$A593,'Chi tiết NVL'!O:O)</f>
        <v/>
      </c>
      <c r="G593" s="57">
        <f>+SUMIF('Chi tiết NVL'!$I:$I,$A593,'Chi tiết NVL'!P:P)</f>
        <v/>
      </c>
      <c r="H593" s="57">
        <f>+SUMIF('Chi tiết NVL'!$I:$I,$A593,'Chi tiết NVL'!Q:Q)</f>
        <v/>
      </c>
      <c r="I593" s="57">
        <f>+SUMIF('Chi tiết NVL'!$I:$I,$A593,'Chi tiết NVL'!R:R)</f>
        <v/>
      </c>
      <c r="J593" s="57">
        <f>+SUMIF('Chi tiết NVL'!$I:$I,$A593,'Chi tiết NVL'!S:S)</f>
        <v/>
      </c>
    </row>
    <row r="594">
      <c r="A594" s="56" t="inlineStr">
        <is>
          <t>Bulong B A325M Type 1 ZP M30x170(170)</t>
        </is>
      </c>
      <c r="B594" s="56">
        <f>+VLOOKUP(A594,'Chi tiết NVL'!$I$10:$J$4158,2,0)</f>
        <v/>
      </c>
      <c r="C594" s="57">
        <f>+SUMIF('Chi tiết NVL'!$I:$I,$A594,'Chi tiết NVL'!L:L)</f>
        <v/>
      </c>
      <c r="D594" s="57">
        <f>+SUMIF('Chi tiết NVL'!$I:$I,$A594,'Chi tiết NVL'!M:M)</f>
        <v/>
      </c>
      <c r="E594" s="57">
        <f>+SUMIF('Chi tiết NVL'!$I:$I,$A594,'Chi tiết NVL'!N:N)</f>
        <v/>
      </c>
      <c r="F594" s="57">
        <f>+SUMIF('Chi tiết NVL'!$I:$I,$A594,'Chi tiết NVL'!O:O)</f>
        <v/>
      </c>
      <c r="G594" s="57">
        <f>+SUMIF('Chi tiết NVL'!$I:$I,$A594,'Chi tiết NVL'!P:P)</f>
        <v/>
      </c>
      <c r="H594" s="57">
        <f>+SUMIF('Chi tiết NVL'!$I:$I,$A594,'Chi tiết NVL'!Q:Q)</f>
        <v/>
      </c>
      <c r="I594" s="57">
        <f>+SUMIF('Chi tiết NVL'!$I:$I,$A594,'Chi tiết NVL'!R:R)</f>
        <v/>
      </c>
      <c r="J594" s="57">
        <f>+SUMIF('Chi tiết NVL'!$I:$I,$A594,'Chi tiết NVL'!S:S)</f>
        <v/>
      </c>
    </row>
    <row r="595">
      <c r="A595" s="56" t="inlineStr">
        <is>
          <t>Bulong B A325M Type 1 ZP M30x180(180)</t>
        </is>
      </c>
      <c r="B595" s="56">
        <f>+VLOOKUP(A595,'Chi tiết NVL'!$I$10:$J$4158,2,0)</f>
        <v/>
      </c>
      <c r="C595" s="57">
        <f>+SUMIF('Chi tiết NVL'!$I:$I,$A595,'Chi tiết NVL'!L:L)</f>
        <v/>
      </c>
      <c r="D595" s="57">
        <f>+SUMIF('Chi tiết NVL'!$I:$I,$A595,'Chi tiết NVL'!M:M)</f>
        <v/>
      </c>
      <c r="E595" s="57">
        <f>+SUMIF('Chi tiết NVL'!$I:$I,$A595,'Chi tiết NVL'!N:N)</f>
        <v/>
      </c>
      <c r="F595" s="57">
        <f>+SUMIF('Chi tiết NVL'!$I:$I,$A595,'Chi tiết NVL'!O:O)</f>
        <v/>
      </c>
      <c r="G595" s="57">
        <f>+SUMIF('Chi tiết NVL'!$I:$I,$A595,'Chi tiết NVL'!P:P)</f>
        <v/>
      </c>
      <c r="H595" s="57">
        <f>+SUMIF('Chi tiết NVL'!$I:$I,$A595,'Chi tiết NVL'!Q:Q)</f>
        <v/>
      </c>
      <c r="I595" s="57">
        <f>+SUMIF('Chi tiết NVL'!$I:$I,$A595,'Chi tiết NVL'!R:R)</f>
        <v/>
      </c>
      <c r="J595" s="57">
        <f>+SUMIF('Chi tiết NVL'!$I:$I,$A595,'Chi tiết NVL'!S:S)</f>
        <v/>
      </c>
    </row>
    <row r="596">
      <c r="A596" s="56" t="inlineStr">
        <is>
          <t>Bulong Din 933 8.8 ZP M30x120</t>
        </is>
      </c>
      <c r="B596" s="56">
        <f>+VLOOKUP(A596,'Chi tiết NVL'!$I$10:$J$4158,2,0)</f>
        <v/>
      </c>
      <c r="C596" s="57">
        <f>+SUMIF('Chi tiết NVL'!$I:$I,$A596,'Chi tiết NVL'!L:L)</f>
        <v/>
      </c>
      <c r="D596" s="57">
        <f>+SUMIF('Chi tiết NVL'!$I:$I,$A596,'Chi tiết NVL'!M:M)</f>
        <v/>
      </c>
      <c r="E596" s="57">
        <f>+SUMIF('Chi tiết NVL'!$I:$I,$A596,'Chi tiết NVL'!N:N)</f>
        <v/>
      </c>
      <c r="F596" s="57">
        <f>+SUMIF('Chi tiết NVL'!$I:$I,$A596,'Chi tiết NVL'!O:O)</f>
        <v/>
      </c>
      <c r="G596" s="57">
        <f>+SUMIF('Chi tiết NVL'!$I:$I,$A596,'Chi tiết NVL'!P:P)</f>
        <v/>
      </c>
      <c r="H596" s="57">
        <f>+SUMIF('Chi tiết NVL'!$I:$I,$A596,'Chi tiết NVL'!Q:Q)</f>
        <v/>
      </c>
      <c r="I596" s="57">
        <f>+SUMIF('Chi tiết NVL'!$I:$I,$A596,'Chi tiết NVL'!R:R)</f>
        <v/>
      </c>
      <c r="J596" s="57">
        <f>+SUMIF('Chi tiết NVL'!$I:$I,$A596,'Chi tiết NVL'!S:S)</f>
        <v/>
      </c>
    </row>
    <row r="597">
      <c r="A597" s="56" t="inlineStr">
        <is>
          <t>SƠN FUTURA CLASSIC STD 4056 19.01L</t>
        </is>
      </c>
      <c r="B597" s="56">
        <f>+VLOOKUP(A597,'Chi tiết NVL'!$I$10:$J$4158,2,0)</f>
        <v/>
      </c>
      <c r="C597" s="57">
        <f>+SUMIF('Chi tiết NVL'!$I:$I,$A597,'Chi tiết NVL'!L:L)</f>
        <v/>
      </c>
      <c r="D597" s="57">
        <f>+SUMIF('Chi tiết NVL'!$I:$I,$A597,'Chi tiết NVL'!M:M)</f>
        <v/>
      </c>
      <c r="E597" s="57">
        <f>+SUMIF('Chi tiết NVL'!$I:$I,$A597,'Chi tiết NVL'!N:N)</f>
        <v/>
      </c>
      <c r="F597" s="57">
        <f>+SUMIF('Chi tiết NVL'!$I:$I,$A597,'Chi tiết NVL'!O:O)</f>
        <v/>
      </c>
      <c r="G597" s="57">
        <f>+SUMIF('Chi tiết NVL'!$I:$I,$A597,'Chi tiết NVL'!P:P)</f>
        <v/>
      </c>
      <c r="H597" s="57">
        <f>+SUMIF('Chi tiết NVL'!$I:$I,$A597,'Chi tiết NVL'!Q:Q)</f>
        <v/>
      </c>
      <c r="I597" s="57">
        <f>+SUMIF('Chi tiết NVL'!$I:$I,$A597,'Chi tiết NVL'!R:R)</f>
        <v/>
      </c>
      <c r="J597" s="57">
        <f>+SUMIF('Chi tiết NVL'!$I:$I,$A597,'Chi tiết NVL'!S:S)</f>
        <v/>
      </c>
    </row>
    <row r="598">
      <c r="A598" s="56" t="inlineStr">
        <is>
          <t>SƠN FUTURA CLASSIC STD 4056 4.75L</t>
        </is>
      </c>
      <c r="B598" s="56">
        <f>+VLOOKUP(A598,'Chi tiết NVL'!$I$10:$J$4158,2,0)</f>
        <v/>
      </c>
      <c r="C598" s="57">
        <f>+SUMIF('Chi tiết NVL'!$I:$I,$A598,'Chi tiết NVL'!L:L)</f>
        <v/>
      </c>
      <c r="D598" s="57">
        <f>+SUMIF('Chi tiết NVL'!$I:$I,$A598,'Chi tiết NVL'!M:M)</f>
        <v/>
      </c>
      <c r="E598" s="57">
        <f>+SUMIF('Chi tiết NVL'!$I:$I,$A598,'Chi tiết NVL'!N:N)</f>
        <v/>
      </c>
      <c r="F598" s="57">
        <f>+SUMIF('Chi tiết NVL'!$I:$I,$A598,'Chi tiết NVL'!O:O)</f>
        <v/>
      </c>
      <c r="G598" s="57">
        <f>+SUMIF('Chi tiết NVL'!$I:$I,$A598,'Chi tiết NVL'!P:P)</f>
        <v/>
      </c>
      <c r="H598" s="57">
        <f>+SUMIF('Chi tiết NVL'!$I:$I,$A598,'Chi tiết NVL'!Q:Q)</f>
        <v/>
      </c>
      <c r="I598" s="57">
        <f>+SUMIF('Chi tiết NVL'!$I:$I,$A598,'Chi tiết NVL'!R:R)</f>
        <v/>
      </c>
      <c r="J598" s="57">
        <f>+SUMIF('Chi tiết NVL'!$I:$I,$A598,'Chi tiết NVL'!S:S)</f>
        <v/>
      </c>
    </row>
    <row r="599">
      <c r="A599" s="56" t="inlineStr">
        <is>
          <t>SƠN FUTURA CLASSIC RAL 7040 18.28L</t>
        </is>
      </c>
      <c r="B599" s="56">
        <f>+VLOOKUP(A599,'Chi tiết NVL'!$I$10:$J$4158,2,0)</f>
        <v/>
      </c>
      <c r="C599" s="57">
        <f>+SUMIF('Chi tiết NVL'!$I:$I,$A599,'Chi tiết NVL'!L:L)</f>
        <v/>
      </c>
      <c r="D599" s="57">
        <f>+SUMIF('Chi tiết NVL'!$I:$I,$A599,'Chi tiết NVL'!M:M)</f>
        <v/>
      </c>
      <c r="E599" s="57">
        <f>+SUMIF('Chi tiết NVL'!$I:$I,$A599,'Chi tiết NVL'!N:N)</f>
        <v/>
      </c>
      <c r="F599" s="57">
        <f>+SUMIF('Chi tiết NVL'!$I:$I,$A599,'Chi tiết NVL'!O:O)</f>
        <v/>
      </c>
      <c r="G599" s="57">
        <f>+SUMIF('Chi tiết NVL'!$I:$I,$A599,'Chi tiết NVL'!P:P)</f>
        <v/>
      </c>
      <c r="H599" s="57">
        <f>+SUMIF('Chi tiết NVL'!$I:$I,$A599,'Chi tiết NVL'!Q:Q)</f>
        <v/>
      </c>
      <c r="I599" s="57">
        <f>+SUMIF('Chi tiết NVL'!$I:$I,$A599,'Chi tiết NVL'!R:R)</f>
        <v/>
      </c>
      <c r="J599" s="57">
        <f>+SUMIF('Chi tiết NVL'!$I:$I,$A599,'Chi tiết NVL'!S:S)</f>
        <v/>
      </c>
    </row>
    <row r="600">
      <c r="A600" s="56" t="inlineStr">
        <is>
          <t>SƠN FUTURA CLASSIC RAL 7040 4.57L</t>
        </is>
      </c>
      <c r="B600" s="56">
        <f>+VLOOKUP(A600,'Chi tiết NVL'!$I$10:$J$4158,2,0)</f>
        <v/>
      </c>
      <c r="C600" s="57">
        <f>+SUMIF('Chi tiết NVL'!$I:$I,$A600,'Chi tiết NVL'!L:L)</f>
        <v/>
      </c>
      <c r="D600" s="57">
        <f>+SUMIF('Chi tiết NVL'!$I:$I,$A600,'Chi tiết NVL'!M:M)</f>
        <v/>
      </c>
      <c r="E600" s="57">
        <f>+SUMIF('Chi tiết NVL'!$I:$I,$A600,'Chi tiết NVL'!N:N)</f>
        <v/>
      </c>
      <c r="F600" s="57">
        <f>+SUMIF('Chi tiết NVL'!$I:$I,$A600,'Chi tiết NVL'!O:O)</f>
        <v/>
      </c>
      <c r="G600" s="57">
        <f>+SUMIF('Chi tiết NVL'!$I:$I,$A600,'Chi tiết NVL'!P:P)</f>
        <v/>
      </c>
      <c r="H600" s="57">
        <f>+SUMIF('Chi tiết NVL'!$I:$I,$A600,'Chi tiết NVL'!Q:Q)</f>
        <v/>
      </c>
      <c r="I600" s="57">
        <f>+SUMIF('Chi tiết NVL'!$I:$I,$A600,'Chi tiết NVL'!R:R)</f>
        <v/>
      </c>
      <c r="J600" s="57">
        <f>+SUMIF('Chi tiết NVL'!$I:$I,$A600,'Chi tiết NVL'!S:S)</f>
        <v/>
      </c>
    </row>
    <row r="601">
      <c r="A601" s="56" t="inlineStr">
        <is>
          <t>Thép phi 20</t>
        </is>
      </c>
      <c r="B601" s="56">
        <f>+VLOOKUP(A601,'Chi tiết NVL'!$I$10:$J$4158,2,0)</f>
        <v/>
      </c>
      <c r="C601" s="57">
        <f>+SUMIF('Chi tiết NVL'!$I:$I,$A601,'Chi tiết NVL'!L:L)</f>
        <v/>
      </c>
      <c r="D601" s="57">
        <f>+SUMIF('Chi tiết NVL'!$I:$I,$A601,'Chi tiết NVL'!M:M)</f>
        <v/>
      </c>
      <c r="E601" s="57">
        <f>+SUMIF('Chi tiết NVL'!$I:$I,$A601,'Chi tiết NVL'!N:N)</f>
        <v/>
      </c>
      <c r="F601" s="57">
        <f>+SUMIF('Chi tiết NVL'!$I:$I,$A601,'Chi tiết NVL'!O:O)</f>
        <v/>
      </c>
      <c r="G601" s="57">
        <f>+SUMIF('Chi tiết NVL'!$I:$I,$A601,'Chi tiết NVL'!P:P)</f>
        <v/>
      </c>
      <c r="H601" s="57">
        <f>+SUMIF('Chi tiết NVL'!$I:$I,$A601,'Chi tiết NVL'!Q:Q)</f>
        <v/>
      </c>
      <c r="I601" s="57">
        <f>+SUMIF('Chi tiết NVL'!$I:$I,$A601,'Chi tiết NVL'!R:R)</f>
        <v/>
      </c>
      <c r="J601" s="57">
        <f>+SUMIF('Chi tiết NVL'!$I:$I,$A601,'Chi tiết NVL'!S:S)</f>
        <v/>
      </c>
    </row>
    <row r="602">
      <c r="A602" s="56" t="inlineStr">
        <is>
          <t>Thép hình U200</t>
        </is>
      </c>
      <c r="B602" s="56">
        <f>+VLOOKUP(A602,'Chi tiết NVL'!$I$10:$J$4158,2,0)</f>
        <v/>
      </c>
      <c r="C602" s="57">
        <f>+SUMIF('Chi tiết NVL'!$I:$I,$A602,'Chi tiết NVL'!L:L)</f>
        <v/>
      </c>
      <c r="D602" s="57">
        <f>+SUMIF('Chi tiết NVL'!$I:$I,$A602,'Chi tiết NVL'!M:M)</f>
        <v/>
      </c>
      <c r="E602" s="57">
        <f>+SUMIF('Chi tiết NVL'!$I:$I,$A602,'Chi tiết NVL'!N:N)</f>
        <v/>
      </c>
      <c r="F602" s="57">
        <f>+SUMIF('Chi tiết NVL'!$I:$I,$A602,'Chi tiết NVL'!O:O)</f>
        <v/>
      </c>
      <c r="G602" s="57">
        <f>+SUMIF('Chi tiết NVL'!$I:$I,$A602,'Chi tiết NVL'!P:P)</f>
        <v/>
      </c>
      <c r="H602" s="57">
        <f>+SUMIF('Chi tiết NVL'!$I:$I,$A602,'Chi tiết NVL'!Q:Q)</f>
        <v/>
      </c>
      <c r="I602" s="57">
        <f>+SUMIF('Chi tiết NVL'!$I:$I,$A602,'Chi tiết NVL'!R:R)</f>
        <v/>
      </c>
      <c r="J602" s="57">
        <f>+SUMIF('Chi tiết NVL'!$I:$I,$A602,'Chi tiết NVL'!S:S)</f>
        <v/>
      </c>
    </row>
    <row r="603" ht="31.5" customHeight="1">
      <c r="A603" s="56" t="inlineStr">
        <is>
          <t>Cước vận chuyển từ Bình Chánh giao Long Thành,Biên Hoà, Đồng Nai biển số xe 50H 85087</t>
        </is>
      </c>
      <c r="B603" s="56">
        <f>+VLOOKUP(A603,'Chi tiết NVL'!$I$10:$J$4158,2,0)</f>
        <v/>
      </c>
      <c r="C603" s="57">
        <f>+SUMIF('Chi tiết NVL'!$I:$I,$A603,'Chi tiết NVL'!L:L)</f>
        <v/>
      </c>
      <c r="D603" s="57">
        <f>+SUMIF('Chi tiết NVL'!$I:$I,$A603,'Chi tiết NVL'!M:M)</f>
        <v/>
      </c>
      <c r="E603" s="57">
        <f>+SUMIF('Chi tiết NVL'!$I:$I,$A603,'Chi tiết NVL'!N:N)</f>
        <v/>
      </c>
      <c r="F603" s="57">
        <f>+SUMIF('Chi tiết NVL'!$I:$I,$A603,'Chi tiết NVL'!O:O)</f>
        <v/>
      </c>
      <c r="G603" s="57">
        <f>+SUMIF('Chi tiết NVL'!$I:$I,$A603,'Chi tiết NVL'!P:P)</f>
        <v/>
      </c>
      <c r="H603" s="57">
        <f>+SUMIF('Chi tiết NVL'!$I:$I,$A603,'Chi tiết NVL'!Q:Q)</f>
        <v/>
      </c>
      <c r="I603" s="57">
        <f>+SUMIF('Chi tiết NVL'!$I:$I,$A603,'Chi tiết NVL'!R:R)</f>
        <v/>
      </c>
      <c r="J603" s="57">
        <f>+SUMIF('Chi tiết NVL'!$I:$I,$A603,'Chi tiết NVL'!S:S)</f>
        <v/>
      </c>
    </row>
    <row r="604">
      <c r="A604" s="56" t="inlineStr">
        <is>
          <t>Thép lá</t>
        </is>
      </c>
      <c r="B604" s="56">
        <f>+VLOOKUP(A604,'Chi tiết NVL'!$I$10:$J$4158,2,0)</f>
        <v/>
      </c>
      <c r="C604" s="57">
        <f>+SUMIF('Chi tiết NVL'!$I:$I,$A604,'Chi tiết NVL'!L:L)</f>
        <v/>
      </c>
      <c r="D604" s="57">
        <f>+SUMIF('Chi tiết NVL'!$I:$I,$A604,'Chi tiết NVL'!M:M)</f>
        <v/>
      </c>
      <c r="E604" s="57">
        <f>+SUMIF('Chi tiết NVL'!$I:$I,$A604,'Chi tiết NVL'!N:N)</f>
        <v/>
      </c>
      <c r="F604" s="57">
        <f>+SUMIF('Chi tiết NVL'!$I:$I,$A604,'Chi tiết NVL'!O:O)</f>
        <v/>
      </c>
      <c r="G604" s="57">
        <f>+SUMIF('Chi tiết NVL'!$I:$I,$A604,'Chi tiết NVL'!P:P)</f>
        <v/>
      </c>
      <c r="H604" s="57">
        <f>+SUMIF('Chi tiết NVL'!$I:$I,$A604,'Chi tiết NVL'!Q:Q)</f>
        <v/>
      </c>
      <c r="I604" s="57">
        <f>+SUMIF('Chi tiết NVL'!$I:$I,$A604,'Chi tiết NVL'!R:R)</f>
        <v/>
      </c>
      <c r="J604" s="57">
        <f>+SUMIF('Chi tiết NVL'!$I:$I,$A604,'Chi tiết NVL'!S:S)</f>
        <v/>
      </c>
    </row>
    <row r="605">
      <c r="A605" s="56" t="inlineStr">
        <is>
          <t>Vòng bi NTN: 6818ZZ/5K</t>
        </is>
      </c>
      <c r="B605" s="56">
        <f>+VLOOKUP(A605,'Chi tiết NVL'!$I$10:$J$4158,2,0)</f>
        <v/>
      </c>
      <c r="C605" s="57">
        <f>+SUMIF('Chi tiết NVL'!$I:$I,$A605,'Chi tiết NVL'!L:L)</f>
        <v/>
      </c>
      <c r="D605" s="57">
        <f>+SUMIF('Chi tiết NVL'!$I:$I,$A605,'Chi tiết NVL'!M:M)</f>
        <v/>
      </c>
      <c r="E605" s="57">
        <f>+SUMIF('Chi tiết NVL'!$I:$I,$A605,'Chi tiết NVL'!N:N)</f>
        <v/>
      </c>
      <c r="F605" s="57">
        <f>+SUMIF('Chi tiết NVL'!$I:$I,$A605,'Chi tiết NVL'!O:O)</f>
        <v/>
      </c>
      <c r="G605" s="57">
        <f>+SUMIF('Chi tiết NVL'!$I:$I,$A605,'Chi tiết NVL'!P:P)</f>
        <v/>
      </c>
      <c r="H605" s="57">
        <f>+SUMIF('Chi tiết NVL'!$I:$I,$A605,'Chi tiết NVL'!Q:Q)</f>
        <v/>
      </c>
      <c r="I605" s="57">
        <f>+SUMIF('Chi tiết NVL'!$I:$I,$A605,'Chi tiết NVL'!R:R)</f>
        <v/>
      </c>
      <c r="J605" s="57">
        <f>+SUMIF('Chi tiết NVL'!$I:$I,$A605,'Chi tiết NVL'!S:S)</f>
        <v/>
      </c>
    </row>
    <row r="606">
      <c r="A606" s="56" t="inlineStr">
        <is>
          <t>Thép tấm cán nóng 6x2000x6000</t>
        </is>
      </c>
      <c r="B606" s="56">
        <f>+VLOOKUP(A606,'Chi tiết NVL'!$I$10:$J$4158,2,0)</f>
        <v/>
      </c>
      <c r="C606" s="57">
        <f>+SUMIF('Chi tiết NVL'!$I:$I,$A606,'Chi tiết NVL'!L:L)</f>
        <v/>
      </c>
      <c r="D606" s="57">
        <f>+SUMIF('Chi tiết NVL'!$I:$I,$A606,'Chi tiết NVL'!M:M)</f>
        <v/>
      </c>
      <c r="E606" s="57">
        <f>+SUMIF('Chi tiết NVL'!$I:$I,$A606,'Chi tiết NVL'!N:N)</f>
        <v/>
      </c>
      <c r="F606" s="57">
        <f>+SUMIF('Chi tiết NVL'!$I:$I,$A606,'Chi tiết NVL'!O:O)</f>
        <v/>
      </c>
      <c r="G606" s="57">
        <f>+SUMIF('Chi tiết NVL'!$I:$I,$A606,'Chi tiết NVL'!P:P)</f>
        <v/>
      </c>
      <c r="H606" s="57">
        <f>+SUMIF('Chi tiết NVL'!$I:$I,$A606,'Chi tiết NVL'!Q:Q)</f>
        <v/>
      </c>
      <c r="I606" s="57">
        <f>+SUMIF('Chi tiết NVL'!$I:$I,$A606,'Chi tiết NVL'!R:R)</f>
        <v/>
      </c>
      <c r="J606" s="57">
        <f>+SUMIF('Chi tiết NVL'!$I:$I,$A606,'Chi tiết NVL'!S:S)</f>
        <v/>
      </c>
    </row>
    <row r="607">
      <c r="A607" s="56" t="inlineStr">
        <is>
          <t>Thép vuông 200</t>
        </is>
      </c>
      <c r="B607" s="56">
        <f>+VLOOKUP(A607,'Chi tiết NVL'!$I$10:$J$4158,2,0)</f>
        <v/>
      </c>
      <c r="C607" s="57">
        <f>+SUMIF('Chi tiết NVL'!$I:$I,$A607,'Chi tiết NVL'!L:L)</f>
        <v/>
      </c>
      <c r="D607" s="57">
        <f>+SUMIF('Chi tiết NVL'!$I:$I,$A607,'Chi tiết NVL'!M:M)</f>
        <v/>
      </c>
      <c r="E607" s="57">
        <f>+SUMIF('Chi tiết NVL'!$I:$I,$A607,'Chi tiết NVL'!N:N)</f>
        <v/>
      </c>
      <c r="F607" s="57">
        <f>+SUMIF('Chi tiết NVL'!$I:$I,$A607,'Chi tiết NVL'!O:O)</f>
        <v/>
      </c>
      <c r="G607" s="57">
        <f>+SUMIF('Chi tiết NVL'!$I:$I,$A607,'Chi tiết NVL'!P:P)</f>
        <v/>
      </c>
      <c r="H607" s="57">
        <f>+SUMIF('Chi tiết NVL'!$I:$I,$A607,'Chi tiết NVL'!Q:Q)</f>
        <v/>
      </c>
      <c r="I607" s="57">
        <f>+SUMIF('Chi tiết NVL'!$I:$I,$A607,'Chi tiết NVL'!R:R)</f>
        <v/>
      </c>
      <c r="J607" s="57">
        <f>+SUMIF('Chi tiết NVL'!$I:$I,$A607,'Chi tiết NVL'!S:S)</f>
        <v/>
      </c>
    </row>
    <row r="608">
      <c r="A608" s="56" t="inlineStr">
        <is>
          <t>Phụ gia chống thấm Sika Latex 25L</t>
        </is>
      </c>
      <c r="B608" s="56">
        <f>+VLOOKUP(A608,'Chi tiết NVL'!$I$10:$J$4158,2,0)</f>
        <v/>
      </c>
      <c r="C608" s="57">
        <f>+SUMIF('Chi tiết NVL'!$I:$I,$A608,'Chi tiết NVL'!L:L)</f>
        <v/>
      </c>
      <c r="D608" s="57">
        <f>+SUMIF('Chi tiết NVL'!$I:$I,$A608,'Chi tiết NVL'!M:M)</f>
        <v/>
      </c>
      <c r="E608" s="57">
        <f>+SUMIF('Chi tiết NVL'!$I:$I,$A608,'Chi tiết NVL'!N:N)</f>
        <v/>
      </c>
      <c r="F608" s="57">
        <f>+SUMIF('Chi tiết NVL'!$I:$I,$A608,'Chi tiết NVL'!O:O)</f>
        <v/>
      </c>
      <c r="G608" s="57">
        <f>+SUMIF('Chi tiết NVL'!$I:$I,$A608,'Chi tiết NVL'!P:P)</f>
        <v/>
      </c>
      <c r="H608" s="57">
        <f>+SUMIF('Chi tiết NVL'!$I:$I,$A608,'Chi tiết NVL'!Q:Q)</f>
        <v/>
      </c>
      <c r="I608" s="57">
        <f>+SUMIF('Chi tiết NVL'!$I:$I,$A608,'Chi tiết NVL'!R:R)</f>
        <v/>
      </c>
      <c r="J608" s="57">
        <f>+SUMIF('Chi tiết NVL'!$I:$I,$A608,'Chi tiết NVL'!S:S)</f>
        <v/>
      </c>
    </row>
    <row r="609">
      <c r="A609" s="56" t="inlineStr">
        <is>
          <t>Phí vận chuyển</t>
        </is>
      </c>
      <c r="B609" s="56">
        <f>+VLOOKUP(A609,'Chi tiết NVL'!$I$10:$J$4158,2,0)</f>
        <v/>
      </c>
      <c r="C609" s="57">
        <f>+SUMIF('Chi tiết NVL'!$I:$I,$A609,'Chi tiết NVL'!L:L)</f>
        <v/>
      </c>
      <c r="D609" s="57">
        <f>+SUMIF('Chi tiết NVL'!$I:$I,$A609,'Chi tiết NVL'!M:M)</f>
        <v/>
      </c>
      <c r="E609" s="57">
        <f>+SUMIF('Chi tiết NVL'!$I:$I,$A609,'Chi tiết NVL'!N:N)</f>
        <v/>
      </c>
      <c r="F609" s="57">
        <f>+SUMIF('Chi tiết NVL'!$I:$I,$A609,'Chi tiết NVL'!O:O)</f>
        <v/>
      </c>
      <c r="G609" s="57">
        <f>+SUMIF('Chi tiết NVL'!$I:$I,$A609,'Chi tiết NVL'!P:P)</f>
        <v/>
      </c>
      <c r="H609" s="57">
        <f>+SUMIF('Chi tiết NVL'!$I:$I,$A609,'Chi tiết NVL'!Q:Q)</f>
        <v/>
      </c>
      <c r="I609" s="57">
        <f>+SUMIF('Chi tiết NVL'!$I:$I,$A609,'Chi tiết NVL'!R:R)</f>
        <v/>
      </c>
      <c r="J609" s="57">
        <f>+SUMIF('Chi tiết NVL'!$I:$I,$A609,'Chi tiết NVL'!S:S)</f>
        <v/>
      </c>
    </row>
    <row r="610">
      <c r="A610" s="56" t="inlineStr">
        <is>
          <t>SƠN FUTURA CLASSIC RAL 7012 4.73L</t>
        </is>
      </c>
      <c r="B610" s="56">
        <f>+VLOOKUP(A610,'Chi tiết NVL'!$I$10:$J$4158,2,0)</f>
        <v/>
      </c>
      <c r="C610" s="57">
        <f>+SUMIF('Chi tiết NVL'!$I:$I,$A610,'Chi tiết NVL'!L:L)</f>
        <v/>
      </c>
      <c r="D610" s="57">
        <f>+SUMIF('Chi tiết NVL'!$I:$I,$A610,'Chi tiết NVL'!M:M)</f>
        <v/>
      </c>
      <c r="E610" s="57">
        <f>+SUMIF('Chi tiết NVL'!$I:$I,$A610,'Chi tiết NVL'!N:N)</f>
        <v/>
      </c>
      <c r="F610" s="57">
        <f>+SUMIF('Chi tiết NVL'!$I:$I,$A610,'Chi tiết NVL'!O:O)</f>
        <v/>
      </c>
      <c r="G610" s="57">
        <f>+SUMIF('Chi tiết NVL'!$I:$I,$A610,'Chi tiết NVL'!P:P)</f>
        <v/>
      </c>
      <c r="H610" s="57">
        <f>+SUMIF('Chi tiết NVL'!$I:$I,$A610,'Chi tiết NVL'!Q:Q)</f>
        <v/>
      </c>
      <c r="I610" s="57">
        <f>+SUMIF('Chi tiết NVL'!$I:$I,$A610,'Chi tiết NVL'!R:R)</f>
        <v/>
      </c>
      <c r="J610" s="57">
        <f>+SUMIF('Chi tiết NVL'!$I:$I,$A610,'Chi tiết NVL'!S:S)</f>
        <v/>
      </c>
    </row>
    <row r="611">
      <c r="A611" s="56" t="inlineStr">
        <is>
          <t>SƠN FUTURA CLASSIC RAL 3028 19.97L</t>
        </is>
      </c>
      <c r="B611" s="56">
        <f>+VLOOKUP(A611,'Chi tiết NVL'!$I$10:$J$4158,2,0)</f>
        <v/>
      </c>
      <c r="C611" s="57">
        <f>+SUMIF('Chi tiết NVL'!$I:$I,$A611,'Chi tiết NVL'!L:L)</f>
        <v/>
      </c>
      <c r="D611" s="57">
        <f>+SUMIF('Chi tiết NVL'!$I:$I,$A611,'Chi tiết NVL'!M:M)</f>
        <v/>
      </c>
      <c r="E611" s="57">
        <f>+SUMIF('Chi tiết NVL'!$I:$I,$A611,'Chi tiết NVL'!N:N)</f>
        <v/>
      </c>
      <c r="F611" s="57">
        <f>+SUMIF('Chi tiết NVL'!$I:$I,$A611,'Chi tiết NVL'!O:O)</f>
        <v/>
      </c>
      <c r="G611" s="57">
        <f>+SUMIF('Chi tiết NVL'!$I:$I,$A611,'Chi tiết NVL'!P:P)</f>
        <v/>
      </c>
      <c r="H611" s="57">
        <f>+SUMIF('Chi tiết NVL'!$I:$I,$A611,'Chi tiết NVL'!Q:Q)</f>
        <v/>
      </c>
      <c r="I611" s="57">
        <f>+SUMIF('Chi tiết NVL'!$I:$I,$A611,'Chi tiết NVL'!R:R)</f>
        <v/>
      </c>
      <c r="J611" s="57">
        <f>+SUMIF('Chi tiết NVL'!$I:$I,$A611,'Chi tiết NVL'!S:S)</f>
        <v/>
      </c>
    </row>
    <row r="612">
      <c r="A612" s="56" t="inlineStr">
        <is>
          <t>SƠN FUTURA CLASSIC RAL 7042 18.33L</t>
        </is>
      </c>
      <c r="B612" s="56">
        <f>+VLOOKUP(A612,'Chi tiết NVL'!$I$10:$J$4158,2,0)</f>
        <v/>
      </c>
      <c r="C612" s="57">
        <f>+SUMIF('Chi tiết NVL'!$I:$I,$A612,'Chi tiết NVL'!L:L)</f>
        <v/>
      </c>
      <c r="D612" s="57">
        <f>+SUMIF('Chi tiết NVL'!$I:$I,$A612,'Chi tiết NVL'!M:M)</f>
        <v/>
      </c>
      <c r="E612" s="57">
        <f>+SUMIF('Chi tiết NVL'!$I:$I,$A612,'Chi tiết NVL'!N:N)</f>
        <v/>
      </c>
      <c r="F612" s="57">
        <f>+SUMIF('Chi tiết NVL'!$I:$I,$A612,'Chi tiết NVL'!O:O)</f>
        <v/>
      </c>
      <c r="G612" s="57">
        <f>+SUMIF('Chi tiết NVL'!$I:$I,$A612,'Chi tiết NVL'!P:P)</f>
        <v/>
      </c>
      <c r="H612" s="57">
        <f>+SUMIF('Chi tiết NVL'!$I:$I,$A612,'Chi tiết NVL'!Q:Q)</f>
        <v/>
      </c>
      <c r="I612" s="57">
        <f>+SUMIF('Chi tiết NVL'!$I:$I,$A612,'Chi tiết NVL'!R:R)</f>
        <v/>
      </c>
      <c r="J612" s="57">
        <f>+SUMIF('Chi tiết NVL'!$I:$I,$A612,'Chi tiết NVL'!S:S)</f>
        <v/>
      </c>
    </row>
    <row r="613">
      <c r="A613" s="56" t="inlineStr">
        <is>
          <t>Thép tấm cán nóng 8x2000x12000</t>
        </is>
      </c>
      <c r="B613" s="56">
        <f>+VLOOKUP(A613,'Chi tiết NVL'!$I$10:$J$4158,2,0)</f>
        <v/>
      </c>
      <c r="C613" s="57">
        <f>+SUMIF('Chi tiết NVL'!$I:$I,$A613,'Chi tiết NVL'!L:L)</f>
        <v/>
      </c>
      <c r="D613" s="57">
        <f>+SUMIF('Chi tiết NVL'!$I:$I,$A613,'Chi tiết NVL'!M:M)</f>
        <v/>
      </c>
      <c r="E613" s="57">
        <f>+SUMIF('Chi tiết NVL'!$I:$I,$A613,'Chi tiết NVL'!N:N)</f>
        <v/>
      </c>
      <c r="F613" s="57">
        <f>+SUMIF('Chi tiết NVL'!$I:$I,$A613,'Chi tiết NVL'!O:O)</f>
        <v/>
      </c>
      <c r="G613" s="57">
        <f>+SUMIF('Chi tiết NVL'!$I:$I,$A613,'Chi tiết NVL'!P:P)</f>
        <v/>
      </c>
      <c r="H613" s="57">
        <f>+SUMIF('Chi tiết NVL'!$I:$I,$A613,'Chi tiết NVL'!Q:Q)</f>
        <v/>
      </c>
      <c r="I613" s="57">
        <f>+SUMIF('Chi tiết NVL'!$I:$I,$A613,'Chi tiết NVL'!R:R)</f>
        <v/>
      </c>
      <c r="J613" s="57">
        <f>+SUMIF('Chi tiết NVL'!$I:$I,$A613,'Chi tiết NVL'!S:S)</f>
        <v/>
      </c>
    </row>
    <row r="614">
      <c r="A614" s="56" t="inlineStr">
        <is>
          <t>Thép tấm cán nóng 10x2000x12000</t>
        </is>
      </c>
      <c r="B614" s="56">
        <f>+VLOOKUP(A614,'Chi tiết NVL'!$I$10:$J$4158,2,0)</f>
        <v/>
      </c>
      <c r="C614" s="57">
        <f>+SUMIF('Chi tiết NVL'!$I:$I,$A614,'Chi tiết NVL'!L:L)</f>
        <v/>
      </c>
      <c r="D614" s="57">
        <f>+SUMIF('Chi tiết NVL'!$I:$I,$A614,'Chi tiết NVL'!M:M)</f>
        <v/>
      </c>
      <c r="E614" s="57">
        <f>+SUMIF('Chi tiết NVL'!$I:$I,$A614,'Chi tiết NVL'!N:N)</f>
        <v/>
      </c>
      <c r="F614" s="57">
        <f>+SUMIF('Chi tiết NVL'!$I:$I,$A614,'Chi tiết NVL'!O:O)</f>
        <v/>
      </c>
      <c r="G614" s="57">
        <f>+SUMIF('Chi tiết NVL'!$I:$I,$A614,'Chi tiết NVL'!P:P)</f>
        <v/>
      </c>
      <c r="H614" s="57">
        <f>+SUMIF('Chi tiết NVL'!$I:$I,$A614,'Chi tiết NVL'!Q:Q)</f>
        <v/>
      </c>
      <c r="I614" s="57">
        <f>+SUMIF('Chi tiết NVL'!$I:$I,$A614,'Chi tiết NVL'!R:R)</f>
        <v/>
      </c>
      <c r="J614" s="57">
        <f>+SUMIF('Chi tiết NVL'!$I:$I,$A614,'Chi tiết NVL'!S:S)</f>
        <v/>
      </c>
    </row>
    <row r="615">
      <c r="A615" s="56" t="inlineStr">
        <is>
          <t>Thép tấm cán nóng 5x2000x6000</t>
        </is>
      </c>
      <c r="B615" s="56">
        <f>+VLOOKUP(A615,'Chi tiết NVL'!$I$10:$J$4158,2,0)</f>
        <v/>
      </c>
      <c r="C615" s="57">
        <f>+SUMIF('Chi tiết NVL'!$I:$I,$A615,'Chi tiết NVL'!L:L)</f>
        <v/>
      </c>
      <c r="D615" s="57">
        <f>+SUMIF('Chi tiết NVL'!$I:$I,$A615,'Chi tiết NVL'!M:M)</f>
        <v/>
      </c>
      <c r="E615" s="57">
        <f>+SUMIF('Chi tiết NVL'!$I:$I,$A615,'Chi tiết NVL'!N:N)</f>
        <v/>
      </c>
      <c r="F615" s="57">
        <f>+SUMIF('Chi tiết NVL'!$I:$I,$A615,'Chi tiết NVL'!O:O)</f>
        <v/>
      </c>
      <c r="G615" s="57">
        <f>+SUMIF('Chi tiết NVL'!$I:$I,$A615,'Chi tiết NVL'!P:P)</f>
        <v/>
      </c>
      <c r="H615" s="57">
        <f>+SUMIF('Chi tiết NVL'!$I:$I,$A615,'Chi tiết NVL'!Q:Q)</f>
        <v/>
      </c>
      <c r="I615" s="57">
        <f>+SUMIF('Chi tiết NVL'!$I:$I,$A615,'Chi tiết NVL'!R:R)</f>
        <v/>
      </c>
      <c r="J615" s="57">
        <f>+SUMIF('Chi tiết NVL'!$I:$I,$A615,'Chi tiết NVL'!S:S)</f>
        <v/>
      </c>
    </row>
    <row r="616">
      <c r="A616" s="56" t="inlineStr">
        <is>
          <t>SƠN FUTURA CLASSIC RAL 3028 4.99L</t>
        </is>
      </c>
      <c r="B616" s="56">
        <f>+VLOOKUP(A616,'Chi tiết NVL'!$I$10:$J$4158,2,0)</f>
        <v/>
      </c>
      <c r="C616" s="57">
        <f>+SUMIF('Chi tiết NVL'!$I:$I,$A616,'Chi tiết NVL'!L:L)</f>
        <v/>
      </c>
      <c r="D616" s="57">
        <f>+SUMIF('Chi tiết NVL'!$I:$I,$A616,'Chi tiết NVL'!M:M)</f>
        <v/>
      </c>
      <c r="E616" s="57">
        <f>+SUMIF('Chi tiết NVL'!$I:$I,$A616,'Chi tiết NVL'!N:N)</f>
        <v/>
      </c>
      <c r="F616" s="57">
        <f>+SUMIF('Chi tiết NVL'!$I:$I,$A616,'Chi tiết NVL'!O:O)</f>
        <v/>
      </c>
      <c r="G616" s="57">
        <f>+SUMIF('Chi tiết NVL'!$I:$I,$A616,'Chi tiết NVL'!P:P)</f>
        <v/>
      </c>
      <c r="H616" s="57">
        <f>+SUMIF('Chi tiết NVL'!$I:$I,$A616,'Chi tiết NVL'!Q:Q)</f>
        <v/>
      </c>
      <c r="I616" s="57">
        <f>+SUMIF('Chi tiết NVL'!$I:$I,$A616,'Chi tiết NVL'!R:R)</f>
        <v/>
      </c>
      <c r="J616" s="57">
        <f>+SUMIF('Chi tiết NVL'!$I:$I,$A616,'Chi tiết NVL'!S:S)</f>
        <v/>
      </c>
    </row>
    <row r="617">
      <c r="A617" s="56" t="inlineStr">
        <is>
          <t>Bulong neo M16x385, 4.6, MKĐP</t>
        </is>
      </c>
      <c r="B617" s="56">
        <f>+VLOOKUP(A617,'Chi tiết NVL'!$I$10:$J$4158,2,0)</f>
        <v/>
      </c>
      <c r="C617" s="57">
        <f>+SUMIF('Chi tiết NVL'!$I:$I,$A617,'Chi tiết NVL'!L:L)</f>
        <v/>
      </c>
      <c r="D617" s="57">
        <f>+SUMIF('Chi tiết NVL'!$I:$I,$A617,'Chi tiết NVL'!M:M)</f>
        <v/>
      </c>
      <c r="E617" s="57">
        <f>+SUMIF('Chi tiết NVL'!$I:$I,$A617,'Chi tiết NVL'!N:N)</f>
        <v/>
      </c>
      <c r="F617" s="57">
        <f>+SUMIF('Chi tiết NVL'!$I:$I,$A617,'Chi tiết NVL'!O:O)</f>
        <v/>
      </c>
      <c r="G617" s="57">
        <f>+SUMIF('Chi tiết NVL'!$I:$I,$A617,'Chi tiết NVL'!P:P)</f>
        <v/>
      </c>
      <c r="H617" s="57">
        <f>+SUMIF('Chi tiết NVL'!$I:$I,$A617,'Chi tiết NVL'!Q:Q)</f>
        <v/>
      </c>
      <c r="I617" s="57">
        <f>+SUMIF('Chi tiết NVL'!$I:$I,$A617,'Chi tiết NVL'!R:R)</f>
        <v/>
      </c>
      <c r="J617" s="57">
        <f>+SUMIF('Chi tiết NVL'!$I:$I,$A617,'Chi tiết NVL'!S:S)</f>
        <v/>
      </c>
    </row>
    <row r="618">
      <c r="A618" s="56" t="inlineStr">
        <is>
          <t>Bulong Din 933 8.8 ZP M16x60</t>
        </is>
      </c>
      <c r="B618" s="56">
        <f>+VLOOKUP(A618,'Chi tiết NVL'!$I$10:$J$4158,2,0)</f>
        <v/>
      </c>
      <c r="C618" s="57">
        <f>+SUMIF('Chi tiết NVL'!$I:$I,$A618,'Chi tiết NVL'!L:L)</f>
        <v/>
      </c>
      <c r="D618" s="57">
        <f>+SUMIF('Chi tiết NVL'!$I:$I,$A618,'Chi tiết NVL'!M:M)</f>
        <v/>
      </c>
      <c r="E618" s="57">
        <f>+SUMIF('Chi tiết NVL'!$I:$I,$A618,'Chi tiết NVL'!N:N)</f>
        <v/>
      </c>
      <c r="F618" s="57">
        <f>+SUMIF('Chi tiết NVL'!$I:$I,$A618,'Chi tiết NVL'!O:O)</f>
        <v/>
      </c>
      <c r="G618" s="57">
        <f>+SUMIF('Chi tiết NVL'!$I:$I,$A618,'Chi tiết NVL'!P:P)</f>
        <v/>
      </c>
      <c r="H618" s="57">
        <f>+SUMIF('Chi tiết NVL'!$I:$I,$A618,'Chi tiết NVL'!Q:Q)</f>
        <v/>
      </c>
      <c r="I618" s="57">
        <f>+SUMIF('Chi tiết NVL'!$I:$I,$A618,'Chi tiết NVL'!R:R)</f>
        <v/>
      </c>
      <c r="J618" s="57">
        <f>+SUMIF('Chi tiết NVL'!$I:$I,$A618,'Chi tiết NVL'!S:S)</f>
        <v/>
      </c>
    </row>
    <row r="619">
      <c r="A619" s="56" t="inlineStr">
        <is>
          <t>SƠN FUTURA CLASSIC RAL 9010 18.22L</t>
        </is>
      </c>
      <c r="B619" s="56">
        <f>+VLOOKUP(A619,'Chi tiết NVL'!$I$10:$J$4158,2,0)</f>
        <v/>
      </c>
      <c r="C619" s="57">
        <f>+SUMIF('Chi tiết NVL'!$I:$I,$A619,'Chi tiết NVL'!L:L)</f>
        <v/>
      </c>
      <c r="D619" s="57">
        <f>+SUMIF('Chi tiết NVL'!$I:$I,$A619,'Chi tiết NVL'!M:M)</f>
        <v/>
      </c>
      <c r="E619" s="57">
        <f>+SUMIF('Chi tiết NVL'!$I:$I,$A619,'Chi tiết NVL'!N:N)</f>
        <v/>
      </c>
      <c r="F619" s="57">
        <f>+SUMIF('Chi tiết NVL'!$I:$I,$A619,'Chi tiết NVL'!O:O)</f>
        <v/>
      </c>
      <c r="G619" s="57">
        <f>+SUMIF('Chi tiết NVL'!$I:$I,$A619,'Chi tiết NVL'!P:P)</f>
        <v/>
      </c>
      <c r="H619" s="57">
        <f>+SUMIF('Chi tiết NVL'!$I:$I,$A619,'Chi tiết NVL'!Q:Q)</f>
        <v/>
      </c>
      <c r="I619" s="57">
        <f>+SUMIF('Chi tiết NVL'!$I:$I,$A619,'Chi tiết NVL'!R:R)</f>
        <v/>
      </c>
      <c r="J619" s="57">
        <f>+SUMIF('Chi tiết NVL'!$I:$I,$A619,'Chi tiết NVL'!S:S)</f>
        <v/>
      </c>
    </row>
    <row r="620">
      <c r="A620" s="56" t="inlineStr">
        <is>
          <t>Thép ống đen 27</t>
        </is>
      </c>
      <c r="B620" s="56">
        <f>+VLOOKUP(A620,'Chi tiết NVL'!$I$10:$J$4158,2,0)</f>
        <v/>
      </c>
      <c r="C620" s="57">
        <f>+SUMIF('Chi tiết NVL'!$I:$I,$A620,'Chi tiết NVL'!L:L)</f>
        <v/>
      </c>
      <c r="D620" s="57">
        <f>+SUMIF('Chi tiết NVL'!$I:$I,$A620,'Chi tiết NVL'!M:M)</f>
        <v/>
      </c>
      <c r="E620" s="57">
        <f>+SUMIF('Chi tiết NVL'!$I:$I,$A620,'Chi tiết NVL'!N:N)</f>
        <v/>
      </c>
      <c r="F620" s="57">
        <f>+SUMIF('Chi tiết NVL'!$I:$I,$A620,'Chi tiết NVL'!O:O)</f>
        <v/>
      </c>
      <c r="G620" s="57">
        <f>+SUMIF('Chi tiết NVL'!$I:$I,$A620,'Chi tiết NVL'!P:P)</f>
        <v/>
      </c>
      <c r="H620" s="57">
        <f>+SUMIF('Chi tiết NVL'!$I:$I,$A620,'Chi tiết NVL'!Q:Q)</f>
        <v/>
      </c>
      <c r="I620" s="57">
        <f>+SUMIF('Chi tiết NVL'!$I:$I,$A620,'Chi tiết NVL'!R:R)</f>
        <v/>
      </c>
      <c r="J620" s="57">
        <f>+SUMIF('Chi tiết NVL'!$I:$I,$A620,'Chi tiết NVL'!S:S)</f>
        <v/>
      </c>
    </row>
    <row r="621">
      <c r="A621" s="56" t="inlineStr">
        <is>
          <t>Thép ống đen 42</t>
        </is>
      </c>
      <c r="B621" s="56">
        <f>+VLOOKUP(A621,'Chi tiết NVL'!$I$10:$J$4158,2,0)</f>
        <v/>
      </c>
      <c r="C621" s="57">
        <f>+SUMIF('Chi tiết NVL'!$I:$I,$A621,'Chi tiết NVL'!L:L)</f>
        <v/>
      </c>
      <c r="D621" s="57">
        <f>+SUMIF('Chi tiết NVL'!$I:$I,$A621,'Chi tiết NVL'!M:M)</f>
        <v/>
      </c>
      <c r="E621" s="57">
        <f>+SUMIF('Chi tiết NVL'!$I:$I,$A621,'Chi tiết NVL'!N:N)</f>
        <v/>
      </c>
      <c r="F621" s="57">
        <f>+SUMIF('Chi tiết NVL'!$I:$I,$A621,'Chi tiết NVL'!O:O)</f>
        <v/>
      </c>
      <c r="G621" s="57">
        <f>+SUMIF('Chi tiết NVL'!$I:$I,$A621,'Chi tiết NVL'!P:P)</f>
        <v/>
      </c>
      <c r="H621" s="57">
        <f>+SUMIF('Chi tiết NVL'!$I:$I,$A621,'Chi tiết NVL'!Q:Q)</f>
        <v/>
      </c>
      <c r="I621" s="57">
        <f>+SUMIF('Chi tiết NVL'!$I:$I,$A621,'Chi tiết NVL'!R:R)</f>
        <v/>
      </c>
      <c r="J621" s="57">
        <f>+SUMIF('Chi tiết NVL'!$I:$I,$A621,'Chi tiết NVL'!S:S)</f>
        <v/>
      </c>
    </row>
    <row r="622">
      <c r="A622" s="56" t="inlineStr">
        <is>
          <t>SƠN FUTURA CLASSIC STD0403 GREY 18.32L</t>
        </is>
      </c>
      <c r="B622" s="56">
        <f>+VLOOKUP(A622,'Chi tiết NVL'!$I$10:$J$4158,2,0)</f>
        <v/>
      </c>
      <c r="C622" s="57">
        <f>+SUMIF('Chi tiết NVL'!$I:$I,$A622,'Chi tiết NVL'!L:L)</f>
        <v/>
      </c>
      <c r="D622" s="57">
        <f>+SUMIF('Chi tiết NVL'!$I:$I,$A622,'Chi tiết NVL'!M:M)</f>
        <v/>
      </c>
      <c r="E622" s="57">
        <f>+SUMIF('Chi tiết NVL'!$I:$I,$A622,'Chi tiết NVL'!N:N)</f>
        <v/>
      </c>
      <c r="F622" s="57">
        <f>+SUMIF('Chi tiết NVL'!$I:$I,$A622,'Chi tiết NVL'!O:O)</f>
        <v/>
      </c>
      <c r="G622" s="57">
        <f>+SUMIF('Chi tiết NVL'!$I:$I,$A622,'Chi tiết NVL'!P:P)</f>
        <v/>
      </c>
      <c r="H622" s="57">
        <f>+SUMIF('Chi tiết NVL'!$I:$I,$A622,'Chi tiết NVL'!Q:Q)</f>
        <v/>
      </c>
      <c r="I622" s="57">
        <f>+SUMIF('Chi tiết NVL'!$I:$I,$A622,'Chi tiết NVL'!R:R)</f>
        <v/>
      </c>
      <c r="J622" s="57">
        <f>+SUMIF('Chi tiết NVL'!$I:$I,$A622,'Chi tiết NVL'!S:S)</f>
        <v/>
      </c>
    </row>
    <row r="623">
      <c r="A623" s="56" t="inlineStr">
        <is>
          <t>SƠN FUTURA CLASSIC STD0403 GREY 4.58L</t>
        </is>
      </c>
      <c r="B623" s="56">
        <f>+VLOOKUP(A623,'Chi tiết NVL'!$I$10:$J$4158,2,0)</f>
        <v/>
      </c>
      <c r="C623" s="57">
        <f>+SUMIF('Chi tiết NVL'!$I:$I,$A623,'Chi tiết NVL'!L:L)</f>
        <v/>
      </c>
      <c r="D623" s="57">
        <f>+SUMIF('Chi tiết NVL'!$I:$I,$A623,'Chi tiết NVL'!M:M)</f>
        <v/>
      </c>
      <c r="E623" s="57">
        <f>+SUMIF('Chi tiết NVL'!$I:$I,$A623,'Chi tiết NVL'!N:N)</f>
        <v/>
      </c>
      <c r="F623" s="57">
        <f>+SUMIF('Chi tiết NVL'!$I:$I,$A623,'Chi tiết NVL'!O:O)</f>
        <v/>
      </c>
      <c r="G623" s="57">
        <f>+SUMIF('Chi tiết NVL'!$I:$I,$A623,'Chi tiết NVL'!P:P)</f>
        <v/>
      </c>
      <c r="H623" s="57">
        <f>+SUMIF('Chi tiết NVL'!$I:$I,$A623,'Chi tiết NVL'!Q:Q)</f>
        <v/>
      </c>
      <c r="I623" s="57">
        <f>+SUMIF('Chi tiết NVL'!$I:$I,$A623,'Chi tiết NVL'!R:R)</f>
        <v/>
      </c>
      <c r="J623" s="57">
        <f>+SUMIF('Chi tiết NVL'!$I:$I,$A623,'Chi tiết NVL'!S:S)</f>
        <v/>
      </c>
    </row>
    <row r="624">
      <c r="A624" s="56" t="inlineStr">
        <is>
          <t>Bulong thường 4.6 ZP M12x80</t>
        </is>
      </c>
      <c r="B624" s="56">
        <f>+VLOOKUP(A624,'Chi tiết NVL'!$I$10:$J$4158,2,0)</f>
        <v/>
      </c>
      <c r="C624" s="57">
        <f>+SUMIF('Chi tiết NVL'!$I:$I,$A624,'Chi tiết NVL'!L:L)</f>
        <v/>
      </c>
      <c r="D624" s="57">
        <f>+SUMIF('Chi tiết NVL'!$I:$I,$A624,'Chi tiết NVL'!M:M)</f>
        <v/>
      </c>
      <c r="E624" s="57">
        <f>+SUMIF('Chi tiết NVL'!$I:$I,$A624,'Chi tiết NVL'!N:N)</f>
        <v/>
      </c>
      <c r="F624" s="57">
        <f>+SUMIF('Chi tiết NVL'!$I:$I,$A624,'Chi tiết NVL'!O:O)</f>
        <v/>
      </c>
      <c r="G624" s="57">
        <f>+SUMIF('Chi tiết NVL'!$I:$I,$A624,'Chi tiết NVL'!P:P)</f>
        <v/>
      </c>
      <c r="H624" s="57">
        <f>+SUMIF('Chi tiết NVL'!$I:$I,$A624,'Chi tiết NVL'!Q:Q)</f>
        <v/>
      </c>
      <c r="I624" s="57">
        <f>+SUMIF('Chi tiết NVL'!$I:$I,$A624,'Chi tiết NVL'!R:R)</f>
        <v/>
      </c>
      <c r="J624" s="57">
        <f>+SUMIF('Chi tiết NVL'!$I:$I,$A624,'Chi tiết NVL'!S:S)</f>
        <v/>
      </c>
    </row>
    <row r="625">
      <c r="A625" s="56" t="inlineStr">
        <is>
          <t>Bulong thường ZP M8x30</t>
        </is>
      </c>
      <c r="B625" s="56">
        <f>+VLOOKUP(A625,'Chi tiết NVL'!$I$10:$J$4158,2,0)</f>
        <v/>
      </c>
      <c r="C625" s="57">
        <f>+SUMIF('Chi tiết NVL'!$I:$I,$A625,'Chi tiết NVL'!L:L)</f>
        <v/>
      </c>
      <c r="D625" s="57">
        <f>+SUMIF('Chi tiết NVL'!$I:$I,$A625,'Chi tiết NVL'!M:M)</f>
        <v/>
      </c>
      <c r="E625" s="57">
        <f>+SUMIF('Chi tiết NVL'!$I:$I,$A625,'Chi tiết NVL'!N:N)</f>
        <v/>
      </c>
      <c r="F625" s="57">
        <f>+SUMIF('Chi tiết NVL'!$I:$I,$A625,'Chi tiết NVL'!O:O)</f>
        <v/>
      </c>
      <c r="G625" s="57">
        <f>+SUMIF('Chi tiết NVL'!$I:$I,$A625,'Chi tiết NVL'!P:P)</f>
        <v/>
      </c>
      <c r="H625" s="57">
        <f>+SUMIF('Chi tiết NVL'!$I:$I,$A625,'Chi tiết NVL'!Q:Q)</f>
        <v/>
      </c>
      <c r="I625" s="57">
        <f>+SUMIF('Chi tiết NVL'!$I:$I,$A625,'Chi tiết NVL'!R:R)</f>
        <v/>
      </c>
      <c r="J625" s="57">
        <f>+SUMIF('Chi tiết NVL'!$I:$I,$A625,'Chi tiết NVL'!S:S)</f>
        <v/>
      </c>
    </row>
    <row r="626">
      <c r="A626" s="56" t="inlineStr">
        <is>
          <t>Đai ốc thường ZP M8</t>
        </is>
      </c>
      <c r="B626" s="56">
        <f>+VLOOKUP(A626,'Chi tiết NVL'!$I$10:$J$4158,2,0)</f>
        <v/>
      </c>
      <c r="C626" s="57">
        <f>+SUMIF('Chi tiết NVL'!$I:$I,$A626,'Chi tiết NVL'!L:L)</f>
        <v/>
      </c>
      <c r="D626" s="57">
        <f>+SUMIF('Chi tiết NVL'!$I:$I,$A626,'Chi tiết NVL'!M:M)</f>
        <v/>
      </c>
      <c r="E626" s="57">
        <f>+SUMIF('Chi tiết NVL'!$I:$I,$A626,'Chi tiết NVL'!N:N)</f>
        <v/>
      </c>
      <c r="F626" s="57">
        <f>+SUMIF('Chi tiết NVL'!$I:$I,$A626,'Chi tiết NVL'!O:O)</f>
        <v/>
      </c>
      <c r="G626" s="57">
        <f>+SUMIF('Chi tiết NVL'!$I:$I,$A626,'Chi tiết NVL'!P:P)</f>
        <v/>
      </c>
      <c r="H626" s="57">
        <f>+SUMIF('Chi tiết NVL'!$I:$I,$A626,'Chi tiết NVL'!Q:Q)</f>
        <v/>
      </c>
      <c r="I626" s="57">
        <f>+SUMIF('Chi tiết NVL'!$I:$I,$A626,'Chi tiết NVL'!R:R)</f>
        <v/>
      </c>
      <c r="J626" s="57">
        <f>+SUMIF('Chi tiết NVL'!$I:$I,$A626,'Chi tiết NVL'!S:S)</f>
        <v/>
      </c>
    </row>
    <row r="627">
      <c r="A627" s="56" t="inlineStr">
        <is>
          <t>Bulong thường 4.6 ZP M12x150</t>
        </is>
      </c>
      <c r="B627" s="56">
        <f>+VLOOKUP(A627,'Chi tiết NVL'!$I$10:$J$4158,2,0)</f>
        <v/>
      </c>
      <c r="C627" s="57">
        <f>+SUMIF('Chi tiết NVL'!$I:$I,$A627,'Chi tiết NVL'!L:L)</f>
        <v/>
      </c>
      <c r="D627" s="57">
        <f>+SUMIF('Chi tiết NVL'!$I:$I,$A627,'Chi tiết NVL'!M:M)</f>
        <v/>
      </c>
      <c r="E627" s="57">
        <f>+SUMIF('Chi tiết NVL'!$I:$I,$A627,'Chi tiết NVL'!N:N)</f>
        <v/>
      </c>
      <c r="F627" s="57">
        <f>+SUMIF('Chi tiết NVL'!$I:$I,$A627,'Chi tiết NVL'!O:O)</f>
        <v/>
      </c>
      <c r="G627" s="57">
        <f>+SUMIF('Chi tiết NVL'!$I:$I,$A627,'Chi tiết NVL'!P:P)</f>
        <v/>
      </c>
      <c r="H627" s="57">
        <f>+SUMIF('Chi tiết NVL'!$I:$I,$A627,'Chi tiết NVL'!Q:Q)</f>
        <v/>
      </c>
      <c r="I627" s="57">
        <f>+SUMIF('Chi tiết NVL'!$I:$I,$A627,'Chi tiết NVL'!R:R)</f>
        <v/>
      </c>
      <c r="J627" s="57">
        <f>+SUMIF('Chi tiết NVL'!$I:$I,$A627,'Chi tiết NVL'!S:S)</f>
        <v/>
      </c>
    </row>
    <row r="628" ht="31.5" customHeight="1">
      <c r="A628" s="56" t="inlineStr">
        <is>
          <t>Bulong neo L 1"x1210, F1554, MKNN, Gr105 (3E+ 1P)</t>
        </is>
      </c>
      <c r="B628" s="56">
        <f>+VLOOKUP(A628,'Chi tiết NVL'!$I$10:$J$4158,2,0)</f>
        <v/>
      </c>
      <c r="C628" s="57">
        <f>+SUMIF('Chi tiết NVL'!$I:$I,$A628,'Chi tiết NVL'!L:L)</f>
        <v/>
      </c>
      <c r="D628" s="57">
        <f>+SUMIF('Chi tiết NVL'!$I:$I,$A628,'Chi tiết NVL'!M:M)</f>
        <v/>
      </c>
      <c r="E628" s="57">
        <f>+SUMIF('Chi tiết NVL'!$I:$I,$A628,'Chi tiết NVL'!N:N)</f>
        <v/>
      </c>
      <c r="F628" s="57">
        <f>+SUMIF('Chi tiết NVL'!$I:$I,$A628,'Chi tiết NVL'!O:O)</f>
        <v/>
      </c>
      <c r="G628" s="57">
        <f>+SUMIF('Chi tiết NVL'!$I:$I,$A628,'Chi tiết NVL'!P:P)</f>
        <v/>
      </c>
      <c r="H628" s="57">
        <f>+SUMIF('Chi tiết NVL'!$I:$I,$A628,'Chi tiết NVL'!Q:Q)</f>
        <v/>
      </c>
      <c r="I628" s="57">
        <f>+SUMIF('Chi tiết NVL'!$I:$I,$A628,'Chi tiết NVL'!R:R)</f>
        <v/>
      </c>
      <c r="J628" s="57">
        <f>+SUMIF('Chi tiết NVL'!$I:$I,$A628,'Chi tiết NVL'!S:S)</f>
        <v/>
      </c>
    </row>
    <row r="629" ht="31.5" customHeight="1">
      <c r="A629" s="56" t="inlineStr">
        <is>
          <t>Bulong neo L 1-1/8"x1140, F1554, MKNN, Gr105 (3E+ 1P)</t>
        </is>
      </c>
      <c r="B629" s="56">
        <f>+VLOOKUP(A629,'Chi tiết NVL'!$I$10:$J$4158,2,0)</f>
        <v/>
      </c>
      <c r="C629" s="57">
        <f>+SUMIF('Chi tiết NVL'!$I:$I,$A629,'Chi tiết NVL'!L:L)</f>
        <v/>
      </c>
      <c r="D629" s="57">
        <f>+SUMIF('Chi tiết NVL'!$I:$I,$A629,'Chi tiết NVL'!M:M)</f>
        <v/>
      </c>
      <c r="E629" s="57">
        <f>+SUMIF('Chi tiết NVL'!$I:$I,$A629,'Chi tiết NVL'!N:N)</f>
        <v/>
      </c>
      <c r="F629" s="57">
        <f>+SUMIF('Chi tiết NVL'!$I:$I,$A629,'Chi tiết NVL'!O:O)</f>
        <v/>
      </c>
      <c r="G629" s="57">
        <f>+SUMIF('Chi tiết NVL'!$I:$I,$A629,'Chi tiết NVL'!P:P)</f>
        <v/>
      </c>
      <c r="H629" s="57">
        <f>+SUMIF('Chi tiết NVL'!$I:$I,$A629,'Chi tiết NVL'!Q:Q)</f>
        <v/>
      </c>
      <c r="I629" s="57">
        <f>+SUMIF('Chi tiết NVL'!$I:$I,$A629,'Chi tiết NVL'!R:R)</f>
        <v/>
      </c>
      <c r="J629" s="57">
        <f>+SUMIF('Chi tiết NVL'!$I:$I,$A629,'Chi tiết NVL'!S:S)</f>
        <v/>
      </c>
    </row>
    <row r="630" ht="31.5" customHeight="1">
      <c r="A630" s="56" t="inlineStr">
        <is>
          <t>Bulong neo L 1-1/4"x1082, F1554, MKNN, Gr105 (3E+ 1P)</t>
        </is>
      </c>
      <c r="B630" s="56">
        <f>+VLOOKUP(A630,'Chi tiết NVL'!$I$10:$J$4158,2,0)</f>
        <v/>
      </c>
      <c r="C630" s="57">
        <f>+SUMIF('Chi tiết NVL'!$I:$I,$A630,'Chi tiết NVL'!L:L)</f>
        <v/>
      </c>
      <c r="D630" s="57">
        <f>+SUMIF('Chi tiết NVL'!$I:$I,$A630,'Chi tiết NVL'!M:M)</f>
        <v/>
      </c>
      <c r="E630" s="57">
        <f>+SUMIF('Chi tiết NVL'!$I:$I,$A630,'Chi tiết NVL'!N:N)</f>
        <v/>
      </c>
      <c r="F630" s="57">
        <f>+SUMIF('Chi tiết NVL'!$I:$I,$A630,'Chi tiết NVL'!O:O)</f>
        <v/>
      </c>
      <c r="G630" s="57">
        <f>+SUMIF('Chi tiết NVL'!$I:$I,$A630,'Chi tiết NVL'!P:P)</f>
        <v/>
      </c>
      <c r="H630" s="57">
        <f>+SUMIF('Chi tiết NVL'!$I:$I,$A630,'Chi tiết NVL'!Q:Q)</f>
        <v/>
      </c>
      <c r="I630" s="57">
        <f>+SUMIF('Chi tiết NVL'!$I:$I,$A630,'Chi tiết NVL'!R:R)</f>
        <v/>
      </c>
      <c r="J630" s="57">
        <f>+SUMIF('Chi tiết NVL'!$I:$I,$A630,'Chi tiết NVL'!S:S)</f>
        <v/>
      </c>
    </row>
    <row r="631">
      <c r="A631" s="56" t="inlineStr">
        <is>
          <t>Bulong neo M24x530, 8.8, MKĐP (4E+ 1P)</t>
        </is>
      </c>
      <c r="B631" s="56">
        <f>+VLOOKUP(A631,'Chi tiết NVL'!$I$10:$J$4158,2,0)</f>
        <v/>
      </c>
      <c r="C631" s="57">
        <f>+SUMIF('Chi tiết NVL'!$I:$I,$A631,'Chi tiết NVL'!L:L)</f>
        <v/>
      </c>
      <c r="D631" s="57">
        <f>+SUMIF('Chi tiết NVL'!$I:$I,$A631,'Chi tiết NVL'!M:M)</f>
        <v/>
      </c>
      <c r="E631" s="57">
        <f>+SUMIF('Chi tiết NVL'!$I:$I,$A631,'Chi tiết NVL'!N:N)</f>
        <v/>
      </c>
      <c r="F631" s="57">
        <f>+SUMIF('Chi tiết NVL'!$I:$I,$A631,'Chi tiết NVL'!O:O)</f>
        <v/>
      </c>
      <c r="G631" s="57">
        <f>+SUMIF('Chi tiết NVL'!$I:$I,$A631,'Chi tiết NVL'!P:P)</f>
        <v/>
      </c>
      <c r="H631" s="57">
        <f>+SUMIF('Chi tiết NVL'!$I:$I,$A631,'Chi tiết NVL'!Q:Q)</f>
        <v/>
      </c>
      <c r="I631" s="57">
        <f>+SUMIF('Chi tiết NVL'!$I:$I,$A631,'Chi tiết NVL'!R:R)</f>
        <v/>
      </c>
      <c r="J631" s="57">
        <f>+SUMIF('Chi tiết NVL'!$I:$I,$A631,'Chi tiết NVL'!S:S)</f>
        <v/>
      </c>
    </row>
    <row r="632">
      <c r="A632" s="56" t="inlineStr">
        <is>
          <t>Bulong neo M30x645, 8.8, MKĐP (4E+ 1P)</t>
        </is>
      </c>
      <c r="B632" s="56">
        <f>+VLOOKUP(A632,'Chi tiết NVL'!$I$10:$J$4158,2,0)</f>
        <v/>
      </c>
      <c r="C632" s="57">
        <f>+SUMIF('Chi tiết NVL'!$I:$I,$A632,'Chi tiết NVL'!L:L)</f>
        <v/>
      </c>
      <c r="D632" s="57">
        <f>+SUMIF('Chi tiết NVL'!$I:$I,$A632,'Chi tiết NVL'!M:M)</f>
        <v/>
      </c>
      <c r="E632" s="57">
        <f>+SUMIF('Chi tiết NVL'!$I:$I,$A632,'Chi tiết NVL'!N:N)</f>
        <v/>
      </c>
      <c r="F632" s="57">
        <f>+SUMIF('Chi tiết NVL'!$I:$I,$A632,'Chi tiết NVL'!O:O)</f>
        <v/>
      </c>
      <c r="G632" s="57">
        <f>+SUMIF('Chi tiết NVL'!$I:$I,$A632,'Chi tiết NVL'!P:P)</f>
        <v/>
      </c>
      <c r="H632" s="57">
        <f>+SUMIF('Chi tiết NVL'!$I:$I,$A632,'Chi tiết NVL'!Q:Q)</f>
        <v/>
      </c>
      <c r="I632" s="57">
        <f>+SUMIF('Chi tiết NVL'!$I:$I,$A632,'Chi tiết NVL'!R:R)</f>
        <v/>
      </c>
      <c r="J632" s="57">
        <f>+SUMIF('Chi tiết NVL'!$I:$I,$A632,'Chi tiết NVL'!S:S)</f>
        <v/>
      </c>
    </row>
    <row r="633">
      <c r="A633" s="56" t="inlineStr">
        <is>
          <t>Bulong neo M36x730, 8.8, MKĐP (4E+ 1P)</t>
        </is>
      </c>
      <c r="B633" s="56">
        <f>+VLOOKUP(A633,'Chi tiết NVL'!$I$10:$J$4158,2,0)</f>
        <v/>
      </c>
      <c r="C633" s="57">
        <f>+SUMIF('Chi tiết NVL'!$I:$I,$A633,'Chi tiết NVL'!L:L)</f>
        <v/>
      </c>
      <c r="D633" s="57">
        <f>+SUMIF('Chi tiết NVL'!$I:$I,$A633,'Chi tiết NVL'!M:M)</f>
        <v/>
      </c>
      <c r="E633" s="57">
        <f>+SUMIF('Chi tiết NVL'!$I:$I,$A633,'Chi tiết NVL'!N:N)</f>
        <v/>
      </c>
      <c r="F633" s="57">
        <f>+SUMIF('Chi tiết NVL'!$I:$I,$A633,'Chi tiết NVL'!O:O)</f>
        <v/>
      </c>
      <c r="G633" s="57">
        <f>+SUMIF('Chi tiết NVL'!$I:$I,$A633,'Chi tiết NVL'!P:P)</f>
        <v/>
      </c>
      <c r="H633" s="57">
        <f>+SUMIF('Chi tiết NVL'!$I:$I,$A633,'Chi tiết NVL'!Q:Q)</f>
        <v/>
      </c>
      <c r="I633" s="57">
        <f>+SUMIF('Chi tiết NVL'!$I:$I,$A633,'Chi tiết NVL'!R:R)</f>
        <v/>
      </c>
      <c r="J633" s="57">
        <f>+SUMIF('Chi tiết NVL'!$I:$I,$A633,'Chi tiết NVL'!S:S)</f>
        <v/>
      </c>
    </row>
    <row r="634">
      <c r="A634" s="56" t="inlineStr">
        <is>
          <t>Cùm treo ZP D90</t>
        </is>
      </c>
      <c r="B634" s="56">
        <f>+VLOOKUP(A634,'Chi tiết NVL'!$I$10:$J$4158,2,0)</f>
        <v/>
      </c>
      <c r="C634" s="57">
        <f>+SUMIF('Chi tiết NVL'!$I:$I,$A634,'Chi tiết NVL'!L:L)</f>
        <v/>
      </c>
      <c r="D634" s="57">
        <f>+SUMIF('Chi tiết NVL'!$I:$I,$A634,'Chi tiết NVL'!M:M)</f>
        <v/>
      </c>
      <c r="E634" s="57">
        <f>+SUMIF('Chi tiết NVL'!$I:$I,$A634,'Chi tiết NVL'!N:N)</f>
        <v/>
      </c>
      <c r="F634" s="57">
        <f>+SUMIF('Chi tiết NVL'!$I:$I,$A634,'Chi tiết NVL'!O:O)</f>
        <v/>
      </c>
      <c r="G634" s="57">
        <f>+SUMIF('Chi tiết NVL'!$I:$I,$A634,'Chi tiết NVL'!P:P)</f>
        <v/>
      </c>
      <c r="H634" s="57">
        <f>+SUMIF('Chi tiết NVL'!$I:$I,$A634,'Chi tiết NVL'!Q:Q)</f>
        <v/>
      </c>
      <c r="I634" s="57">
        <f>+SUMIF('Chi tiết NVL'!$I:$I,$A634,'Chi tiết NVL'!R:R)</f>
        <v/>
      </c>
      <c r="J634" s="57">
        <f>+SUMIF('Chi tiết NVL'!$I:$I,$A634,'Chi tiết NVL'!S:S)</f>
        <v/>
      </c>
    </row>
    <row r="635">
      <c r="A635" s="56" t="inlineStr">
        <is>
          <t>Bulong thường ZP M8x20</t>
        </is>
      </c>
      <c r="B635" s="56">
        <f>+VLOOKUP(A635,'Chi tiết NVL'!$I$10:$J$4158,2,0)</f>
        <v/>
      </c>
      <c r="C635" s="57">
        <f>+SUMIF('Chi tiết NVL'!$I:$I,$A635,'Chi tiết NVL'!L:L)</f>
        <v/>
      </c>
      <c r="D635" s="57">
        <f>+SUMIF('Chi tiết NVL'!$I:$I,$A635,'Chi tiết NVL'!M:M)</f>
        <v/>
      </c>
      <c r="E635" s="57">
        <f>+SUMIF('Chi tiết NVL'!$I:$I,$A635,'Chi tiết NVL'!N:N)</f>
        <v/>
      </c>
      <c r="F635" s="57">
        <f>+SUMIF('Chi tiết NVL'!$I:$I,$A635,'Chi tiết NVL'!O:O)</f>
        <v/>
      </c>
      <c r="G635" s="57">
        <f>+SUMIF('Chi tiết NVL'!$I:$I,$A635,'Chi tiết NVL'!P:P)</f>
        <v/>
      </c>
      <c r="H635" s="57">
        <f>+SUMIF('Chi tiết NVL'!$I:$I,$A635,'Chi tiết NVL'!Q:Q)</f>
        <v/>
      </c>
      <c r="I635" s="57">
        <f>+SUMIF('Chi tiết NVL'!$I:$I,$A635,'Chi tiết NVL'!R:R)</f>
        <v/>
      </c>
      <c r="J635" s="57">
        <f>+SUMIF('Chi tiết NVL'!$I:$I,$A635,'Chi tiết NVL'!S:S)</f>
        <v/>
      </c>
    </row>
    <row r="636">
      <c r="A636" s="56" t="inlineStr">
        <is>
          <t>Vít B3stek 12-14x75 HGS</t>
        </is>
      </c>
      <c r="B636" s="56">
        <f>+VLOOKUP(A636,'Chi tiết NVL'!$I$10:$J$4158,2,0)</f>
        <v/>
      </c>
      <c r="C636" s="57">
        <f>+SUMIF('Chi tiết NVL'!$I:$I,$A636,'Chi tiết NVL'!L:L)</f>
        <v/>
      </c>
      <c r="D636" s="57">
        <f>+SUMIF('Chi tiết NVL'!$I:$I,$A636,'Chi tiết NVL'!M:M)</f>
        <v/>
      </c>
      <c r="E636" s="57">
        <f>+SUMIF('Chi tiết NVL'!$I:$I,$A636,'Chi tiết NVL'!N:N)</f>
        <v/>
      </c>
      <c r="F636" s="57">
        <f>+SUMIF('Chi tiết NVL'!$I:$I,$A636,'Chi tiết NVL'!O:O)</f>
        <v/>
      </c>
      <c r="G636" s="57">
        <f>+SUMIF('Chi tiết NVL'!$I:$I,$A636,'Chi tiết NVL'!P:P)</f>
        <v/>
      </c>
      <c r="H636" s="57">
        <f>+SUMIF('Chi tiết NVL'!$I:$I,$A636,'Chi tiết NVL'!Q:Q)</f>
        <v/>
      </c>
      <c r="I636" s="57">
        <f>+SUMIF('Chi tiết NVL'!$I:$I,$A636,'Chi tiết NVL'!R:R)</f>
        <v/>
      </c>
      <c r="J636" s="57">
        <f>+SUMIF('Chi tiết NVL'!$I:$I,$A636,'Chi tiết NVL'!S:S)</f>
        <v/>
      </c>
    </row>
    <row r="637">
      <c r="A637" s="56" t="inlineStr">
        <is>
          <t>Vít B3stek 10-24x22 WAF</t>
        </is>
      </c>
      <c r="B637" s="56">
        <f>+VLOOKUP(A637,'Chi tiết NVL'!$I$10:$J$4158,2,0)</f>
        <v/>
      </c>
      <c r="C637" s="57">
        <f>+SUMIF('Chi tiết NVL'!$I:$I,$A637,'Chi tiết NVL'!L:L)</f>
        <v/>
      </c>
      <c r="D637" s="57">
        <f>+SUMIF('Chi tiết NVL'!$I:$I,$A637,'Chi tiết NVL'!M:M)</f>
        <v/>
      </c>
      <c r="E637" s="57">
        <f>+SUMIF('Chi tiết NVL'!$I:$I,$A637,'Chi tiết NVL'!N:N)</f>
        <v/>
      </c>
      <c r="F637" s="57">
        <f>+SUMIF('Chi tiết NVL'!$I:$I,$A637,'Chi tiết NVL'!O:O)</f>
        <v/>
      </c>
      <c r="G637" s="57">
        <f>+SUMIF('Chi tiết NVL'!$I:$I,$A637,'Chi tiết NVL'!P:P)</f>
        <v/>
      </c>
      <c r="H637" s="57">
        <f>+SUMIF('Chi tiết NVL'!$I:$I,$A637,'Chi tiết NVL'!Q:Q)</f>
        <v/>
      </c>
      <c r="I637" s="57">
        <f>+SUMIF('Chi tiết NVL'!$I:$I,$A637,'Chi tiết NVL'!R:R)</f>
        <v/>
      </c>
      <c r="J637" s="57">
        <f>+SUMIF('Chi tiết NVL'!$I:$I,$A637,'Chi tiết NVL'!S:S)</f>
        <v/>
      </c>
    </row>
    <row r="638">
      <c r="A638" s="56" t="inlineStr">
        <is>
          <t>Vít B3stek 12-14x130 HWB</t>
        </is>
      </c>
      <c r="B638" s="56">
        <f>+VLOOKUP(A638,'Chi tiết NVL'!$I$10:$J$4158,2,0)</f>
        <v/>
      </c>
      <c r="C638" s="57">
        <f>+SUMIF('Chi tiết NVL'!$I:$I,$A638,'Chi tiết NVL'!L:L)</f>
        <v/>
      </c>
      <c r="D638" s="57">
        <f>+SUMIF('Chi tiết NVL'!$I:$I,$A638,'Chi tiết NVL'!M:M)</f>
        <v/>
      </c>
      <c r="E638" s="57">
        <f>+SUMIF('Chi tiết NVL'!$I:$I,$A638,'Chi tiết NVL'!N:N)</f>
        <v/>
      </c>
      <c r="F638" s="57">
        <f>+SUMIF('Chi tiết NVL'!$I:$I,$A638,'Chi tiết NVL'!O:O)</f>
        <v/>
      </c>
      <c r="G638" s="57">
        <f>+SUMIF('Chi tiết NVL'!$I:$I,$A638,'Chi tiết NVL'!P:P)</f>
        <v/>
      </c>
      <c r="H638" s="57">
        <f>+SUMIF('Chi tiết NVL'!$I:$I,$A638,'Chi tiết NVL'!Q:Q)</f>
        <v/>
      </c>
      <c r="I638" s="57">
        <f>+SUMIF('Chi tiết NVL'!$I:$I,$A638,'Chi tiết NVL'!R:R)</f>
        <v/>
      </c>
      <c r="J638" s="57">
        <f>+SUMIF('Chi tiết NVL'!$I:$I,$A638,'Chi tiết NVL'!S:S)</f>
        <v/>
      </c>
    </row>
    <row r="639">
      <c r="A639" s="56" t="inlineStr">
        <is>
          <t>Màng PE Foam 5 Sóng</t>
        </is>
      </c>
      <c r="B639" s="56">
        <f>+VLOOKUP(A639,'Chi tiết NVL'!$I$10:$J$4158,2,0)</f>
        <v/>
      </c>
      <c r="C639" s="57">
        <f>+SUMIF('Chi tiết NVL'!$I:$I,$A639,'Chi tiết NVL'!L:L)</f>
        <v/>
      </c>
      <c r="D639" s="57">
        <f>+SUMIF('Chi tiết NVL'!$I:$I,$A639,'Chi tiết NVL'!M:M)</f>
        <v/>
      </c>
      <c r="E639" s="57">
        <f>+SUMIF('Chi tiết NVL'!$I:$I,$A639,'Chi tiết NVL'!N:N)</f>
        <v/>
      </c>
      <c r="F639" s="57">
        <f>+SUMIF('Chi tiết NVL'!$I:$I,$A639,'Chi tiết NVL'!O:O)</f>
        <v/>
      </c>
      <c r="G639" s="57">
        <f>+SUMIF('Chi tiết NVL'!$I:$I,$A639,'Chi tiết NVL'!P:P)</f>
        <v/>
      </c>
      <c r="H639" s="57">
        <f>+SUMIF('Chi tiết NVL'!$I:$I,$A639,'Chi tiết NVL'!Q:Q)</f>
        <v/>
      </c>
      <c r="I639" s="57">
        <f>+SUMIF('Chi tiết NVL'!$I:$I,$A639,'Chi tiết NVL'!R:R)</f>
        <v/>
      </c>
      <c r="J639" s="57">
        <f>+SUMIF('Chi tiết NVL'!$I:$I,$A639,'Chi tiết NVL'!S:S)</f>
        <v/>
      </c>
    </row>
    <row r="640">
      <c r="A640" s="56" t="inlineStr">
        <is>
          <t>Tấm cách nhiệt A2-Double Cát Tường.</t>
        </is>
      </c>
      <c r="B640" s="56">
        <f>+VLOOKUP(A640,'Chi tiết NVL'!$I$10:$J$4158,2,0)</f>
        <v/>
      </c>
      <c r="C640" s="57">
        <f>+SUMIF('Chi tiết NVL'!$I:$I,$A640,'Chi tiết NVL'!L:L)</f>
        <v/>
      </c>
      <c r="D640" s="57">
        <f>+SUMIF('Chi tiết NVL'!$I:$I,$A640,'Chi tiết NVL'!M:M)</f>
        <v/>
      </c>
      <c r="E640" s="57">
        <f>+SUMIF('Chi tiết NVL'!$I:$I,$A640,'Chi tiết NVL'!N:N)</f>
        <v/>
      </c>
      <c r="F640" s="57">
        <f>+SUMIF('Chi tiết NVL'!$I:$I,$A640,'Chi tiết NVL'!O:O)</f>
        <v/>
      </c>
      <c r="G640" s="57">
        <f>+SUMIF('Chi tiết NVL'!$I:$I,$A640,'Chi tiết NVL'!P:P)</f>
        <v/>
      </c>
      <c r="H640" s="57">
        <f>+SUMIF('Chi tiết NVL'!$I:$I,$A640,'Chi tiết NVL'!Q:Q)</f>
        <v/>
      </c>
      <c r="I640" s="57">
        <f>+SUMIF('Chi tiết NVL'!$I:$I,$A640,'Chi tiết NVL'!R:R)</f>
        <v/>
      </c>
      <c r="J640" s="57">
        <f>+SUMIF('Chi tiết NVL'!$I:$I,$A640,'Chi tiết NVL'!S:S)</f>
        <v/>
      </c>
    </row>
    <row r="641">
      <c r="A641" s="56" t="inlineStr">
        <is>
          <t>Chếch uPVC 90M-hệ inch</t>
        </is>
      </c>
      <c r="B641" s="56">
        <f>+VLOOKUP(A641,'Chi tiết NVL'!$I$10:$J$4158,2,0)</f>
        <v/>
      </c>
      <c r="C641" s="57">
        <f>+SUMIF('Chi tiết NVL'!$I:$I,$A641,'Chi tiết NVL'!L:L)</f>
        <v/>
      </c>
      <c r="D641" s="57">
        <f>+SUMIF('Chi tiết NVL'!$I:$I,$A641,'Chi tiết NVL'!M:M)</f>
        <v/>
      </c>
      <c r="E641" s="57">
        <f>+SUMIF('Chi tiết NVL'!$I:$I,$A641,'Chi tiết NVL'!N:N)</f>
        <v/>
      </c>
      <c r="F641" s="57">
        <f>+SUMIF('Chi tiết NVL'!$I:$I,$A641,'Chi tiết NVL'!O:O)</f>
        <v/>
      </c>
      <c r="G641" s="57">
        <f>+SUMIF('Chi tiết NVL'!$I:$I,$A641,'Chi tiết NVL'!P:P)</f>
        <v/>
      </c>
      <c r="H641" s="57">
        <f>+SUMIF('Chi tiết NVL'!$I:$I,$A641,'Chi tiết NVL'!Q:Q)</f>
        <v/>
      </c>
      <c r="I641" s="57">
        <f>+SUMIF('Chi tiết NVL'!$I:$I,$A641,'Chi tiết NVL'!R:R)</f>
        <v/>
      </c>
      <c r="J641" s="57">
        <f>+SUMIF('Chi tiết NVL'!$I:$I,$A641,'Chi tiết NVL'!S:S)</f>
        <v/>
      </c>
    </row>
    <row r="642">
      <c r="A642" s="56" t="inlineStr">
        <is>
          <t>Co PVC-U 140 mỏng</t>
        </is>
      </c>
      <c r="B642" s="56">
        <f>+VLOOKUP(A642,'Chi tiết NVL'!$I$10:$J$4158,2,0)</f>
        <v/>
      </c>
      <c r="C642" s="57">
        <f>+SUMIF('Chi tiết NVL'!$I:$I,$A642,'Chi tiết NVL'!L:L)</f>
        <v/>
      </c>
      <c r="D642" s="57">
        <f>+SUMIF('Chi tiết NVL'!$I:$I,$A642,'Chi tiết NVL'!M:M)</f>
        <v/>
      </c>
      <c r="E642" s="57">
        <f>+SUMIF('Chi tiết NVL'!$I:$I,$A642,'Chi tiết NVL'!N:N)</f>
        <v/>
      </c>
      <c r="F642" s="57">
        <f>+SUMIF('Chi tiết NVL'!$I:$I,$A642,'Chi tiết NVL'!O:O)</f>
        <v/>
      </c>
      <c r="G642" s="57">
        <f>+SUMIF('Chi tiết NVL'!$I:$I,$A642,'Chi tiết NVL'!P:P)</f>
        <v/>
      </c>
      <c r="H642" s="57">
        <f>+SUMIF('Chi tiết NVL'!$I:$I,$A642,'Chi tiết NVL'!Q:Q)</f>
        <v/>
      </c>
      <c r="I642" s="57">
        <f>+SUMIF('Chi tiết NVL'!$I:$I,$A642,'Chi tiết NVL'!R:R)</f>
        <v/>
      </c>
      <c r="J642" s="57">
        <f>+SUMIF('Chi tiết NVL'!$I:$I,$A642,'Chi tiết NVL'!S:S)</f>
        <v/>
      </c>
    </row>
    <row r="643">
      <c r="A643" s="56" t="inlineStr">
        <is>
          <t>Cút uPVC 90M-hệ inch</t>
        </is>
      </c>
      <c r="B643" s="56">
        <f>+VLOOKUP(A643,'Chi tiết NVL'!$I$10:$J$4158,2,0)</f>
        <v/>
      </c>
      <c r="C643" s="57">
        <f>+SUMIF('Chi tiết NVL'!$I:$I,$A643,'Chi tiết NVL'!L:L)</f>
        <v/>
      </c>
      <c r="D643" s="57">
        <f>+SUMIF('Chi tiết NVL'!$I:$I,$A643,'Chi tiết NVL'!M:M)</f>
        <v/>
      </c>
      <c r="E643" s="57">
        <f>+SUMIF('Chi tiết NVL'!$I:$I,$A643,'Chi tiết NVL'!N:N)</f>
        <v/>
      </c>
      <c r="F643" s="57">
        <f>+SUMIF('Chi tiết NVL'!$I:$I,$A643,'Chi tiết NVL'!O:O)</f>
        <v/>
      </c>
      <c r="G643" s="57">
        <f>+SUMIF('Chi tiết NVL'!$I:$I,$A643,'Chi tiết NVL'!P:P)</f>
        <v/>
      </c>
      <c r="H643" s="57">
        <f>+SUMIF('Chi tiết NVL'!$I:$I,$A643,'Chi tiết NVL'!Q:Q)</f>
        <v/>
      </c>
      <c r="I643" s="57">
        <f>+SUMIF('Chi tiết NVL'!$I:$I,$A643,'Chi tiết NVL'!R:R)</f>
        <v/>
      </c>
      <c r="J643" s="57">
        <f>+SUMIF('Chi tiết NVL'!$I:$I,$A643,'Chi tiết NVL'!S:S)</f>
        <v/>
      </c>
    </row>
    <row r="644">
      <c r="A644" s="56" t="inlineStr">
        <is>
          <t>Keo dán ống nhựa UPVC loại 1000g</t>
        </is>
      </c>
      <c r="B644" s="56">
        <f>+VLOOKUP(A644,'Chi tiết NVL'!$I$10:$J$4158,2,0)</f>
        <v/>
      </c>
      <c r="C644" s="57">
        <f>+SUMIF('Chi tiết NVL'!$I:$I,$A644,'Chi tiết NVL'!L:L)</f>
        <v/>
      </c>
      <c r="D644" s="57">
        <f>+SUMIF('Chi tiết NVL'!$I:$I,$A644,'Chi tiết NVL'!M:M)</f>
        <v/>
      </c>
      <c r="E644" s="57">
        <f>+SUMIF('Chi tiết NVL'!$I:$I,$A644,'Chi tiết NVL'!N:N)</f>
        <v/>
      </c>
      <c r="F644" s="57">
        <f>+SUMIF('Chi tiết NVL'!$I:$I,$A644,'Chi tiết NVL'!O:O)</f>
        <v/>
      </c>
      <c r="G644" s="57">
        <f>+SUMIF('Chi tiết NVL'!$I:$I,$A644,'Chi tiết NVL'!P:P)</f>
        <v/>
      </c>
      <c r="H644" s="57">
        <f>+SUMIF('Chi tiết NVL'!$I:$I,$A644,'Chi tiết NVL'!Q:Q)</f>
        <v/>
      </c>
      <c r="I644" s="57">
        <f>+SUMIF('Chi tiết NVL'!$I:$I,$A644,'Chi tiết NVL'!R:R)</f>
        <v/>
      </c>
      <c r="J644" s="57">
        <f>+SUMIF('Chi tiết NVL'!$I:$I,$A644,'Chi tiết NVL'!S:S)</f>
        <v/>
      </c>
    </row>
    <row r="645">
      <c r="A645" s="56" t="inlineStr">
        <is>
          <t>Măng sông uPVC 90M-hệ inch</t>
        </is>
      </c>
      <c r="B645" s="56">
        <f>+VLOOKUP(A645,'Chi tiết NVL'!$I$10:$J$4158,2,0)</f>
        <v/>
      </c>
      <c r="C645" s="57">
        <f>+SUMIF('Chi tiết NVL'!$I:$I,$A645,'Chi tiết NVL'!L:L)</f>
        <v/>
      </c>
      <c r="D645" s="57">
        <f>+SUMIF('Chi tiết NVL'!$I:$I,$A645,'Chi tiết NVL'!M:M)</f>
        <v/>
      </c>
      <c r="E645" s="57">
        <f>+SUMIF('Chi tiết NVL'!$I:$I,$A645,'Chi tiết NVL'!N:N)</f>
        <v/>
      </c>
      <c r="F645" s="57">
        <f>+SUMIF('Chi tiết NVL'!$I:$I,$A645,'Chi tiết NVL'!O:O)</f>
        <v/>
      </c>
      <c r="G645" s="57">
        <f>+SUMIF('Chi tiết NVL'!$I:$I,$A645,'Chi tiết NVL'!P:P)</f>
        <v/>
      </c>
      <c r="H645" s="57">
        <f>+SUMIF('Chi tiết NVL'!$I:$I,$A645,'Chi tiết NVL'!Q:Q)</f>
        <v/>
      </c>
      <c r="I645" s="57">
        <f>+SUMIF('Chi tiết NVL'!$I:$I,$A645,'Chi tiết NVL'!R:R)</f>
        <v/>
      </c>
      <c r="J645" s="57">
        <f>+SUMIF('Chi tiết NVL'!$I:$I,$A645,'Chi tiết NVL'!S:S)</f>
        <v/>
      </c>
    </row>
    <row r="646">
      <c r="A646" s="56" t="inlineStr">
        <is>
          <t>Cầu chắn rác inox 304 D90</t>
        </is>
      </c>
      <c r="B646" s="56">
        <f>+VLOOKUP(A646,'Chi tiết NVL'!$I$10:$J$4158,2,0)</f>
        <v/>
      </c>
      <c r="C646" s="57">
        <f>+SUMIF('Chi tiết NVL'!$I:$I,$A646,'Chi tiết NVL'!L:L)</f>
        <v/>
      </c>
      <c r="D646" s="57">
        <f>+SUMIF('Chi tiết NVL'!$I:$I,$A646,'Chi tiết NVL'!M:M)</f>
        <v/>
      </c>
      <c r="E646" s="57">
        <f>+SUMIF('Chi tiết NVL'!$I:$I,$A646,'Chi tiết NVL'!N:N)</f>
        <v/>
      </c>
      <c r="F646" s="57">
        <f>+SUMIF('Chi tiết NVL'!$I:$I,$A646,'Chi tiết NVL'!O:O)</f>
        <v/>
      </c>
      <c r="G646" s="57">
        <f>+SUMIF('Chi tiết NVL'!$I:$I,$A646,'Chi tiết NVL'!P:P)</f>
        <v/>
      </c>
      <c r="H646" s="57">
        <f>+SUMIF('Chi tiết NVL'!$I:$I,$A646,'Chi tiết NVL'!Q:Q)</f>
        <v/>
      </c>
      <c r="I646" s="57">
        <f>+SUMIF('Chi tiết NVL'!$I:$I,$A646,'Chi tiết NVL'!R:R)</f>
        <v/>
      </c>
      <c r="J646" s="57">
        <f>+SUMIF('Chi tiết NVL'!$I:$I,$A646,'Chi tiết NVL'!S:S)</f>
        <v/>
      </c>
    </row>
    <row r="647">
      <c r="A647" s="56" t="inlineStr">
        <is>
          <t>Cầu chắn rác inox 304 D140</t>
        </is>
      </c>
      <c r="B647" s="56">
        <f>+VLOOKUP(A647,'Chi tiết NVL'!$I$10:$J$4158,2,0)</f>
        <v/>
      </c>
      <c r="C647" s="57">
        <f>+SUMIF('Chi tiết NVL'!$I:$I,$A647,'Chi tiết NVL'!L:L)</f>
        <v/>
      </c>
      <c r="D647" s="57">
        <f>+SUMIF('Chi tiết NVL'!$I:$I,$A647,'Chi tiết NVL'!M:M)</f>
        <v/>
      </c>
      <c r="E647" s="57">
        <f>+SUMIF('Chi tiết NVL'!$I:$I,$A647,'Chi tiết NVL'!N:N)</f>
        <v/>
      </c>
      <c r="F647" s="57">
        <f>+SUMIF('Chi tiết NVL'!$I:$I,$A647,'Chi tiết NVL'!O:O)</f>
        <v/>
      </c>
      <c r="G647" s="57">
        <f>+SUMIF('Chi tiết NVL'!$I:$I,$A647,'Chi tiết NVL'!P:P)</f>
        <v/>
      </c>
      <c r="H647" s="57">
        <f>+SUMIF('Chi tiết NVL'!$I:$I,$A647,'Chi tiết NVL'!Q:Q)</f>
        <v/>
      </c>
      <c r="I647" s="57">
        <f>+SUMIF('Chi tiết NVL'!$I:$I,$A647,'Chi tiết NVL'!R:R)</f>
        <v/>
      </c>
      <c r="J647" s="57">
        <f>+SUMIF('Chi tiết NVL'!$I:$I,$A647,'Chi tiết NVL'!S:S)</f>
        <v/>
      </c>
    </row>
    <row r="648">
      <c r="A648" s="56" t="inlineStr">
        <is>
          <t>Ống uPVC C2 D140 (140x4.1mm)</t>
        </is>
      </c>
      <c r="B648" s="56">
        <f>+VLOOKUP(A648,'Chi tiết NVL'!$I$10:$J$4158,2,0)</f>
        <v/>
      </c>
      <c r="C648" s="57">
        <f>+SUMIF('Chi tiết NVL'!$I:$I,$A648,'Chi tiết NVL'!L:L)</f>
        <v/>
      </c>
      <c r="D648" s="57">
        <f>+SUMIF('Chi tiết NVL'!$I:$I,$A648,'Chi tiết NVL'!M:M)</f>
        <v/>
      </c>
      <c r="E648" s="57">
        <f>+SUMIF('Chi tiết NVL'!$I:$I,$A648,'Chi tiết NVL'!N:N)</f>
        <v/>
      </c>
      <c r="F648" s="57">
        <f>+SUMIF('Chi tiết NVL'!$I:$I,$A648,'Chi tiết NVL'!O:O)</f>
        <v/>
      </c>
      <c r="G648" s="57">
        <f>+SUMIF('Chi tiết NVL'!$I:$I,$A648,'Chi tiết NVL'!P:P)</f>
        <v/>
      </c>
      <c r="H648" s="57">
        <f>+SUMIF('Chi tiết NVL'!$I:$I,$A648,'Chi tiết NVL'!Q:Q)</f>
        <v/>
      </c>
      <c r="I648" s="57">
        <f>+SUMIF('Chi tiết NVL'!$I:$I,$A648,'Chi tiết NVL'!R:R)</f>
        <v/>
      </c>
      <c r="J648" s="57">
        <f>+SUMIF('Chi tiết NVL'!$I:$I,$A648,'Chi tiết NVL'!S:S)</f>
        <v/>
      </c>
    </row>
    <row r="649">
      <c r="A649" s="56" t="inlineStr">
        <is>
          <t>Ống uPVC D90x2.9 mm (hệ inch)</t>
        </is>
      </c>
      <c r="B649" s="56">
        <f>+VLOOKUP(A649,'Chi tiết NVL'!$I$10:$J$4158,2,0)</f>
        <v/>
      </c>
      <c r="C649" s="57">
        <f>+SUMIF('Chi tiết NVL'!$I:$I,$A649,'Chi tiết NVL'!L:L)</f>
        <v/>
      </c>
      <c r="D649" s="57">
        <f>+SUMIF('Chi tiết NVL'!$I:$I,$A649,'Chi tiết NVL'!M:M)</f>
        <v/>
      </c>
      <c r="E649" s="57">
        <f>+SUMIF('Chi tiết NVL'!$I:$I,$A649,'Chi tiết NVL'!N:N)</f>
        <v/>
      </c>
      <c r="F649" s="57">
        <f>+SUMIF('Chi tiết NVL'!$I:$I,$A649,'Chi tiết NVL'!O:O)</f>
        <v/>
      </c>
      <c r="G649" s="57">
        <f>+SUMIF('Chi tiết NVL'!$I:$I,$A649,'Chi tiết NVL'!P:P)</f>
        <v/>
      </c>
      <c r="H649" s="57">
        <f>+SUMIF('Chi tiết NVL'!$I:$I,$A649,'Chi tiết NVL'!Q:Q)</f>
        <v/>
      </c>
      <c r="I649" s="57">
        <f>+SUMIF('Chi tiết NVL'!$I:$I,$A649,'Chi tiết NVL'!R:R)</f>
        <v/>
      </c>
      <c r="J649" s="57">
        <f>+SUMIF('Chi tiết NVL'!$I:$I,$A649,'Chi tiết NVL'!S:S)</f>
        <v/>
      </c>
    </row>
    <row r="650">
      <c r="A650" s="56" t="inlineStr">
        <is>
          <t>Co 45 PVC-U dn140-PN6</t>
        </is>
      </c>
      <c r="B650" s="56">
        <f>+VLOOKUP(A650,'Chi tiết NVL'!$I$10:$J$4158,2,0)</f>
        <v/>
      </c>
      <c r="C650" s="57">
        <f>+SUMIF('Chi tiết NVL'!$I:$I,$A650,'Chi tiết NVL'!L:L)</f>
        <v/>
      </c>
      <c r="D650" s="57">
        <f>+SUMIF('Chi tiết NVL'!$I:$I,$A650,'Chi tiết NVL'!M:M)</f>
        <v/>
      </c>
      <c r="E650" s="57">
        <f>+SUMIF('Chi tiết NVL'!$I:$I,$A650,'Chi tiết NVL'!N:N)</f>
        <v/>
      </c>
      <c r="F650" s="57">
        <f>+SUMIF('Chi tiết NVL'!$I:$I,$A650,'Chi tiết NVL'!O:O)</f>
        <v/>
      </c>
      <c r="G650" s="57">
        <f>+SUMIF('Chi tiết NVL'!$I:$I,$A650,'Chi tiết NVL'!P:P)</f>
        <v/>
      </c>
      <c r="H650" s="57">
        <f>+SUMIF('Chi tiết NVL'!$I:$I,$A650,'Chi tiết NVL'!Q:Q)</f>
        <v/>
      </c>
      <c r="I650" s="57">
        <f>+SUMIF('Chi tiết NVL'!$I:$I,$A650,'Chi tiết NVL'!R:R)</f>
        <v/>
      </c>
      <c r="J650" s="57">
        <f>+SUMIF('Chi tiết NVL'!$I:$I,$A650,'Chi tiết NVL'!S:S)</f>
        <v/>
      </c>
    </row>
    <row r="651">
      <c r="A651" s="56" t="inlineStr">
        <is>
          <t>Tôn nhựa 5 sóng ASA 2.5mm</t>
        </is>
      </c>
      <c r="B651" s="56">
        <f>+VLOOKUP(A651,'Chi tiết NVL'!$I$10:$J$4158,2,0)</f>
        <v/>
      </c>
      <c r="C651" s="57">
        <f>+SUMIF('Chi tiết NVL'!$I:$I,$A651,'Chi tiết NVL'!L:L)</f>
        <v/>
      </c>
      <c r="D651" s="57">
        <f>+SUMIF('Chi tiết NVL'!$I:$I,$A651,'Chi tiết NVL'!M:M)</f>
        <v/>
      </c>
      <c r="E651" s="57">
        <f>+SUMIF('Chi tiết NVL'!$I:$I,$A651,'Chi tiết NVL'!N:N)</f>
        <v/>
      </c>
      <c r="F651" s="57">
        <f>+SUMIF('Chi tiết NVL'!$I:$I,$A651,'Chi tiết NVL'!O:O)</f>
        <v/>
      </c>
      <c r="G651" s="57">
        <f>+SUMIF('Chi tiết NVL'!$I:$I,$A651,'Chi tiết NVL'!P:P)</f>
        <v/>
      </c>
      <c r="H651" s="57">
        <f>+SUMIF('Chi tiết NVL'!$I:$I,$A651,'Chi tiết NVL'!Q:Q)</f>
        <v/>
      </c>
      <c r="I651" s="57">
        <f>+SUMIF('Chi tiết NVL'!$I:$I,$A651,'Chi tiết NVL'!R:R)</f>
        <v/>
      </c>
      <c r="J651" s="57">
        <f>+SUMIF('Chi tiết NVL'!$I:$I,$A651,'Chi tiết NVL'!S:S)</f>
        <v/>
      </c>
    </row>
    <row r="652">
      <c r="A652" s="56" t="inlineStr">
        <is>
          <t>Thép tấm cán nóng 16x2000x12000</t>
        </is>
      </c>
      <c r="B652" s="56">
        <f>+VLOOKUP(A652,'Chi tiết NVL'!$I$10:$J$4158,2,0)</f>
        <v/>
      </c>
      <c r="C652" s="57">
        <f>+SUMIF('Chi tiết NVL'!$I:$I,$A652,'Chi tiết NVL'!L:L)</f>
        <v/>
      </c>
      <c r="D652" s="57">
        <f>+SUMIF('Chi tiết NVL'!$I:$I,$A652,'Chi tiết NVL'!M:M)</f>
        <v/>
      </c>
      <c r="E652" s="57">
        <f>+SUMIF('Chi tiết NVL'!$I:$I,$A652,'Chi tiết NVL'!N:N)</f>
        <v/>
      </c>
      <c r="F652" s="57">
        <f>+SUMIF('Chi tiết NVL'!$I:$I,$A652,'Chi tiết NVL'!O:O)</f>
        <v/>
      </c>
      <c r="G652" s="57">
        <f>+SUMIF('Chi tiết NVL'!$I:$I,$A652,'Chi tiết NVL'!P:P)</f>
        <v/>
      </c>
      <c r="H652" s="57">
        <f>+SUMIF('Chi tiết NVL'!$I:$I,$A652,'Chi tiết NVL'!Q:Q)</f>
        <v/>
      </c>
      <c r="I652" s="57">
        <f>+SUMIF('Chi tiết NVL'!$I:$I,$A652,'Chi tiết NVL'!R:R)</f>
        <v/>
      </c>
      <c r="J652" s="57">
        <f>+SUMIF('Chi tiết NVL'!$I:$I,$A652,'Chi tiết NVL'!S:S)</f>
        <v/>
      </c>
    </row>
    <row r="653">
      <c r="A653" s="56" t="inlineStr">
        <is>
          <t>Thép lá mạ màu PN TWhite 6 0,48 x 580mm AZ150</t>
        </is>
      </c>
      <c r="B653" s="56">
        <f>+VLOOKUP(A653,'Chi tiết NVL'!$I$10:$J$4158,2,0)</f>
        <v/>
      </c>
      <c r="C653" s="57">
        <f>+SUMIF('Chi tiết NVL'!$I:$I,$A653,'Chi tiết NVL'!L:L)</f>
        <v/>
      </c>
      <c r="D653" s="57">
        <f>+SUMIF('Chi tiết NVL'!$I:$I,$A653,'Chi tiết NVL'!M:M)</f>
        <v/>
      </c>
      <c r="E653" s="57">
        <f>+SUMIF('Chi tiết NVL'!$I:$I,$A653,'Chi tiết NVL'!N:N)</f>
        <v/>
      </c>
      <c r="F653" s="57">
        <f>+SUMIF('Chi tiết NVL'!$I:$I,$A653,'Chi tiết NVL'!O:O)</f>
        <v/>
      </c>
      <c r="G653" s="57">
        <f>+SUMIF('Chi tiết NVL'!$I:$I,$A653,'Chi tiết NVL'!P:P)</f>
        <v/>
      </c>
      <c r="H653" s="57">
        <f>+SUMIF('Chi tiết NVL'!$I:$I,$A653,'Chi tiết NVL'!Q:Q)</f>
        <v/>
      </c>
      <c r="I653" s="57">
        <f>+SUMIF('Chi tiết NVL'!$I:$I,$A653,'Chi tiết NVL'!R:R)</f>
        <v/>
      </c>
      <c r="J653" s="57">
        <f>+SUMIF('Chi tiết NVL'!$I:$I,$A653,'Chi tiết NVL'!S:S)</f>
        <v/>
      </c>
    </row>
    <row r="654">
      <c r="A654" s="56" t="inlineStr">
        <is>
          <t>Thép lá mạ màu PN TWhite 6 0,48 x 630mm AZ150</t>
        </is>
      </c>
      <c r="B654" s="56">
        <f>+VLOOKUP(A654,'Chi tiết NVL'!$I$10:$J$4158,2,0)</f>
        <v/>
      </c>
      <c r="C654" s="57">
        <f>+SUMIF('Chi tiết NVL'!$I:$I,$A654,'Chi tiết NVL'!L:L)</f>
        <v/>
      </c>
      <c r="D654" s="57">
        <f>+SUMIF('Chi tiết NVL'!$I:$I,$A654,'Chi tiết NVL'!M:M)</f>
        <v/>
      </c>
      <c r="E654" s="57">
        <f>+SUMIF('Chi tiết NVL'!$I:$I,$A654,'Chi tiết NVL'!N:N)</f>
        <v/>
      </c>
      <c r="F654" s="57">
        <f>+SUMIF('Chi tiết NVL'!$I:$I,$A654,'Chi tiết NVL'!O:O)</f>
        <v/>
      </c>
      <c r="G654" s="57">
        <f>+SUMIF('Chi tiết NVL'!$I:$I,$A654,'Chi tiết NVL'!P:P)</f>
        <v/>
      </c>
      <c r="H654" s="57">
        <f>+SUMIF('Chi tiết NVL'!$I:$I,$A654,'Chi tiết NVL'!Q:Q)</f>
        <v/>
      </c>
      <c r="I654" s="57">
        <f>+SUMIF('Chi tiết NVL'!$I:$I,$A654,'Chi tiết NVL'!R:R)</f>
        <v/>
      </c>
      <c r="J654" s="57">
        <f>+SUMIF('Chi tiết NVL'!$I:$I,$A654,'Chi tiết NVL'!S:S)</f>
        <v/>
      </c>
    </row>
    <row r="655">
      <c r="A655" s="56" t="inlineStr">
        <is>
          <t>Thép lá mạ màu PN TWhite 6 0,48 x 500mm AZ150</t>
        </is>
      </c>
      <c r="B655" s="56">
        <f>+VLOOKUP(A655,'Chi tiết NVL'!$I$10:$J$4158,2,0)</f>
        <v/>
      </c>
      <c r="C655" s="57">
        <f>+SUMIF('Chi tiết NVL'!$I:$I,$A655,'Chi tiết NVL'!L:L)</f>
        <v/>
      </c>
      <c r="D655" s="57">
        <f>+SUMIF('Chi tiết NVL'!$I:$I,$A655,'Chi tiết NVL'!M:M)</f>
        <v/>
      </c>
      <c r="E655" s="57">
        <f>+SUMIF('Chi tiết NVL'!$I:$I,$A655,'Chi tiết NVL'!N:N)</f>
        <v/>
      </c>
      <c r="F655" s="57">
        <f>+SUMIF('Chi tiết NVL'!$I:$I,$A655,'Chi tiết NVL'!O:O)</f>
        <v/>
      </c>
      <c r="G655" s="57">
        <f>+SUMIF('Chi tiết NVL'!$I:$I,$A655,'Chi tiết NVL'!P:P)</f>
        <v/>
      </c>
      <c r="H655" s="57">
        <f>+SUMIF('Chi tiết NVL'!$I:$I,$A655,'Chi tiết NVL'!Q:Q)</f>
        <v/>
      </c>
      <c r="I655" s="57">
        <f>+SUMIF('Chi tiết NVL'!$I:$I,$A655,'Chi tiết NVL'!R:R)</f>
        <v/>
      </c>
      <c r="J655" s="57">
        <f>+SUMIF('Chi tiết NVL'!$I:$I,$A655,'Chi tiết NVL'!S:S)</f>
        <v/>
      </c>
    </row>
    <row r="656">
      <c r="A656" s="56" t="inlineStr">
        <is>
          <t>Thép lá mạ màu PN TWhite 6 0,48 x 600mm AZ150</t>
        </is>
      </c>
      <c r="B656" s="56">
        <f>+VLOOKUP(A656,'Chi tiết NVL'!$I$10:$J$4158,2,0)</f>
        <v/>
      </c>
      <c r="C656" s="57">
        <f>+SUMIF('Chi tiết NVL'!$I:$I,$A656,'Chi tiết NVL'!L:L)</f>
        <v/>
      </c>
      <c r="D656" s="57">
        <f>+SUMIF('Chi tiết NVL'!$I:$I,$A656,'Chi tiết NVL'!M:M)</f>
        <v/>
      </c>
      <c r="E656" s="57">
        <f>+SUMIF('Chi tiết NVL'!$I:$I,$A656,'Chi tiết NVL'!N:N)</f>
        <v/>
      </c>
      <c r="F656" s="57">
        <f>+SUMIF('Chi tiết NVL'!$I:$I,$A656,'Chi tiết NVL'!O:O)</f>
        <v/>
      </c>
      <c r="G656" s="57">
        <f>+SUMIF('Chi tiết NVL'!$I:$I,$A656,'Chi tiết NVL'!P:P)</f>
        <v/>
      </c>
      <c r="H656" s="57">
        <f>+SUMIF('Chi tiết NVL'!$I:$I,$A656,'Chi tiết NVL'!Q:Q)</f>
        <v/>
      </c>
      <c r="I656" s="57">
        <f>+SUMIF('Chi tiết NVL'!$I:$I,$A656,'Chi tiết NVL'!R:R)</f>
        <v/>
      </c>
      <c r="J656" s="57">
        <f>+SUMIF('Chi tiết NVL'!$I:$I,$A656,'Chi tiết NVL'!S:S)</f>
        <v/>
      </c>
    </row>
    <row r="657">
      <c r="A657" s="56" t="inlineStr">
        <is>
          <t>Thép lá mạ màu PN TWhite 6 0,48 x 650mm AZ150</t>
        </is>
      </c>
      <c r="B657" s="56">
        <f>+VLOOKUP(A657,'Chi tiết NVL'!$I$10:$J$4158,2,0)</f>
        <v/>
      </c>
      <c r="C657" s="57">
        <f>+SUMIF('Chi tiết NVL'!$I:$I,$A657,'Chi tiết NVL'!L:L)</f>
        <v/>
      </c>
      <c r="D657" s="57">
        <f>+SUMIF('Chi tiết NVL'!$I:$I,$A657,'Chi tiết NVL'!M:M)</f>
        <v/>
      </c>
      <c r="E657" s="57">
        <f>+SUMIF('Chi tiết NVL'!$I:$I,$A657,'Chi tiết NVL'!N:N)</f>
        <v/>
      </c>
      <c r="F657" s="57">
        <f>+SUMIF('Chi tiết NVL'!$I:$I,$A657,'Chi tiết NVL'!O:O)</f>
        <v/>
      </c>
      <c r="G657" s="57">
        <f>+SUMIF('Chi tiết NVL'!$I:$I,$A657,'Chi tiết NVL'!P:P)</f>
        <v/>
      </c>
      <c r="H657" s="57">
        <f>+SUMIF('Chi tiết NVL'!$I:$I,$A657,'Chi tiết NVL'!Q:Q)</f>
        <v/>
      </c>
      <c r="I657" s="57">
        <f>+SUMIF('Chi tiết NVL'!$I:$I,$A657,'Chi tiết NVL'!R:R)</f>
        <v/>
      </c>
      <c r="J657" s="57">
        <f>+SUMIF('Chi tiết NVL'!$I:$I,$A657,'Chi tiết NVL'!S:S)</f>
        <v/>
      </c>
    </row>
    <row r="658">
      <c r="A658" s="56" t="inlineStr">
        <is>
          <t>Thép lá mạ màu PN TWhite 6 0,48 x 515mm AZ150</t>
        </is>
      </c>
      <c r="B658" s="56">
        <f>+VLOOKUP(A658,'Chi tiết NVL'!$I$10:$J$4158,2,0)</f>
        <v/>
      </c>
      <c r="C658" s="57">
        <f>+SUMIF('Chi tiết NVL'!$I:$I,$A658,'Chi tiết NVL'!L:L)</f>
        <v/>
      </c>
      <c r="D658" s="57">
        <f>+SUMIF('Chi tiết NVL'!$I:$I,$A658,'Chi tiết NVL'!M:M)</f>
        <v/>
      </c>
      <c r="E658" s="57">
        <f>+SUMIF('Chi tiết NVL'!$I:$I,$A658,'Chi tiết NVL'!N:N)</f>
        <v/>
      </c>
      <c r="F658" s="57">
        <f>+SUMIF('Chi tiết NVL'!$I:$I,$A658,'Chi tiết NVL'!O:O)</f>
        <v/>
      </c>
      <c r="G658" s="57">
        <f>+SUMIF('Chi tiết NVL'!$I:$I,$A658,'Chi tiết NVL'!P:P)</f>
        <v/>
      </c>
      <c r="H658" s="57">
        <f>+SUMIF('Chi tiết NVL'!$I:$I,$A658,'Chi tiết NVL'!Q:Q)</f>
        <v/>
      </c>
      <c r="I658" s="57">
        <f>+SUMIF('Chi tiết NVL'!$I:$I,$A658,'Chi tiết NVL'!R:R)</f>
        <v/>
      </c>
      <c r="J658" s="57">
        <f>+SUMIF('Chi tiết NVL'!$I:$I,$A658,'Chi tiết NVL'!S:S)</f>
        <v/>
      </c>
    </row>
    <row r="659">
      <c r="A659" s="56" t="inlineStr">
        <is>
          <t>Thép lá mạ màu PN TWhite 6 0,48 x 320mm AZ150</t>
        </is>
      </c>
      <c r="B659" s="56">
        <f>+VLOOKUP(A659,'Chi tiết NVL'!$I$10:$J$4158,2,0)</f>
        <v/>
      </c>
      <c r="C659" s="57">
        <f>+SUMIF('Chi tiết NVL'!$I:$I,$A659,'Chi tiết NVL'!L:L)</f>
        <v/>
      </c>
      <c r="D659" s="57">
        <f>+SUMIF('Chi tiết NVL'!$I:$I,$A659,'Chi tiết NVL'!M:M)</f>
        <v/>
      </c>
      <c r="E659" s="57">
        <f>+SUMIF('Chi tiết NVL'!$I:$I,$A659,'Chi tiết NVL'!N:N)</f>
        <v/>
      </c>
      <c r="F659" s="57">
        <f>+SUMIF('Chi tiết NVL'!$I:$I,$A659,'Chi tiết NVL'!O:O)</f>
        <v/>
      </c>
      <c r="G659" s="57">
        <f>+SUMIF('Chi tiết NVL'!$I:$I,$A659,'Chi tiết NVL'!P:P)</f>
        <v/>
      </c>
      <c r="H659" s="57">
        <f>+SUMIF('Chi tiết NVL'!$I:$I,$A659,'Chi tiết NVL'!Q:Q)</f>
        <v/>
      </c>
      <c r="I659" s="57">
        <f>+SUMIF('Chi tiết NVL'!$I:$I,$A659,'Chi tiết NVL'!R:R)</f>
        <v/>
      </c>
      <c r="J659" s="57">
        <f>+SUMIF('Chi tiết NVL'!$I:$I,$A659,'Chi tiết NVL'!S:S)</f>
        <v/>
      </c>
    </row>
    <row r="660">
      <c r="A660" s="56" t="inlineStr">
        <is>
          <t>Thép lá mạ màu PN TWhite 6 0,48 x 310mm AZ150</t>
        </is>
      </c>
      <c r="B660" s="56">
        <f>+VLOOKUP(A660,'Chi tiết NVL'!$I$10:$J$4158,2,0)</f>
        <v/>
      </c>
      <c r="C660" s="57">
        <f>+SUMIF('Chi tiết NVL'!$I:$I,$A660,'Chi tiết NVL'!L:L)</f>
        <v/>
      </c>
      <c r="D660" s="57">
        <f>+SUMIF('Chi tiết NVL'!$I:$I,$A660,'Chi tiết NVL'!M:M)</f>
        <v/>
      </c>
      <c r="E660" s="57">
        <f>+SUMIF('Chi tiết NVL'!$I:$I,$A660,'Chi tiết NVL'!N:N)</f>
        <v/>
      </c>
      <c r="F660" s="57">
        <f>+SUMIF('Chi tiết NVL'!$I:$I,$A660,'Chi tiết NVL'!O:O)</f>
        <v/>
      </c>
      <c r="G660" s="57">
        <f>+SUMIF('Chi tiết NVL'!$I:$I,$A660,'Chi tiết NVL'!P:P)</f>
        <v/>
      </c>
      <c r="H660" s="57">
        <f>+SUMIF('Chi tiết NVL'!$I:$I,$A660,'Chi tiết NVL'!Q:Q)</f>
        <v/>
      </c>
      <c r="I660" s="57">
        <f>+SUMIF('Chi tiết NVL'!$I:$I,$A660,'Chi tiết NVL'!R:R)</f>
        <v/>
      </c>
      <c r="J660" s="57">
        <f>+SUMIF('Chi tiết NVL'!$I:$I,$A660,'Chi tiết NVL'!S:S)</f>
        <v/>
      </c>
    </row>
    <row r="661">
      <c r="A661" s="56" t="inlineStr">
        <is>
          <t>Thép lá mạ màu PN TWhite 6 0,48 x 800mm AZ150</t>
        </is>
      </c>
      <c r="B661" s="56">
        <f>+VLOOKUP(A661,'Chi tiết NVL'!$I$10:$J$4158,2,0)</f>
        <v/>
      </c>
      <c r="C661" s="57">
        <f>+SUMIF('Chi tiết NVL'!$I:$I,$A661,'Chi tiết NVL'!L:L)</f>
        <v/>
      </c>
      <c r="D661" s="57">
        <f>+SUMIF('Chi tiết NVL'!$I:$I,$A661,'Chi tiết NVL'!M:M)</f>
        <v/>
      </c>
      <c r="E661" s="57">
        <f>+SUMIF('Chi tiết NVL'!$I:$I,$A661,'Chi tiết NVL'!N:N)</f>
        <v/>
      </c>
      <c r="F661" s="57">
        <f>+SUMIF('Chi tiết NVL'!$I:$I,$A661,'Chi tiết NVL'!O:O)</f>
        <v/>
      </c>
      <c r="G661" s="57">
        <f>+SUMIF('Chi tiết NVL'!$I:$I,$A661,'Chi tiết NVL'!P:P)</f>
        <v/>
      </c>
      <c r="H661" s="57">
        <f>+SUMIF('Chi tiết NVL'!$I:$I,$A661,'Chi tiết NVL'!Q:Q)</f>
        <v/>
      </c>
      <c r="I661" s="57">
        <f>+SUMIF('Chi tiết NVL'!$I:$I,$A661,'Chi tiết NVL'!R:R)</f>
        <v/>
      </c>
      <c r="J661" s="57">
        <f>+SUMIF('Chi tiết NVL'!$I:$I,$A661,'Chi tiết NVL'!S:S)</f>
        <v/>
      </c>
    </row>
    <row r="662">
      <c r="A662" s="56" t="inlineStr">
        <is>
          <t>Thép lá mạ màu PN TWhite 6 0,48 x 260mm AZ150</t>
        </is>
      </c>
      <c r="B662" s="56">
        <f>+VLOOKUP(A662,'Chi tiết NVL'!$I$10:$J$4158,2,0)</f>
        <v/>
      </c>
      <c r="C662" s="57">
        <f>+SUMIF('Chi tiết NVL'!$I:$I,$A662,'Chi tiết NVL'!L:L)</f>
        <v/>
      </c>
      <c r="D662" s="57">
        <f>+SUMIF('Chi tiết NVL'!$I:$I,$A662,'Chi tiết NVL'!M:M)</f>
        <v/>
      </c>
      <c r="E662" s="57">
        <f>+SUMIF('Chi tiết NVL'!$I:$I,$A662,'Chi tiết NVL'!N:N)</f>
        <v/>
      </c>
      <c r="F662" s="57">
        <f>+SUMIF('Chi tiết NVL'!$I:$I,$A662,'Chi tiết NVL'!O:O)</f>
        <v/>
      </c>
      <c r="G662" s="57">
        <f>+SUMIF('Chi tiết NVL'!$I:$I,$A662,'Chi tiết NVL'!P:P)</f>
        <v/>
      </c>
      <c r="H662" s="57">
        <f>+SUMIF('Chi tiết NVL'!$I:$I,$A662,'Chi tiết NVL'!Q:Q)</f>
        <v/>
      </c>
      <c r="I662" s="57">
        <f>+SUMIF('Chi tiết NVL'!$I:$I,$A662,'Chi tiết NVL'!R:R)</f>
        <v/>
      </c>
      <c r="J662" s="57">
        <f>+SUMIF('Chi tiết NVL'!$I:$I,$A662,'Chi tiết NVL'!S:S)</f>
        <v/>
      </c>
    </row>
    <row r="663">
      <c r="A663" s="56" t="inlineStr">
        <is>
          <t>Thép lá mạ màu PN Tropi Red 1 0,50 x 600mm</t>
        </is>
      </c>
      <c r="B663" s="56">
        <f>+VLOOKUP(A663,'Chi tiết NVL'!$I$10:$J$4158,2,0)</f>
        <v/>
      </c>
      <c r="C663" s="57">
        <f>+SUMIF('Chi tiết NVL'!$I:$I,$A663,'Chi tiết NVL'!L:L)</f>
        <v/>
      </c>
      <c r="D663" s="57">
        <f>+SUMIF('Chi tiết NVL'!$I:$I,$A663,'Chi tiết NVL'!M:M)</f>
        <v/>
      </c>
      <c r="E663" s="57">
        <f>+SUMIF('Chi tiết NVL'!$I:$I,$A663,'Chi tiết NVL'!N:N)</f>
        <v/>
      </c>
      <c r="F663" s="57">
        <f>+SUMIF('Chi tiết NVL'!$I:$I,$A663,'Chi tiết NVL'!O:O)</f>
        <v/>
      </c>
      <c r="G663" s="57">
        <f>+SUMIF('Chi tiết NVL'!$I:$I,$A663,'Chi tiết NVL'!P:P)</f>
        <v/>
      </c>
      <c r="H663" s="57">
        <f>+SUMIF('Chi tiết NVL'!$I:$I,$A663,'Chi tiết NVL'!Q:Q)</f>
        <v/>
      </c>
      <c r="I663" s="57">
        <f>+SUMIF('Chi tiết NVL'!$I:$I,$A663,'Chi tiết NVL'!R:R)</f>
        <v/>
      </c>
      <c r="J663" s="57">
        <f>+SUMIF('Chi tiết NVL'!$I:$I,$A663,'Chi tiết NVL'!S:S)</f>
        <v/>
      </c>
    </row>
    <row r="664">
      <c r="A664" s="56" t="inlineStr">
        <is>
          <t>Thép lá mạ màu PN Tropi Red 1 0,50 x 300mm</t>
        </is>
      </c>
      <c r="B664" s="56">
        <f>+VLOOKUP(A664,'Chi tiết NVL'!$I$10:$J$4158,2,0)</f>
        <v/>
      </c>
      <c r="C664" s="57">
        <f>+SUMIF('Chi tiết NVL'!$I:$I,$A664,'Chi tiết NVL'!L:L)</f>
        <v/>
      </c>
      <c r="D664" s="57">
        <f>+SUMIF('Chi tiết NVL'!$I:$I,$A664,'Chi tiết NVL'!M:M)</f>
        <v/>
      </c>
      <c r="E664" s="57">
        <f>+SUMIF('Chi tiết NVL'!$I:$I,$A664,'Chi tiết NVL'!N:N)</f>
        <v/>
      </c>
      <c r="F664" s="57">
        <f>+SUMIF('Chi tiết NVL'!$I:$I,$A664,'Chi tiết NVL'!O:O)</f>
        <v/>
      </c>
      <c r="G664" s="57">
        <f>+SUMIF('Chi tiết NVL'!$I:$I,$A664,'Chi tiết NVL'!P:P)</f>
        <v/>
      </c>
      <c r="H664" s="57">
        <f>+SUMIF('Chi tiết NVL'!$I:$I,$A664,'Chi tiết NVL'!Q:Q)</f>
        <v/>
      </c>
      <c r="I664" s="57">
        <f>+SUMIF('Chi tiết NVL'!$I:$I,$A664,'Chi tiết NVL'!R:R)</f>
        <v/>
      </c>
      <c r="J664" s="57">
        <f>+SUMIF('Chi tiết NVL'!$I:$I,$A664,'Chi tiết NVL'!S:S)</f>
        <v/>
      </c>
    </row>
    <row r="665">
      <c r="A665" s="56" t="inlineStr">
        <is>
          <t>Thép lá mạ màu PN Tropi Red 1 0,50 x 800mm</t>
        </is>
      </c>
      <c r="B665" s="56">
        <f>+VLOOKUP(A665,'Chi tiết NVL'!$I$10:$J$4158,2,0)</f>
        <v/>
      </c>
      <c r="C665" s="57">
        <f>+SUMIF('Chi tiết NVL'!$I:$I,$A665,'Chi tiết NVL'!L:L)</f>
        <v/>
      </c>
      <c r="D665" s="57">
        <f>+SUMIF('Chi tiết NVL'!$I:$I,$A665,'Chi tiết NVL'!M:M)</f>
        <v/>
      </c>
      <c r="E665" s="57">
        <f>+SUMIF('Chi tiết NVL'!$I:$I,$A665,'Chi tiết NVL'!N:N)</f>
        <v/>
      </c>
      <c r="F665" s="57">
        <f>+SUMIF('Chi tiết NVL'!$I:$I,$A665,'Chi tiết NVL'!O:O)</f>
        <v/>
      </c>
      <c r="G665" s="57">
        <f>+SUMIF('Chi tiết NVL'!$I:$I,$A665,'Chi tiết NVL'!P:P)</f>
        <v/>
      </c>
      <c r="H665" s="57">
        <f>+SUMIF('Chi tiết NVL'!$I:$I,$A665,'Chi tiết NVL'!Q:Q)</f>
        <v/>
      </c>
      <c r="I665" s="57">
        <f>+SUMIF('Chi tiết NVL'!$I:$I,$A665,'Chi tiết NVL'!R:R)</f>
        <v/>
      </c>
      <c r="J665" s="57">
        <f>+SUMIF('Chi tiết NVL'!$I:$I,$A665,'Chi tiết NVL'!S:S)</f>
        <v/>
      </c>
    </row>
    <row r="666">
      <c r="A666" s="56" t="inlineStr">
        <is>
          <t>Thép lá mạ màu PN Tropi Red 1 0,50 x 310mm</t>
        </is>
      </c>
      <c r="B666" s="56">
        <f>+VLOOKUP(A666,'Chi tiết NVL'!$I$10:$J$4158,2,0)</f>
        <v/>
      </c>
      <c r="C666" s="57">
        <f>+SUMIF('Chi tiết NVL'!$I:$I,$A666,'Chi tiết NVL'!L:L)</f>
        <v/>
      </c>
      <c r="D666" s="57">
        <f>+SUMIF('Chi tiết NVL'!$I:$I,$A666,'Chi tiết NVL'!M:M)</f>
        <v/>
      </c>
      <c r="E666" s="57">
        <f>+SUMIF('Chi tiết NVL'!$I:$I,$A666,'Chi tiết NVL'!N:N)</f>
        <v/>
      </c>
      <c r="F666" s="57">
        <f>+SUMIF('Chi tiết NVL'!$I:$I,$A666,'Chi tiết NVL'!O:O)</f>
        <v/>
      </c>
      <c r="G666" s="57">
        <f>+SUMIF('Chi tiết NVL'!$I:$I,$A666,'Chi tiết NVL'!P:P)</f>
        <v/>
      </c>
      <c r="H666" s="57">
        <f>+SUMIF('Chi tiết NVL'!$I:$I,$A666,'Chi tiết NVL'!Q:Q)</f>
        <v/>
      </c>
      <c r="I666" s="57">
        <f>+SUMIF('Chi tiết NVL'!$I:$I,$A666,'Chi tiết NVL'!R:R)</f>
        <v/>
      </c>
      <c r="J666" s="57">
        <f>+SUMIF('Chi tiết NVL'!$I:$I,$A666,'Chi tiết NVL'!S:S)</f>
        <v/>
      </c>
    </row>
    <row r="667">
      <c r="A667" s="56" t="inlineStr">
        <is>
          <t>Thép lá mạ màu PN Blue 3 0,50 x 1000mm AZ150</t>
        </is>
      </c>
      <c r="B667" s="56">
        <f>+VLOOKUP(A667,'Chi tiết NVL'!$I$10:$J$4158,2,0)</f>
        <v/>
      </c>
      <c r="C667" s="57">
        <f>+SUMIF('Chi tiết NVL'!$I:$I,$A667,'Chi tiết NVL'!L:L)</f>
        <v/>
      </c>
      <c r="D667" s="57">
        <f>+SUMIF('Chi tiết NVL'!$I:$I,$A667,'Chi tiết NVL'!M:M)</f>
        <v/>
      </c>
      <c r="E667" s="57">
        <f>+SUMIF('Chi tiết NVL'!$I:$I,$A667,'Chi tiết NVL'!N:N)</f>
        <v/>
      </c>
      <c r="F667" s="57">
        <f>+SUMIF('Chi tiết NVL'!$I:$I,$A667,'Chi tiết NVL'!O:O)</f>
        <v/>
      </c>
      <c r="G667" s="57">
        <f>+SUMIF('Chi tiết NVL'!$I:$I,$A667,'Chi tiết NVL'!P:P)</f>
        <v/>
      </c>
      <c r="H667" s="57">
        <f>+SUMIF('Chi tiết NVL'!$I:$I,$A667,'Chi tiết NVL'!Q:Q)</f>
        <v/>
      </c>
      <c r="I667" s="57">
        <f>+SUMIF('Chi tiết NVL'!$I:$I,$A667,'Chi tiết NVL'!R:R)</f>
        <v/>
      </c>
      <c r="J667" s="57">
        <f>+SUMIF('Chi tiết NVL'!$I:$I,$A667,'Chi tiết NVL'!S:S)</f>
        <v/>
      </c>
    </row>
    <row r="668">
      <c r="A668" s="56" t="inlineStr">
        <is>
          <t>Thép lá mạ màu PN Blue 3 0,50 x 400mm AZ150</t>
        </is>
      </c>
      <c r="B668" s="56">
        <f>+VLOOKUP(A668,'Chi tiết NVL'!$I$10:$J$4158,2,0)</f>
        <v/>
      </c>
      <c r="C668" s="57">
        <f>+SUMIF('Chi tiết NVL'!$I:$I,$A668,'Chi tiết NVL'!L:L)</f>
        <v/>
      </c>
      <c r="D668" s="57">
        <f>+SUMIF('Chi tiết NVL'!$I:$I,$A668,'Chi tiết NVL'!M:M)</f>
        <v/>
      </c>
      <c r="E668" s="57">
        <f>+SUMIF('Chi tiết NVL'!$I:$I,$A668,'Chi tiết NVL'!N:N)</f>
        <v/>
      </c>
      <c r="F668" s="57">
        <f>+SUMIF('Chi tiết NVL'!$I:$I,$A668,'Chi tiết NVL'!O:O)</f>
        <v/>
      </c>
      <c r="G668" s="57">
        <f>+SUMIF('Chi tiết NVL'!$I:$I,$A668,'Chi tiết NVL'!P:P)</f>
        <v/>
      </c>
      <c r="H668" s="57">
        <f>+SUMIF('Chi tiết NVL'!$I:$I,$A668,'Chi tiết NVL'!Q:Q)</f>
        <v/>
      </c>
      <c r="I668" s="57">
        <f>+SUMIF('Chi tiết NVL'!$I:$I,$A668,'Chi tiết NVL'!R:R)</f>
        <v/>
      </c>
      <c r="J668" s="57">
        <f>+SUMIF('Chi tiết NVL'!$I:$I,$A668,'Chi tiết NVL'!S:S)</f>
        <v/>
      </c>
    </row>
    <row r="669">
      <c r="A669" s="56" t="inlineStr">
        <is>
          <t>Thép lá mạ màu PN Blue 3 0,50 x 300mm AZ150</t>
        </is>
      </c>
      <c r="B669" s="56">
        <f>+VLOOKUP(A669,'Chi tiết NVL'!$I$10:$J$4158,2,0)</f>
        <v/>
      </c>
      <c r="C669" s="57">
        <f>+SUMIF('Chi tiết NVL'!$I:$I,$A669,'Chi tiết NVL'!L:L)</f>
        <v/>
      </c>
      <c r="D669" s="57">
        <f>+SUMIF('Chi tiết NVL'!$I:$I,$A669,'Chi tiết NVL'!M:M)</f>
        <v/>
      </c>
      <c r="E669" s="57">
        <f>+SUMIF('Chi tiết NVL'!$I:$I,$A669,'Chi tiết NVL'!N:N)</f>
        <v/>
      </c>
      <c r="F669" s="57">
        <f>+SUMIF('Chi tiết NVL'!$I:$I,$A669,'Chi tiết NVL'!O:O)</f>
        <v/>
      </c>
      <c r="G669" s="57">
        <f>+SUMIF('Chi tiết NVL'!$I:$I,$A669,'Chi tiết NVL'!P:P)</f>
        <v/>
      </c>
      <c r="H669" s="57">
        <f>+SUMIF('Chi tiết NVL'!$I:$I,$A669,'Chi tiết NVL'!Q:Q)</f>
        <v/>
      </c>
      <c r="I669" s="57">
        <f>+SUMIF('Chi tiết NVL'!$I:$I,$A669,'Chi tiết NVL'!R:R)</f>
        <v/>
      </c>
      <c r="J669" s="57">
        <f>+SUMIF('Chi tiết NVL'!$I:$I,$A669,'Chi tiết NVL'!S:S)</f>
        <v/>
      </c>
    </row>
    <row r="670">
      <c r="A670" s="56" t="inlineStr">
        <is>
          <t>Thép lá mạ màu PN Blue 3 0,50 x 215mm AZ150</t>
        </is>
      </c>
      <c r="B670" s="56">
        <f>+VLOOKUP(A670,'Chi tiết NVL'!$I$10:$J$4158,2,0)</f>
        <v/>
      </c>
      <c r="C670" s="57">
        <f>+SUMIF('Chi tiết NVL'!$I:$I,$A670,'Chi tiết NVL'!L:L)</f>
        <v/>
      </c>
      <c r="D670" s="57">
        <f>+SUMIF('Chi tiết NVL'!$I:$I,$A670,'Chi tiết NVL'!M:M)</f>
        <v/>
      </c>
      <c r="E670" s="57">
        <f>+SUMIF('Chi tiết NVL'!$I:$I,$A670,'Chi tiết NVL'!N:N)</f>
        <v/>
      </c>
      <c r="F670" s="57">
        <f>+SUMIF('Chi tiết NVL'!$I:$I,$A670,'Chi tiết NVL'!O:O)</f>
        <v/>
      </c>
      <c r="G670" s="57">
        <f>+SUMIF('Chi tiết NVL'!$I:$I,$A670,'Chi tiết NVL'!P:P)</f>
        <v/>
      </c>
      <c r="H670" s="57">
        <f>+SUMIF('Chi tiết NVL'!$I:$I,$A670,'Chi tiết NVL'!Q:Q)</f>
        <v/>
      </c>
      <c r="I670" s="57">
        <f>+SUMIF('Chi tiết NVL'!$I:$I,$A670,'Chi tiết NVL'!R:R)</f>
        <v/>
      </c>
      <c r="J670" s="57">
        <f>+SUMIF('Chi tiết NVL'!$I:$I,$A670,'Chi tiết NVL'!S:S)</f>
        <v/>
      </c>
    </row>
    <row r="671">
      <c r="A671" s="56" t="inlineStr">
        <is>
          <t>Thép lá mạ màu PN Red 1 0,60 x Phễu ø90</t>
        </is>
      </c>
      <c r="B671" s="56">
        <f>+VLOOKUP(A671,'Chi tiết NVL'!$I$10:$J$4158,2,0)</f>
        <v/>
      </c>
      <c r="C671" s="57">
        <f>+SUMIF('Chi tiết NVL'!$I:$I,$A671,'Chi tiết NVL'!L:L)</f>
        <v/>
      </c>
      <c r="D671" s="57">
        <f>+SUMIF('Chi tiết NVL'!$I:$I,$A671,'Chi tiết NVL'!M:M)</f>
        <v/>
      </c>
      <c r="E671" s="57">
        <f>+SUMIF('Chi tiết NVL'!$I:$I,$A671,'Chi tiết NVL'!N:N)</f>
        <v/>
      </c>
      <c r="F671" s="57">
        <f>+SUMIF('Chi tiết NVL'!$I:$I,$A671,'Chi tiết NVL'!O:O)</f>
        <v/>
      </c>
      <c r="G671" s="57">
        <f>+SUMIF('Chi tiết NVL'!$I:$I,$A671,'Chi tiết NVL'!P:P)</f>
        <v/>
      </c>
      <c r="H671" s="57">
        <f>+SUMIF('Chi tiết NVL'!$I:$I,$A671,'Chi tiết NVL'!Q:Q)</f>
        <v/>
      </c>
      <c r="I671" s="57">
        <f>+SUMIF('Chi tiết NVL'!$I:$I,$A671,'Chi tiết NVL'!R:R)</f>
        <v/>
      </c>
      <c r="J671" s="57">
        <f>+SUMIF('Chi tiết NVL'!$I:$I,$A671,'Chi tiết NVL'!S:S)</f>
        <v/>
      </c>
    </row>
    <row r="672">
      <c r="A672" s="56" t="inlineStr">
        <is>
          <t>Thép lá mạ màu PN Red 1 0,60 x Phễu ø140</t>
        </is>
      </c>
      <c r="B672" s="56">
        <f>+VLOOKUP(A672,'Chi tiết NVL'!$I$10:$J$4158,2,0)</f>
        <v/>
      </c>
      <c r="C672" s="57">
        <f>+SUMIF('Chi tiết NVL'!$I:$I,$A672,'Chi tiết NVL'!L:L)</f>
        <v/>
      </c>
      <c r="D672" s="57">
        <f>+SUMIF('Chi tiết NVL'!$I:$I,$A672,'Chi tiết NVL'!M:M)</f>
        <v/>
      </c>
      <c r="E672" s="57">
        <f>+SUMIF('Chi tiết NVL'!$I:$I,$A672,'Chi tiết NVL'!N:N)</f>
        <v/>
      </c>
      <c r="F672" s="57">
        <f>+SUMIF('Chi tiết NVL'!$I:$I,$A672,'Chi tiết NVL'!O:O)</f>
        <v/>
      </c>
      <c r="G672" s="57">
        <f>+SUMIF('Chi tiết NVL'!$I:$I,$A672,'Chi tiết NVL'!P:P)</f>
        <v/>
      </c>
      <c r="H672" s="57">
        <f>+SUMIF('Chi tiết NVL'!$I:$I,$A672,'Chi tiết NVL'!Q:Q)</f>
        <v/>
      </c>
      <c r="I672" s="57">
        <f>+SUMIF('Chi tiết NVL'!$I:$I,$A672,'Chi tiết NVL'!R:R)</f>
        <v/>
      </c>
      <c r="J672" s="57">
        <f>+SUMIF('Chi tiết NVL'!$I:$I,$A672,'Chi tiết NVL'!S:S)</f>
        <v/>
      </c>
    </row>
    <row r="673">
      <c r="A673" s="56" t="inlineStr">
        <is>
          <t>Thép phi gân 20</t>
        </is>
      </c>
      <c r="B673" s="56">
        <f>+VLOOKUP(A673,'Chi tiết NVL'!$I$10:$J$4158,2,0)</f>
        <v/>
      </c>
      <c r="C673" s="57">
        <f>+SUMIF('Chi tiết NVL'!$I:$I,$A673,'Chi tiết NVL'!L:L)</f>
        <v/>
      </c>
      <c r="D673" s="57">
        <f>+SUMIF('Chi tiết NVL'!$I:$I,$A673,'Chi tiết NVL'!M:M)</f>
        <v/>
      </c>
      <c r="E673" s="57">
        <f>+SUMIF('Chi tiết NVL'!$I:$I,$A673,'Chi tiết NVL'!N:N)</f>
        <v/>
      </c>
      <c r="F673" s="57">
        <f>+SUMIF('Chi tiết NVL'!$I:$I,$A673,'Chi tiết NVL'!O:O)</f>
        <v/>
      </c>
      <c r="G673" s="57">
        <f>+SUMIF('Chi tiết NVL'!$I:$I,$A673,'Chi tiết NVL'!P:P)</f>
        <v/>
      </c>
      <c r="H673" s="57">
        <f>+SUMIF('Chi tiết NVL'!$I:$I,$A673,'Chi tiết NVL'!Q:Q)</f>
        <v/>
      </c>
      <c r="I673" s="57">
        <f>+SUMIF('Chi tiết NVL'!$I:$I,$A673,'Chi tiết NVL'!R:R)</f>
        <v/>
      </c>
      <c r="J673" s="57">
        <f>+SUMIF('Chi tiết NVL'!$I:$I,$A673,'Chi tiết NVL'!S:S)</f>
        <v/>
      </c>
    </row>
    <row r="674">
      <c r="A674" s="56" t="inlineStr">
        <is>
          <t>Thép hình I120</t>
        </is>
      </c>
      <c r="B674" s="56">
        <f>+VLOOKUP(A674,'Chi tiết NVL'!$I$10:$J$4158,2,0)</f>
        <v/>
      </c>
      <c r="C674" s="57">
        <f>+SUMIF('Chi tiết NVL'!$I:$I,$A674,'Chi tiết NVL'!L:L)</f>
        <v/>
      </c>
      <c r="D674" s="57">
        <f>+SUMIF('Chi tiết NVL'!$I:$I,$A674,'Chi tiết NVL'!M:M)</f>
        <v/>
      </c>
      <c r="E674" s="57">
        <f>+SUMIF('Chi tiết NVL'!$I:$I,$A674,'Chi tiết NVL'!N:N)</f>
        <v/>
      </c>
      <c r="F674" s="57">
        <f>+SUMIF('Chi tiết NVL'!$I:$I,$A674,'Chi tiết NVL'!O:O)</f>
        <v/>
      </c>
      <c r="G674" s="57">
        <f>+SUMIF('Chi tiết NVL'!$I:$I,$A674,'Chi tiết NVL'!P:P)</f>
        <v/>
      </c>
      <c r="H674" s="57">
        <f>+SUMIF('Chi tiết NVL'!$I:$I,$A674,'Chi tiết NVL'!Q:Q)</f>
        <v/>
      </c>
      <c r="I674" s="57">
        <f>+SUMIF('Chi tiết NVL'!$I:$I,$A674,'Chi tiết NVL'!R:R)</f>
        <v/>
      </c>
      <c r="J674" s="57">
        <f>+SUMIF('Chi tiết NVL'!$I:$I,$A674,'Chi tiết NVL'!S:S)</f>
        <v/>
      </c>
    </row>
    <row r="675">
      <c r="A675" s="56" t="inlineStr">
        <is>
          <t>Thép hộp 100x150x2.5x6m</t>
        </is>
      </c>
      <c r="B675" s="56">
        <f>+VLOOKUP(A675,'Chi tiết NVL'!$I$10:$J$4158,2,0)</f>
        <v/>
      </c>
      <c r="C675" s="57">
        <f>+SUMIF('Chi tiết NVL'!$I:$I,$A675,'Chi tiết NVL'!L:L)</f>
        <v/>
      </c>
      <c r="D675" s="57">
        <f>+SUMIF('Chi tiết NVL'!$I:$I,$A675,'Chi tiết NVL'!M:M)</f>
        <v/>
      </c>
      <c r="E675" s="57">
        <f>+SUMIF('Chi tiết NVL'!$I:$I,$A675,'Chi tiết NVL'!N:N)</f>
        <v/>
      </c>
      <c r="F675" s="57">
        <f>+SUMIF('Chi tiết NVL'!$I:$I,$A675,'Chi tiết NVL'!O:O)</f>
        <v/>
      </c>
      <c r="G675" s="57">
        <f>+SUMIF('Chi tiết NVL'!$I:$I,$A675,'Chi tiết NVL'!P:P)</f>
        <v/>
      </c>
      <c r="H675" s="57">
        <f>+SUMIF('Chi tiết NVL'!$I:$I,$A675,'Chi tiết NVL'!Q:Q)</f>
        <v/>
      </c>
      <c r="I675" s="57">
        <f>+SUMIF('Chi tiết NVL'!$I:$I,$A675,'Chi tiết NVL'!R:R)</f>
        <v/>
      </c>
      <c r="J675" s="57">
        <f>+SUMIF('Chi tiết NVL'!$I:$I,$A675,'Chi tiết NVL'!S:S)</f>
        <v/>
      </c>
    </row>
    <row r="676">
      <c r="A676" s="56" t="inlineStr">
        <is>
          <t>Thép hộp 100x150x3x6m</t>
        </is>
      </c>
      <c r="B676" s="56">
        <f>+VLOOKUP(A676,'Chi tiết NVL'!$I$10:$J$4158,2,0)</f>
        <v/>
      </c>
      <c r="C676" s="57">
        <f>+SUMIF('Chi tiết NVL'!$I:$I,$A676,'Chi tiết NVL'!L:L)</f>
        <v/>
      </c>
      <c r="D676" s="57">
        <f>+SUMIF('Chi tiết NVL'!$I:$I,$A676,'Chi tiết NVL'!M:M)</f>
        <v/>
      </c>
      <c r="E676" s="57">
        <f>+SUMIF('Chi tiết NVL'!$I:$I,$A676,'Chi tiết NVL'!N:N)</f>
        <v/>
      </c>
      <c r="F676" s="57">
        <f>+SUMIF('Chi tiết NVL'!$I:$I,$A676,'Chi tiết NVL'!O:O)</f>
        <v/>
      </c>
      <c r="G676" s="57">
        <f>+SUMIF('Chi tiết NVL'!$I:$I,$A676,'Chi tiết NVL'!P:P)</f>
        <v/>
      </c>
      <c r="H676" s="57">
        <f>+SUMIF('Chi tiết NVL'!$I:$I,$A676,'Chi tiết NVL'!Q:Q)</f>
        <v/>
      </c>
      <c r="I676" s="57">
        <f>+SUMIF('Chi tiết NVL'!$I:$I,$A676,'Chi tiết NVL'!R:R)</f>
        <v/>
      </c>
      <c r="J676" s="57">
        <f>+SUMIF('Chi tiết NVL'!$I:$I,$A676,'Chi tiết NVL'!S:S)</f>
        <v/>
      </c>
    </row>
    <row r="677">
      <c r="A677" s="56" t="inlineStr">
        <is>
          <t>Thép góc V100</t>
        </is>
      </c>
      <c r="B677" s="56">
        <f>+VLOOKUP(A677,'Chi tiết NVL'!$I$10:$J$4158,2,0)</f>
        <v/>
      </c>
      <c r="C677" s="57">
        <f>+SUMIF('Chi tiết NVL'!$I:$I,$A677,'Chi tiết NVL'!L:L)</f>
        <v/>
      </c>
      <c r="D677" s="57">
        <f>+SUMIF('Chi tiết NVL'!$I:$I,$A677,'Chi tiết NVL'!M:M)</f>
        <v/>
      </c>
      <c r="E677" s="57">
        <f>+SUMIF('Chi tiết NVL'!$I:$I,$A677,'Chi tiết NVL'!N:N)</f>
        <v/>
      </c>
      <c r="F677" s="57">
        <f>+SUMIF('Chi tiết NVL'!$I:$I,$A677,'Chi tiết NVL'!O:O)</f>
        <v/>
      </c>
      <c r="G677" s="57">
        <f>+SUMIF('Chi tiết NVL'!$I:$I,$A677,'Chi tiết NVL'!P:P)</f>
        <v/>
      </c>
      <c r="H677" s="57">
        <f>+SUMIF('Chi tiết NVL'!$I:$I,$A677,'Chi tiết NVL'!Q:Q)</f>
        <v/>
      </c>
      <c r="I677" s="57">
        <f>+SUMIF('Chi tiết NVL'!$I:$I,$A677,'Chi tiết NVL'!R:R)</f>
        <v/>
      </c>
      <c r="J677" s="57">
        <f>+SUMIF('Chi tiết NVL'!$I:$I,$A677,'Chi tiết NVL'!S:S)</f>
        <v/>
      </c>
    </row>
    <row r="678">
      <c r="A678" s="56" t="inlineStr">
        <is>
          <t>Thép góc V80</t>
        </is>
      </c>
      <c r="B678" s="56">
        <f>+VLOOKUP(A678,'Chi tiết NVL'!$I$10:$J$4158,2,0)</f>
        <v/>
      </c>
      <c r="C678" s="57">
        <f>+SUMIF('Chi tiết NVL'!$I:$I,$A678,'Chi tiết NVL'!L:L)</f>
        <v/>
      </c>
      <c r="D678" s="57">
        <f>+SUMIF('Chi tiết NVL'!$I:$I,$A678,'Chi tiết NVL'!M:M)</f>
        <v/>
      </c>
      <c r="E678" s="57">
        <f>+SUMIF('Chi tiết NVL'!$I:$I,$A678,'Chi tiết NVL'!N:N)</f>
        <v/>
      </c>
      <c r="F678" s="57">
        <f>+SUMIF('Chi tiết NVL'!$I:$I,$A678,'Chi tiết NVL'!O:O)</f>
        <v/>
      </c>
      <c r="G678" s="57">
        <f>+SUMIF('Chi tiết NVL'!$I:$I,$A678,'Chi tiết NVL'!P:P)</f>
        <v/>
      </c>
      <c r="H678" s="57">
        <f>+SUMIF('Chi tiết NVL'!$I:$I,$A678,'Chi tiết NVL'!Q:Q)</f>
        <v/>
      </c>
      <c r="I678" s="57">
        <f>+SUMIF('Chi tiết NVL'!$I:$I,$A678,'Chi tiết NVL'!R:R)</f>
        <v/>
      </c>
      <c r="J678" s="57">
        <f>+SUMIF('Chi tiết NVL'!$I:$I,$A678,'Chi tiết NVL'!S:S)</f>
        <v/>
      </c>
    </row>
    <row r="679">
      <c r="A679" s="56" t="inlineStr">
        <is>
          <t>Thép ống đen 114</t>
        </is>
      </c>
      <c r="B679" s="56">
        <f>+VLOOKUP(A679,'Chi tiết NVL'!$I$10:$J$4158,2,0)</f>
        <v/>
      </c>
      <c r="C679" s="57">
        <f>+SUMIF('Chi tiết NVL'!$I:$I,$A679,'Chi tiết NVL'!L:L)</f>
        <v/>
      </c>
      <c r="D679" s="57">
        <f>+SUMIF('Chi tiết NVL'!$I:$I,$A679,'Chi tiết NVL'!M:M)</f>
        <v/>
      </c>
      <c r="E679" s="57">
        <f>+SUMIF('Chi tiết NVL'!$I:$I,$A679,'Chi tiết NVL'!N:N)</f>
        <v/>
      </c>
      <c r="F679" s="57">
        <f>+SUMIF('Chi tiết NVL'!$I:$I,$A679,'Chi tiết NVL'!O:O)</f>
        <v/>
      </c>
      <c r="G679" s="57">
        <f>+SUMIF('Chi tiết NVL'!$I:$I,$A679,'Chi tiết NVL'!P:P)</f>
        <v/>
      </c>
      <c r="H679" s="57">
        <f>+SUMIF('Chi tiết NVL'!$I:$I,$A679,'Chi tiết NVL'!Q:Q)</f>
        <v/>
      </c>
      <c r="I679" s="57">
        <f>+SUMIF('Chi tiết NVL'!$I:$I,$A679,'Chi tiết NVL'!R:R)</f>
        <v/>
      </c>
      <c r="J679" s="57">
        <f>+SUMIF('Chi tiết NVL'!$I:$I,$A679,'Chi tiết NVL'!S:S)</f>
        <v/>
      </c>
    </row>
    <row r="680">
      <c r="A680" s="56" t="inlineStr">
        <is>
          <t>Thép ống đen 219</t>
        </is>
      </c>
      <c r="B680" s="56">
        <f>+VLOOKUP(A680,'Chi tiết NVL'!$I$10:$J$4158,2,0)</f>
        <v/>
      </c>
      <c r="C680" s="57">
        <f>+SUMIF('Chi tiết NVL'!$I:$I,$A680,'Chi tiết NVL'!L:L)</f>
        <v/>
      </c>
      <c r="D680" s="57">
        <f>+SUMIF('Chi tiết NVL'!$I:$I,$A680,'Chi tiết NVL'!M:M)</f>
        <v/>
      </c>
      <c r="E680" s="57">
        <f>+SUMIF('Chi tiết NVL'!$I:$I,$A680,'Chi tiết NVL'!N:N)</f>
        <v/>
      </c>
      <c r="F680" s="57">
        <f>+SUMIF('Chi tiết NVL'!$I:$I,$A680,'Chi tiết NVL'!O:O)</f>
        <v/>
      </c>
      <c r="G680" s="57">
        <f>+SUMIF('Chi tiết NVL'!$I:$I,$A680,'Chi tiết NVL'!P:P)</f>
        <v/>
      </c>
      <c r="H680" s="57">
        <f>+SUMIF('Chi tiết NVL'!$I:$I,$A680,'Chi tiết NVL'!Q:Q)</f>
        <v/>
      </c>
      <c r="I680" s="57">
        <f>+SUMIF('Chi tiết NVL'!$I:$I,$A680,'Chi tiết NVL'!R:R)</f>
        <v/>
      </c>
      <c r="J680" s="57">
        <f>+SUMIF('Chi tiết NVL'!$I:$I,$A680,'Chi tiết NVL'!S:S)</f>
        <v/>
      </c>
    </row>
    <row r="681">
      <c r="A681" s="56" t="inlineStr">
        <is>
          <t>Thép tấm 50ly</t>
        </is>
      </c>
      <c r="B681" s="56">
        <f>+VLOOKUP(A681,'Chi tiết NVL'!$I$10:$J$4158,2,0)</f>
        <v/>
      </c>
      <c r="C681" s="57">
        <f>+SUMIF('Chi tiết NVL'!$I:$I,$A681,'Chi tiết NVL'!L:L)</f>
        <v/>
      </c>
      <c r="D681" s="57">
        <f>+SUMIF('Chi tiết NVL'!$I:$I,$A681,'Chi tiết NVL'!M:M)</f>
        <v/>
      </c>
      <c r="E681" s="57">
        <f>+SUMIF('Chi tiết NVL'!$I:$I,$A681,'Chi tiết NVL'!N:N)</f>
        <v/>
      </c>
      <c r="F681" s="57">
        <f>+SUMIF('Chi tiết NVL'!$I:$I,$A681,'Chi tiết NVL'!O:O)</f>
        <v/>
      </c>
      <c r="G681" s="57">
        <f>+SUMIF('Chi tiết NVL'!$I:$I,$A681,'Chi tiết NVL'!P:P)</f>
        <v/>
      </c>
      <c r="H681" s="57">
        <f>+SUMIF('Chi tiết NVL'!$I:$I,$A681,'Chi tiết NVL'!Q:Q)</f>
        <v/>
      </c>
      <c r="I681" s="57">
        <f>+SUMIF('Chi tiết NVL'!$I:$I,$A681,'Chi tiết NVL'!R:R)</f>
        <v/>
      </c>
      <c r="J681" s="57">
        <f>+SUMIF('Chi tiết NVL'!$I:$I,$A681,'Chi tiết NVL'!S:S)</f>
        <v/>
      </c>
    </row>
    <row r="682" ht="31.5" customHeight="1">
      <c r="A682" s="56" t="inlineStr">
        <is>
          <t>Sơn lót Alkyd RAD Light Grey Primer PL02-200B-LIGHTGREY/20L</t>
        </is>
      </c>
      <c r="B682" s="56">
        <f>+VLOOKUP(A682,'Chi tiết NVL'!$I$10:$J$4158,2,0)</f>
        <v/>
      </c>
      <c r="C682" s="57">
        <f>+SUMIF('Chi tiết NVL'!$I:$I,$A682,'Chi tiết NVL'!L:L)</f>
        <v/>
      </c>
      <c r="D682" s="57">
        <f>+SUMIF('Chi tiết NVL'!$I:$I,$A682,'Chi tiết NVL'!M:M)</f>
        <v/>
      </c>
      <c r="E682" s="57">
        <f>+SUMIF('Chi tiết NVL'!$I:$I,$A682,'Chi tiết NVL'!N:N)</f>
        <v/>
      </c>
      <c r="F682" s="57">
        <f>+SUMIF('Chi tiết NVL'!$I:$I,$A682,'Chi tiết NVL'!O:O)</f>
        <v/>
      </c>
      <c r="G682" s="57">
        <f>+SUMIF('Chi tiết NVL'!$I:$I,$A682,'Chi tiết NVL'!P:P)</f>
        <v/>
      </c>
      <c r="H682" s="57">
        <f>+SUMIF('Chi tiết NVL'!$I:$I,$A682,'Chi tiết NVL'!Q:Q)</f>
        <v/>
      </c>
      <c r="I682" s="57">
        <f>+SUMIF('Chi tiết NVL'!$I:$I,$A682,'Chi tiết NVL'!R:R)</f>
        <v/>
      </c>
      <c r="J682" s="57">
        <f>+SUMIF('Chi tiết NVL'!$I:$I,$A682,'Chi tiết NVL'!S:S)</f>
        <v/>
      </c>
    </row>
    <row r="683">
      <c r="A683" s="56" t="inlineStr">
        <is>
          <t>Sơn phủ Alkyd RAD Hi-Gloss PP02-RAL7037/20L</t>
        </is>
      </c>
      <c r="B683" s="56">
        <f>+VLOOKUP(A683,'Chi tiết NVL'!$I$10:$J$4158,2,0)</f>
        <v/>
      </c>
      <c r="C683" s="57">
        <f>+SUMIF('Chi tiết NVL'!$I:$I,$A683,'Chi tiết NVL'!L:L)</f>
        <v/>
      </c>
      <c r="D683" s="57">
        <f>+SUMIF('Chi tiết NVL'!$I:$I,$A683,'Chi tiết NVL'!M:M)</f>
        <v/>
      </c>
      <c r="E683" s="57">
        <f>+SUMIF('Chi tiết NVL'!$I:$I,$A683,'Chi tiết NVL'!N:N)</f>
        <v/>
      </c>
      <c r="F683" s="57">
        <f>+SUMIF('Chi tiết NVL'!$I:$I,$A683,'Chi tiết NVL'!O:O)</f>
        <v/>
      </c>
      <c r="G683" s="57">
        <f>+SUMIF('Chi tiết NVL'!$I:$I,$A683,'Chi tiết NVL'!P:P)</f>
        <v/>
      </c>
      <c r="H683" s="57">
        <f>+SUMIF('Chi tiết NVL'!$I:$I,$A683,'Chi tiết NVL'!Q:Q)</f>
        <v/>
      </c>
      <c r="I683" s="57">
        <f>+SUMIF('Chi tiết NVL'!$I:$I,$A683,'Chi tiết NVL'!R:R)</f>
        <v/>
      </c>
      <c r="J683" s="57">
        <f>+SUMIF('Chi tiết NVL'!$I:$I,$A683,'Chi tiết NVL'!S:S)</f>
        <v/>
      </c>
    </row>
    <row r="684">
      <c r="A684" s="56" t="inlineStr">
        <is>
          <t>Dung môi Thinner No.72 KT72/18L</t>
        </is>
      </c>
      <c r="B684" s="56">
        <f>+VLOOKUP(A684,'Chi tiết NVL'!$I$10:$J$4158,2,0)</f>
        <v/>
      </c>
      <c r="C684" s="57">
        <f>+SUMIF('Chi tiết NVL'!$I:$I,$A684,'Chi tiết NVL'!L:L)</f>
        <v/>
      </c>
      <c r="D684" s="57">
        <f>+SUMIF('Chi tiết NVL'!$I:$I,$A684,'Chi tiết NVL'!M:M)</f>
        <v/>
      </c>
      <c r="E684" s="57">
        <f>+SUMIF('Chi tiết NVL'!$I:$I,$A684,'Chi tiết NVL'!N:N)</f>
        <v/>
      </c>
      <c r="F684" s="57">
        <f>+SUMIF('Chi tiết NVL'!$I:$I,$A684,'Chi tiết NVL'!O:O)</f>
        <v/>
      </c>
      <c r="G684" s="57">
        <f>+SUMIF('Chi tiết NVL'!$I:$I,$A684,'Chi tiết NVL'!P:P)</f>
        <v/>
      </c>
      <c r="H684" s="57">
        <f>+SUMIF('Chi tiết NVL'!$I:$I,$A684,'Chi tiết NVL'!Q:Q)</f>
        <v/>
      </c>
      <c r="I684" s="57">
        <f>+SUMIF('Chi tiết NVL'!$I:$I,$A684,'Chi tiết NVL'!R:R)</f>
        <v/>
      </c>
      <c r="J684" s="57">
        <f>+SUMIF('Chi tiết NVL'!$I:$I,$A684,'Chi tiết NVL'!S:S)</f>
        <v/>
      </c>
    </row>
    <row r="685">
      <c r="A685" s="56" t="inlineStr">
        <is>
          <t>Dung môi Thinner No.2 KT02/18L</t>
        </is>
      </c>
      <c r="B685" s="56">
        <f>+VLOOKUP(A685,'Chi tiết NVL'!$I$10:$J$4158,2,0)</f>
        <v/>
      </c>
      <c r="C685" s="57">
        <f>+SUMIF('Chi tiết NVL'!$I:$I,$A685,'Chi tiết NVL'!L:L)</f>
        <v/>
      </c>
      <c r="D685" s="57">
        <f>+SUMIF('Chi tiết NVL'!$I:$I,$A685,'Chi tiết NVL'!M:M)</f>
        <v/>
      </c>
      <c r="E685" s="57">
        <f>+SUMIF('Chi tiết NVL'!$I:$I,$A685,'Chi tiết NVL'!N:N)</f>
        <v/>
      </c>
      <c r="F685" s="57">
        <f>+SUMIF('Chi tiết NVL'!$I:$I,$A685,'Chi tiết NVL'!O:O)</f>
        <v/>
      </c>
      <c r="G685" s="57">
        <f>+SUMIF('Chi tiết NVL'!$I:$I,$A685,'Chi tiết NVL'!P:P)</f>
        <v/>
      </c>
      <c r="H685" s="57">
        <f>+SUMIF('Chi tiết NVL'!$I:$I,$A685,'Chi tiết NVL'!Q:Q)</f>
        <v/>
      </c>
      <c r="I685" s="57">
        <f>+SUMIF('Chi tiết NVL'!$I:$I,$A685,'Chi tiết NVL'!R:R)</f>
        <v/>
      </c>
      <c r="J685" s="57">
        <f>+SUMIF('Chi tiết NVL'!$I:$I,$A685,'Chi tiết NVL'!S:S)</f>
        <v/>
      </c>
    </row>
    <row r="686">
      <c r="A686" s="56" t="inlineStr">
        <is>
          <t>Thép vuông 40</t>
        </is>
      </c>
      <c r="B686" s="56">
        <f>+VLOOKUP(A686,'Chi tiết NVL'!$I$10:$J$4158,2,0)</f>
        <v/>
      </c>
      <c r="C686" s="57">
        <f>+SUMIF('Chi tiết NVL'!$I:$I,$A686,'Chi tiết NVL'!L:L)</f>
        <v/>
      </c>
      <c r="D686" s="57">
        <f>+SUMIF('Chi tiết NVL'!$I:$I,$A686,'Chi tiết NVL'!M:M)</f>
        <v/>
      </c>
      <c r="E686" s="57">
        <f>+SUMIF('Chi tiết NVL'!$I:$I,$A686,'Chi tiết NVL'!N:N)</f>
        <v/>
      </c>
      <c r="F686" s="57">
        <f>+SUMIF('Chi tiết NVL'!$I:$I,$A686,'Chi tiết NVL'!O:O)</f>
        <v/>
      </c>
      <c r="G686" s="57">
        <f>+SUMIF('Chi tiết NVL'!$I:$I,$A686,'Chi tiết NVL'!P:P)</f>
        <v/>
      </c>
      <c r="H686" s="57">
        <f>+SUMIF('Chi tiết NVL'!$I:$I,$A686,'Chi tiết NVL'!Q:Q)</f>
        <v/>
      </c>
      <c r="I686" s="57">
        <f>+SUMIF('Chi tiết NVL'!$I:$I,$A686,'Chi tiết NVL'!R:R)</f>
        <v/>
      </c>
      <c r="J686" s="57">
        <f>+SUMIF('Chi tiết NVL'!$I:$I,$A686,'Chi tiết NVL'!S:S)</f>
        <v/>
      </c>
    </row>
    <row r="687">
      <c r="A687" s="56" t="inlineStr">
        <is>
          <t>Thép tấm cán nóng 12x2000x12000</t>
        </is>
      </c>
      <c r="B687" s="56">
        <f>+VLOOKUP(A687,'Chi tiết NVL'!$I$10:$J$4158,2,0)</f>
        <v/>
      </c>
      <c r="C687" s="57">
        <f>+SUMIF('Chi tiết NVL'!$I:$I,$A687,'Chi tiết NVL'!L:L)</f>
        <v/>
      </c>
      <c r="D687" s="57">
        <f>+SUMIF('Chi tiết NVL'!$I:$I,$A687,'Chi tiết NVL'!M:M)</f>
        <v/>
      </c>
      <c r="E687" s="57">
        <f>+SUMIF('Chi tiết NVL'!$I:$I,$A687,'Chi tiết NVL'!N:N)</f>
        <v/>
      </c>
      <c r="F687" s="57">
        <f>+SUMIF('Chi tiết NVL'!$I:$I,$A687,'Chi tiết NVL'!O:O)</f>
        <v/>
      </c>
      <c r="G687" s="57">
        <f>+SUMIF('Chi tiết NVL'!$I:$I,$A687,'Chi tiết NVL'!P:P)</f>
        <v/>
      </c>
      <c r="H687" s="57">
        <f>+SUMIF('Chi tiết NVL'!$I:$I,$A687,'Chi tiết NVL'!Q:Q)</f>
        <v/>
      </c>
      <c r="I687" s="57">
        <f>+SUMIF('Chi tiết NVL'!$I:$I,$A687,'Chi tiết NVL'!R:R)</f>
        <v/>
      </c>
      <c r="J687" s="57">
        <f>+SUMIF('Chi tiết NVL'!$I:$I,$A687,'Chi tiết NVL'!S:S)</f>
        <v/>
      </c>
    </row>
    <row r="688">
      <c r="A688" s="56" t="inlineStr">
        <is>
          <t>Thép tấm cán nóng 14x2000x12000</t>
        </is>
      </c>
      <c r="B688" s="56">
        <f>+VLOOKUP(A688,'Chi tiết NVL'!$I$10:$J$4158,2,0)</f>
        <v/>
      </c>
      <c r="C688" s="57">
        <f>+SUMIF('Chi tiết NVL'!$I:$I,$A688,'Chi tiết NVL'!L:L)</f>
        <v/>
      </c>
      <c r="D688" s="57">
        <f>+SUMIF('Chi tiết NVL'!$I:$I,$A688,'Chi tiết NVL'!M:M)</f>
        <v/>
      </c>
      <c r="E688" s="57">
        <f>+SUMIF('Chi tiết NVL'!$I:$I,$A688,'Chi tiết NVL'!N:N)</f>
        <v/>
      </c>
      <c r="F688" s="57">
        <f>+SUMIF('Chi tiết NVL'!$I:$I,$A688,'Chi tiết NVL'!O:O)</f>
        <v/>
      </c>
      <c r="G688" s="57">
        <f>+SUMIF('Chi tiết NVL'!$I:$I,$A688,'Chi tiết NVL'!P:P)</f>
        <v/>
      </c>
      <c r="H688" s="57">
        <f>+SUMIF('Chi tiết NVL'!$I:$I,$A688,'Chi tiết NVL'!Q:Q)</f>
        <v/>
      </c>
      <c r="I688" s="57">
        <f>+SUMIF('Chi tiết NVL'!$I:$I,$A688,'Chi tiết NVL'!R:R)</f>
        <v/>
      </c>
      <c r="J688" s="57">
        <f>+SUMIF('Chi tiết NVL'!$I:$I,$A688,'Chi tiết NVL'!S:S)</f>
        <v/>
      </c>
    </row>
    <row r="689">
      <c r="A689" s="56" t="inlineStr">
        <is>
          <t>SƠN FUTURA CLASSIC STD 0403 18.32L</t>
        </is>
      </c>
      <c r="B689" s="56">
        <f>+VLOOKUP(A689,'Chi tiết NVL'!$I$10:$J$4158,2,0)</f>
        <v/>
      </c>
      <c r="C689" s="57">
        <f>+SUMIF('Chi tiết NVL'!$I:$I,$A689,'Chi tiết NVL'!L:L)</f>
        <v/>
      </c>
      <c r="D689" s="57">
        <f>+SUMIF('Chi tiết NVL'!$I:$I,$A689,'Chi tiết NVL'!M:M)</f>
        <v/>
      </c>
      <c r="E689" s="57">
        <f>+SUMIF('Chi tiết NVL'!$I:$I,$A689,'Chi tiết NVL'!N:N)</f>
        <v/>
      </c>
      <c r="F689" s="57">
        <f>+SUMIF('Chi tiết NVL'!$I:$I,$A689,'Chi tiết NVL'!O:O)</f>
        <v/>
      </c>
      <c r="G689" s="57">
        <f>+SUMIF('Chi tiết NVL'!$I:$I,$A689,'Chi tiết NVL'!P:P)</f>
        <v/>
      </c>
      <c r="H689" s="57">
        <f>+SUMIF('Chi tiết NVL'!$I:$I,$A689,'Chi tiết NVL'!Q:Q)</f>
        <v/>
      </c>
      <c r="I689" s="57">
        <f>+SUMIF('Chi tiết NVL'!$I:$I,$A689,'Chi tiết NVL'!R:R)</f>
        <v/>
      </c>
      <c r="J689" s="57">
        <f>+SUMIF('Chi tiết NVL'!$I:$I,$A689,'Chi tiết NVL'!S:S)</f>
        <v/>
      </c>
    </row>
    <row r="690">
      <c r="A690" s="56" t="inlineStr">
        <is>
          <t>SƠN FUTURA CLASSIC STD 0403 4.58L</t>
        </is>
      </c>
      <c r="B690" s="56">
        <f>+VLOOKUP(A690,'Chi tiết NVL'!$I$10:$J$4158,2,0)</f>
        <v/>
      </c>
      <c r="C690" s="57">
        <f>+SUMIF('Chi tiết NVL'!$I:$I,$A690,'Chi tiết NVL'!L:L)</f>
        <v/>
      </c>
      <c r="D690" s="57">
        <f>+SUMIF('Chi tiết NVL'!$I:$I,$A690,'Chi tiết NVL'!M:M)</f>
        <v/>
      </c>
      <c r="E690" s="57">
        <f>+SUMIF('Chi tiết NVL'!$I:$I,$A690,'Chi tiết NVL'!N:N)</f>
        <v/>
      </c>
      <c r="F690" s="57">
        <f>+SUMIF('Chi tiết NVL'!$I:$I,$A690,'Chi tiết NVL'!O:O)</f>
        <v/>
      </c>
      <c r="G690" s="57">
        <f>+SUMIF('Chi tiết NVL'!$I:$I,$A690,'Chi tiết NVL'!P:P)</f>
        <v/>
      </c>
      <c r="H690" s="57">
        <f>+SUMIF('Chi tiết NVL'!$I:$I,$A690,'Chi tiết NVL'!Q:Q)</f>
        <v/>
      </c>
      <c r="I690" s="57">
        <f>+SUMIF('Chi tiết NVL'!$I:$I,$A690,'Chi tiết NVL'!R:R)</f>
        <v/>
      </c>
      <c r="J690" s="57">
        <f>+SUMIF('Chi tiết NVL'!$I:$I,$A690,'Chi tiết NVL'!S:S)</f>
        <v/>
      </c>
    </row>
    <row r="691">
      <c r="A691" s="56" t="inlineStr">
        <is>
          <t>SƠN FUTURA CLASSIC RAL 7037 4.76L</t>
        </is>
      </c>
      <c r="B691" s="56">
        <f>+VLOOKUP(A691,'Chi tiết NVL'!$I$10:$J$4158,2,0)</f>
        <v/>
      </c>
      <c r="C691" s="57">
        <f>+SUMIF('Chi tiết NVL'!$I:$I,$A691,'Chi tiết NVL'!L:L)</f>
        <v/>
      </c>
      <c r="D691" s="57">
        <f>+SUMIF('Chi tiết NVL'!$I:$I,$A691,'Chi tiết NVL'!M:M)</f>
        <v/>
      </c>
      <c r="E691" s="57">
        <f>+SUMIF('Chi tiết NVL'!$I:$I,$A691,'Chi tiết NVL'!N:N)</f>
        <v/>
      </c>
      <c r="F691" s="57">
        <f>+SUMIF('Chi tiết NVL'!$I:$I,$A691,'Chi tiết NVL'!O:O)</f>
        <v/>
      </c>
      <c r="G691" s="57">
        <f>+SUMIF('Chi tiết NVL'!$I:$I,$A691,'Chi tiết NVL'!P:P)</f>
        <v/>
      </c>
      <c r="H691" s="57">
        <f>+SUMIF('Chi tiết NVL'!$I:$I,$A691,'Chi tiết NVL'!Q:Q)</f>
        <v/>
      </c>
      <c r="I691" s="57">
        <f>+SUMIF('Chi tiết NVL'!$I:$I,$A691,'Chi tiết NVL'!R:R)</f>
        <v/>
      </c>
      <c r="J691" s="57">
        <f>+SUMIF('Chi tiết NVL'!$I:$I,$A691,'Chi tiết NVL'!S:S)</f>
        <v/>
      </c>
    </row>
    <row r="692">
      <c r="A692" s="56" t="inlineStr">
        <is>
          <t>Ty ren suốt 5.8 (đầu vát-đầu lục giác) ZP M20x260</t>
        </is>
      </c>
      <c r="B692" s="56">
        <f>+VLOOKUP(A692,'Chi tiết NVL'!$I$10:$J$4158,2,0)</f>
        <v/>
      </c>
      <c r="C692" s="57">
        <f>+SUMIF('Chi tiết NVL'!$I:$I,$A692,'Chi tiết NVL'!L:L)</f>
        <v/>
      </c>
      <c r="D692" s="57">
        <f>+SUMIF('Chi tiết NVL'!$I:$I,$A692,'Chi tiết NVL'!M:M)</f>
        <v/>
      </c>
      <c r="E692" s="57">
        <f>+SUMIF('Chi tiết NVL'!$I:$I,$A692,'Chi tiết NVL'!N:N)</f>
        <v/>
      </c>
      <c r="F692" s="57">
        <f>+SUMIF('Chi tiết NVL'!$I:$I,$A692,'Chi tiết NVL'!O:O)</f>
        <v/>
      </c>
      <c r="G692" s="57">
        <f>+SUMIF('Chi tiết NVL'!$I:$I,$A692,'Chi tiết NVL'!P:P)</f>
        <v/>
      </c>
      <c r="H692" s="57">
        <f>+SUMIF('Chi tiết NVL'!$I:$I,$A692,'Chi tiết NVL'!Q:Q)</f>
        <v/>
      </c>
      <c r="I692" s="57">
        <f>+SUMIF('Chi tiết NVL'!$I:$I,$A692,'Chi tiết NVL'!R:R)</f>
        <v/>
      </c>
      <c r="J692" s="57">
        <f>+SUMIF('Chi tiết NVL'!$I:$I,$A692,'Chi tiết NVL'!S:S)</f>
        <v/>
      </c>
    </row>
    <row r="693">
      <c r="A693" s="56" t="inlineStr">
        <is>
          <t>Hilti Keo HIT - RE 500 V4/500</t>
        </is>
      </c>
      <c r="B693" s="56">
        <f>+VLOOKUP(A693,'Chi tiết NVL'!$I$10:$J$4158,2,0)</f>
        <v/>
      </c>
      <c r="C693" s="57">
        <f>+SUMIF('Chi tiết NVL'!$I:$I,$A693,'Chi tiết NVL'!L:L)</f>
        <v/>
      </c>
      <c r="D693" s="57">
        <f>+SUMIF('Chi tiết NVL'!$I:$I,$A693,'Chi tiết NVL'!M:M)</f>
        <v/>
      </c>
      <c r="E693" s="57">
        <f>+SUMIF('Chi tiết NVL'!$I:$I,$A693,'Chi tiết NVL'!N:N)</f>
        <v/>
      </c>
      <c r="F693" s="57">
        <f>+SUMIF('Chi tiết NVL'!$I:$I,$A693,'Chi tiết NVL'!O:O)</f>
        <v/>
      </c>
      <c r="G693" s="57">
        <f>+SUMIF('Chi tiết NVL'!$I:$I,$A693,'Chi tiết NVL'!P:P)</f>
        <v/>
      </c>
      <c r="H693" s="57">
        <f>+SUMIF('Chi tiết NVL'!$I:$I,$A693,'Chi tiết NVL'!Q:Q)</f>
        <v/>
      </c>
      <c r="I693" s="57">
        <f>+SUMIF('Chi tiết NVL'!$I:$I,$A693,'Chi tiết NVL'!R:R)</f>
        <v/>
      </c>
      <c r="J693" s="57">
        <f>+SUMIF('Chi tiết NVL'!$I:$I,$A693,'Chi tiết NVL'!S:S)</f>
        <v/>
      </c>
    </row>
    <row r="694">
      <c r="A694" s="56" t="inlineStr">
        <is>
          <t>Ốc siết cáp ZP M6</t>
        </is>
      </c>
      <c r="B694" s="56">
        <f>+VLOOKUP(A694,'Chi tiết NVL'!$I$10:$J$4158,2,0)</f>
        <v/>
      </c>
      <c r="C694" s="57">
        <f>+SUMIF('Chi tiết NVL'!$I:$I,$A694,'Chi tiết NVL'!L:L)</f>
        <v/>
      </c>
      <c r="D694" s="57">
        <f>+SUMIF('Chi tiết NVL'!$I:$I,$A694,'Chi tiết NVL'!M:M)</f>
        <v/>
      </c>
      <c r="E694" s="57">
        <f>+SUMIF('Chi tiết NVL'!$I:$I,$A694,'Chi tiết NVL'!N:N)</f>
        <v/>
      </c>
      <c r="F694" s="57">
        <f>+SUMIF('Chi tiết NVL'!$I:$I,$A694,'Chi tiết NVL'!O:O)</f>
        <v/>
      </c>
      <c r="G694" s="57">
        <f>+SUMIF('Chi tiết NVL'!$I:$I,$A694,'Chi tiết NVL'!P:P)</f>
        <v/>
      </c>
      <c r="H694" s="57">
        <f>+SUMIF('Chi tiết NVL'!$I:$I,$A694,'Chi tiết NVL'!Q:Q)</f>
        <v/>
      </c>
      <c r="I694" s="57">
        <f>+SUMIF('Chi tiết NVL'!$I:$I,$A694,'Chi tiết NVL'!R:R)</f>
        <v/>
      </c>
      <c r="J694" s="57">
        <f>+SUMIF('Chi tiết NVL'!$I:$I,$A694,'Chi tiết NVL'!S:S)</f>
        <v/>
      </c>
    </row>
    <row r="695">
      <c r="A695" s="56" t="inlineStr">
        <is>
          <t>Tăng đơ đầu móc, đầu tròn (Gang) ZP M10</t>
        </is>
      </c>
      <c r="B695" s="56">
        <f>+VLOOKUP(A695,'Chi tiết NVL'!$I$10:$J$4158,2,0)</f>
        <v/>
      </c>
      <c r="C695" s="57">
        <f>+SUMIF('Chi tiết NVL'!$I:$I,$A695,'Chi tiết NVL'!L:L)</f>
        <v/>
      </c>
      <c r="D695" s="57">
        <f>+SUMIF('Chi tiết NVL'!$I:$I,$A695,'Chi tiết NVL'!M:M)</f>
        <v/>
      </c>
      <c r="E695" s="57">
        <f>+SUMIF('Chi tiết NVL'!$I:$I,$A695,'Chi tiết NVL'!N:N)</f>
        <v/>
      </c>
      <c r="F695" s="57">
        <f>+SUMIF('Chi tiết NVL'!$I:$I,$A695,'Chi tiết NVL'!O:O)</f>
        <v/>
      </c>
      <c r="G695" s="57">
        <f>+SUMIF('Chi tiết NVL'!$I:$I,$A695,'Chi tiết NVL'!P:P)</f>
        <v/>
      </c>
      <c r="H695" s="57">
        <f>+SUMIF('Chi tiết NVL'!$I:$I,$A695,'Chi tiết NVL'!Q:Q)</f>
        <v/>
      </c>
      <c r="I695" s="57">
        <f>+SUMIF('Chi tiết NVL'!$I:$I,$A695,'Chi tiết NVL'!R:R)</f>
        <v/>
      </c>
      <c r="J695" s="57">
        <f>+SUMIF('Chi tiết NVL'!$I:$I,$A695,'Chi tiết NVL'!S:S)</f>
        <v/>
      </c>
    </row>
    <row r="696">
      <c r="A696" s="56" t="inlineStr">
        <is>
          <t>Cáp inox 304 M6</t>
        </is>
      </c>
      <c r="B696" s="56">
        <f>+VLOOKUP(A696,'Chi tiết NVL'!$I$10:$J$4158,2,0)</f>
        <v/>
      </c>
      <c r="C696" s="57">
        <f>+SUMIF('Chi tiết NVL'!$I:$I,$A696,'Chi tiết NVL'!L:L)</f>
        <v/>
      </c>
      <c r="D696" s="57">
        <f>+SUMIF('Chi tiết NVL'!$I:$I,$A696,'Chi tiết NVL'!M:M)</f>
        <v/>
      </c>
      <c r="E696" s="57">
        <f>+SUMIF('Chi tiết NVL'!$I:$I,$A696,'Chi tiết NVL'!N:N)</f>
        <v/>
      </c>
      <c r="F696" s="57">
        <f>+SUMIF('Chi tiết NVL'!$I:$I,$A696,'Chi tiết NVL'!O:O)</f>
        <v/>
      </c>
      <c r="G696" s="57">
        <f>+SUMIF('Chi tiết NVL'!$I:$I,$A696,'Chi tiết NVL'!P:P)</f>
        <v/>
      </c>
      <c r="H696" s="57">
        <f>+SUMIF('Chi tiết NVL'!$I:$I,$A696,'Chi tiết NVL'!Q:Q)</f>
        <v/>
      </c>
      <c r="I696" s="57">
        <f>+SUMIF('Chi tiết NVL'!$I:$I,$A696,'Chi tiết NVL'!R:R)</f>
        <v/>
      </c>
      <c r="J696" s="57">
        <f>+SUMIF('Chi tiết NVL'!$I:$I,$A696,'Chi tiết NVL'!S:S)</f>
        <v/>
      </c>
    </row>
    <row r="697">
      <c r="A697" s="56" t="inlineStr">
        <is>
          <t>Bulong Din 933 10.9 ZP M16x50</t>
        </is>
      </c>
      <c r="B697" s="56">
        <f>+VLOOKUP(A697,'Chi tiết NVL'!$I$10:$J$4158,2,0)</f>
        <v/>
      </c>
      <c r="C697" s="57">
        <f>+SUMIF('Chi tiết NVL'!$I:$I,$A697,'Chi tiết NVL'!L:L)</f>
        <v/>
      </c>
      <c r="D697" s="57">
        <f>+SUMIF('Chi tiết NVL'!$I:$I,$A697,'Chi tiết NVL'!M:M)</f>
        <v/>
      </c>
      <c r="E697" s="57">
        <f>+SUMIF('Chi tiết NVL'!$I:$I,$A697,'Chi tiết NVL'!N:N)</f>
        <v/>
      </c>
      <c r="F697" s="57">
        <f>+SUMIF('Chi tiết NVL'!$I:$I,$A697,'Chi tiết NVL'!O:O)</f>
        <v/>
      </c>
      <c r="G697" s="57">
        <f>+SUMIF('Chi tiết NVL'!$I:$I,$A697,'Chi tiết NVL'!P:P)</f>
        <v/>
      </c>
      <c r="H697" s="57">
        <f>+SUMIF('Chi tiết NVL'!$I:$I,$A697,'Chi tiết NVL'!Q:Q)</f>
        <v/>
      </c>
      <c r="I697" s="57">
        <f>+SUMIF('Chi tiết NVL'!$I:$I,$A697,'Chi tiết NVL'!R:R)</f>
        <v/>
      </c>
      <c r="J697" s="57">
        <f>+SUMIF('Chi tiết NVL'!$I:$I,$A697,'Chi tiết NVL'!S:S)</f>
        <v/>
      </c>
    </row>
    <row r="698">
      <c r="A698" s="56" t="inlineStr">
        <is>
          <t>Đai ốc ISO 4032 10 ZP M16</t>
        </is>
      </c>
      <c r="B698" s="56">
        <f>+VLOOKUP(A698,'Chi tiết NVL'!$I$10:$J$4158,2,0)</f>
        <v/>
      </c>
      <c r="C698" s="57">
        <f>+SUMIF('Chi tiết NVL'!$I:$I,$A698,'Chi tiết NVL'!L:L)</f>
        <v/>
      </c>
      <c r="D698" s="57">
        <f>+SUMIF('Chi tiết NVL'!$I:$I,$A698,'Chi tiết NVL'!M:M)</f>
        <v/>
      </c>
      <c r="E698" s="57">
        <f>+SUMIF('Chi tiết NVL'!$I:$I,$A698,'Chi tiết NVL'!N:N)</f>
        <v/>
      </c>
      <c r="F698" s="57">
        <f>+SUMIF('Chi tiết NVL'!$I:$I,$A698,'Chi tiết NVL'!O:O)</f>
        <v/>
      </c>
      <c r="G698" s="57">
        <f>+SUMIF('Chi tiết NVL'!$I:$I,$A698,'Chi tiết NVL'!P:P)</f>
        <v/>
      </c>
      <c r="H698" s="57">
        <f>+SUMIF('Chi tiết NVL'!$I:$I,$A698,'Chi tiết NVL'!Q:Q)</f>
        <v/>
      </c>
      <c r="I698" s="57">
        <f>+SUMIF('Chi tiết NVL'!$I:$I,$A698,'Chi tiết NVL'!R:R)</f>
        <v/>
      </c>
      <c r="J698" s="57">
        <f>+SUMIF('Chi tiết NVL'!$I:$I,$A698,'Chi tiết NVL'!S:S)</f>
        <v/>
      </c>
    </row>
    <row r="699">
      <c r="A699" s="56" t="inlineStr">
        <is>
          <t>Bulong Din 933 10.9 ZP M20x60</t>
        </is>
      </c>
      <c r="B699" s="56">
        <f>+VLOOKUP(A699,'Chi tiết NVL'!$I$10:$J$4158,2,0)</f>
        <v/>
      </c>
      <c r="C699" s="57">
        <f>+SUMIF('Chi tiết NVL'!$I:$I,$A699,'Chi tiết NVL'!L:L)</f>
        <v/>
      </c>
      <c r="D699" s="57">
        <f>+SUMIF('Chi tiết NVL'!$I:$I,$A699,'Chi tiết NVL'!M:M)</f>
        <v/>
      </c>
      <c r="E699" s="57">
        <f>+SUMIF('Chi tiết NVL'!$I:$I,$A699,'Chi tiết NVL'!N:N)</f>
        <v/>
      </c>
      <c r="F699" s="57">
        <f>+SUMIF('Chi tiết NVL'!$I:$I,$A699,'Chi tiết NVL'!O:O)</f>
        <v/>
      </c>
      <c r="G699" s="57">
        <f>+SUMIF('Chi tiết NVL'!$I:$I,$A699,'Chi tiết NVL'!P:P)</f>
        <v/>
      </c>
      <c r="H699" s="57">
        <f>+SUMIF('Chi tiết NVL'!$I:$I,$A699,'Chi tiết NVL'!Q:Q)</f>
        <v/>
      </c>
      <c r="I699" s="57">
        <f>+SUMIF('Chi tiết NVL'!$I:$I,$A699,'Chi tiết NVL'!R:R)</f>
        <v/>
      </c>
      <c r="J699" s="57">
        <f>+SUMIF('Chi tiết NVL'!$I:$I,$A699,'Chi tiết NVL'!S:S)</f>
        <v/>
      </c>
    </row>
    <row r="700">
      <c r="A700" s="56" t="inlineStr">
        <is>
          <t>Đai ốc ISO 4032 10 ZP M20</t>
        </is>
      </c>
      <c r="B700" s="56">
        <f>+VLOOKUP(A700,'Chi tiết NVL'!$I$10:$J$4158,2,0)</f>
        <v/>
      </c>
      <c r="C700" s="57">
        <f>+SUMIF('Chi tiết NVL'!$I:$I,$A700,'Chi tiết NVL'!L:L)</f>
        <v/>
      </c>
      <c r="D700" s="57">
        <f>+SUMIF('Chi tiết NVL'!$I:$I,$A700,'Chi tiết NVL'!M:M)</f>
        <v/>
      </c>
      <c r="E700" s="57">
        <f>+SUMIF('Chi tiết NVL'!$I:$I,$A700,'Chi tiết NVL'!N:N)</f>
        <v/>
      </c>
      <c r="F700" s="57">
        <f>+SUMIF('Chi tiết NVL'!$I:$I,$A700,'Chi tiết NVL'!O:O)</f>
        <v/>
      </c>
      <c r="G700" s="57">
        <f>+SUMIF('Chi tiết NVL'!$I:$I,$A700,'Chi tiết NVL'!P:P)</f>
        <v/>
      </c>
      <c r="H700" s="57">
        <f>+SUMIF('Chi tiết NVL'!$I:$I,$A700,'Chi tiết NVL'!Q:Q)</f>
        <v/>
      </c>
      <c r="I700" s="57">
        <f>+SUMIF('Chi tiết NVL'!$I:$I,$A700,'Chi tiết NVL'!R:R)</f>
        <v/>
      </c>
      <c r="J700" s="57">
        <f>+SUMIF('Chi tiết NVL'!$I:$I,$A700,'Chi tiết NVL'!S:S)</f>
        <v/>
      </c>
    </row>
    <row r="701">
      <c r="A701" s="56" t="inlineStr">
        <is>
          <t>Bulong Din 933 10.9 ZP M24x70</t>
        </is>
      </c>
      <c r="B701" s="56">
        <f>+VLOOKUP(A701,'Chi tiết NVL'!$I$10:$J$4158,2,0)</f>
        <v/>
      </c>
      <c r="C701" s="57">
        <f>+SUMIF('Chi tiết NVL'!$I:$I,$A701,'Chi tiết NVL'!L:L)</f>
        <v/>
      </c>
      <c r="D701" s="57">
        <f>+SUMIF('Chi tiết NVL'!$I:$I,$A701,'Chi tiết NVL'!M:M)</f>
        <v/>
      </c>
      <c r="E701" s="57">
        <f>+SUMIF('Chi tiết NVL'!$I:$I,$A701,'Chi tiết NVL'!N:N)</f>
        <v/>
      </c>
      <c r="F701" s="57">
        <f>+SUMIF('Chi tiết NVL'!$I:$I,$A701,'Chi tiết NVL'!O:O)</f>
        <v/>
      </c>
      <c r="G701" s="57">
        <f>+SUMIF('Chi tiết NVL'!$I:$I,$A701,'Chi tiết NVL'!P:P)</f>
        <v/>
      </c>
      <c r="H701" s="57">
        <f>+SUMIF('Chi tiết NVL'!$I:$I,$A701,'Chi tiết NVL'!Q:Q)</f>
        <v/>
      </c>
      <c r="I701" s="57">
        <f>+SUMIF('Chi tiết NVL'!$I:$I,$A701,'Chi tiết NVL'!R:R)</f>
        <v/>
      </c>
      <c r="J701" s="57">
        <f>+SUMIF('Chi tiết NVL'!$I:$I,$A701,'Chi tiết NVL'!S:S)</f>
        <v/>
      </c>
    </row>
    <row r="702">
      <c r="A702" s="56" t="inlineStr">
        <is>
          <t>Đai ốc ISO 4032 10 ZP M24</t>
        </is>
      </c>
      <c r="B702" s="56">
        <f>+VLOOKUP(A702,'Chi tiết NVL'!$I$10:$J$4158,2,0)</f>
        <v/>
      </c>
      <c r="C702" s="57">
        <f>+SUMIF('Chi tiết NVL'!$I:$I,$A702,'Chi tiết NVL'!L:L)</f>
        <v/>
      </c>
      <c r="D702" s="57">
        <f>+SUMIF('Chi tiết NVL'!$I:$I,$A702,'Chi tiết NVL'!M:M)</f>
        <v/>
      </c>
      <c r="E702" s="57">
        <f>+SUMIF('Chi tiết NVL'!$I:$I,$A702,'Chi tiết NVL'!N:N)</f>
        <v/>
      </c>
      <c r="F702" s="57">
        <f>+SUMIF('Chi tiết NVL'!$I:$I,$A702,'Chi tiết NVL'!O:O)</f>
        <v/>
      </c>
      <c r="G702" s="57">
        <f>+SUMIF('Chi tiết NVL'!$I:$I,$A702,'Chi tiết NVL'!P:P)</f>
        <v/>
      </c>
      <c r="H702" s="57">
        <f>+SUMIF('Chi tiết NVL'!$I:$I,$A702,'Chi tiết NVL'!Q:Q)</f>
        <v/>
      </c>
      <c r="I702" s="57">
        <f>+SUMIF('Chi tiết NVL'!$I:$I,$A702,'Chi tiết NVL'!R:R)</f>
        <v/>
      </c>
      <c r="J702" s="57">
        <f>+SUMIF('Chi tiết NVL'!$I:$I,$A702,'Chi tiết NVL'!S:S)</f>
        <v/>
      </c>
    </row>
    <row r="703">
      <c r="A703" s="56" t="inlineStr">
        <is>
          <t>Bulong Din 933 10.9 ZP M24x80</t>
        </is>
      </c>
      <c r="B703" s="56">
        <f>+VLOOKUP(A703,'Chi tiết NVL'!$I$10:$J$4158,2,0)</f>
        <v/>
      </c>
      <c r="C703" s="57">
        <f>+SUMIF('Chi tiết NVL'!$I:$I,$A703,'Chi tiết NVL'!L:L)</f>
        <v/>
      </c>
      <c r="D703" s="57">
        <f>+SUMIF('Chi tiết NVL'!$I:$I,$A703,'Chi tiết NVL'!M:M)</f>
        <v/>
      </c>
      <c r="E703" s="57">
        <f>+SUMIF('Chi tiết NVL'!$I:$I,$A703,'Chi tiết NVL'!N:N)</f>
        <v/>
      </c>
      <c r="F703" s="57">
        <f>+SUMIF('Chi tiết NVL'!$I:$I,$A703,'Chi tiết NVL'!O:O)</f>
        <v/>
      </c>
      <c r="G703" s="57">
        <f>+SUMIF('Chi tiết NVL'!$I:$I,$A703,'Chi tiết NVL'!P:P)</f>
        <v/>
      </c>
      <c r="H703" s="57">
        <f>+SUMIF('Chi tiết NVL'!$I:$I,$A703,'Chi tiết NVL'!Q:Q)</f>
        <v/>
      </c>
      <c r="I703" s="57">
        <f>+SUMIF('Chi tiết NVL'!$I:$I,$A703,'Chi tiết NVL'!R:R)</f>
        <v/>
      </c>
      <c r="J703" s="57">
        <f>+SUMIF('Chi tiết NVL'!$I:$I,$A703,'Chi tiết NVL'!S:S)</f>
        <v/>
      </c>
    </row>
    <row r="704">
      <c r="A704" s="56" t="inlineStr">
        <is>
          <t>Bulong Din 933 10.9 ZP M24x90</t>
        </is>
      </c>
      <c r="B704" s="56">
        <f>+VLOOKUP(A704,'Chi tiết NVL'!$I$10:$J$4158,2,0)</f>
        <v/>
      </c>
      <c r="C704" s="57">
        <f>+SUMIF('Chi tiết NVL'!$I:$I,$A704,'Chi tiết NVL'!L:L)</f>
        <v/>
      </c>
      <c r="D704" s="57">
        <f>+SUMIF('Chi tiết NVL'!$I:$I,$A704,'Chi tiết NVL'!M:M)</f>
        <v/>
      </c>
      <c r="E704" s="57">
        <f>+SUMIF('Chi tiết NVL'!$I:$I,$A704,'Chi tiết NVL'!N:N)</f>
        <v/>
      </c>
      <c r="F704" s="57">
        <f>+SUMIF('Chi tiết NVL'!$I:$I,$A704,'Chi tiết NVL'!O:O)</f>
        <v/>
      </c>
      <c r="G704" s="57">
        <f>+SUMIF('Chi tiết NVL'!$I:$I,$A704,'Chi tiết NVL'!P:P)</f>
        <v/>
      </c>
      <c r="H704" s="57">
        <f>+SUMIF('Chi tiết NVL'!$I:$I,$A704,'Chi tiết NVL'!Q:Q)</f>
        <v/>
      </c>
      <c r="I704" s="57">
        <f>+SUMIF('Chi tiết NVL'!$I:$I,$A704,'Chi tiết NVL'!R:R)</f>
        <v/>
      </c>
      <c r="J704" s="57">
        <f>+SUMIF('Chi tiết NVL'!$I:$I,$A704,'Chi tiết NVL'!S:S)</f>
        <v/>
      </c>
    </row>
    <row r="705">
      <c r="A705" s="56" t="inlineStr">
        <is>
          <t>Ty ren suốt 5.6 (đầu vát-đầu lục giác) ZP M24x300</t>
        </is>
      </c>
      <c r="B705" s="56">
        <f>+VLOOKUP(A705,'Chi tiết NVL'!$I$10:$J$4158,2,0)</f>
        <v/>
      </c>
      <c r="C705" s="57">
        <f>+SUMIF('Chi tiết NVL'!$I:$I,$A705,'Chi tiết NVL'!L:L)</f>
        <v/>
      </c>
      <c r="D705" s="57">
        <f>+SUMIF('Chi tiết NVL'!$I:$I,$A705,'Chi tiết NVL'!M:M)</f>
        <v/>
      </c>
      <c r="E705" s="57">
        <f>+SUMIF('Chi tiết NVL'!$I:$I,$A705,'Chi tiết NVL'!N:N)</f>
        <v/>
      </c>
      <c r="F705" s="57">
        <f>+SUMIF('Chi tiết NVL'!$I:$I,$A705,'Chi tiết NVL'!O:O)</f>
        <v/>
      </c>
      <c r="G705" s="57">
        <f>+SUMIF('Chi tiết NVL'!$I:$I,$A705,'Chi tiết NVL'!P:P)</f>
        <v/>
      </c>
      <c r="H705" s="57">
        <f>+SUMIF('Chi tiết NVL'!$I:$I,$A705,'Chi tiết NVL'!Q:Q)</f>
        <v/>
      </c>
      <c r="I705" s="57">
        <f>+SUMIF('Chi tiết NVL'!$I:$I,$A705,'Chi tiết NVL'!R:R)</f>
        <v/>
      </c>
      <c r="J705" s="57">
        <f>+SUMIF('Chi tiết NVL'!$I:$I,$A705,'Chi tiết NVL'!S:S)</f>
        <v/>
      </c>
    </row>
    <row r="706" ht="31.5" customHeight="1">
      <c r="A706" s="56" t="inlineStr">
        <is>
          <t>Hilti Súng bắn keo HDM 500 box+ Ống đựng keo HIT-CB 500</t>
        </is>
      </c>
      <c r="B706" s="56">
        <f>+VLOOKUP(A706,'Chi tiết NVL'!$I$10:$J$4158,2,0)</f>
        <v/>
      </c>
      <c r="C706" s="57">
        <f>+SUMIF('Chi tiết NVL'!$I:$I,$A706,'Chi tiết NVL'!L:L)</f>
        <v/>
      </c>
      <c r="D706" s="57">
        <f>+SUMIF('Chi tiết NVL'!$I:$I,$A706,'Chi tiết NVL'!M:M)</f>
        <v/>
      </c>
      <c r="E706" s="57">
        <f>+SUMIF('Chi tiết NVL'!$I:$I,$A706,'Chi tiết NVL'!N:N)</f>
        <v/>
      </c>
      <c r="F706" s="57">
        <f>+SUMIF('Chi tiết NVL'!$I:$I,$A706,'Chi tiết NVL'!O:O)</f>
        <v/>
      </c>
      <c r="G706" s="57">
        <f>+SUMIF('Chi tiết NVL'!$I:$I,$A706,'Chi tiết NVL'!P:P)</f>
        <v/>
      </c>
      <c r="H706" s="57">
        <f>+SUMIF('Chi tiết NVL'!$I:$I,$A706,'Chi tiết NVL'!Q:Q)</f>
        <v/>
      </c>
      <c r="I706" s="57">
        <f>+SUMIF('Chi tiết NVL'!$I:$I,$A706,'Chi tiết NVL'!R:R)</f>
        <v/>
      </c>
      <c r="J706" s="57">
        <f>+SUMIF('Chi tiết NVL'!$I:$I,$A706,'Chi tiết NVL'!S:S)</f>
        <v/>
      </c>
    </row>
    <row r="707">
      <c r="A707" s="56" t="inlineStr">
        <is>
          <t>Vít B2stek 12-14x68 HGS</t>
        </is>
      </c>
      <c r="B707" s="56">
        <f>+VLOOKUP(A707,'Chi tiết NVL'!$I$10:$J$4158,2,0)</f>
        <v/>
      </c>
      <c r="C707" s="57">
        <f>+SUMIF('Chi tiết NVL'!$I:$I,$A707,'Chi tiết NVL'!L:L)</f>
        <v/>
      </c>
      <c r="D707" s="57">
        <f>+SUMIF('Chi tiết NVL'!$I:$I,$A707,'Chi tiết NVL'!M:M)</f>
        <v/>
      </c>
      <c r="E707" s="57">
        <f>+SUMIF('Chi tiết NVL'!$I:$I,$A707,'Chi tiết NVL'!N:N)</f>
        <v/>
      </c>
      <c r="F707" s="57">
        <f>+SUMIF('Chi tiết NVL'!$I:$I,$A707,'Chi tiết NVL'!O:O)</f>
        <v/>
      </c>
      <c r="G707" s="57">
        <f>+SUMIF('Chi tiết NVL'!$I:$I,$A707,'Chi tiết NVL'!P:P)</f>
        <v/>
      </c>
      <c r="H707" s="57">
        <f>+SUMIF('Chi tiết NVL'!$I:$I,$A707,'Chi tiết NVL'!Q:Q)</f>
        <v/>
      </c>
      <c r="I707" s="57">
        <f>+SUMIF('Chi tiết NVL'!$I:$I,$A707,'Chi tiết NVL'!R:R)</f>
        <v/>
      </c>
      <c r="J707" s="57">
        <f>+SUMIF('Chi tiết NVL'!$I:$I,$A707,'Chi tiết NVL'!S:S)</f>
        <v/>
      </c>
    </row>
    <row r="708" ht="31.5" customHeight="1">
      <c r="A708" s="56" t="inlineStr">
        <is>
          <t>Cửa thông gió theo HĐMB  số: 250730-01HDBH/DMK-STEELTECH Kí ngày 30/07/2025</t>
        </is>
      </c>
      <c r="B708" s="56">
        <f>+VLOOKUP(A708,'Chi tiết NVL'!$I$10:$J$4158,2,0)</f>
        <v/>
      </c>
      <c r="C708" s="57">
        <f>+SUMIF('Chi tiết NVL'!$I:$I,$A708,'Chi tiết NVL'!L:L)</f>
        <v/>
      </c>
      <c r="D708" s="57">
        <f>+SUMIF('Chi tiết NVL'!$I:$I,$A708,'Chi tiết NVL'!M:M)</f>
        <v/>
      </c>
      <c r="E708" s="57">
        <f>+SUMIF('Chi tiết NVL'!$I:$I,$A708,'Chi tiết NVL'!N:N)</f>
        <v/>
      </c>
      <c r="F708" s="57">
        <f>+SUMIF('Chi tiết NVL'!$I:$I,$A708,'Chi tiết NVL'!O:O)</f>
        <v/>
      </c>
      <c r="G708" s="57">
        <f>+SUMIF('Chi tiết NVL'!$I:$I,$A708,'Chi tiết NVL'!P:P)</f>
        <v/>
      </c>
      <c r="H708" s="57">
        <f>+SUMIF('Chi tiết NVL'!$I:$I,$A708,'Chi tiết NVL'!Q:Q)</f>
        <v/>
      </c>
      <c r="I708" s="57">
        <f>+SUMIF('Chi tiết NVL'!$I:$I,$A708,'Chi tiết NVL'!R:R)</f>
        <v/>
      </c>
      <c r="J708" s="57">
        <f>+SUMIF('Chi tiết NVL'!$I:$I,$A708,'Chi tiết NVL'!S:S)</f>
        <v/>
      </c>
    </row>
    <row r="709">
      <c r="A709" s="56" t="inlineStr">
        <is>
          <t>SƠN FUTURA CLASSIC RAL 9010 4.55L</t>
        </is>
      </c>
      <c r="B709" s="56">
        <f>+VLOOKUP(A709,'Chi tiết NVL'!$I$10:$J$4158,2,0)</f>
        <v/>
      </c>
      <c r="C709" s="57">
        <f>+SUMIF('Chi tiết NVL'!$I:$I,$A709,'Chi tiết NVL'!L:L)</f>
        <v/>
      </c>
      <c r="D709" s="57">
        <f>+SUMIF('Chi tiết NVL'!$I:$I,$A709,'Chi tiết NVL'!M:M)</f>
        <v/>
      </c>
      <c r="E709" s="57">
        <f>+SUMIF('Chi tiết NVL'!$I:$I,$A709,'Chi tiết NVL'!N:N)</f>
        <v/>
      </c>
      <c r="F709" s="57">
        <f>+SUMIF('Chi tiết NVL'!$I:$I,$A709,'Chi tiết NVL'!O:O)</f>
        <v/>
      </c>
      <c r="G709" s="57">
        <f>+SUMIF('Chi tiết NVL'!$I:$I,$A709,'Chi tiết NVL'!P:P)</f>
        <v/>
      </c>
      <c r="H709" s="57">
        <f>+SUMIF('Chi tiết NVL'!$I:$I,$A709,'Chi tiết NVL'!Q:Q)</f>
        <v/>
      </c>
      <c r="I709" s="57">
        <f>+SUMIF('Chi tiết NVL'!$I:$I,$A709,'Chi tiết NVL'!R:R)</f>
        <v/>
      </c>
      <c r="J709" s="57">
        <f>+SUMIF('Chi tiết NVL'!$I:$I,$A709,'Chi tiết NVL'!S:S)</f>
        <v/>
      </c>
    </row>
    <row r="710">
      <c r="A710" s="56" t="inlineStr">
        <is>
          <t>SƠN FUTURA CLASSIC STD 0403 GREY 18.32L</t>
        </is>
      </c>
      <c r="B710" s="56">
        <f>+VLOOKUP(A710,'Chi tiết NVL'!$I$10:$J$4158,2,0)</f>
        <v/>
      </c>
      <c r="C710" s="57">
        <f>+SUMIF('Chi tiết NVL'!$I:$I,$A710,'Chi tiết NVL'!L:L)</f>
        <v/>
      </c>
      <c r="D710" s="57">
        <f>+SUMIF('Chi tiết NVL'!$I:$I,$A710,'Chi tiết NVL'!M:M)</f>
        <v/>
      </c>
      <c r="E710" s="57">
        <f>+SUMIF('Chi tiết NVL'!$I:$I,$A710,'Chi tiết NVL'!N:N)</f>
        <v/>
      </c>
      <c r="F710" s="57">
        <f>+SUMIF('Chi tiết NVL'!$I:$I,$A710,'Chi tiết NVL'!O:O)</f>
        <v/>
      </c>
      <c r="G710" s="57">
        <f>+SUMIF('Chi tiết NVL'!$I:$I,$A710,'Chi tiết NVL'!P:P)</f>
        <v/>
      </c>
      <c r="H710" s="57">
        <f>+SUMIF('Chi tiết NVL'!$I:$I,$A710,'Chi tiết NVL'!Q:Q)</f>
        <v/>
      </c>
      <c r="I710" s="57">
        <f>+SUMIF('Chi tiết NVL'!$I:$I,$A710,'Chi tiết NVL'!R:R)</f>
        <v/>
      </c>
      <c r="J710" s="57">
        <f>+SUMIF('Chi tiết NVL'!$I:$I,$A710,'Chi tiết NVL'!S:S)</f>
        <v/>
      </c>
    </row>
    <row r="711">
      <c r="A711" s="56" t="inlineStr">
        <is>
          <t>Vít B3 Dacromet 10-24x22 WAF (bake)</t>
        </is>
      </c>
      <c r="B711" s="56">
        <f>+VLOOKUP(A711,'Chi tiết NVL'!$I$10:$J$4158,2,0)</f>
        <v/>
      </c>
      <c r="C711" s="57">
        <f>+SUMIF('Chi tiết NVL'!$I:$I,$A711,'Chi tiết NVL'!L:L)</f>
        <v/>
      </c>
      <c r="D711" s="57">
        <f>+SUMIF('Chi tiết NVL'!$I:$I,$A711,'Chi tiết NVL'!M:M)</f>
        <v/>
      </c>
      <c r="E711" s="57">
        <f>+SUMIF('Chi tiết NVL'!$I:$I,$A711,'Chi tiết NVL'!N:N)</f>
        <v/>
      </c>
      <c r="F711" s="57">
        <f>+SUMIF('Chi tiết NVL'!$I:$I,$A711,'Chi tiết NVL'!O:O)</f>
        <v/>
      </c>
      <c r="G711" s="57">
        <f>+SUMIF('Chi tiết NVL'!$I:$I,$A711,'Chi tiết NVL'!P:P)</f>
        <v/>
      </c>
      <c r="H711" s="57">
        <f>+SUMIF('Chi tiết NVL'!$I:$I,$A711,'Chi tiết NVL'!Q:Q)</f>
        <v/>
      </c>
      <c r="I711" s="57">
        <f>+SUMIF('Chi tiết NVL'!$I:$I,$A711,'Chi tiết NVL'!R:R)</f>
        <v/>
      </c>
      <c r="J711" s="57">
        <f>+SUMIF('Chi tiết NVL'!$I:$I,$A711,'Chi tiết NVL'!S:S)</f>
        <v/>
      </c>
    </row>
    <row r="712">
      <c r="A712" s="56" t="inlineStr">
        <is>
          <t>Bulong Din 933 8.8 ZP M30x180</t>
        </is>
      </c>
      <c r="B712" s="56">
        <f>+VLOOKUP(A712,'Chi tiết NVL'!$I$10:$J$4158,2,0)</f>
        <v/>
      </c>
      <c r="C712" s="57">
        <f>+SUMIF('Chi tiết NVL'!$I:$I,$A712,'Chi tiết NVL'!L:L)</f>
        <v/>
      </c>
      <c r="D712" s="57">
        <f>+SUMIF('Chi tiết NVL'!$I:$I,$A712,'Chi tiết NVL'!M:M)</f>
        <v/>
      </c>
      <c r="E712" s="57">
        <f>+SUMIF('Chi tiết NVL'!$I:$I,$A712,'Chi tiết NVL'!N:N)</f>
        <v/>
      </c>
      <c r="F712" s="57">
        <f>+SUMIF('Chi tiết NVL'!$I:$I,$A712,'Chi tiết NVL'!O:O)</f>
        <v/>
      </c>
      <c r="G712" s="57">
        <f>+SUMIF('Chi tiết NVL'!$I:$I,$A712,'Chi tiết NVL'!P:P)</f>
        <v/>
      </c>
      <c r="H712" s="57">
        <f>+SUMIF('Chi tiết NVL'!$I:$I,$A712,'Chi tiết NVL'!Q:Q)</f>
        <v/>
      </c>
      <c r="I712" s="57">
        <f>+SUMIF('Chi tiết NVL'!$I:$I,$A712,'Chi tiết NVL'!R:R)</f>
        <v/>
      </c>
      <c r="J712" s="57">
        <f>+SUMIF('Chi tiết NVL'!$I:$I,$A712,'Chi tiết NVL'!S:S)</f>
        <v/>
      </c>
    </row>
    <row r="713">
      <c r="A713" s="56" t="inlineStr">
        <is>
          <t>Bulong neo i M24x600 5.6</t>
        </is>
      </c>
      <c r="B713" s="56">
        <f>+VLOOKUP(A713,'Chi tiết NVL'!$I$10:$J$4158,2,0)</f>
        <v/>
      </c>
      <c r="C713" s="57">
        <f>+SUMIF('Chi tiết NVL'!$I:$I,$A713,'Chi tiết NVL'!L:L)</f>
        <v/>
      </c>
      <c r="D713" s="57">
        <f>+SUMIF('Chi tiết NVL'!$I:$I,$A713,'Chi tiết NVL'!M:M)</f>
        <v/>
      </c>
      <c r="E713" s="57">
        <f>+SUMIF('Chi tiết NVL'!$I:$I,$A713,'Chi tiết NVL'!N:N)</f>
        <v/>
      </c>
      <c r="F713" s="57">
        <f>+SUMIF('Chi tiết NVL'!$I:$I,$A713,'Chi tiết NVL'!O:O)</f>
        <v/>
      </c>
      <c r="G713" s="57">
        <f>+SUMIF('Chi tiết NVL'!$I:$I,$A713,'Chi tiết NVL'!P:P)</f>
        <v/>
      </c>
      <c r="H713" s="57">
        <f>+SUMIF('Chi tiết NVL'!$I:$I,$A713,'Chi tiết NVL'!Q:Q)</f>
        <v/>
      </c>
      <c r="I713" s="57">
        <f>+SUMIF('Chi tiết NVL'!$I:$I,$A713,'Chi tiết NVL'!R:R)</f>
        <v/>
      </c>
      <c r="J713" s="57">
        <f>+SUMIF('Chi tiết NVL'!$I:$I,$A713,'Chi tiết NVL'!S:S)</f>
        <v/>
      </c>
    </row>
    <row r="714">
      <c r="A714" s="56" t="inlineStr">
        <is>
          <t>Bulong neo i M36x900 5.6</t>
        </is>
      </c>
      <c r="B714" s="56">
        <f>+VLOOKUP(A714,'Chi tiết NVL'!$I$10:$J$4158,2,0)</f>
        <v/>
      </c>
      <c r="C714" s="57">
        <f>+SUMIF('Chi tiết NVL'!$I:$I,$A714,'Chi tiết NVL'!L:L)</f>
        <v/>
      </c>
      <c r="D714" s="57">
        <f>+SUMIF('Chi tiết NVL'!$I:$I,$A714,'Chi tiết NVL'!M:M)</f>
        <v/>
      </c>
      <c r="E714" s="57">
        <f>+SUMIF('Chi tiết NVL'!$I:$I,$A714,'Chi tiết NVL'!N:N)</f>
        <v/>
      </c>
      <c r="F714" s="57">
        <f>+SUMIF('Chi tiết NVL'!$I:$I,$A714,'Chi tiết NVL'!O:O)</f>
        <v/>
      </c>
      <c r="G714" s="57">
        <f>+SUMIF('Chi tiết NVL'!$I:$I,$A714,'Chi tiết NVL'!P:P)</f>
        <v/>
      </c>
      <c r="H714" s="57">
        <f>+SUMIF('Chi tiết NVL'!$I:$I,$A714,'Chi tiết NVL'!Q:Q)</f>
        <v/>
      </c>
      <c r="I714" s="57">
        <f>+SUMIF('Chi tiết NVL'!$I:$I,$A714,'Chi tiết NVL'!R:R)</f>
        <v/>
      </c>
      <c r="J714" s="57">
        <f>+SUMIF('Chi tiết NVL'!$I:$I,$A714,'Chi tiết NVL'!S:S)</f>
        <v/>
      </c>
    </row>
    <row r="715">
      <c r="A715" s="56" t="inlineStr">
        <is>
          <t>SƠN FUTURA CLASSIC STD 0121 18.24L</t>
        </is>
      </c>
      <c r="B715" s="56">
        <f>+VLOOKUP(A715,'Chi tiết NVL'!$I$10:$J$4158,2,0)</f>
        <v/>
      </c>
      <c r="C715" s="57">
        <f>+SUMIF('Chi tiết NVL'!$I:$I,$A715,'Chi tiết NVL'!L:L)</f>
        <v/>
      </c>
      <c r="D715" s="57">
        <f>+SUMIF('Chi tiết NVL'!$I:$I,$A715,'Chi tiết NVL'!M:M)</f>
        <v/>
      </c>
      <c r="E715" s="57">
        <f>+SUMIF('Chi tiết NVL'!$I:$I,$A715,'Chi tiết NVL'!N:N)</f>
        <v/>
      </c>
      <c r="F715" s="57">
        <f>+SUMIF('Chi tiết NVL'!$I:$I,$A715,'Chi tiết NVL'!O:O)</f>
        <v/>
      </c>
      <c r="G715" s="57">
        <f>+SUMIF('Chi tiết NVL'!$I:$I,$A715,'Chi tiết NVL'!P:P)</f>
        <v/>
      </c>
      <c r="H715" s="57">
        <f>+SUMIF('Chi tiết NVL'!$I:$I,$A715,'Chi tiết NVL'!Q:Q)</f>
        <v/>
      </c>
      <c r="I715" s="57">
        <f>+SUMIF('Chi tiết NVL'!$I:$I,$A715,'Chi tiết NVL'!R:R)</f>
        <v/>
      </c>
      <c r="J715" s="57">
        <f>+SUMIF('Chi tiết NVL'!$I:$I,$A715,'Chi tiết NVL'!S:S)</f>
        <v/>
      </c>
    </row>
    <row r="716">
      <c r="A716" s="56" t="inlineStr">
        <is>
          <t>SƠN FUTURA CLASSIC STD 0121 4.56L</t>
        </is>
      </c>
      <c r="B716" s="56">
        <f>+VLOOKUP(A716,'Chi tiết NVL'!$I$10:$J$4158,2,0)</f>
        <v/>
      </c>
      <c r="C716" s="57">
        <f>+SUMIF('Chi tiết NVL'!$I:$I,$A716,'Chi tiết NVL'!L:L)</f>
        <v/>
      </c>
      <c r="D716" s="57">
        <f>+SUMIF('Chi tiết NVL'!$I:$I,$A716,'Chi tiết NVL'!M:M)</f>
        <v/>
      </c>
      <c r="E716" s="57">
        <f>+SUMIF('Chi tiết NVL'!$I:$I,$A716,'Chi tiết NVL'!N:N)</f>
        <v/>
      </c>
      <c r="F716" s="57">
        <f>+SUMIF('Chi tiết NVL'!$I:$I,$A716,'Chi tiết NVL'!O:O)</f>
        <v/>
      </c>
      <c r="G716" s="57">
        <f>+SUMIF('Chi tiết NVL'!$I:$I,$A716,'Chi tiết NVL'!P:P)</f>
        <v/>
      </c>
      <c r="H716" s="57">
        <f>+SUMIF('Chi tiết NVL'!$I:$I,$A716,'Chi tiết NVL'!Q:Q)</f>
        <v/>
      </c>
      <c r="I716" s="57">
        <f>+SUMIF('Chi tiết NVL'!$I:$I,$A716,'Chi tiết NVL'!R:R)</f>
        <v/>
      </c>
      <c r="J716" s="57">
        <f>+SUMIF('Chi tiết NVL'!$I:$I,$A716,'Chi tiết NVL'!S:S)</f>
        <v/>
      </c>
    </row>
    <row r="717">
      <c r="A717" s="56" t="inlineStr">
        <is>
          <t>Thép hộp 150x150</t>
        </is>
      </c>
      <c r="B717" s="56">
        <f>+VLOOKUP(A717,'Chi tiết NVL'!$I$10:$J$4158,2,0)</f>
        <v/>
      </c>
      <c r="C717" s="57">
        <f>+SUMIF('Chi tiết NVL'!$I:$I,$A717,'Chi tiết NVL'!L:L)</f>
        <v/>
      </c>
      <c r="D717" s="57">
        <f>+SUMIF('Chi tiết NVL'!$I:$I,$A717,'Chi tiết NVL'!M:M)</f>
        <v/>
      </c>
      <c r="E717" s="57">
        <f>+SUMIF('Chi tiết NVL'!$I:$I,$A717,'Chi tiết NVL'!N:N)</f>
        <v/>
      </c>
      <c r="F717" s="57">
        <f>+SUMIF('Chi tiết NVL'!$I:$I,$A717,'Chi tiết NVL'!O:O)</f>
        <v/>
      </c>
      <c r="G717" s="57">
        <f>+SUMIF('Chi tiết NVL'!$I:$I,$A717,'Chi tiết NVL'!P:P)</f>
        <v/>
      </c>
      <c r="H717" s="57">
        <f>+SUMIF('Chi tiết NVL'!$I:$I,$A717,'Chi tiết NVL'!Q:Q)</f>
        <v/>
      </c>
      <c r="I717" s="57">
        <f>+SUMIF('Chi tiết NVL'!$I:$I,$A717,'Chi tiết NVL'!R:R)</f>
        <v/>
      </c>
      <c r="J717" s="57">
        <f>+SUMIF('Chi tiết NVL'!$I:$I,$A717,'Chi tiết NVL'!S:S)</f>
        <v/>
      </c>
    </row>
    <row r="718">
      <c r="A718" s="56" t="inlineStr">
        <is>
          <t>Thép hộp 200x200</t>
        </is>
      </c>
      <c r="B718" s="56">
        <f>+VLOOKUP(A718,'Chi tiết NVL'!$I$10:$J$4158,2,0)</f>
        <v/>
      </c>
      <c r="C718" s="57">
        <f>+SUMIF('Chi tiết NVL'!$I:$I,$A718,'Chi tiết NVL'!L:L)</f>
        <v/>
      </c>
      <c r="D718" s="57">
        <f>+SUMIF('Chi tiết NVL'!$I:$I,$A718,'Chi tiết NVL'!M:M)</f>
        <v/>
      </c>
      <c r="E718" s="57">
        <f>+SUMIF('Chi tiết NVL'!$I:$I,$A718,'Chi tiết NVL'!N:N)</f>
        <v/>
      </c>
      <c r="F718" s="57">
        <f>+SUMIF('Chi tiết NVL'!$I:$I,$A718,'Chi tiết NVL'!O:O)</f>
        <v/>
      </c>
      <c r="G718" s="57">
        <f>+SUMIF('Chi tiết NVL'!$I:$I,$A718,'Chi tiết NVL'!P:P)</f>
        <v/>
      </c>
      <c r="H718" s="57">
        <f>+SUMIF('Chi tiết NVL'!$I:$I,$A718,'Chi tiết NVL'!Q:Q)</f>
        <v/>
      </c>
      <c r="I718" s="57">
        <f>+SUMIF('Chi tiết NVL'!$I:$I,$A718,'Chi tiết NVL'!R:R)</f>
        <v/>
      </c>
      <c r="J718" s="57">
        <f>+SUMIF('Chi tiết NVL'!$I:$I,$A718,'Chi tiết NVL'!S:S)</f>
        <v/>
      </c>
    </row>
    <row r="719">
      <c r="A719" s="56" t="inlineStr">
        <is>
          <t>Thép ống đen 141.3</t>
        </is>
      </c>
      <c r="B719" s="56">
        <f>+VLOOKUP(A719,'Chi tiết NVL'!$I$10:$J$4158,2,0)</f>
        <v/>
      </c>
      <c r="C719" s="57">
        <f>+SUMIF('Chi tiết NVL'!$I:$I,$A719,'Chi tiết NVL'!L:L)</f>
        <v/>
      </c>
      <c r="D719" s="57">
        <f>+SUMIF('Chi tiết NVL'!$I:$I,$A719,'Chi tiết NVL'!M:M)</f>
        <v/>
      </c>
      <c r="E719" s="57">
        <f>+SUMIF('Chi tiết NVL'!$I:$I,$A719,'Chi tiết NVL'!N:N)</f>
        <v/>
      </c>
      <c r="F719" s="57">
        <f>+SUMIF('Chi tiết NVL'!$I:$I,$A719,'Chi tiết NVL'!O:O)</f>
        <v/>
      </c>
      <c r="G719" s="57">
        <f>+SUMIF('Chi tiết NVL'!$I:$I,$A719,'Chi tiết NVL'!P:P)</f>
        <v/>
      </c>
      <c r="H719" s="57">
        <f>+SUMIF('Chi tiết NVL'!$I:$I,$A719,'Chi tiết NVL'!Q:Q)</f>
        <v/>
      </c>
      <c r="I719" s="57">
        <f>+SUMIF('Chi tiết NVL'!$I:$I,$A719,'Chi tiết NVL'!R:R)</f>
        <v/>
      </c>
      <c r="J719" s="57">
        <f>+SUMIF('Chi tiết NVL'!$I:$I,$A719,'Chi tiết NVL'!S:S)</f>
        <v/>
      </c>
    </row>
    <row r="720">
      <c r="A720" s="56" t="inlineStr">
        <is>
          <t>Thép ống đen 168.3</t>
        </is>
      </c>
      <c r="B720" s="56">
        <f>+VLOOKUP(A720,'Chi tiết NVL'!$I$10:$J$4158,2,0)</f>
        <v/>
      </c>
      <c r="C720" s="57">
        <f>+SUMIF('Chi tiết NVL'!$I:$I,$A720,'Chi tiết NVL'!L:L)</f>
        <v/>
      </c>
      <c r="D720" s="57">
        <f>+SUMIF('Chi tiết NVL'!$I:$I,$A720,'Chi tiết NVL'!M:M)</f>
        <v/>
      </c>
      <c r="E720" s="57">
        <f>+SUMIF('Chi tiết NVL'!$I:$I,$A720,'Chi tiết NVL'!N:N)</f>
        <v/>
      </c>
      <c r="F720" s="57">
        <f>+SUMIF('Chi tiết NVL'!$I:$I,$A720,'Chi tiết NVL'!O:O)</f>
        <v/>
      </c>
      <c r="G720" s="57">
        <f>+SUMIF('Chi tiết NVL'!$I:$I,$A720,'Chi tiết NVL'!P:P)</f>
        <v/>
      </c>
      <c r="H720" s="57">
        <f>+SUMIF('Chi tiết NVL'!$I:$I,$A720,'Chi tiết NVL'!Q:Q)</f>
        <v/>
      </c>
      <c r="I720" s="57">
        <f>+SUMIF('Chi tiết NVL'!$I:$I,$A720,'Chi tiết NVL'!R:R)</f>
        <v/>
      </c>
      <c r="J720" s="57">
        <f>+SUMIF('Chi tiết NVL'!$I:$I,$A720,'Chi tiết NVL'!S:S)</f>
        <v/>
      </c>
    </row>
    <row r="721">
      <c r="A721" s="56" t="inlineStr">
        <is>
          <t>Thép ống đen 114.3</t>
        </is>
      </c>
      <c r="B721" s="56">
        <f>+VLOOKUP(A721,'Chi tiết NVL'!$I$10:$J$4158,2,0)</f>
        <v/>
      </c>
      <c r="C721" s="57">
        <f>+SUMIF('Chi tiết NVL'!$I:$I,$A721,'Chi tiết NVL'!L:L)</f>
        <v/>
      </c>
      <c r="D721" s="57">
        <f>+SUMIF('Chi tiết NVL'!$I:$I,$A721,'Chi tiết NVL'!M:M)</f>
        <v/>
      </c>
      <c r="E721" s="57">
        <f>+SUMIF('Chi tiết NVL'!$I:$I,$A721,'Chi tiết NVL'!N:N)</f>
        <v/>
      </c>
      <c r="F721" s="57">
        <f>+SUMIF('Chi tiết NVL'!$I:$I,$A721,'Chi tiết NVL'!O:O)</f>
        <v/>
      </c>
      <c r="G721" s="57">
        <f>+SUMIF('Chi tiết NVL'!$I:$I,$A721,'Chi tiết NVL'!P:P)</f>
        <v/>
      </c>
      <c r="H721" s="57">
        <f>+SUMIF('Chi tiết NVL'!$I:$I,$A721,'Chi tiết NVL'!Q:Q)</f>
        <v/>
      </c>
      <c r="I721" s="57">
        <f>+SUMIF('Chi tiết NVL'!$I:$I,$A721,'Chi tiết NVL'!R:R)</f>
        <v/>
      </c>
      <c r="J721" s="57">
        <f>+SUMIF('Chi tiết NVL'!$I:$I,$A721,'Chi tiết NVL'!S:S)</f>
        <v/>
      </c>
    </row>
    <row r="722" ht="31.5" customHeight="1">
      <c r="A722" s="56" t="inlineStr">
        <is>
          <t>Kệ thép Cao 4m5 rộng 1m dài 2m7 lọt lòng ( 2 tầng )bộ độc lập</t>
        </is>
      </c>
      <c r="B722" s="56">
        <f>+VLOOKUP(A722,'Chi tiết NVL'!$I$10:$J$4158,2,0)</f>
        <v/>
      </c>
      <c r="C722" s="57">
        <f>+SUMIF('Chi tiết NVL'!$I:$I,$A722,'Chi tiết NVL'!L:L)</f>
        <v/>
      </c>
      <c r="D722" s="57">
        <f>+SUMIF('Chi tiết NVL'!$I:$I,$A722,'Chi tiết NVL'!M:M)</f>
        <v/>
      </c>
      <c r="E722" s="57">
        <f>+SUMIF('Chi tiết NVL'!$I:$I,$A722,'Chi tiết NVL'!N:N)</f>
        <v/>
      </c>
      <c r="F722" s="57">
        <f>+SUMIF('Chi tiết NVL'!$I:$I,$A722,'Chi tiết NVL'!O:O)</f>
        <v/>
      </c>
      <c r="G722" s="57">
        <f>+SUMIF('Chi tiết NVL'!$I:$I,$A722,'Chi tiết NVL'!P:P)</f>
        <v/>
      </c>
      <c r="H722" s="57">
        <f>+SUMIF('Chi tiết NVL'!$I:$I,$A722,'Chi tiết NVL'!Q:Q)</f>
        <v/>
      </c>
      <c r="I722" s="57">
        <f>+SUMIF('Chi tiết NVL'!$I:$I,$A722,'Chi tiết NVL'!R:R)</f>
        <v/>
      </c>
      <c r="J722" s="57">
        <f>+SUMIF('Chi tiết NVL'!$I:$I,$A722,'Chi tiết NVL'!S:S)</f>
        <v/>
      </c>
    </row>
    <row r="723" ht="31.5" customHeight="1">
      <c r="A723" s="56" t="inlineStr">
        <is>
          <t>Kệ thép Cao 4m5 rộng 1m dài 2m7 lọt lòng ( 2 tầng )bộ nối tiếp</t>
        </is>
      </c>
      <c r="B723" s="56">
        <f>+VLOOKUP(A723,'Chi tiết NVL'!$I$10:$J$4158,2,0)</f>
        <v/>
      </c>
      <c r="C723" s="57">
        <f>+SUMIF('Chi tiết NVL'!$I:$I,$A723,'Chi tiết NVL'!L:L)</f>
        <v/>
      </c>
      <c r="D723" s="57">
        <f>+SUMIF('Chi tiết NVL'!$I:$I,$A723,'Chi tiết NVL'!M:M)</f>
        <v/>
      </c>
      <c r="E723" s="57">
        <f>+SUMIF('Chi tiết NVL'!$I:$I,$A723,'Chi tiết NVL'!N:N)</f>
        <v/>
      </c>
      <c r="F723" s="57">
        <f>+SUMIF('Chi tiết NVL'!$I:$I,$A723,'Chi tiết NVL'!O:O)</f>
        <v/>
      </c>
      <c r="G723" s="57">
        <f>+SUMIF('Chi tiết NVL'!$I:$I,$A723,'Chi tiết NVL'!P:P)</f>
        <v/>
      </c>
      <c r="H723" s="57">
        <f>+SUMIF('Chi tiết NVL'!$I:$I,$A723,'Chi tiết NVL'!Q:Q)</f>
        <v/>
      </c>
      <c r="I723" s="57">
        <f>+SUMIF('Chi tiết NVL'!$I:$I,$A723,'Chi tiết NVL'!R:R)</f>
        <v/>
      </c>
      <c r="J723" s="57">
        <f>+SUMIF('Chi tiết NVL'!$I:$I,$A723,'Chi tiết NVL'!S:S)</f>
        <v/>
      </c>
    </row>
    <row r="724" ht="31.5" customHeight="1">
      <c r="A724" s="56" t="inlineStr">
        <is>
          <t>Kệ thép Cao 4m5 rộng 1m dài 1m4 lọt lòng ( 2 tầng )bộ nối tiếp</t>
        </is>
      </c>
      <c r="B724" s="56">
        <f>+VLOOKUP(A724,'Chi tiết NVL'!$I$10:$J$4158,2,0)</f>
        <v/>
      </c>
      <c r="C724" s="57">
        <f>+SUMIF('Chi tiết NVL'!$I:$I,$A724,'Chi tiết NVL'!L:L)</f>
        <v/>
      </c>
      <c r="D724" s="57">
        <f>+SUMIF('Chi tiết NVL'!$I:$I,$A724,'Chi tiết NVL'!M:M)</f>
        <v/>
      </c>
      <c r="E724" s="57">
        <f>+SUMIF('Chi tiết NVL'!$I:$I,$A724,'Chi tiết NVL'!N:N)</f>
        <v/>
      </c>
      <c r="F724" s="57">
        <f>+SUMIF('Chi tiết NVL'!$I:$I,$A724,'Chi tiết NVL'!O:O)</f>
        <v/>
      </c>
      <c r="G724" s="57">
        <f>+SUMIF('Chi tiết NVL'!$I:$I,$A724,'Chi tiết NVL'!P:P)</f>
        <v/>
      </c>
      <c r="H724" s="57">
        <f>+SUMIF('Chi tiết NVL'!$I:$I,$A724,'Chi tiết NVL'!Q:Q)</f>
        <v/>
      </c>
      <c r="I724" s="57">
        <f>+SUMIF('Chi tiết NVL'!$I:$I,$A724,'Chi tiết NVL'!R:R)</f>
        <v/>
      </c>
      <c r="J724" s="57">
        <f>+SUMIF('Chi tiết NVL'!$I:$I,$A724,'Chi tiết NVL'!S:S)</f>
        <v/>
      </c>
    </row>
    <row r="725">
      <c r="A725" s="56" t="inlineStr">
        <is>
          <t>Ốp bảo vệ</t>
        </is>
      </c>
      <c r="B725" s="56">
        <f>+VLOOKUP(A725,'Chi tiết NVL'!$I$10:$J$4158,2,0)</f>
        <v/>
      </c>
      <c r="C725" s="57">
        <f>+SUMIF('Chi tiết NVL'!$I:$I,$A725,'Chi tiết NVL'!L:L)</f>
        <v/>
      </c>
      <c r="D725" s="57">
        <f>+SUMIF('Chi tiết NVL'!$I:$I,$A725,'Chi tiết NVL'!M:M)</f>
        <v/>
      </c>
      <c r="E725" s="57">
        <f>+SUMIF('Chi tiết NVL'!$I:$I,$A725,'Chi tiết NVL'!N:N)</f>
        <v/>
      </c>
      <c r="F725" s="57">
        <f>+SUMIF('Chi tiết NVL'!$I:$I,$A725,'Chi tiết NVL'!O:O)</f>
        <v/>
      </c>
      <c r="G725" s="57">
        <f>+SUMIF('Chi tiết NVL'!$I:$I,$A725,'Chi tiết NVL'!P:P)</f>
        <v/>
      </c>
      <c r="H725" s="57">
        <f>+SUMIF('Chi tiết NVL'!$I:$I,$A725,'Chi tiết NVL'!Q:Q)</f>
        <v/>
      </c>
      <c r="I725" s="57">
        <f>+SUMIF('Chi tiết NVL'!$I:$I,$A725,'Chi tiết NVL'!R:R)</f>
        <v/>
      </c>
      <c r="J725" s="57">
        <f>+SUMIF('Chi tiết NVL'!$I:$I,$A725,'Chi tiết NVL'!S:S)</f>
        <v/>
      </c>
    </row>
    <row r="726">
      <c r="A726" s="56" t="inlineStr">
        <is>
          <t>Thép lan can</t>
        </is>
      </c>
      <c r="B726" s="56">
        <f>+VLOOKUP(A726,'Chi tiết NVL'!$I$10:$J$4158,2,0)</f>
        <v/>
      </c>
      <c r="C726" s="57">
        <f>+SUMIF('Chi tiết NVL'!$I:$I,$A726,'Chi tiết NVL'!L:L)</f>
        <v/>
      </c>
      <c r="D726" s="57">
        <f>+SUMIF('Chi tiết NVL'!$I:$I,$A726,'Chi tiết NVL'!M:M)</f>
        <v/>
      </c>
      <c r="E726" s="57">
        <f>+SUMIF('Chi tiết NVL'!$I:$I,$A726,'Chi tiết NVL'!N:N)</f>
        <v/>
      </c>
      <c r="F726" s="57">
        <f>+SUMIF('Chi tiết NVL'!$I:$I,$A726,'Chi tiết NVL'!O:O)</f>
        <v/>
      </c>
      <c r="G726" s="57">
        <f>+SUMIF('Chi tiết NVL'!$I:$I,$A726,'Chi tiết NVL'!P:P)</f>
        <v/>
      </c>
      <c r="H726" s="57">
        <f>+SUMIF('Chi tiết NVL'!$I:$I,$A726,'Chi tiết NVL'!Q:Q)</f>
        <v/>
      </c>
      <c r="I726" s="57">
        <f>+SUMIF('Chi tiết NVL'!$I:$I,$A726,'Chi tiết NVL'!R:R)</f>
        <v/>
      </c>
      <c r="J726" s="57">
        <f>+SUMIF('Chi tiết NVL'!$I:$I,$A726,'Chi tiết NVL'!S:S)</f>
        <v/>
      </c>
    </row>
    <row r="727">
      <c r="A727" s="56" t="inlineStr">
        <is>
          <t>SƠN FUTURA CLASSIC RAL 9016 18.21L</t>
        </is>
      </c>
      <c r="B727" s="56">
        <f>+VLOOKUP(A727,'Chi tiết NVL'!$I$10:$J$4158,2,0)</f>
        <v/>
      </c>
      <c r="C727" s="57">
        <f>+SUMIF('Chi tiết NVL'!$I:$I,$A727,'Chi tiết NVL'!L:L)</f>
        <v/>
      </c>
      <c r="D727" s="57">
        <f>+SUMIF('Chi tiết NVL'!$I:$I,$A727,'Chi tiết NVL'!M:M)</f>
        <v/>
      </c>
      <c r="E727" s="57">
        <f>+SUMIF('Chi tiết NVL'!$I:$I,$A727,'Chi tiết NVL'!N:N)</f>
        <v/>
      </c>
      <c r="F727" s="57">
        <f>+SUMIF('Chi tiết NVL'!$I:$I,$A727,'Chi tiết NVL'!O:O)</f>
        <v/>
      </c>
      <c r="G727" s="57">
        <f>+SUMIF('Chi tiết NVL'!$I:$I,$A727,'Chi tiết NVL'!P:P)</f>
        <v/>
      </c>
      <c r="H727" s="57">
        <f>+SUMIF('Chi tiết NVL'!$I:$I,$A727,'Chi tiết NVL'!Q:Q)</f>
        <v/>
      </c>
      <c r="I727" s="57">
        <f>+SUMIF('Chi tiết NVL'!$I:$I,$A727,'Chi tiết NVL'!R:R)</f>
        <v/>
      </c>
      <c r="J727" s="57">
        <f>+SUMIF('Chi tiết NVL'!$I:$I,$A727,'Chi tiết NVL'!S:S)</f>
        <v/>
      </c>
    </row>
    <row r="728" ht="31.5" customHeight="1">
      <c r="A728" s="56" t="inlineStr">
        <is>
          <t>Bulong neo I M24x530, DIN976, MKĐP, 8.8 (T+4E+P)</t>
        </is>
      </c>
      <c r="B728" s="56">
        <f>+VLOOKUP(A728,'Chi tiết NVL'!$I$10:$J$4158,2,0)</f>
        <v/>
      </c>
      <c r="C728" s="57">
        <f>+SUMIF('Chi tiết NVL'!$I:$I,$A728,'Chi tiết NVL'!L:L)</f>
        <v/>
      </c>
      <c r="D728" s="57">
        <f>+SUMIF('Chi tiết NVL'!$I:$I,$A728,'Chi tiết NVL'!M:M)</f>
        <v/>
      </c>
      <c r="E728" s="57">
        <f>+SUMIF('Chi tiết NVL'!$I:$I,$A728,'Chi tiết NVL'!N:N)</f>
        <v/>
      </c>
      <c r="F728" s="57">
        <f>+SUMIF('Chi tiết NVL'!$I:$I,$A728,'Chi tiết NVL'!O:O)</f>
        <v/>
      </c>
      <c r="G728" s="57">
        <f>+SUMIF('Chi tiết NVL'!$I:$I,$A728,'Chi tiết NVL'!P:P)</f>
        <v/>
      </c>
      <c r="H728" s="57">
        <f>+SUMIF('Chi tiết NVL'!$I:$I,$A728,'Chi tiết NVL'!Q:Q)</f>
        <v/>
      </c>
      <c r="I728" s="57">
        <f>+SUMIF('Chi tiết NVL'!$I:$I,$A728,'Chi tiết NVL'!R:R)</f>
        <v/>
      </c>
      <c r="J728" s="57">
        <f>+SUMIF('Chi tiết NVL'!$I:$I,$A728,'Chi tiết NVL'!S:S)</f>
        <v/>
      </c>
    </row>
    <row r="729" ht="31.5" customHeight="1">
      <c r="A729" s="56" t="inlineStr">
        <is>
          <t>Bulong neo I M24x530, DIN976, MKĐP,4.6 (T+4E+P)</t>
        </is>
      </c>
      <c r="B729" s="56">
        <f>+VLOOKUP(A729,'Chi tiết NVL'!$I$10:$J$4158,2,0)</f>
        <v/>
      </c>
      <c r="C729" s="57">
        <f>+SUMIF('Chi tiết NVL'!$I:$I,$A729,'Chi tiết NVL'!L:L)</f>
        <v/>
      </c>
      <c r="D729" s="57">
        <f>+SUMIF('Chi tiết NVL'!$I:$I,$A729,'Chi tiết NVL'!M:M)</f>
        <v/>
      </c>
      <c r="E729" s="57">
        <f>+SUMIF('Chi tiết NVL'!$I:$I,$A729,'Chi tiết NVL'!N:N)</f>
        <v/>
      </c>
      <c r="F729" s="57">
        <f>+SUMIF('Chi tiết NVL'!$I:$I,$A729,'Chi tiết NVL'!O:O)</f>
        <v/>
      </c>
      <c r="G729" s="57">
        <f>+SUMIF('Chi tiết NVL'!$I:$I,$A729,'Chi tiết NVL'!P:P)</f>
        <v/>
      </c>
      <c r="H729" s="57">
        <f>+SUMIF('Chi tiết NVL'!$I:$I,$A729,'Chi tiết NVL'!Q:Q)</f>
        <v/>
      </c>
      <c r="I729" s="57">
        <f>+SUMIF('Chi tiết NVL'!$I:$I,$A729,'Chi tiết NVL'!R:R)</f>
        <v/>
      </c>
      <c r="J729" s="57">
        <f>+SUMIF('Chi tiết NVL'!$I:$I,$A729,'Chi tiết NVL'!S:S)</f>
        <v/>
      </c>
    </row>
    <row r="730" ht="31.5" customHeight="1">
      <c r="A730" s="56" t="inlineStr">
        <is>
          <t>Bulong neo I M30x645, DIN976, MKĐP, 4.6 (T+4E+P)</t>
        </is>
      </c>
      <c r="B730" s="56">
        <f>+VLOOKUP(A730,'Chi tiết NVL'!$I$10:$J$4158,2,0)</f>
        <v/>
      </c>
      <c r="C730" s="57">
        <f>+SUMIF('Chi tiết NVL'!$I:$I,$A730,'Chi tiết NVL'!L:L)</f>
        <v/>
      </c>
      <c r="D730" s="57">
        <f>+SUMIF('Chi tiết NVL'!$I:$I,$A730,'Chi tiết NVL'!M:M)</f>
        <v/>
      </c>
      <c r="E730" s="57">
        <f>+SUMIF('Chi tiết NVL'!$I:$I,$A730,'Chi tiết NVL'!N:N)</f>
        <v/>
      </c>
      <c r="F730" s="57">
        <f>+SUMIF('Chi tiết NVL'!$I:$I,$A730,'Chi tiết NVL'!O:O)</f>
        <v/>
      </c>
      <c r="G730" s="57">
        <f>+SUMIF('Chi tiết NVL'!$I:$I,$A730,'Chi tiết NVL'!P:P)</f>
        <v/>
      </c>
      <c r="H730" s="57">
        <f>+SUMIF('Chi tiết NVL'!$I:$I,$A730,'Chi tiết NVL'!Q:Q)</f>
        <v/>
      </c>
      <c r="I730" s="57">
        <f>+SUMIF('Chi tiết NVL'!$I:$I,$A730,'Chi tiết NVL'!R:R)</f>
        <v/>
      </c>
      <c r="J730" s="57">
        <f>+SUMIF('Chi tiết NVL'!$I:$I,$A730,'Chi tiết NVL'!S:S)</f>
        <v/>
      </c>
    </row>
    <row r="731" ht="31.5" customHeight="1">
      <c r="A731" s="56" t="inlineStr">
        <is>
          <t>Bulong neo I M24x530, DIN976, MKĐP, 4.6 (T+4E+P)</t>
        </is>
      </c>
      <c r="B731" s="56">
        <f>+VLOOKUP(A731,'Chi tiết NVL'!$I$10:$J$4158,2,0)</f>
        <v/>
      </c>
      <c r="C731" s="57">
        <f>+SUMIF('Chi tiết NVL'!$I:$I,$A731,'Chi tiết NVL'!L:L)</f>
        <v/>
      </c>
      <c r="D731" s="57">
        <f>+SUMIF('Chi tiết NVL'!$I:$I,$A731,'Chi tiết NVL'!M:M)</f>
        <v/>
      </c>
      <c r="E731" s="57">
        <f>+SUMIF('Chi tiết NVL'!$I:$I,$A731,'Chi tiết NVL'!N:N)</f>
        <v/>
      </c>
      <c r="F731" s="57">
        <f>+SUMIF('Chi tiết NVL'!$I:$I,$A731,'Chi tiết NVL'!O:O)</f>
        <v/>
      </c>
      <c r="G731" s="57">
        <f>+SUMIF('Chi tiết NVL'!$I:$I,$A731,'Chi tiết NVL'!P:P)</f>
        <v/>
      </c>
      <c r="H731" s="57">
        <f>+SUMIF('Chi tiết NVL'!$I:$I,$A731,'Chi tiết NVL'!Q:Q)</f>
        <v/>
      </c>
      <c r="I731" s="57">
        <f>+SUMIF('Chi tiết NVL'!$I:$I,$A731,'Chi tiết NVL'!R:R)</f>
        <v/>
      </c>
      <c r="J731" s="57">
        <f>+SUMIF('Chi tiết NVL'!$I:$I,$A731,'Chi tiết NVL'!S:S)</f>
        <v/>
      </c>
    </row>
    <row r="732">
      <c r="A732" s="56" t="inlineStr">
        <is>
          <t>SƠN FUTURA CLASSIC RAL 9005 4.77L</t>
        </is>
      </c>
      <c r="B732" s="56">
        <f>+VLOOKUP(A732,'Chi tiết NVL'!$I$10:$J$4158,2,0)</f>
        <v/>
      </c>
      <c r="C732" s="57">
        <f>+SUMIF('Chi tiết NVL'!$I:$I,$A732,'Chi tiết NVL'!L:L)</f>
        <v/>
      </c>
      <c r="D732" s="57">
        <f>+SUMIF('Chi tiết NVL'!$I:$I,$A732,'Chi tiết NVL'!M:M)</f>
        <v/>
      </c>
      <c r="E732" s="57">
        <f>+SUMIF('Chi tiết NVL'!$I:$I,$A732,'Chi tiết NVL'!N:N)</f>
        <v/>
      </c>
      <c r="F732" s="57">
        <f>+SUMIF('Chi tiết NVL'!$I:$I,$A732,'Chi tiết NVL'!O:O)</f>
        <v/>
      </c>
      <c r="G732" s="57">
        <f>+SUMIF('Chi tiết NVL'!$I:$I,$A732,'Chi tiết NVL'!P:P)</f>
        <v/>
      </c>
      <c r="H732" s="57">
        <f>+SUMIF('Chi tiết NVL'!$I:$I,$A732,'Chi tiết NVL'!Q:Q)</f>
        <v/>
      </c>
      <c r="I732" s="57">
        <f>+SUMIF('Chi tiết NVL'!$I:$I,$A732,'Chi tiết NVL'!R:R)</f>
        <v/>
      </c>
      <c r="J732" s="57">
        <f>+SUMIF('Chi tiết NVL'!$I:$I,$A732,'Chi tiết NVL'!S:S)</f>
        <v/>
      </c>
    </row>
    <row r="733">
      <c r="A733" s="56" t="inlineStr">
        <is>
          <t>SƠN FUTURA CLASSIC RAL 6018 19.97L</t>
        </is>
      </c>
      <c r="B733" s="56">
        <f>+VLOOKUP(A733,'Chi tiết NVL'!$I$10:$J$4158,2,0)</f>
        <v/>
      </c>
      <c r="C733" s="57">
        <f>+SUMIF('Chi tiết NVL'!$I:$I,$A733,'Chi tiết NVL'!L:L)</f>
        <v/>
      </c>
      <c r="D733" s="57">
        <f>+SUMIF('Chi tiết NVL'!$I:$I,$A733,'Chi tiết NVL'!M:M)</f>
        <v/>
      </c>
      <c r="E733" s="57">
        <f>+SUMIF('Chi tiết NVL'!$I:$I,$A733,'Chi tiết NVL'!N:N)</f>
        <v/>
      </c>
      <c r="F733" s="57">
        <f>+SUMIF('Chi tiết NVL'!$I:$I,$A733,'Chi tiết NVL'!O:O)</f>
        <v/>
      </c>
      <c r="G733" s="57">
        <f>+SUMIF('Chi tiết NVL'!$I:$I,$A733,'Chi tiết NVL'!P:P)</f>
        <v/>
      </c>
      <c r="H733" s="57">
        <f>+SUMIF('Chi tiết NVL'!$I:$I,$A733,'Chi tiết NVL'!Q:Q)</f>
        <v/>
      </c>
      <c r="I733" s="57">
        <f>+SUMIF('Chi tiết NVL'!$I:$I,$A733,'Chi tiết NVL'!R:R)</f>
        <v/>
      </c>
      <c r="J733" s="57">
        <f>+SUMIF('Chi tiết NVL'!$I:$I,$A733,'Chi tiết NVL'!S:S)</f>
        <v/>
      </c>
    </row>
    <row r="734">
      <c r="A734" s="56" t="inlineStr">
        <is>
          <t>SƠN FUTURA CLASSIC RAL 6018 4.99L</t>
        </is>
      </c>
      <c r="B734" s="56">
        <f>+VLOOKUP(A734,'Chi tiết NVL'!$I$10:$J$4158,2,0)</f>
        <v/>
      </c>
      <c r="C734" s="57">
        <f>+SUMIF('Chi tiết NVL'!$I:$I,$A734,'Chi tiết NVL'!L:L)</f>
        <v/>
      </c>
      <c r="D734" s="57">
        <f>+SUMIF('Chi tiết NVL'!$I:$I,$A734,'Chi tiết NVL'!M:M)</f>
        <v/>
      </c>
      <c r="E734" s="57">
        <f>+SUMIF('Chi tiết NVL'!$I:$I,$A734,'Chi tiết NVL'!N:N)</f>
        <v/>
      </c>
      <c r="F734" s="57">
        <f>+SUMIF('Chi tiết NVL'!$I:$I,$A734,'Chi tiết NVL'!O:O)</f>
        <v/>
      </c>
      <c r="G734" s="57">
        <f>+SUMIF('Chi tiết NVL'!$I:$I,$A734,'Chi tiết NVL'!P:P)</f>
        <v/>
      </c>
      <c r="H734" s="57">
        <f>+SUMIF('Chi tiết NVL'!$I:$I,$A734,'Chi tiết NVL'!Q:Q)</f>
        <v/>
      </c>
      <c r="I734" s="57">
        <f>+SUMIF('Chi tiết NVL'!$I:$I,$A734,'Chi tiết NVL'!R:R)</f>
        <v/>
      </c>
      <c r="J734" s="57">
        <f>+SUMIF('Chi tiết NVL'!$I:$I,$A734,'Chi tiết NVL'!S:S)</f>
        <v/>
      </c>
    </row>
    <row r="735">
      <c r="A735" s="56" t="inlineStr">
        <is>
          <t>SƠN FUTURA CLASSIC STD 6317 18.25L</t>
        </is>
      </c>
      <c r="B735" s="56">
        <f>+VLOOKUP(A735,'Chi tiết NVL'!$I$10:$J$4158,2,0)</f>
        <v/>
      </c>
      <c r="C735" s="57">
        <f>+SUMIF('Chi tiết NVL'!$I:$I,$A735,'Chi tiết NVL'!L:L)</f>
        <v/>
      </c>
      <c r="D735" s="57">
        <f>+SUMIF('Chi tiết NVL'!$I:$I,$A735,'Chi tiết NVL'!M:M)</f>
        <v/>
      </c>
      <c r="E735" s="57">
        <f>+SUMIF('Chi tiết NVL'!$I:$I,$A735,'Chi tiết NVL'!N:N)</f>
        <v/>
      </c>
      <c r="F735" s="57">
        <f>+SUMIF('Chi tiết NVL'!$I:$I,$A735,'Chi tiết NVL'!O:O)</f>
        <v/>
      </c>
      <c r="G735" s="57">
        <f>+SUMIF('Chi tiết NVL'!$I:$I,$A735,'Chi tiết NVL'!P:P)</f>
        <v/>
      </c>
      <c r="H735" s="57">
        <f>+SUMIF('Chi tiết NVL'!$I:$I,$A735,'Chi tiết NVL'!Q:Q)</f>
        <v/>
      </c>
      <c r="I735" s="57">
        <f>+SUMIF('Chi tiết NVL'!$I:$I,$A735,'Chi tiết NVL'!R:R)</f>
        <v/>
      </c>
      <c r="J735" s="57">
        <f>+SUMIF('Chi tiết NVL'!$I:$I,$A735,'Chi tiết NVL'!S:S)</f>
        <v/>
      </c>
    </row>
    <row r="736">
      <c r="A736" s="56" t="inlineStr">
        <is>
          <t>SƠN FUTURA CLASSIC STD 6317 4.56L</t>
        </is>
      </c>
      <c r="B736" s="56">
        <f>+VLOOKUP(A736,'Chi tiết NVL'!$I$10:$J$4158,2,0)</f>
        <v/>
      </c>
      <c r="C736" s="57">
        <f>+SUMIF('Chi tiết NVL'!$I:$I,$A736,'Chi tiết NVL'!L:L)</f>
        <v/>
      </c>
      <c r="D736" s="57">
        <f>+SUMIF('Chi tiết NVL'!$I:$I,$A736,'Chi tiết NVL'!M:M)</f>
        <v/>
      </c>
      <c r="E736" s="57">
        <f>+SUMIF('Chi tiết NVL'!$I:$I,$A736,'Chi tiết NVL'!N:N)</f>
        <v/>
      </c>
      <c r="F736" s="57">
        <f>+SUMIF('Chi tiết NVL'!$I:$I,$A736,'Chi tiết NVL'!O:O)</f>
        <v/>
      </c>
      <c r="G736" s="57">
        <f>+SUMIF('Chi tiết NVL'!$I:$I,$A736,'Chi tiết NVL'!P:P)</f>
        <v/>
      </c>
      <c r="H736" s="57">
        <f>+SUMIF('Chi tiết NVL'!$I:$I,$A736,'Chi tiết NVL'!Q:Q)</f>
        <v/>
      </c>
      <c r="I736" s="57">
        <f>+SUMIF('Chi tiết NVL'!$I:$I,$A736,'Chi tiết NVL'!R:R)</f>
        <v/>
      </c>
      <c r="J736" s="57">
        <f>+SUMIF('Chi tiết NVL'!$I:$I,$A736,'Chi tiết NVL'!S:S)</f>
        <v/>
      </c>
    </row>
    <row r="737">
      <c r="A737" s="56" t="inlineStr">
        <is>
          <t>Thép vuông 150x150x2.5x6m</t>
        </is>
      </c>
      <c r="B737" s="56">
        <f>+VLOOKUP(A737,'Chi tiết NVL'!$I$10:$J$4158,2,0)</f>
        <v/>
      </c>
      <c r="C737" s="57">
        <f>+SUMIF('Chi tiết NVL'!$I:$I,$A737,'Chi tiết NVL'!L:L)</f>
        <v/>
      </c>
      <c r="D737" s="57">
        <f>+SUMIF('Chi tiết NVL'!$I:$I,$A737,'Chi tiết NVL'!M:M)</f>
        <v/>
      </c>
      <c r="E737" s="57">
        <f>+SUMIF('Chi tiết NVL'!$I:$I,$A737,'Chi tiết NVL'!N:N)</f>
        <v/>
      </c>
      <c r="F737" s="57">
        <f>+SUMIF('Chi tiết NVL'!$I:$I,$A737,'Chi tiết NVL'!O:O)</f>
        <v/>
      </c>
      <c r="G737" s="57">
        <f>+SUMIF('Chi tiết NVL'!$I:$I,$A737,'Chi tiết NVL'!P:P)</f>
        <v/>
      </c>
      <c r="H737" s="57">
        <f>+SUMIF('Chi tiết NVL'!$I:$I,$A737,'Chi tiết NVL'!Q:Q)</f>
        <v/>
      </c>
      <c r="I737" s="57">
        <f>+SUMIF('Chi tiết NVL'!$I:$I,$A737,'Chi tiết NVL'!R:R)</f>
        <v/>
      </c>
      <c r="J737" s="57">
        <f>+SUMIF('Chi tiết NVL'!$I:$I,$A737,'Chi tiết NVL'!S:S)</f>
        <v/>
      </c>
    </row>
    <row r="738">
      <c r="A738" s="56" t="inlineStr">
        <is>
          <t>Thép vuông 150x150x4.5x6m</t>
        </is>
      </c>
      <c r="B738" s="56">
        <f>+VLOOKUP(A738,'Chi tiết NVL'!$I$10:$J$4158,2,0)</f>
        <v/>
      </c>
      <c r="C738" s="57">
        <f>+SUMIF('Chi tiết NVL'!$I:$I,$A738,'Chi tiết NVL'!L:L)</f>
        <v/>
      </c>
      <c r="D738" s="57">
        <f>+SUMIF('Chi tiết NVL'!$I:$I,$A738,'Chi tiết NVL'!M:M)</f>
        <v/>
      </c>
      <c r="E738" s="57">
        <f>+SUMIF('Chi tiết NVL'!$I:$I,$A738,'Chi tiết NVL'!N:N)</f>
        <v/>
      </c>
      <c r="F738" s="57">
        <f>+SUMIF('Chi tiết NVL'!$I:$I,$A738,'Chi tiết NVL'!O:O)</f>
        <v/>
      </c>
      <c r="G738" s="57">
        <f>+SUMIF('Chi tiết NVL'!$I:$I,$A738,'Chi tiết NVL'!P:P)</f>
        <v/>
      </c>
      <c r="H738" s="57">
        <f>+SUMIF('Chi tiết NVL'!$I:$I,$A738,'Chi tiết NVL'!Q:Q)</f>
        <v/>
      </c>
      <c r="I738" s="57">
        <f>+SUMIF('Chi tiết NVL'!$I:$I,$A738,'Chi tiết NVL'!R:R)</f>
        <v/>
      </c>
      <c r="J738" s="57">
        <f>+SUMIF('Chi tiết NVL'!$I:$I,$A738,'Chi tiết NVL'!S:S)</f>
        <v/>
      </c>
    </row>
    <row r="739">
      <c r="A739" s="56" t="inlineStr">
        <is>
          <t>Thép vuông 60x60x3x6m</t>
        </is>
      </c>
      <c r="B739" s="56">
        <f>+VLOOKUP(A739,'Chi tiết NVL'!$I$10:$J$4158,2,0)</f>
        <v/>
      </c>
      <c r="C739" s="57">
        <f>+SUMIF('Chi tiết NVL'!$I:$I,$A739,'Chi tiết NVL'!L:L)</f>
        <v/>
      </c>
      <c r="D739" s="57">
        <f>+SUMIF('Chi tiết NVL'!$I:$I,$A739,'Chi tiết NVL'!M:M)</f>
        <v/>
      </c>
      <c r="E739" s="57">
        <f>+SUMIF('Chi tiết NVL'!$I:$I,$A739,'Chi tiết NVL'!N:N)</f>
        <v/>
      </c>
      <c r="F739" s="57">
        <f>+SUMIF('Chi tiết NVL'!$I:$I,$A739,'Chi tiết NVL'!O:O)</f>
        <v/>
      </c>
      <c r="G739" s="57">
        <f>+SUMIF('Chi tiết NVL'!$I:$I,$A739,'Chi tiết NVL'!P:P)</f>
        <v/>
      </c>
      <c r="H739" s="57">
        <f>+SUMIF('Chi tiết NVL'!$I:$I,$A739,'Chi tiết NVL'!Q:Q)</f>
        <v/>
      </c>
      <c r="I739" s="57">
        <f>+SUMIF('Chi tiết NVL'!$I:$I,$A739,'Chi tiết NVL'!R:R)</f>
        <v/>
      </c>
      <c r="J739" s="57">
        <f>+SUMIF('Chi tiết NVL'!$I:$I,$A739,'Chi tiết NVL'!S:S)</f>
        <v/>
      </c>
    </row>
    <row r="740">
      <c r="A740" s="56" t="inlineStr">
        <is>
          <t>Thép lá mạ màu PN Smart Blue 3 0,50 x 1000mm</t>
        </is>
      </c>
      <c r="B740" s="56">
        <f>+VLOOKUP(A740,'Chi tiết NVL'!$I$10:$J$4158,2,0)</f>
        <v/>
      </c>
      <c r="C740" s="57">
        <f>+SUMIF('Chi tiết NVL'!$I:$I,$A740,'Chi tiết NVL'!L:L)</f>
        <v/>
      </c>
      <c r="D740" s="57">
        <f>+SUMIF('Chi tiết NVL'!$I:$I,$A740,'Chi tiết NVL'!M:M)</f>
        <v/>
      </c>
      <c r="E740" s="57">
        <f>+SUMIF('Chi tiết NVL'!$I:$I,$A740,'Chi tiết NVL'!N:N)</f>
        <v/>
      </c>
      <c r="F740" s="57">
        <f>+SUMIF('Chi tiết NVL'!$I:$I,$A740,'Chi tiết NVL'!O:O)</f>
        <v/>
      </c>
      <c r="G740" s="57">
        <f>+SUMIF('Chi tiết NVL'!$I:$I,$A740,'Chi tiết NVL'!P:P)</f>
        <v/>
      </c>
      <c r="H740" s="57">
        <f>+SUMIF('Chi tiết NVL'!$I:$I,$A740,'Chi tiết NVL'!Q:Q)</f>
        <v/>
      </c>
      <c r="I740" s="57">
        <f>+SUMIF('Chi tiết NVL'!$I:$I,$A740,'Chi tiết NVL'!R:R)</f>
        <v/>
      </c>
      <c r="J740" s="57">
        <f>+SUMIF('Chi tiết NVL'!$I:$I,$A740,'Chi tiết NVL'!S:S)</f>
        <v/>
      </c>
    </row>
    <row r="741">
      <c r="A741" s="56" t="inlineStr">
        <is>
          <t>Bulong Din 933 8.8 ZP M16x80</t>
        </is>
      </c>
      <c r="B741" s="56">
        <f>+VLOOKUP(A741,'Chi tiết NVL'!$I$10:$J$4158,2,0)</f>
        <v/>
      </c>
      <c r="C741" s="57">
        <f>+SUMIF('Chi tiết NVL'!$I:$I,$A741,'Chi tiết NVL'!L:L)</f>
        <v/>
      </c>
      <c r="D741" s="57">
        <f>+SUMIF('Chi tiết NVL'!$I:$I,$A741,'Chi tiết NVL'!M:M)</f>
        <v/>
      </c>
      <c r="E741" s="57">
        <f>+SUMIF('Chi tiết NVL'!$I:$I,$A741,'Chi tiết NVL'!N:N)</f>
        <v/>
      </c>
      <c r="F741" s="57">
        <f>+SUMIF('Chi tiết NVL'!$I:$I,$A741,'Chi tiết NVL'!O:O)</f>
        <v/>
      </c>
      <c r="G741" s="57">
        <f>+SUMIF('Chi tiết NVL'!$I:$I,$A741,'Chi tiết NVL'!P:P)</f>
        <v/>
      </c>
      <c r="H741" s="57">
        <f>+SUMIF('Chi tiết NVL'!$I:$I,$A741,'Chi tiết NVL'!Q:Q)</f>
        <v/>
      </c>
      <c r="I741" s="57">
        <f>+SUMIF('Chi tiết NVL'!$I:$I,$A741,'Chi tiết NVL'!R:R)</f>
        <v/>
      </c>
      <c r="J741" s="57">
        <f>+SUMIF('Chi tiết NVL'!$I:$I,$A741,'Chi tiết NVL'!S:S)</f>
        <v/>
      </c>
    </row>
    <row r="742">
      <c r="A742" s="56" t="inlineStr">
        <is>
          <t>Bulong Din 933 8.8 ZP M24x100</t>
        </is>
      </c>
      <c r="B742" s="56">
        <f>+VLOOKUP(A742,'Chi tiết NVL'!$I$10:$J$4158,2,0)</f>
        <v/>
      </c>
      <c r="C742" s="57">
        <f>+SUMIF('Chi tiết NVL'!$I:$I,$A742,'Chi tiết NVL'!L:L)</f>
        <v/>
      </c>
      <c r="D742" s="57">
        <f>+SUMIF('Chi tiết NVL'!$I:$I,$A742,'Chi tiết NVL'!M:M)</f>
        <v/>
      </c>
      <c r="E742" s="57">
        <f>+SUMIF('Chi tiết NVL'!$I:$I,$A742,'Chi tiết NVL'!N:N)</f>
        <v/>
      </c>
      <c r="F742" s="57">
        <f>+SUMIF('Chi tiết NVL'!$I:$I,$A742,'Chi tiết NVL'!O:O)</f>
        <v/>
      </c>
      <c r="G742" s="57">
        <f>+SUMIF('Chi tiết NVL'!$I:$I,$A742,'Chi tiết NVL'!P:P)</f>
        <v/>
      </c>
      <c r="H742" s="57">
        <f>+SUMIF('Chi tiết NVL'!$I:$I,$A742,'Chi tiết NVL'!Q:Q)</f>
        <v/>
      </c>
      <c r="I742" s="57">
        <f>+SUMIF('Chi tiết NVL'!$I:$I,$A742,'Chi tiết NVL'!R:R)</f>
        <v/>
      </c>
      <c r="J742" s="57">
        <f>+SUMIF('Chi tiết NVL'!$I:$I,$A742,'Chi tiết NVL'!S:S)</f>
        <v/>
      </c>
    </row>
    <row r="743">
      <c r="A743" s="56" t="inlineStr">
        <is>
          <t>SƠN FUTURA CLASSIC RAL 7032 18.32L</t>
        </is>
      </c>
      <c r="B743" s="56">
        <f>+VLOOKUP(A743,'Chi tiết NVL'!$I$10:$J$4158,2,0)</f>
        <v/>
      </c>
      <c r="C743" s="57">
        <f>+SUMIF('Chi tiết NVL'!$I:$I,$A743,'Chi tiết NVL'!L:L)</f>
        <v/>
      </c>
      <c r="D743" s="57">
        <f>+SUMIF('Chi tiết NVL'!$I:$I,$A743,'Chi tiết NVL'!M:M)</f>
        <v/>
      </c>
      <c r="E743" s="57">
        <f>+SUMIF('Chi tiết NVL'!$I:$I,$A743,'Chi tiết NVL'!N:N)</f>
        <v/>
      </c>
      <c r="F743" s="57">
        <f>+SUMIF('Chi tiết NVL'!$I:$I,$A743,'Chi tiết NVL'!O:O)</f>
        <v/>
      </c>
      <c r="G743" s="57">
        <f>+SUMIF('Chi tiết NVL'!$I:$I,$A743,'Chi tiết NVL'!P:P)</f>
        <v/>
      </c>
      <c r="H743" s="57">
        <f>+SUMIF('Chi tiết NVL'!$I:$I,$A743,'Chi tiết NVL'!Q:Q)</f>
        <v/>
      </c>
      <c r="I743" s="57">
        <f>+SUMIF('Chi tiết NVL'!$I:$I,$A743,'Chi tiết NVL'!R:R)</f>
        <v/>
      </c>
      <c r="J743" s="57">
        <f>+SUMIF('Chi tiết NVL'!$I:$I,$A743,'Chi tiết NVL'!S:S)</f>
        <v/>
      </c>
    </row>
    <row r="744">
      <c r="A744" s="56" t="inlineStr">
        <is>
          <t>SƠN FUTURA CLASSIC RAL 7032 4.58L</t>
        </is>
      </c>
      <c r="B744" s="56">
        <f>+VLOOKUP(A744,'Chi tiết NVL'!$I$10:$J$4158,2,0)</f>
        <v/>
      </c>
      <c r="C744" s="57">
        <f>+SUMIF('Chi tiết NVL'!$I:$I,$A744,'Chi tiết NVL'!L:L)</f>
        <v/>
      </c>
      <c r="D744" s="57">
        <f>+SUMIF('Chi tiết NVL'!$I:$I,$A744,'Chi tiết NVL'!M:M)</f>
        <v/>
      </c>
      <c r="E744" s="57">
        <f>+SUMIF('Chi tiết NVL'!$I:$I,$A744,'Chi tiết NVL'!N:N)</f>
        <v/>
      </c>
      <c r="F744" s="57">
        <f>+SUMIF('Chi tiết NVL'!$I:$I,$A744,'Chi tiết NVL'!O:O)</f>
        <v/>
      </c>
      <c r="G744" s="57">
        <f>+SUMIF('Chi tiết NVL'!$I:$I,$A744,'Chi tiết NVL'!P:P)</f>
        <v/>
      </c>
      <c r="H744" s="57">
        <f>+SUMIF('Chi tiết NVL'!$I:$I,$A744,'Chi tiết NVL'!Q:Q)</f>
        <v/>
      </c>
      <c r="I744" s="57">
        <f>+SUMIF('Chi tiết NVL'!$I:$I,$A744,'Chi tiết NVL'!R:R)</f>
        <v/>
      </c>
      <c r="J744" s="57">
        <f>+SUMIF('Chi tiết NVL'!$I:$I,$A744,'Chi tiết NVL'!S:S)</f>
        <v/>
      </c>
    </row>
    <row r="745">
      <c r="A745" s="56" t="inlineStr">
        <is>
          <t>Thép hộp 40x80</t>
        </is>
      </c>
      <c r="B745" s="56">
        <f>+VLOOKUP(A745,'Chi tiết NVL'!$I$10:$J$4158,2,0)</f>
        <v/>
      </c>
      <c r="C745" s="57">
        <f>+SUMIF('Chi tiết NVL'!$I:$I,$A745,'Chi tiết NVL'!L:L)</f>
        <v/>
      </c>
      <c r="D745" s="57">
        <f>+SUMIF('Chi tiết NVL'!$I:$I,$A745,'Chi tiết NVL'!M:M)</f>
        <v/>
      </c>
      <c r="E745" s="57">
        <f>+SUMIF('Chi tiết NVL'!$I:$I,$A745,'Chi tiết NVL'!N:N)</f>
        <v/>
      </c>
      <c r="F745" s="57">
        <f>+SUMIF('Chi tiết NVL'!$I:$I,$A745,'Chi tiết NVL'!O:O)</f>
        <v/>
      </c>
      <c r="G745" s="57">
        <f>+SUMIF('Chi tiết NVL'!$I:$I,$A745,'Chi tiết NVL'!P:P)</f>
        <v/>
      </c>
      <c r="H745" s="57">
        <f>+SUMIF('Chi tiết NVL'!$I:$I,$A745,'Chi tiết NVL'!Q:Q)</f>
        <v/>
      </c>
      <c r="I745" s="57">
        <f>+SUMIF('Chi tiết NVL'!$I:$I,$A745,'Chi tiết NVL'!R:R)</f>
        <v/>
      </c>
      <c r="J745" s="57">
        <f>+SUMIF('Chi tiết NVL'!$I:$I,$A745,'Chi tiết NVL'!S:S)</f>
        <v/>
      </c>
    </row>
    <row r="746">
      <c r="A746" s="56" t="inlineStr">
        <is>
          <t>Thép hình I100</t>
        </is>
      </c>
      <c r="B746" s="56">
        <f>+VLOOKUP(A746,'Chi tiết NVL'!$I$10:$J$4158,2,0)</f>
        <v/>
      </c>
      <c r="C746" s="57">
        <f>+SUMIF('Chi tiết NVL'!$I:$I,$A746,'Chi tiết NVL'!L:L)</f>
        <v/>
      </c>
      <c r="D746" s="57">
        <f>+SUMIF('Chi tiết NVL'!$I:$I,$A746,'Chi tiết NVL'!M:M)</f>
        <v/>
      </c>
      <c r="E746" s="57">
        <f>+SUMIF('Chi tiết NVL'!$I:$I,$A746,'Chi tiết NVL'!N:N)</f>
        <v/>
      </c>
      <c r="F746" s="57">
        <f>+SUMIF('Chi tiết NVL'!$I:$I,$A746,'Chi tiết NVL'!O:O)</f>
        <v/>
      </c>
      <c r="G746" s="57">
        <f>+SUMIF('Chi tiết NVL'!$I:$I,$A746,'Chi tiết NVL'!P:P)</f>
        <v/>
      </c>
      <c r="H746" s="57">
        <f>+SUMIF('Chi tiết NVL'!$I:$I,$A746,'Chi tiết NVL'!Q:Q)</f>
        <v/>
      </c>
      <c r="I746" s="57">
        <f>+SUMIF('Chi tiết NVL'!$I:$I,$A746,'Chi tiết NVL'!R:R)</f>
        <v/>
      </c>
      <c r="J746" s="57">
        <f>+SUMIF('Chi tiết NVL'!$I:$I,$A746,'Chi tiết NVL'!S:S)</f>
        <v/>
      </c>
    </row>
    <row r="747">
      <c r="A747" s="56" t="inlineStr">
        <is>
          <t>Thép lá 1.15ly</t>
        </is>
      </c>
      <c r="B747" s="56">
        <f>+VLOOKUP(A747,'Chi tiết NVL'!$I$10:$J$4158,2,0)</f>
        <v/>
      </c>
      <c r="C747" s="57">
        <f>+SUMIF('Chi tiết NVL'!$I:$I,$A747,'Chi tiết NVL'!L:L)</f>
        <v/>
      </c>
      <c r="D747" s="57">
        <f>+SUMIF('Chi tiết NVL'!$I:$I,$A747,'Chi tiết NVL'!M:M)</f>
        <v/>
      </c>
      <c r="E747" s="57">
        <f>+SUMIF('Chi tiết NVL'!$I:$I,$A747,'Chi tiết NVL'!N:N)</f>
        <v/>
      </c>
      <c r="F747" s="57">
        <f>+SUMIF('Chi tiết NVL'!$I:$I,$A747,'Chi tiết NVL'!O:O)</f>
        <v/>
      </c>
      <c r="G747" s="57">
        <f>+SUMIF('Chi tiết NVL'!$I:$I,$A747,'Chi tiết NVL'!P:P)</f>
        <v/>
      </c>
      <c r="H747" s="57">
        <f>+SUMIF('Chi tiết NVL'!$I:$I,$A747,'Chi tiết NVL'!Q:Q)</f>
        <v/>
      </c>
      <c r="I747" s="57">
        <f>+SUMIF('Chi tiết NVL'!$I:$I,$A747,'Chi tiết NVL'!R:R)</f>
        <v/>
      </c>
      <c r="J747" s="57">
        <f>+SUMIF('Chi tiết NVL'!$I:$I,$A747,'Chi tiết NVL'!S:S)</f>
        <v/>
      </c>
    </row>
    <row r="748">
      <c r="A748" s="56" t="inlineStr">
        <is>
          <t>Bulong Din 933 inox 304 M20x100</t>
        </is>
      </c>
      <c r="B748" s="56">
        <f>+VLOOKUP(A748,'Chi tiết NVL'!$I$10:$J$4158,2,0)</f>
        <v/>
      </c>
      <c r="C748" s="57">
        <f>+SUMIF('Chi tiết NVL'!$I:$I,$A748,'Chi tiết NVL'!L:L)</f>
        <v/>
      </c>
      <c r="D748" s="57">
        <f>+SUMIF('Chi tiết NVL'!$I:$I,$A748,'Chi tiết NVL'!M:M)</f>
        <v/>
      </c>
      <c r="E748" s="57">
        <f>+SUMIF('Chi tiết NVL'!$I:$I,$A748,'Chi tiết NVL'!N:N)</f>
        <v/>
      </c>
      <c r="F748" s="57">
        <f>+SUMIF('Chi tiết NVL'!$I:$I,$A748,'Chi tiết NVL'!O:O)</f>
        <v/>
      </c>
      <c r="G748" s="57">
        <f>+SUMIF('Chi tiết NVL'!$I:$I,$A748,'Chi tiết NVL'!P:P)</f>
        <v/>
      </c>
      <c r="H748" s="57">
        <f>+SUMIF('Chi tiết NVL'!$I:$I,$A748,'Chi tiết NVL'!Q:Q)</f>
        <v/>
      </c>
      <c r="I748" s="57">
        <f>+SUMIF('Chi tiết NVL'!$I:$I,$A748,'Chi tiết NVL'!R:R)</f>
        <v/>
      </c>
      <c r="J748" s="57">
        <f>+SUMIF('Chi tiết NVL'!$I:$I,$A748,'Chi tiết NVL'!S:S)</f>
        <v/>
      </c>
    </row>
    <row r="749">
      <c r="A749" s="56" t="inlineStr">
        <is>
          <t>Đai ốc Din 934 inox 304 M20</t>
        </is>
      </c>
      <c r="B749" s="56">
        <f>+VLOOKUP(A749,'Chi tiết NVL'!$I$10:$J$4158,2,0)</f>
        <v/>
      </c>
      <c r="C749" s="57">
        <f>+SUMIF('Chi tiết NVL'!$I:$I,$A749,'Chi tiết NVL'!L:L)</f>
        <v/>
      </c>
      <c r="D749" s="57">
        <f>+SUMIF('Chi tiết NVL'!$I:$I,$A749,'Chi tiết NVL'!M:M)</f>
        <v/>
      </c>
      <c r="E749" s="57">
        <f>+SUMIF('Chi tiết NVL'!$I:$I,$A749,'Chi tiết NVL'!N:N)</f>
        <v/>
      </c>
      <c r="F749" s="57">
        <f>+SUMIF('Chi tiết NVL'!$I:$I,$A749,'Chi tiết NVL'!O:O)</f>
        <v/>
      </c>
      <c r="G749" s="57">
        <f>+SUMIF('Chi tiết NVL'!$I:$I,$A749,'Chi tiết NVL'!P:P)</f>
        <v/>
      </c>
      <c r="H749" s="57">
        <f>+SUMIF('Chi tiết NVL'!$I:$I,$A749,'Chi tiết NVL'!Q:Q)</f>
        <v/>
      </c>
      <c r="I749" s="57">
        <f>+SUMIF('Chi tiết NVL'!$I:$I,$A749,'Chi tiết NVL'!R:R)</f>
        <v/>
      </c>
      <c r="J749" s="57">
        <f>+SUMIF('Chi tiết NVL'!$I:$I,$A749,'Chi tiết NVL'!S:S)</f>
        <v/>
      </c>
    </row>
    <row r="750">
      <c r="A750" s="56" t="inlineStr">
        <is>
          <t>Long đền thường inox 304 M20</t>
        </is>
      </c>
      <c r="B750" s="56">
        <f>+VLOOKUP(A750,'Chi tiết NVL'!$I$10:$J$4158,2,0)</f>
        <v/>
      </c>
      <c r="C750" s="57">
        <f>+SUMIF('Chi tiết NVL'!$I:$I,$A750,'Chi tiết NVL'!L:L)</f>
        <v/>
      </c>
      <c r="D750" s="57">
        <f>+SUMIF('Chi tiết NVL'!$I:$I,$A750,'Chi tiết NVL'!M:M)</f>
        <v/>
      </c>
      <c r="E750" s="57">
        <f>+SUMIF('Chi tiết NVL'!$I:$I,$A750,'Chi tiết NVL'!N:N)</f>
        <v/>
      </c>
      <c r="F750" s="57">
        <f>+SUMIF('Chi tiết NVL'!$I:$I,$A750,'Chi tiết NVL'!O:O)</f>
        <v/>
      </c>
      <c r="G750" s="57">
        <f>+SUMIF('Chi tiết NVL'!$I:$I,$A750,'Chi tiết NVL'!P:P)</f>
        <v/>
      </c>
      <c r="H750" s="57">
        <f>+SUMIF('Chi tiết NVL'!$I:$I,$A750,'Chi tiết NVL'!Q:Q)</f>
        <v/>
      </c>
      <c r="I750" s="57">
        <f>+SUMIF('Chi tiết NVL'!$I:$I,$A750,'Chi tiết NVL'!R:R)</f>
        <v/>
      </c>
      <c r="J750" s="57">
        <f>+SUMIF('Chi tiết NVL'!$I:$I,$A750,'Chi tiết NVL'!S:S)</f>
        <v/>
      </c>
    </row>
    <row r="751">
      <c r="A751" s="56" t="inlineStr">
        <is>
          <t>Bulong Din 933 8.8 M20x100</t>
        </is>
      </c>
      <c r="B751" s="56">
        <f>+VLOOKUP(A751,'Chi tiết NVL'!$I$10:$J$4158,2,0)</f>
        <v/>
      </c>
      <c r="C751" s="57">
        <f>+SUMIF('Chi tiết NVL'!$I:$I,$A751,'Chi tiết NVL'!L:L)</f>
        <v/>
      </c>
      <c r="D751" s="57">
        <f>+SUMIF('Chi tiết NVL'!$I:$I,$A751,'Chi tiết NVL'!M:M)</f>
        <v/>
      </c>
      <c r="E751" s="57">
        <f>+SUMIF('Chi tiết NVL'!$I:$I,$A751,'Chi tiết NVL'!N:N)</f>
        <v/>
      </c>
      <c r="F751" s="57">
        <f>+SUMIF('Chi tiết NVL'!$I:$I,$A751,'Chi tiết NVL'!O:O)</f>
        <v/>
      </c>
      <c r="G751" s="57">
        <f>+SUMIF('Chi tiết NVL'!$I:$I,$A751,'Chi tiết NVL'!P:P)</f>
        <v/>
      </c>
      <c r="H751" s="57">
        <f>+SUMIF('Chi tiết NVL'!$I:$I,$A751,'Chi tiết NVL'!Q:Q)</f>
        <v/>
      </c>
      <c r="I751" s="57">
        <f>+SUMIF('Chi tiết NVL'!$I:$I,$A751,'Chi tiết NVL'!R:R)</f>
        <v/>
      </c>
      <c r="J751" s="57">
        <f>+SUMIF('Chi tiết NVL'!$I:$I,$A751,'Chi tiết NVL'!S:S)</f>
        <v/>
      </c>
    </row>
    <row r="752">
      <c r="A752" s="56" t="inlineStr">
        <is>
          <t>Đai ốc Din 934 8 M20</t>
        </is>
      </c>
      <c r="B752" s="56">
        <f>+VLOOKUP(A752,'Chi tiết NVL'!$I$10:$J$4158,2,0)</f>
        <v/>
      </c>
      <c r="C752" s="57">
        <f>+SUMIF('Chi tiết NVL'!$I:$I,$A752,'Chi tiết NVL'!L:L)</f>
        <v/>
      </c>
      <c r="D752" s="57">
        <f>+SUMIF('Chi tiết NVL'!$I:$I,$A752,'Chi tiết NVL'!M:M)</f>
        <v/>
      </c>
      <c r="E752" s="57">
        <f>+SUMIF('Chi tiết NVL'!$I:$I,$A752,'Chi tiết NVL'!N:N)</f>
        <v/>
      </c>
      <c r="F752" s="57">
        <f>+SUMIF('Chi tiết NVL'!$I:$I,$A752,'Chi tiết NVL'!O:O)</f>
        <v/>
      </c>
      <c r="G752" s="57">
        <f>+SUMIF('Chi tiết NVL'!$I:$I,$A752,'Chi tiết NVL'!P:P)</f>
        <v/>
      </c>
      <c r="H752" s="57">
        <f>+SUMIF('Chi tiết NVL'!$I:$I,$A752,'Chi tiết NVL'!Q:Q)</f>
        <v/>
      </c>
      <c r="I752" s="57">
        <f>+SUMIF('Chi tiết NVL'!$I:$I,$A752,'Chi tiết NVL'!R:R)</f>
        <v/>
      </c>
      <c r="J752" s="57">
        <f>+SUMIF('Chi tiết NVL'!$I:$I,$A752,'Chi tiết NVL'!S:S)</f>
        <v/>
      </c>
    </row>
    <row r="753">
      <c r="A753" s="56" t="inlineStr">
        <is>
          <t>Long đền thường M20B35D2</t>
        </is>
      </c>
      <c r="B753" s="56">
        <f>+VLOOKUP(A753,'Chi tiết NVL'!$I$10:$J$4158,2,0)</f>
        <v/>
      </c>
      <c r="C753" s="57">
        <f>+SUMIF('Chi tiết NVL'!$I:$I,$A753,'Chi tiết NVL'!L:L)</f>
        <v/>
      </c>
      <c r="D753" s="57">
        <f>+SUMIF('Chi tiết NVL'!$I:$I,$A753,'Chi tiết NVL'!M:M)</f>
        <v/>
      </c>
      <c r="E753" s="57">
        <f>+SUMIF('Chi tiết NVL'!$I:$I,$A753,'Chi tiết NVL'!N:N)</f>
        <v/>
      </c>
      <c r="F753" s="57">
        <f>+SUMIF('Chi tiết NVL'!$I:$I,$A753,'Chi tiết NVL'!O:O)</f>
        <v/>
      </c>
      <c r="G753" s="57">
        <f>+SUMIF('Chi tiết NVL'!$I:$I,$A753,'Chi tiết NVL'!P:P)</f>
        <v/>
      </c>
      <c r="H753" s="57">
        <f>+SUMIF('Chi tiết NVL'!$I:$I,$A753,'Chi tiết NVL'!Q:Q)</f>
        <v/>
      </c>
      <c r="I753" s="57">
        <f>+SUMIF('Chi tiết NVL'!$I:$I,$A753,'Chi tiết NVL'!R:R)</f>
        <v/>
      </c>
      <c r="J753" s="57">
        <f>+SUMIF('Chi tiết NVL'!$I:$I,$A753,'Chi tiết NVL'!S:S)</f>
        <v/>
      </c>
    </row>
    <row r="754" ht="63" customHeight="1">
      <c r="A754" s="56" t="inlineStr">
        <is>
          <t>Phí vận chuyển từ địa chỉ 292/5B, Đường Phạm Thị Giây, Xã Đông Thạnh, TP Hồ Chí Minh giao đến Văn phòng STEELTECH - The Global City, 71 Đường N3C, An Phú, Thủ Đức, Hồ Chí Minh - Số xe: 51D-79322T</t>
        </is>
      </c>
      <c r="B754" s="56">
        <f>+VLOOKUP(A754,'Chi tiết NVL'!$I$10:$J$4158,2,0)</f>
        <v/>
      </c>
      <c r="C754" s="57">
        <f>+SUMIF('Chi tiết NVL'!$I:$I,$A754,'Chi tiết NVL'!L:L)</f>
        <v/>
      </c>
      <c r="D754" s="57">
        <f>+SUMIF('Chi tiết NVL'!$I:$I,$A754,'Chi tiết NVL'!M:M)</f>
        <v/>
      </c>
      <c r="E754" s="57">
        <f>+SUMIF('Chi tiết NVL'!$I:$I,$A754,'Chi tiết NVL'!N:N)</f>
        <v/>
      </c>
      <c r="F754" s="57">
        <f>+SUMIF('Chi tiết NVL'!$I:$I,$A754,'Chi tiết NVL'!O:O)</f>
        <v/>
      </c>
      <c r="G754" s="57">
        <f>+SUMIF('Chi tiết NVL'!$I:$I,$A754,'Chi tiết NVL'!P:P)</f>
        <v/>
      </c>
      <c r="H754" s="57">
        <f>+SUMIF('Chi tiết NVL'!$I:$I,$A754,'Chi tiết NVL'!Q:Q)</f>
        <v/>
      </c>
      <c r="I754" s="57">
        <f>+SUMIF('Chi tiết NVL'!$I:$I,$A754,'Chi tiết NVL'!R:R)</f>
        <v/>
      </c>
      <c r="J754" s="57">
        <f>+SUMIF('Chi tiết NVL'!$I:$I,$A754,'Chi tiết NVL'!S:S)</f>
        <v/>
      </c>
    </row>
    <row r="755">
      <c r="A755" s="56" t="inlineStr">
        <is>
          <t>Thép vuông 60</t>
        </is>
      </c>
      <c r="B755" s="56">
        <f>+VLOOKUP(A755,'Chi tiết NVL'!$I$10:$J$4158,2,0)</f>
        <v/>
      </c>
      <c r="C755" s="57">
        <f>+SUMIF('Chi tiết NVL'!$I:$I,$A755,'Chi tiết NVL'!L:L)</f>
        <v/>
      </c>
      <c r="D755" s="57">
        <f>+SUMIF('Chi tiết NVL'!$I:$I,$A755,'Chi tiết NVL'!M:M)</f>
        <v/>
      </c>
      <c r="E755" s="57">
        <f>+SUMIF('Chi tiết NVL'!$I:$I,$A755,'Chi tiết NVL'!N:N)</f>
        <v/>
      </c>
      <c r="F755" s="57">
        <f>+SUMIF('Chi tiết NVL'!$I:$I,$A755,'Chi tiết NVL'!O:O)</f>
        <v/>
      </c>
      <c r="G755" s="57">
        <f>+SUMIF('Chi tiết NVL'!$I:$I,$A755,'Chi tiết NVL'!P:P)</f>
        <v/>
      </c>
      <c r="H755" s="57">
        <f>+SUMIF('Chi tiết NVL'!$I:$I,$A755,'Chi tiết NVL'!Q:Q)</f>
        <v/>
      </c>
      <c r="I755" s="57">
        <f>+SUMIF('Chi tiết NVL'!$I:$I,$A755,'Chi tiết NVL'!R:R)</f>
        <v/>
      </c>
      <c r="J755" s="57">
        <f>+SUMIF('Chi tiết NVL'!$I:$I,$A755,'Chi tiết NVL'!S:S)</f>
        <v/>
      </c>
    </row>
    <row r="756">
      <c r="A756" s="56" t="inlineStr">
        <is>
          <t>Thép tấm 6x2000x6000</t>
        </is>
      </c>
      <c r="B756" s="56">
        <f>+VLOOKUP(A756,'Chi tiết NVL'!$I$10:$J$4158,2,0)</f>
        <v/>
      </c>
      <c r="C756" s="57">
        <f>+SUMIF('Chi tiết NVL'!$I:$I,$A756,'Chi tiết NVL'!L:L)</f>
        <v/>
      </c>
      <c r="D756" s="57">
        <f>+SUMIF('Chi tiết NVL'!$I:$I,$A756,'Chi tiết NVL'!M:M)</f>
        <v/>
      </c>
      <c r="E756" s="57">
        <f>+SUMIF('Chi tiết NVL'!$I:$I,$A756,'Chi tiết NVL'!N:N)</f>
        <v/>
      </c>
      <c r="F756" s="57">
        <f>+SUMIF('Chi tiết NVL'!$I:$I,$A756,'Chi tiết NVL'!O:O)</f>
        <v/>
      </c>
      <c r="G756" s="57">
        <f>+SUMIF('Chi tiết NVL'!$I:$I,$A756,'Chi tiết NVL'!P:P)</f>
        <v/>
      </c>
      <c r="H756" s="57">
        <f>+SUMIF('Chi tiết NVL'!$I:$I,$A756,'Chi tiết NVL'!Q:Q)</f>
        <v/>
      </c>
      <c r="I756" s="57">
        <f>+SUMIF('Chi tiết NVL'!$I:$I,$A756,'Chi tiết NVL'!R:R)</f>
        <v/>
      </c>
      <c r="J756" s="57">
        <f>+SUMIF('Chi tiết NVL'!$I:$I,$A756,'Chi tiết NVL'!S:S)</f>
        <v/>
      </c>
    </row>
    <row r="757">
      <c r="A757" s="56" t="inlineStr">
        <is>
          <t>Thép tấm 25x2000x12000</t>
        </is>
      </c>
      <c r="B757" s="56">
        <f>+VLOOKUP(A757,'Chi tiết NVL'!$I$10:$J$4158,2,0)</f>
        <v/>
      </c>
      <c r="C757" s="57">
        <f>+SUMIF('Chi tiết NVL'!$I:$I,$A757,'Chi tiết NVL'!L:L)</f>
        <v/>
      </c>
      <c r="D757" s="57">
        <f>+SUMIF('Chi tiết NVL'!$I:$I,$A757,'Chi tiết NVL'!M:M)</f>
        <v/>
      </c>
      <c r="E757" s="57">
        <f>+SUMIF('Chi tiết NVL'!$I:$I,$A757,'Chi tiết NVL'!N:N)</f>
        <v/>
      </c>
      <c r="F757" s="57">
        <f>+SUMIF('Chi tiết NVL'!$I:$I,$A757,'Chi tiết NVL'!O:O)</f>
        <v/>
      </c>
      <c r="G757" s="57">
        <f>+SUMIF('Chi tiết NVL'!$I:$I,$A757,'Chi tiết NVL'!P:P)</f>
        <v/>
      </c>
      <c r="H757" s="57">
        <f>+SUMIF('Chi tiết NVL'!$I:$I,$A757,'Chi tiết NVL'!Q:Q)</f>
        <v/>
      </c>
      <c r="I757" s="57">
        <f>+SUMIF('Chi tiết NVL'!$I:$I,$A757,'Chi tiết NVL'!R:R)</f>
        <v/>
      </c>
      <c r="J757" s="57">
        <f>+SUMIF('Chi tiết NVL'!$I:$I,$A757,'Chi tiết NVL'!S:S)</f>
        <v/>
      </c>
    </row>
    <row r="758">
      <c r="A758" s="56" t="inlineStr">
        <is>
          <t>Thép hình U150</t>
        </is>
      </c>
      <c r="B758" s="56">
        <f>+VLOOKUP(A758,'Chi tiết NVL'!$I$10:$J$4158,2,0)</f>
        <v/>
      </c>
      <c r="C758" s="57">
        <f>+SUMIF('Chi tiết NVL'!$I:$I,$A758,'Chi tiết NVL'!L:L)</f>
        <v/>
      </c>
      <c r="D758" s="57">
        <f>+SUMIF('Chi tiết NVL'!$I:$I,$A758,'Chi tiết NVL'!M:M)</f>
        <v/>
      </c>
      <c r="E758" s="57">
        <f>+SUMIF('Chi tiết NVL'!$I:$I,$A758,'Chi tiết NVL'!N:N)</f>
        <v/>
      </c>
      <c r="F758" s="57">
        <f>+SUMIF('Chi tiết NVL'!$I:$I,$A758,'Chi tiết NVL'!O:O)</f>
        <v/>
      </c>
      <c r="G758" s="57">
        <f>+SUMIF('Chi tiết NVL'!$I:$I,$A758,'Chi tiết NVL'!P:P)</f>
        <v/>
      </c>
      <c r="H758" s="57">
        <f>+SUMIF('Chi tiết NVL'!$I:$I,$A758,'Chi tiết NVL'!Q:Q)</f>
        <v/>
      </c>
      <c r="I758" s="57">
        <f>+SUMIF('Chi tiết NVL'!$I:$I,$A758,'Chi tiết NVL'!R:R)</f>
        <v/>
      </c>
      <c r="J758" s="57">
        <f>+SUMIF('Chi tiết NVL'!$I:$I,$A758,'Chi tiết NVL'!S:S)</f>
        <v/>
      </c>
    </row>
    <row r="759">
      <c r="A759" s="56" t="inlineStr">
        <is>
          <t>Thép hộp 50x100x3.0x11m</t>
        </is>
      </c>
      <c r="B759" s="56">
        <f>+VLOOKUP(A759,'Chi tiết NVL'!$I$10:$J$4158,2,0)</f>
        <v/>
      </c>
      <c r="C759" s="57">
        <f>+SUMIF('Chi tiết NVL'!$I:$I,$A759,'Chi tiết NVL'!L:L)</f>
        <v/>
      </c>
      <c r="D759" s="57">
        <f>+SUMIF('Chi tiết NVL'!$I:$I,$A759,'Chi tiết NVL'!M:M)</f>
        <v/>
      </c>
      <c r="E759" s="57">
        <f>+SUMIF('Chi tiết NVL'!$I:$I,$A759,'Chi tiết NVL'!N:N)</f>
        <v/>
      </c>
      <c r="F759" s="57">
        <f>+SUMIF('Chi tiết NVL'!$I:$I,$A759,'Chi tiết NVL'!O:O)</f>
        <v/>
      </c>
      <c r="G759" s="57">
        <f>+SUMIF('Chi tiết NVL'!$I:$I,$A759,'Chi tiết NVL'!P:P)</f>
        <v/>
      </c>
      <c r="H759" s="57">
        <f>+SUMIF('Chi tiết NVL'!$I:$I,$A759,'Chi tiết NVL'!Q:Q)</f>
        <v/>
      </c>
      <c r="I759" s="57">
        <f>+SUMIF('Chi tiết NVL'!$I:$I,$A759,'Chi tiết NVL'!R:R)</f>
        <v/>
      </c>
      <c r="J759" s="57">
        <f>+SUMIF('Chi tiết NVL'!$I:$I,$A759,'Chi tiết NVL'!S:S)</f>
        <v/>
      </c>
    </row>
    <row r="760">
      <c r="A760" s="56" t="inlineStr">
        <is>
          <t>Thép hộp 150x150x2.5x12m</t>
        </is>
      </c>
      <c r="B760" s="56">
        <f>+VLOOKUP(A760,'Chi tiết NVL'!$I$10:$J$4158,2,0)</f>
        <v/>
      </c>
      <c r="C760" s="57">
        <f>+SUMIF('Chi tiết NVL'!$I:$I,$A760,'Chi tiết NVL'!L:L)</f>
        <v/>
      </c>
      <c r="D760" s="57">
        <f>+SUMIF('Chi tiết NVL'!$I:$I,$A760,'Chi tiết NVL'!M:M)</f>
        <v/>
      </c>
      <c r="E760" s="57">
        <f>+SUMIF('Chi tiết NVL'!$I:$I,$A760,'Chi tiết NVL'!N:N)</f>
        <v/>
      </c>
      <c r="F760" s="57">
        <f>+SUMIF('Chi tiết NVL'!$I:$I,$A760,'Chi tiết NVL'!O:O)</f>
        <v/>
      </c>
      <c r="G760" s="57">
        <f>+SUMIF('Chi tiết NVL'!$I:$I,$A760,'Chi tiết NVL'!P:P)</f>
        <v/>
      </c>
      <c r="H760" s="57">
        <f>+SUMIF('Chi tiết NVL'!$I:$I,$A760,'Chi tiết NVL'!Q:Q)</f>
        <v/>
      </c>
      <c r="I760" s="57">
        <f>+SUMIF('Chi tiết NVL'!$I:$I,$A760,'Chi tiết NVL'!R:R)</f>
        <v/>
      </c>
      <c r="J760" s="57">
        <f>+SUMIF('Chi tiết NVL'!$I:$I,$A760,'Chi tiết NVL'!S:S)</f>
        <v/>
      </c>
    </row>
    <row r="761">
      <c r="A761" s="56" t="inlineStr">
        <is>
          <t>SƠN FUTURA CLASSIC RAL 7031 18.99L</t>
        </is>
      </c>
      <c r="B761" s="56">
        <f>+VLOOKUP(A761,'Chi tiết NVL'!$I$10:$J$4158,2,0)</f>
        <v/>
      </c>
      <c r="C761" s="57">
        <f>+SUMIF('Chi tiết NVL'!$I:$I,$A761,'Chi tiết NVL'!L:L)</f>
        <v/>
      </c>
      <c r="D761" s="57">
        <f>+SUMIF('Chi tiết NVL'!$I:$I,$A761,'Chi tiết NVL'!M:M)</f>
        <v/>
      </c>
      <c r="E761" s="57">
        <f>+SUMIF('Chi tiết NVL'!$I:$I,$A761,'Chi tiết NVL'!N:N)</f>
        <v/>
      </c>
      <c r="F761" s="57">
        <f>+SUMIF('Chi tiết NVL'!$I:$I,$A761,'Chi tiết NVL'!O:O)</f>
        <v/>
      </c>
      <c r="G761" s="57">
        <f>+SUMIF('Chi tiết NVL'!$I:$I,$A761,'Chi tiết NVL'!P:P)</f>
        <v/>
      </c>
      <c r="H761" s="57">
        <f>+SUMIF('Chi tiết NVL'!$I:$I,$A761,'Chi tiết NVL'!Q:Q)</f>
        <v/>
      </c>
      <c r="I761" s="57">
        <f>+SUMIF('Chi tiết NVL'!$I:$I,$A761,'Chi tiết NVL'!R:R)</f>
        <v/>
      </c>
      <c r="J761" s="57">
        <f>+SUMIF('Chi tiết NVL'!$I:$I,$A761,'Chi tiết NVL'!S:S)</f>
        <v/>
      </c>
    </row>
    <row r="762">
      <c r="A762" s="56" t="inlineStr">
        <is>
          <t>SƠN FUTURA CLASSIC RAL 7031 4.75L</t>
        </is>
      </c>
      <c r="B762" s="56">
        <f>+VLOOKUP(A762,'Chi tiết NVL'!$I$10:$J$4158,2,0)</f>
        <v/>
      </c>
      <c r="C762" s="57">
        <f>+SUMIF('Chi tiết NVL'!$I:$I,$A762,'Chi tiết NVL'!L:L)</f>
        <v/>
      </c>
      <c r="D762" s="57">
        <f>+SUMIF('Chi tiết NVL'!$I:$I,$A762,'Chi tiết NVL'!M:M)</f>
        <v/>
      </c>
      <c r="E762" s="57">
        <f>+SUMIF('Chi tiết NVL'!$I:$I,$A762,'Chi tiết NVL'!N:N)</f>
        <v/>
      </c>
      <c r="F762" s="57">
        <f>+SUMIF('Chi tiết NVL'!$I:$I,$A762,'Chi tiết NVL'!O:O)</f>
        <v/>
      </c>
      <c r="G762" s="57">
        <f>+SUMIF('Chi tiết NVL'!$I:$I,$A762,'Chi tiết NVL'!P:P)</f>
        <v/>
      </c>
      <c r="H762" s="57">
        <f>+SUMIF('Chi tiết NVL'!$I:$I,$A762,'Chi tiết NVL'!Q:Q)</f>
        <v/>
      </c>
      <c r="I762" s="57">
        <f>+SUMIF('Chi tiết NVL'!$I:$I,$A762,'Chi tiết NVL'!R:R)</f>
        <v/>
      </c>
      <c r="J762" s="57">
        <f>+SUMIF('Chi tiết NVL'!$I:$I,$A762,'Chi tiết NVL'!S:S)</f>
        <v/>
      </c>
    </row>
    <row r="763">
      <c r="A763" s="56" t="inlineStr">
        <is>
          <t>Thép tấm  8x2000x12000mm CL A572</t>
        </is>
      </c>
      <c r="B763" s="56">
        <f>+VLOOKUP(A763,'Chi tiết NVL'!$I$10:$J$4158,2,0)</f>
        <v/>
      </c>
      <c r="C763" s="57">
        <f>+SUMIF('Chi tiết NVL'!$I:$I,$A763,'Chi tiết NVL'!L:L)</f>
        <v/>
      </c>
      <c r="D763" s="57">
        <f>+SUMIF('Chi tiết NVL'!$I:$I,$A763,'Chi tiết NVL'!M:M)</f>
        <v/>
      </c>
      <c r="E763" s="57">
        <f>+SUMIF('Chi tiết NVL'!$I:$I,$A763,'Chi tiết NVL'!N:N)</f>
        <v/>
      </c>
      <c r="F763" s="57">
        <f>+SUMIF('Chi tiết NVL'!$I:$I,$A763,'Chi tiết NVL'!O:O)</f>
        <v/>
      </c>
      <c r="G763" s="57">
        <f>+SUMIF('Chi tiết NVL'!$I:$I,$A763,'Chi tiết NVL'!P:P)</f>
        <v/>
      </c>
      <c r="H763" s="57">
        <f>+SUMIF('Chi tiết NVL'!$I:$I,$A763,'Chi tiết NVL'!Q:Q)</f>
        <v/>
      </c>
      <c r="I763" s="57">
        <f>+SUMIF('Chi tiết NVL'!$I:$I,$A763,'Chi tiết NVL'!R:R)</f>
        <v/>
      </c>
      <c r="J763" s="57">
        <f>+SUMIF('Chi tiết NVL'!$I:$I,$A763,'Chi tiết NVL'!S:S)</f>
        <v/>
      </c>
    </row>
    <row r="764">
      <c r="A764" s="56" t="inlineStr">
        <is>
          <t>Thép tấm 8x2000x12000mm CL A572</t>
        </is>
      </c>
      <c r="B764" s="56">
        <f>+VLOOKUP(A764,'Chi tiết NVL'!$I$10:$J$4158,2,0)</f>
        <v/>
      </c>
      <c r="C764" s="57">
        <f>+SUMIF('Chi tiết NVL'!$I:$I,$A764,'Chi tiết NVL'!L:L)</f>
        <v/>
      </c>
      <c r="D764" s="57">
        <f>+SUMIF('Chi tiết NVL'!$I:$I,$A764,'Chi tiết NVL'!M:M)</f>
        <v/>
      </c>
      <c r="E764" s="57">
        <f>+SUMIF('Chi tiết NVL'!$I:$I,$A764,'Chi tiết NVL'!N:N)</f>
        <v/>
      </c>
      <c r="F764" s="57">
        <f>+SUMIF('Chi tiết NVL'!$I:$I,$A764,'Chi tiết NVL'!O:O)</f>
        <v/>
      </c>
      <c r="G764" s="57">
        <f>+SUMIF('Chi tiết NVL'!$I:$I,$A764,'Chi tiết NVL'!P:P)</f>
        <v/>
      </c>
      <c r="H764" s="57">
        <f>+SUMIF('Chi tiết NVL'!$I:$I,$A764,'Chi tiết NVL'!Q:Q)</f>
        <v/>
      </c>
      <c r="I764" s="57">
        <f>+SUMIF('Chi tiết NVL'!$I:$I,$A764,'Chi tiết NVL'!R:R)</f>
        <v/>
      </c>
      <c r="J764" s="57">
        <f>+SUMIF('Chi tiết NVL'!$I:$I,$A764,'Chi tiết NVL'!S:S)</f>
        <v/>
      </c>
    </row>
    <row r="765">
      <c r="A765" s="56" t="inlineStr">
        <is>
          <t>SƠN FUTURA CLASSIC RAL 9016 4.55L</t>
        </is>
      </c>
      <c r="B765" s="56">
        <f>+VLOOKUP(A765,'Chi tiết NVL'!$I$10:$J$4158,2,0)</f>
        <v/>
      </c>
      <c r="C765" s="57">
        <f>+SUMIF('Chi tiết NVL'!$I:$I,$A765,'Chi tiết NVL'!L:L)</f>
        <v/>
      </c>
      <c r="D765" s="57">
        <f>+SUMIF('Chi tiết NVL'!$I:$I,$A765,'Chi tiết NVL'!M:M)</f>
        <v/>
      </c>
      <c r="E765" s="57">
        <f>+SUMIF('Chi tiết NVL'!$I:$I,$A765,'Chi tiết NVL'!N:N)</f>
        <v/>
      </c>
      <c r="F765" s="57">
        <f>+SUMIF('Chi tiết NVL'!$I:$I,$A765,'Chi tiết NVL'!O:O)</f>
        <v/>
      </c>
      <c r="G765" s="57">
        <f>+SUMIF('Chi tiết NVL'!$I:$I,$A765,'Chi tiết NVL'!P:P)</f>
        <v/>
      </c>
      <c r="H765" s="57">
        <f>+SUMIF('Chi tiết NVL'!$I:$I,$A765,'Chi tiết NVL'!Q:Q)</f>
        <v/>
      </c>
      <c r="I765" s="57">
        <f>+SUMIF('Chi tiết NVL'!$I:$I,$A765,'Chi tiết NVL'!R:R)</f>
        <v/>
      </c>
      <c r="J765" s="57">
        <f>+SUMIF('Chi tiết NVL'!$I:$I,$A765,'Chi tiết NVL'!S:S)</f>
        <v/>
      </c>
    </row>
    <row r="766">
      <c r="A766" s="56" t="inlineStr">
        <is>
          <t>Thép hộp 100x100x2.5x6m</t>
        </is>
      </c>
      <c r="B766" s="56">
        <f>+VLOOKUP(A766,'Chi tiết NVL'!$I$10:$J$4158,2,0)</f>
        <v/>
      </c>
      <c r="C766" s="57">
        <f>+SUMIF('Chi tiết NVL'!$I:$I,$A766,'Chi tiết NVL'!L:L)</f>
        <v/>
      </c>
      <c r="D766" s="57">
        <f>+SUMIF('Chi tiết NVL'!$I:$I,$A766,'Chi tiết NVL'!M:M)</f>
        <v/>
      </c>
      <c r="E766" s="57">
        <f>+SUMIF('Chi tiết NVL'!$I:$I,$A766,'Chi tiết NVL'!N:N)</f>
        <v/>
      </c>
      <c r="F766" s="57">
        <f>+SUMIF('Chi tiết NVL'!$I:$I,$A766,'Chi tiết NVL'!O:O)</f>
        <v/>
      </c>
      <c r="G766" s="57">
        <f>+SUMIF('Chi tiết NVL'!$I:$I,$A766,'Chi tiết NVL'!P:P)</f>
        <v/>
      </c>
      <c r="H766" s="57">
        <f>+SUMIF('Chi tiết NVL'!$I:$I,$A766,'Chi tiết NVL'!Q:Q)</f>
        <v/>
      </c>
      <c r="I766" s="57">
        <f>+SUMIF('Chi tiết NVL'!$I:$I,$A766,'Chi tiết NVL'!R:R)</f>
        <v/>
      </c>
      <c r="J766" s="57">
        <f>+SUMIF('Chi tiết NVL'!$I:$I,$A766,'Chi tiết NVL'!S:S)</f>
        <v/>
      </c>
    </row>
    <row r="767">
      <c r="A767" s="56" t="inlineStr">
        <is>
          <t>Thép hộp 40x40x3x6m</t>
        </is>
      </c>
      <c r="B767" s="56">
        <f>+VLOOKUP(A767,'Chi tiết NVL'!$I$10:$J$4158,2,0)</f>
        <v/>
      </c>
      <c r="C767" s="57">
        <f>+SUMIF('Chi tiết NVL'!$I:$I,$A767,'Chi tiết NVL'!L:L)</f>
        <v/>
      </c>
      <c r="D767" s="57">
        <f>+SUMIF('Chi tiết NVL'!$I:$I,$A767,'Chi tiết NVL'!M:M)</f>
        <v/>
      </c>
      <c r="E767" s="57">
        <f>+SUMIF('Chi tiết NVL'!$I:$I,$A767,'Chi tiết NVL'!N:N)</f>
        <v/>
      </c>
      <c r="F767" s="57">
        <f>+SUMIF('Chi tiết NVL'!$I:$I,$A767,'Chi tiết NVL'!O:O)</f>
        <v/>
      </c>
      <c r="G767" s="57">
        <f>+SUMIF('Chi tiết NVL'!$I:$I,$A767,'Chi tiết NVL'!P:P)</f>
        <v/>
      </c>
      <c r="H767" s="57">
        <f>+SUMIF('Chi tiết NVL'!$I:$I,$A767,'Chi tiết NVL'!Q:Q)</f>
        <v/>
      </c>
      <c r="I767" s="57">
        <f>+SUMIF('Chi tiết NVL'!$I:$I,$A767,'Chi tiết NVL'!R:R)</f>
        <v/>
      </c>
      <c r="J767" s="57">
        <f>+SUMIF('Chi tiết NVL'!$I:$I,$A767,'Chi tiết NVL'!S:S)</f>
        <v/>
      </c>
    </row>
    <row r="768">
      <c r="A768" s="56" t="inlineStr">
        <is>
          <t>Thép hộp 50x50x3x6m</t>
        </is>
      </c>
      <c r="B768" s="56">
        <f>+VLOOKUP(A768,'Chi tiết NVL'!$I$10:$J$4158,2,0)</f>
        <v/>
      </c>
      <c r="C768" s="57">
        <f>+SUMIF('Chi tiết NVL'!$I:$I,$A768,'Chi tiết NVL'!L:L)</f>
        <v/>
      </c>
      <c r="D768" s="57">
        <f>+SUMIF('Chi tiết NVL'!$I:$I,$A768,'Chi tiết NVL'!M:M)</f>
        <v/>
      </c>
      <c r="E768" s="57">
        <f>+SUMIF('Chi tiết NVL'!$I:$I,$A768,'Chi tiết NVL'!N:N)</f>
        <v/>
      </c>
      <c r="F768" s="57">
        <f>+SUMIF('Chi tiết NVL'!$I:$I,$A768,'Chi tiết NVL'!O:O)</f>
        <v/>
      </c>
      <c r="G768" s="57">
        <f>+SUMIF('Chi tiết NVL'!$I:$I,$A768,'Chi tiết NVL'!P:P)</f>
        <v/>
      </c>
      <c r="H768" s="57">
        <f>+SUMIF('Chi tiết NVL'!$I:$I,$A768,'Chi tiết NVL'!Q:Q)</f>
        <v/>
      </c>
      <c r="I768" s="57">
        <f>+SUMIF('Chi tiết NVL'!$I:$I,$A768,'Chi tiết NVL'!R:R)</f>
        <v/>
      </c>
      <c r="J768" s="57">
        <f>+SUMIF('Chi tiết NVL'!$I:$I,$A768,'Chi tiết NVL'!S:S)</f>
        <v/>
      </c>
    </row>
    <row r="769">
      <c r="A769" s="56" t="inlineStr">
        <is>
          <t>Thép phi 10</t>
        </is>
      </c>
      <c r="B769" s="56">
        <f>+VLOOKUP(A769,'Chi tiết NVL'!$I$10:$J$4158,2,0)</f>
        <v/>
      </c>
      <c r="C769" s="57">
        <f>+SUMIF('Chi tiết NVL'!$I:$I,$A769,'Chi tiết NVL'!L:L)</f>
        <v/>
      </c>
      <c r="D769" s="57">
        <f>+SUMIF('Chi tiết NVL'!$I:$I,$A769,'Chi tiết NVL'!M:M)</f>
        <v/>
      </c>
      <c r="E769" s="57">
        <f>+SUMIF('Chi tiết NVL'!$I:$I,$A769,'Chi tiết NVL'!N:N)</f>
        <v/>
      </c>
      <c r="F769" s="57">
        <f>+SUMIF('Chi tiết NVL'!$I:$I,$A769,'Chi tiết NVL'!O:O)</f>
        <v/>
      </c>
      <c r="G769" s="57">
        <f>+SUMIF('Chi tiết NVL'!$I:$I,$A769,'Chi tiết NVL'!P:P)</f>
        <v/>
      </c>
      <c r="H769" s="57">
        <f>+SUMIF('Chi tiết NVL'!$I:$I,$A769,'Chi tiết NVL'!Q:Q)</f>
        <v/>
      </c>
      <c r="I769" s="57">
        <f>+SUMIF('Chi tiết NVL'!$I:$I,$A769,'Chi tiết NVL'!R:R)</f>
        <v/>
      </c>
      <c r="J769" s="57">
        <f>+SUMIF('Chi tiết NVL'!$I:$I,$A769,'Chi tiết NVL'!S:S)</f>
        <v/>
      </c>
    </row>
    <row r="770">
      <c r="A770" s="56" t="inlineStr">
        <is>
          <t>Thép phi 14</t>
        </is>
      </c>
      <c r="B770" s="56">
        <f>+VLOOKUP(A770,'Chi tiết NVL'!$I$10:$J$4158,2,0)</f>
        <v/>
      </c>
      <c r="C770" s="57">
        <f>+SUMIF('Chi tiết NVL'!$I:$I,$A770,'Chi tiết NVL'!L:L)</f>
        <v/>
      </c>
      <c r="D770" s="57">
        <f>+SUMIF('Chi tiết NVL'!$I:$I,$A770,'Chi tiết NVL'!M:M)</f>
        <v/>
      </c>
      <c r="E770" s="57">
        <f>+SUMIF('Chi tiết NVL'!$I:$I,$A770,'Chi tiết NVL'!N:N)</f>
        <v/>
      </c>
      <c r="F770" s="57">
        <f>+SUMIF('Chi tiết NVL'!$I:$I,$A770,'Chi tiết NVL'!O:O)</f>
        <v/>
      </c>
      <c r="G770" s="57">
        <f>+SUMIF('Chi tiết NVL'!$I:$I,$A770,'Chi tiết NVL'!P:P)</f>
        <v/>
      </c>
      <c r="H770" s="57">
        <f>+SUMIF('Chi tiết NVL'!$I:$I,$A770,'Chi tiết NVL'!Q:Q)</f>
        <v/>
      </c>
      <c r="I770" s="57">
        <f>+SUMIF('Chi tiết NVL'!$I:$I,$A770,'Chi tiết NVL'!R:R)</f>
        <v/>
      </c>
      <c r="J770" s="57">
        <f>+SUMIF('Chi tiết NVL'!$I:$I,$A770,'Chi tiết NVL'!S:S)</f>
        <v/>
      </c>
    </row>
    <row r="771">
      <c r="A771" s="56" t="inlineStr">
        <is>
          <t>Thép hộp 50x100x2.5x6m</t>
        </is>
      </c>
      <c r="B771" s="56">
        <f>+VLOOKUP(A771,'Chi tiết NVL'!$I$10:$J$4158,2,0)</f>
        <v/>
      </c>
      <c r="C771" s="57">
        <f>+SUMIF('Chi tiết NVL'!$I:$I,$A771,'Chi tiết NVL'!L:L)</f>
        <v/>
      </c>
      <c r="D771" s="57">
        <f>+SUMIF('Chi tiết NVL'!$I:$I,$A771,'Chi tiết NVL'!M:M)</f>
        <v/>
      </c>
      <c r="E771" s="57">
        <f>+SUMIF('Chi tiết NVL'!$I:$I,$A771,'Chi tiết NVL'!N:N)</f>
        <v/>
      </c>
      <c r="F771" s="57">
        <f>+SUMIF('Chi tiết NVL'!$I:$I,$A771,'Chi tiết NVL'!O:O)</f>
        <v/>
      </c>
      <c r="G771" s="57">
        <f>+SUMIF('Chi tiết NVL'!$I:$I,$A771,'Chi tiết NVL'!P:P)</f>
        <v/>
      </c>
      <c r="H771" s="57">
        <f>+SUMIF('Chi tiết NVL'!$I:$I,$A771,'Chi tiết NVL'!Q:Q)</f>
        <v/>
      </c>
      <c r="I771" s="57">
        <f>+SUMIF('Chi tiết NVL'!$I:$I,$A771,'Chi tiết NVL'!R:R)</f>
        <v/>
      </c>
      <c r="J771" s="57">
        <f>+SUMIF('Chi tiết NVL'!$I:$I,$A771,'Chi tiết NVL'!S:S)</f>
        <v/>
      </c>
    </row>
    <row r="772">
      <c r="A772" s="56" t="inlineStr">
        <is>
          <t>Thép hộp 150x150x2.5x6m</t>
        </is>
      </c>
      <c r="B772" s="56">
        <f>+VLOOKUP(A772,'Chi tiết NVL'!$I$10:$J$4158,2,0)</f>
        <v/>
      </c>
      <c r="C772" s="57">
        <f>+SUMIF('Chi tiết NVL'!$I:$I,$A772,'Chi tiết NVL'!L:L)</f>
        <v/>
      </c>
      <c r="D772" s="57">
        <f>+SUMIF('Chi tiết NVL'!$I:$I,$A772,'Chi tiết NVL'!M:M)</f>
        <v/>
      </c>
      <c r="E772" s="57">
        <f>+SUMIF('Chi tiết NVL'!$I:$I,$A772,'Chi tiết NVL'!N:N)</f>
        <v/>
      </c>
      <c r="F772" s="57">
        <f>+SUMIF('Chi tiết NVL'!$I:$I,$A772,'Chi tiết NVL'!O:O)</f>
        <v/>
      </c>
      <c r="G772" s="57">
        <f>+SUMIF('Chi tiết NVL'!$I:$I,$A772,'Chi tiết NVL'!P:P)</f>
        <v/>
      </c>
      <c r="H772" s="57">
        <f>+SUMIF('Chi tiết NVL'!$I:$I,$A772,'Chi tiết NVL'!Q:Q)</f>
        <v/>
      </c>
      <c r="I772" s="57">
        <f>+SUMIF('Chi tiết NVL'!$I:$I,$A772,'Chi tiết NVL'!R:R)</f>
        <v/>
      </c>
      <c r="J772" s="57">
        <f>+SUMIF('Chi tiết NVL'!$I:$I,$A772,'Chi tiết NVL'!S:S)</f>
        <v/>
      </c>
    </row>
    <row r="773">
      <c r="A773" s="56" t="inlineStr">
        <is>
          <t>Thép hộp 150x150x3x6m</t>
        </is>
      </c>
      <c r="B773" s="56">
        <f>+VLOOKUP(A773,'Chi tiết NVL'!$I$10:$J$4158,2,0)</f>
        <v/>
      </c>
      <c r="C773" s="57">
        <f>+SUMIF('Chi tiết NVL'!$I:$I,$A773,'Chi tiết NVL'!L:L)</f>
        <v/>
      </c>
      <c r="D773" s="57">
        <f>+SUMIF('Chi tiết NVL'!$I:$I,$A773,'Chi tiết NVL'!M:M)</f>
        <v/>
      </c>
      <c r="E773" s="57">
        <f>+SUMIF('Chi tiết NVL'!$I:$I,$A773,'Chi tiết NVL'!N:N)</f>
        <v/>
      </c>
      <c r="F773" s="57">
        <f>+SUMIF('Chi tiết NVL'!$I:$I,$A773,'Chi tiết NVL'!O:O)</f>
        <v/>
      </c>
      <c r="G773" s="57">
        <f>+SUMIF('Chi tiết NVL'!$I:$I,$A773,'Chi tiết NVL'!P:P)</f>
        <v/>
      </c>
      <c r="H773" s="57">
        <f>+SUMIF('Chi tiết NVL'!$I:$I,$A773,'Chi tiết NVL'!Q:Q)</f>
        <v/>
      </c>
      <c r="I773" s="57">
        <f>+SUMIF('Chi tiết NVL'!$I:$I,$A773,'Chi tiết NVL'!R:R)</f>
        <v/>
      </c>
      <c r="J773" s="57">
        <f>+SUMIF('Chi tiết NVL'!$I:$I,$A773,'Chi tiết NVL'!S:S)</f>
        <v/>
      </c>
    </row>
    <row r="774">
      <c r="A774" s="56" t="inlineStr">
        <is>
          <t>Thép hộp 200x200x6x6m</t>
        </is>
      </c>
      <c r="B774" s="56">
        <f>+VLOOKUP(A774,'Chi tiết NVL'!$I$10:$J$4158,2,0)</f>
        <v/>
      </c>
      <c r="C774" s="57">
        <f>+SUMIF('Chi tiết NVL'!$I:$I,$A774,'Chi tiết NVL'!L:L)</f>
        <v/>
      </c>
      <c r="D774" s="57">
        <f>+SUMIF('Chi tiết NVL'!$I:$I,$A774,'Chi tiết NVL'!M:M)</f>
        <v/>
      </c>
      <c r="E774" s="57">
        <f>+SUMIF('Chi tiết NVL'!$I:$I,$A774,'Chi tiết NVL'!N:N)</f>
        <v/>
      </c>
      <c r="F774" s="57">
        <f>+SUMIF('Chi tiết NVL'!$I:$I,$A774,'Chi tiết NVL'!O:O)</f>
        <v/>
      </c>
      <c r="G774" s="57">
        <f>+SUMIF('Chi tiết NVL'!$I:$I,$A774,'Chi tiết NVL'!P:P)</f>
        <v/>
      </c>
      <c r="H774" s="57">
        <f>+SUMIF('Chi tiết NVL'!$I:$I,$A774,'Chi tiết NVL'!Q:Q)</f>
        <v/>
      </c>
      <c r="I774" s="57">
        <f>+SUMIF('Chi tiết NVL'!$I:$I,$A774,'Chi tiết NVL'!R:R)</f>
        <v/>
      </c>
      <c r="J774" s="57">
        <f>+SUMIF('Chi tiết NVL'!$I:$I,$A774,'Chi tiết NVL'!S:S)</f>
        <v/>
      </c>
    </row>
    <row r="775">
      <c r="A775" s="56" t="inlineStr">
        <is>
          <t>Bulong neo M24x530, MĐP, 8.8 (T+4E+P)</t>
        </is>
      </c>
      <c r="B775" s="56">
        <f>+VLOOKUP(A775,'Chi tiết NVL'!$I$10:$J$4158,2,0)</f>
        <v/>
      </c>
      <c r="C775" s="57">
        <f>+SUMIF('Chi tiết NVL'!$I:$I,$A775,'Chi tiết NVL'!L:L)</f>
        <v/>
      </c>
      <c r="D775" s="57">
        <f>+SUMIF('Chi tiết NVL'!$I:$I,$A775,'Chi tiết NVL'!M:M)</f>
        <v/>
      </c>
      <c r="E775" s="57">
        <f>+SUMIF('Chi tiết NVL'!$I:$I,$A775,'Chi tiết NVL'!N:N)</f>
        <v/>
      </c>
      <c r="F775" s="57">
        <f>+SUMIF('Chi tiết NVL'!$I:$I,$A775,'Chi tiết NVL'!O:O)</f>
        <v/>
      </c>
      <c r="G775" s="57">
        <f>+SUMIF('Chi tiết NVL'!$I:$I,$A775,'Chi tiết NVL'!P:P)</f>
        <v/>
      </c>
      <c r="H775" s="57">
        <f>+SUMIF('Chi tiết NVL'!$I:$I,$A775,'Chi tiết NVL'!Q:Q)</f>
        <v/>
      </c>
      <c r="I775" s="57">
        <f>+SUMIF('Chi tiết NVL'!$I:$I,$A775,'Chi tiết NVL'!R:R)</f>
        <v/>
      </c>
      <c r="J775" s="57">
        <f>+SUMIF('Chi tiết NVL'!$I:$I,$A775,'Chi tiết NVL'!S:S)</f>
        <v/>
      </c>
    </row>
    <row r="776">
      <c r="A776" s="56" t="inlineStr">
        <is>
          <t>Bulong neo M30x645, MĐP, 8.8 (T+4E+P)</t>
        </is>
      </c>
      <c r="B776" s="56">
        <f>+VLOOKUP(A776,'Chi tiết NVL'!$I$10:$J$4158,2,0)</f>
        <v/>
      </c>
      <c r="C776" s="57">
        <f>+SUMIF('Chi tiết NVL'!$I:$I,$A776,'Chi tiết NVL'!L:L)</f>
        <v/>
      </c>
      <c r="D776" s="57">
        <f>+SUMIF('Chi tiết NVL'!$I:$I,$A776,'Chi tiết NVL'!M:M)</f>
        <v/>
      </c>
      <c r="E776" s="57">
        <f>+SUMIF('Chi tiết NVL'!$I:$I,$A776,'Chi tiết NVL'!N:N)</f>
        <v/>
      </c>
      <c r="F776" s="57">
        <f>+SUMIF('Chi tiết NVL'!$I:$I,$A776,'Chi tiết NVL'!O:O)</f>
        <v/>
      </c>
      <c r="G776" s="57">
        <f>+SUMIF('Chi tiết NVL'!$I:$I,$A776,'Chi tiết NVL'!P:P)</f>
        <v/>
      </c>
      <c r="H776" s="57">
        <f>+SUMIF('Chi tiết NVL'!$I:$I,$A776,'Chi tiết NVL'!Q:Q)</f>
        <v/>
      </c>
      <c r="I776" s="57">
        <f>+SUMIF('Chi tiết NVL'!$I:$I,$A776,'Chi tiết NVL'!R:R)</f>
        <v/>
      </c>
      <c r="J776" s="57">
        <f>+SUMIF('Chi tiết NVL'!$I:$I,$A776,'Chi tiết NVL'!S:S)</f>
        <v/>
      </c>
    </row>
    <row r="777" ht="47.25" customHeight="1">
      <c r="A777" s="56" t="inlineStr">
        <is>
          <t>Giá trị đợt 1 theo hợp đồng số: 090925/HDKT/LTL-RMS giữa Công Ty TNHH Lotalux với Công Ty Cổ Phần Kết Cấu Thép STEELTECH ký ngày 09/09/2025</t>
        </is>
      </c>
      <c r="B777" s="56">
        <f>+VLOOKUP(A777,'Chi tiết NVL'!$I$10:$J$4158,2,0)</f>
        <v/>
      </c>
      <c r="C777" s="57">
        <f>+SUMIF('Chi tiết NVL'!$I:$I,$A777,'Chi tiết NVL'!L:L)</f>
        <v/>
      </c>
      <c r="D777" s="57">
        <f>+SUMIF('Chi tiết NVL'!$I:$I,$A777,'Chi tiết NVL'!M:M)</f>
        <v/>
      </c>
      <c r="E777" s="57">
        <f>+SUMIF('Chi tiết NVL'!$I:$I,$A777,'Chi tiết NVL'!N:N)</f>
        <v/>
      </c>
      <c r="F777" s="57">
        <f>+SUMIF('Chi tiết NVL'!$I:$I,$A777,'Chi tiết NVL'!O:O)</f>
        <v/>
      </c>
      <c r="G777" s="57">
        <f>+SUMIF('Chi tiết NVL'!$I:$I,$A777,'Chi tiết NVL'!P:P)</f>
        <v/>
      </c>
      <c r="H777" s="57">
        <f>+SUMIF('Chi tiết NVL'!$I:$I,$A777,'Chi tiết NVL'!Q:Q)</f>
        <v/>
      </c>
      <c r="I777" s="57">
        <f>+SUMIF('Chi tiết NVL'!$I:$I,$A777,'Chi tiết NVL'!R:R)</f>
        <v/>
      </c>
      <c r="J777" s="57">
        <f>+SUMIF('Chi tiết NVL'!$I:$I,$A777,'Chi tiết NVL'!S:S)</f>
        <v/>
      </c>
    </row>
    <row r="778">
      <c r="A778" s="56" t="inlineStr">
        <is>
          <t>Thép tấm 12 x 2000 x 12000</t>
        </is>
      </c>
      <c r="B778" s="56">
        <f>+VLOOKUP(A778,'Chi tiết NVL'!$I$10:$J$4158,2,0)</f>
        <v/>
      </c>
      <c r="C778" s="57">
        <f>+SUMIF('Chi tiết NVL'!$I:$I,$A778,'Chi tiết NVL'!L:L)</f>
        <v/>
      </c>
      <c r="D778" s="57">
        <f>+SUMIF('Chi tiết NVL'!$I:$I,$A778,'Chi tiết NVL'!M:M)</f>
        <v/>
      </c>
      <c r="E778" s="57">
        <f>+SUMIF('Chi tiết NVL'!$I:$I,$A778,'Chi tiết NVL'!N:N)</f>
        <v/>
      </c>
      <c r="F778" s="57">
        <f>+SUMIF('Chi tiết NVL'!$I:$I,$A778,'Chi tiết NVL'!O:O)</f>
        <v/>
      </c>
      <c r="G778" s="57">
        <f>+SUMIF('Chi tiết NVL'!$I:$I,$A778,'Chi tiết NVL'!P:P)</f>
        <v/>
      </c>
      <c r="H778" s="57">
        <f>+SUMIF('Chi tiết NVL'!$I:$I,$A778,'Chi tiết NVL'!Q:Q)</f>
        <v/>
      </c>
      <c r="I778" s="57">
        <f>+SUMIF('Chi tiết NVL'!$I:$I,$A778,'Chi tiết NVL'!R:R)</f>
        <v/>
      </c>
      <c r="J778" s="57">
        <f>+SUMIF('Chi tiết NVL'!$I:$I,$A778,'Chi tiết NVL'!S:S)</f>
        <v/>
      </c>
    </row>
    <row r="779">
      <c r="A779" s="56" t="inlineStr">
        <is>
          <t>Thép phi 20 gân</t>
        </is>
      </c>
      <c r="B779" s="56">
        <f>+VLOOKUP(A779,'Chi tiết NVL'!$I$10:$J$4158,2,0)</f>
        <v/>
      </c>
      <c r="C779" s="57">
        <f>+SUMIF('Chi tiết NVL'!$I:$I,$A779,'Chi tiết NVL'!L:L)</f>
        <v/>
      </c>
      <c r="D779" s="57">
        <f>+SUMIF('Chi tiết NVL'!$I:$I,$A779,'Chi tiết NVL'!M:M)</f>
        <v/>
      </c>
      <c r="E779" s="57">
        <f>+SUMIF('Chi tiết NVL'!$I:$I,$A779,'Chi tiết NVL'!N:N)</f>
        <v/>
      </c>
      <c r="F779" s="57">
        <f>+SUMIF('Chi tiết NVL'!$I:$I,$A779,'Chi tiết NVL'!O:O)</f>
        <v/>
      </c>
      <c r="G779" s="57">
        <f>+SUMIF('Chi tiết NVL'!$I:$I,$A779,'Chi tiết NVL'!P:P)</f>
        <v/>
      </c>
      <c r="H779" s="57">
        <f>+SUMIF('Chi tiết NVL'!$I:$I,$A779,'Chi tiết NVL'!Q:Q)</f>
        <v/>
      </c>
      <c r="I779" s="57">
        <f>+SUMIF('Chi tiết NVL'!$I:$I,$A779,'Chi tiết NVL'!R:R)</f>
        <v/>
      </c>
      <c r="J779" s="57">
        <f>+SUMIF('Chi tiết NVL'!$I:$I,$A779,'Chi tiết NVL'!S:S)</f>
        <v/>
      </c>
    </row>
    <row r="780">
      <c r="A780" s="56" t="inlineStr">
        <is>
          <t>Thép không gỉ dạng cuộn 304</t>
        </is>
      </c>
      <c r="B780" s="56">
        <f>+VLOOKUP(A780,'Chi tiết NVL'!$I$10:$J$4158,2,0)</f>
        <v/>
      </c>
      <c r="C780" s="57">
        <f>+SUMIF('Chi tiết NVL'!$I:$I,$A780,'Chi tiết NVL'!L:L)</f>
        <v/>
      </c>
      <c r="D780" s="57">
        <f>+SUMIF('Chi tiết NVL'!$I:$I,$A780,'Chi tiết NVL'!M:M)</f>
        <v/>
      </c>
      <c r="E780" s="57">
        <f>+SUMIF('Chi tiết NVL'!$I:$I,$A780,'Chi tiết NVL'!N:N)</f>
        <v/>
      </c>
      <c r="F780" s="57">
        <f>+SUMIF('Chi tiết NVL'!$I:$I,$A780,'Chi tiết NVL'!O:O)</f>
        <v/>
      </c>
      <c r="G780" s="57">
        <f>+SUMIF('Chi tiết NVL'!$I:$I,$A780,'Chi tiết NVL'!P:P)</f>
        <v/>
      </c>
      <c r="H780" s="57">
        <f>+SUMIF('Chi tiết NVL'!$I:$I,$A780,'Chi tiết NVL'!Q:Q)</f>
        <v/>
      </c>
      <c r="I780" s="57">
        <f>+SUMIF('Chi tiết NVL'!$I:$I,$A780,'Chi tiết NVL'!R:R)</f>
        <v/>
      </c>
      <c r="J780" s="57">
        <f>+SUMIF('Chi tiết NVL'!$I:$I,$A780,'Chi tiết NVL'!S:S)</f>
        <v/>
      </c>
    </row>
    <row r="781" ht="31.5" customHeight="1">
      <c r="A781" s="56" t="inlineStr">
        <is>
          <t>Dung Môi Toluene (Dung Môi Toluene 860Kg tương ứng 860 Lít)</t>
        </is>
      </c>
      <c r="B781" s="56">
        <f>+VLOOKUP(A781,'Chi tiết NVL'!$I$10:$J$4158,2,0)</f>
        <v/>
      </c>
      <c r="C781" s="57">
        <f>+SUMIF('Chi tiết NVL'!$I:$I,$A781,'Chi tiết NVL'!L:L)</f>
        <v/>
      </c>
      <c r="D781" s="57">
        <f>+SUMIF('Chi tiết NVL'!$I:$I,$A781,'Chi tiết NVL'!M:M)</f>
        <v/>
      </c>
      <c r="E781" s="57">
        <f>+SUMIF('Chi tiết NVL'!$I:$I,$A781,'Chi tiết NVL'!N:N)</f>
        <v/>
      </c>
      <c r="F781" s="57">
        <f>+SUMIF('Chi tiết NVL'!$I:$I,$A781,'Chi tiết NVL'!O:O)</f>
        <v/>
      </c>
      <c r="G781" s="57">
        <f>+SUMIF('Chi tiết NVL'!$I:$I,$A781,'Chi tiết NVL'!P:P)</f>
        <v/>
      </c>
      <c r="H781" s="57">
        <f>+SUMIF('Chi tiết NVL'!$I:$I,$A781,'Chi tiết NVL'!Q:Q)</f>
        <v/>
      </c>
      <c r="I781" s="57">
        <f>+SUMIF('Chi tiết NVL'!$I:$I,$A781,'Chi tiết NVL'!R:R)</f>
        <v/>
      </c>
      <c r="J781" s="57">
        <f>+SUMIF('Chi tiết NVL'!$I:$I,$A781,'Chi tiết NVL'!S:S)</f>
        <v/>
      </c>
    </row>
    <row r="782">
      <c r="A782" s="56" t="inlineStr">
        <is>
          <t>Thép hộ 100x100</t>
        </is>
      </c>
      <c r="B782" s="56">
        <f>+VLOOKUP(A782,'Chi tiết NVL'!$I$10:$J$4158,2,0)</f>
        <v/>
      </c>
      <c r="C782" s="57">
        <f>+SUMIF('Chi tiết NVL'!$I:$I,$A782,'Chi tiết NVL'!L:L)</f>
        <v/>
      </c>
      <c r="D782" s="57">
        <f>+SUMIF('Chi tiết NVL'!$I:$I,$A782,'Chi tiết NVL'!M:M)</f>
        <v/>
      </c>
      <c r="E782" s="57">
        <f>+SUMIF('Chi tiết NVL'!$I:$I,$A782,'Chi tiết NVL'!N:N)</f>
        <v/>
      </c>
      <c r="F782" s="57">
        <f>+SUMIF('Chi tiết NVL'!$I:$I,$A782,'Chi tiết NVL'!O:O)</f>
        <v/>
      </c>
      <c r="G782" s="57">
        <f>+SUMIF('Chi tiết NVL'!$I:$I,$A782,'Chi tiết NVL'!P:P)</f>
        <v/>
      </c>
      <c r="H782" s="57">
        <f>+SUMIF('Chi tiết NVL'!$I:$I,$A782,'Chi tiết NVL'!Q:Q)</f>
        <v/>
      </c>
      <c r="I782" s="57">
        <f>+SUMIF('Chi tiết NVL'!$I:$I,$A782,'Chi tiết NVL'!R:R)</f>
        <v/>
      </c>
      <c r="J782" s="57">
        <f>+SUMIF('Chi tiết NVL'!$I:$I,$A782,'Chi tiết NVL'!S:S)</f>
        <v/>
      </c>
    </row>
    <row r="783">
      <c r="A783" s="56" t="inlineStr">
        <is>
          <t>Thép phi 16</t>
        </is>
      </c>
      <c r="B783" s="56">
        <f>+VLOOKUP(A783,'Chi tiết NVL'!$I$10:$J$4158,2,0)</f>
        <v/>
      </c>
      <c r="C783" s="57">
        <f>+SUMIF('Chi tiết NVL'!$I:$I,$A783,'Chi tiết NVL'!L:L)</f>
        <v/>
      </c>
      <c r="D783" s="57">
        <f>+SUMIF('Chi tiết NVL'!$I:$I,$A783,'Chi tiết NVL'!M:M)</f>
        <v/>
      </c>
      <c r="E783" s="57">
        <f>+SUMIF('Chi tiết NVL'!$I:$I,$A783,'Chi tiết NVL'!N:N)</f>
        <v/>
      </c>
      <c r="F783" s="57">
        <f>+SUMIF('Chi tiết NVL'!$I:$I,$A783,'Chi tiết NVL'!O:O)</f>
        <v/>
      </c>
      <c r="G783" s="57">
        <f>+SUMIF('Chi tiết NVL'!$I:$I,$A783,'Chi tiết NVL'!P:P)</f>
        <v/>
      </c>
      <c r="H783" s="57">
        <f>+SUMIF('Chi tiết NVL'!$I:$I,$A783,'Chi tiết NVL'!Q:Q)</f>
        <v/>
      </c>
      <c r="I783" s="57">
        <f>+SUMIF('Chi tiết NVL'!$I:$I,$A783,'Chi tiết NVL'!R:R)</f>
        <v/>
      </c>
      <c r="J783" s="57">
        <f>+SUMIF('Chi tiết NVL'!$I:$I,$A783,'Chi tiết NVL'!S:S)</f>
        <v/>
      </c>
    </row>
    <row r="784">
      <c r="A784" s="56" t="inlineStr">
        <is>
          <t>Cóc kẹp tôn seam</t>
        </is>
      </c>
      <c r="B784" s="56">
        <f>+VLOOKUP(A784,'Chi tiết NVL'!$I$10:$J$4158,2,0)</f>
        <v/>
      </c>
      <c r="C784" s="57">
        <f>+SUMIF('Chi tiết NVL'!$I:$I,$A784,'Chi tiết NVL'!L:L)</f>
        <v/>
      </c>
      <c r="D784" s="57">
        <f>+SUMIF('Chi tiết NVL'!$I:$I,$A784,'Chi tiết NVL'!M:M)</f>
        <v/>
      </c>
      <c r="E784" s="57">
        <f>+SUMIF('Chi tiết NVL'!$I:$I,$A784,'Chi tiết NVL'!N:N)</f>
        <v/>
      </c>
      <c r="F784" s="57">
        <f>+SUMIF('Chi tiết NVL'!$I:$I,$A784,'Chi tiết NVL'!O:O)</f>
        <v/>
      </c>
      <c r="G784" s="57">
        <f>+SUMIF('Chi tiết NVL'!$I:$I,$A784,'Chi tiết NVL'!P:P)</f>
        <v/>
      </c>
      <c r="H784" s="57">
        <f>+SUMIF('Chi tiết NVL'!$I:$I,$A784,'Chi tiết NVL'!Q:Q)</f>
        <v/>
      </c>
      <c r="I784" s="57">
        <f>+SUMIF('Chi tiết NVL'!$I:$I,$A784,'Chi tiết NVL'!R:R)</f>
        <v/>
      </c>
      <c r="J784" s="57">
        <f>+SUMIF('Chi tiết NVL'!$I:$I,$A784,'Chi tiết NVL'!S:S)</f>
        <v/>
      </c>
    </row>
    <row r="785">
      <c r="A785" s="56" t="inlineStr">
        <is>
          <t>Thép hộp 50x50</t>
        </is>
      </c>
      <c r="B785" s="56">
        <f>+VLOOKUP(A785,'Chi tiết NVL'!$I$10:$J$4158,2,0)</f>
        <v/>
      </c>
      <c r="C785" s="57">
        <f>+SUMIF('Chi tiết NVL'!$I:$I,$A785,'Chi tiết NVL'!L:L)</f>
        <v/>
      </c>
      <c r="D785" s="57">
        <f>+SUMIF('Chi tiết NVL'!$I:$I,$A785,'Chi tiết NVL'!M:M)</f>
        <v/>
      </c>
      <c r="E785" s="57">
        <f>+SUMIF('Chi tiết NVL'!$I:$I,$A785,'Chi tiết NVL'!N:N)</f>
        <v/>
      </c>
      <c r="F785" s="57">
        <f>+SUMIF('Chi tiết NVL'!$I:$I,$A785,'Chi tiết NVL'!O:O)</f>
        <v/>
      </c>
      <c r="G785" s="57">
        <f>+SUMIF('Chi tiết NVL'!$I:$I,$A785,'Chi tiết NVL'!P:P)</f>
        <v/>
      </c>
      <c r="H785" s="57">
        <f>+SUMIF('Chi tiết NVL'!$I:$I,$A785,'Chi tiết NVL'!Q:Q)</f>
        <v/>
      </c>
      <c r="I785" s="57">
        <f>+SUMIF('Chi tiết NVL'!$I:$I,$A785,'Chi tiết NVL'!R:R)</f>
        <v/>
      </c>
      <c r="J785" s="57">
        <f>+SUMIF('Chi tiết NVL'!$I:$I,$A785,'Chi tiết NVL'!S:S)</f>
        <v/>
      </c>
    </row>
    <row r="786">
      <c r="A786" s="56" t="inlineStr">
        <is>
          <t>Thép hộp 60x60</t>
        </is>
      </c>
      <c r="B786" s="56">
        <f>+VLOOKUP(A786,'Chi tiết NVL'!$I$10:$J$4158,2,0)</f>
        <v/>
      </c>
      <c r="C786" s="57">
        <f>+SUMIF('Chi tiết NVL'!$I:$I,$A786,'Chi tiết NVL'!L:L)</f>
        <v/>
      </c>
      <c r="D786" s="57">
        <f>+SUMIF('Chi tiết NVL'!$I:$I,$A786,'Chi tiết NVL'!M:M)</f>
        <v/>
      </c>
      <c r="E786" s="57">
        <f>+SUMIF('Chi tiết NVL'!$I:$I,$A786,'Chi tiết NVL'!N:N)</f>
        <v/>
      </c>
      <c r="F786" s="57">
        <f>+SUMIF('Chi tiết NVL'!$I:$I,$A786,'Chi tiết NVL'!O:O)</f>
        <v/>
      </c>
      <c r="G786" s="57">
        <f>+SUMIF('Chi tiết NVL'!$I:$I,$A786,'Chi tiết NVL'!P:P)</f>
        <v/>
      </c>
      <c r="H786" s="57">
        <f>+SUMIF('Chi tiết NVL'!$I:$I,$A786,'Chi tiết NVL'!Q:Q)</f>
        <v/>
      </c>
      <c r="I786" s="57">
        <f>+SUMIF('Chi tiết NVL'!$I:$I,$A786,'Chi tiết NVL'!R:R)</f>
        <v/>
      </c>
      <c r="J786" s="57">
        <f>+SUMIF('Chi tiết NVL'!$I:$I,$A786,'Chi tiết NVL'!S:S)</f>
        <v/>
      </c>
    </row>
    <row r="787">
      <c r="A787" s="56" t="inlineStr">
        <is>
          <t>SƠN FUTURA CLASSIC RAL 7046 18.94L</t>
        </is>
      </c>
      <c r="B787" s="56">
        <f>+VLOOKUP(A787,'Chi tiết NVL'!$I$10:$J$4158,2,0)</f>
        <v/>
      </c>
      <c r="C787" s="57">
        <f>+SUMIF('Chi tiết NVL'!$I:$I,$A787,'Chi tiết NVL'!L:L)</f>
        <v/>
      </c>
      <c r="D787" s="57">
        <f>+SUMIF('Chi tiết NVL'!$I:$I,$A787,'Chi tiết NVL'!M:M)</f>
        <v/>
      </c>
      <c r="E787" s="57">
        <f>+SUMIF('Chi tiết NVL'!$I:$I,$A787,'Chi tiết NVL'!N:N)</f>
        <v/>
      </c>
      <c r="F787" s="57">
        <f>+SUMIF('Chi tiết NVL'!$I:$I,$A787,'Chi tiết NVL'!O:O)</f>
        <v/>
      </c>
      <c r="G787" s="57">
        <f>+SUMIF('Chi tiết NVL'!$I:$I,$A787,'Chi tiết NVL'!P:P)</f>
        <v/>
      </c>
      <c r="H787" s="57">
        <f>+SUMIF('Chi tiết NVL'!$I:$I,$A787,'Chi tiết NVL'!Q:Q)</f>
        <v/>
      </c>
      <c r="I787" s="57">
        <f>+SUMIF('Chi tiết NVL'!$I:$I,$A787,'Chi tiết NVL'!R:R)</f>
        <v/>
      </c>
      <c r="J787" s="57">
        <f>+SUMIF('Chi tiết NVL'!$I:$I,$A787,'Chi tiết NVL'!S:S)</f>
        <v/>
      </c>
    </row>
    <row r="788">
      <c r="A788" s="56" t="inlineStr">
        <is>
          <t>SƠN FUTURA CLASSIC RAL 7046 4.73L</t>
        </is>
      </c>
      <c r="B788" s="56">
        <f>+VLOOKUP(A788,'Chi tiết NVL'!$I$10:$J$4158,2,0)</f>
        <v/>
      </c>
      <c r="C788" s="57">
        <f>+SUMIF('Chi tiết NVL'!$I:$I,$A788,'Chi tiết NVL'!L:L)</f>
        <v/>
      </c>
      <c r="D788" s="57">
        <f>+SUMIF('Chi tiết NVL'!$I:$I,$A788,'Chi tiết NVL'!M:M)</f>
        <v/>
      </c>
      <c r="E788" s="57">
        <f>+SUMIF('Chi tiết NVL'!$I:$I,$A788,'Chi tiết NVL'!N:N)</f>
        <v/>
      </c>
      <c r="F788" s="57">
        <f>+SUMIF('Chi tiết NVL'!$I:$I,$A788,'Chi tiết NVL'!O:O)</f>
        <v/>
      </c>
      <c r="G788" s="57">
        <f>+SUMIF('Chi tiết NVL'!$I:$I,$A788,'Chi tiết NVL'!P:P)</f>
        <v/>
      </c>
      <c r="H788" s="57">
        <f>+SUMIF('Chi tiết NVL'!$I:$I,$A788,'Chi tiết NVL'!Q:Q)</f>
        <v/>
      </c>
      <c r="I788" s="57">
        <f>+SUMIF('Chi tiết NVL'!$I:$I,$A788,'Chi tiết NVL'!R:R)</f>
        <v/>
      </c>
      <c r="J788" s="57">
        <f>+SUMIF('Chi tiết NVL'!$I:$I,$A788,'Chi tiết NVL'!S:S)</f>
        <v/>
      </c>
    </row>
    <row r="789">
      <c r="A789" s="56" t="inlineStr">
        <is>
          <t>Bulong neo I, M20x445, 4.6, DIN976, MĐP</t>
        </is>
      </c>
      <c r="B789" s="56">
        <f>+VLOOKUP(A789,'Chi tiết NVL'!$I$10:$J$4158,2,0)</f>
        <v/>
      </c>
      <c r="C789" s="57">
        <f>+SUMIF('Chi tiết NVL'!$I:$I,$A789,'Chi tiết NVL'!L:L)</f>
        <v/>
      </c>
      <c r="D789" s="57">
        <f>+SUMIF('Chi tiết NVL'!$I:$I,$A789,'Chi tiết NVL'!M:M)</f>
        <v/>
      </c>
      <c r="E789" s="57">
        <f>+SUMIF('Chi tiết NVL'!$I:$I,$A789,'Chi tiết NVL'!N:N)</f>
        <v/>
      </c>
      <c r="F789" s="57">
        <f>+SUMIF('Chi tiết NVL'!$I:$I,$A789,'Chi tiết NVL'!O:O)</f>
        <v/>
      </c>
      <c r="G789" s="57">
        <f>+SUMIF('Chi tiết NVL'!$I:$I,$A789,'Chi tiết NVL'!P:P)</f>
        <v/>
      </c>
      <c r="H789" s="57">
        <f>+SUMIF('Chi tiết NVL'!$I:$I,$A789,'Chi tiết NVL'!Q:Q)</f>
        <v/>
      </c>
      <c r="I789" s="57">
        <f>+SUMIF('Chi tiết NVL'!$I:$I,$A789,'Chi tiết NVL'!R:R)</f>
        <v/>
      </c>
      <c r="J789" s="57">
        <f>+SUMIF('Chi tiết NVL'!$I:$I,$A789,'Chi tiết NVL'!S:S)</f>
        <v/>
      </c>
    </row>
    <row r="790">
      <c r="A790" s="56" t="inlineStr">
        <is>
          <t>Bulong neo I M30x645, 4.6, DIN976, MĐP</t>
        </is>
      </c>
      <c r="B790" s="56">
        <f>+VLOOKUP(A790,'Chi tiết NVL'!$I$10:$J$4158,2,0)</f>
        <v/>
      </c>
      <c r="C790" s="57">
        <f>+SUMIF('Chi tiết NVL'!$I:$I,$A790,'Chi tiết NVL'!L:L)</f>
        <v/>
      </c>
      <c r="D790" s="57">
        <f>+SUMIF('Chi tiết NVL'!$I:$I,$A790,'Chi tiết NVL'!M:M)</f>
        <v/>
      </c>
      <c r="E790" s="57">
        <f>+SUMIF('Chi tiết NVL'!$I:$I,$A790,'Chi tiết NVL'!N:N)</f>
        <v/>
      </c>
      <c r="F790" s="57">
        <f>+SUMIF('Chi tiết NVL'!$I:$I,$A790,'Chi tiết NVL'!O:O)</f>
        <v/>
      </c>
      <c r="G790" s="57">
        <f>+SUMIF('Chi tiết NVL'!$I:$I,$A790,'Chi tiết NVL'!P:P)</f>
        <v/>
      </c>
      <c r="H790" s="57">
        <f>+SUMIF('Chi tiết NVL'!$I:$I,$A790,'Chi tiết NVL'!Q:Q)</f>
        <v/>
      </c>
      <c r="I790" s="57">
        <f>+SUMIF('Chi tiết NVL'!$I:$I,$A790,'Chi tiết NVL'!R:R)</f>
        <v/>
      </c>
      <c r="J790" s="57">
        <f>+SUMIF('Chi tiết NVL'!$I:$I,$A790,'Chi tiết NVL'!S:S)</f>
        <v/>
      </c>
    </row>
    <row r="791">
      <c r="A791" s="56" t="inlineStr">
        <is>
          <t>Thép góc V40</t>
        </is>
      </c>
      <c r="B791" s="56">
        <f>+VLOOKUP(A791,'Chi tiết NVL'!$I$10:$J$4158,2,0)</f>
        <v/>
      </c>
      <c r="C791" s="57">
        <f>+SUMIF('Chi tiết NVL'!$I:$I,$A791,'Chi tiết NVL'!L:L)</f>
        <v/>
      </c>
      <c r="D791" s="57">
        <f>+SUMIF('Chi tiết NVL'!$I:$I,$A791,'Chi tiết NVL'!M:M)</f>
        <v/>
      </c>
      <c r="E791" s="57">
        <f>+SUMIF('Chi tiết NVL'!$I:$I,$A791,'Chi tiết NVL'!N:N)</f>
        <v/>
      </c>
      <c r="F791" s="57">
        <f>+SUMIF('Chi tiết NVL'!$I:$I,$A791,'Chi tiết NVL'!O:O)</f>
        <v/>
      </c>
      <c r="G791" s="57">
        <f>+SUMIF('Chi tiết NVL'!$I:$I,$A791,'Chi tiết NVL'!P:P)</f>
        <v/>
      </c>
      <c r="H791" s="57">
        <f>+SUMIF('Chi tiết NVL'!$I:$I,$A791,'Chi tiết NVL'!Q:Q)</f>
        <v/>
      </c>
      <c r="I791" s="57">
        <f>+SUMIF('Chi tiết NVL'!$I:$I,$A791,'Chi tiết NVL'!R:R)</f>
        <v/>
      </c>
      <c r="J791" s="57">
        <f>+SUMIF('Chi tiết NVL'!$I:$I,$A791,'Chi tiết NVL'!S:S)</f>
        <v/>
      </c>
    </row>
    <row r="792">
      <c r="A792" s="56" t="inlineStr">
        <is>
          <t>Thép hộp 100x100</t>
        </is>
      </c>
      <c r="B792" s="56">
        <f>+VLOOKUP(A792,'Chi tiết NVL'!$I$10:$J$4158,2,0)</f>
        <v/>
      </c>
      <c r="C792" s="57">
        <f>+SUMIF('Chi tiết NVL'!$I:$I,$A792,'Chi tiết NVL'!L:L)</f>
        <v/>
      </c>
      <c r="D792" s="57">
        <f>+SUMIF('Chi tiết NVL'!$I:$I,$A792,'Chi tiết NVL'!M:M)</f>
        <v/>
      </c>
      <c r="E792" s="57">
        <f>+SUMIF('Chi tiết NVL'!$I:$I,$A792,'Chi tiết NVL'!N:N)</f>
        <v/>
      </c>
      <c r="F792" s="57">
        <f>+SUMIF('Chi tiết NVL'!$I:$I,$A792,'Chi tiết NVL'!O:O)</f>
        <v/>
      </c>
      <c r="G792" s="57">
        <f>+SUMIF('Chi tiết NVL'!$I:$I,$A792,'Chi tiết NVL'!P:P)</f>
        <v/>
      </c>
      <c r="H792" s="57">
        <f>+SUMIF('Chi tiết NVL'!$I:$I,$A792,'Chi tiết NVL'!Q:Q)</f>
        <v/>
      </c>
      <c r="I792" s="57">
        <f>+SUMIF('Chi tiết NVL'!$I:$I,$A792,'Chi tiết NVL'!R:R)</f>
        <v/>
      </c>
      <c r="J792" s="57">
        <f>+SUMIF('Chi tiết NVL'!$I:$I,$A792,'Chi tiết NVL'!S:S)</f>
        <v/>
      </c>
    </row>
    <row r="793">
      <c r="A793" s="56" t="inlineStr">
        <is>
          <t>Thép ống đen 88.9</t>
        </is>
      </c>
      <c r="B793" s="56">
        <f>+VLOOKUP(A793,'Chi tiết NVL'!$I$10:$J$4158,2,0)</f>
        <v/>
      </c>
      <c r="C793" s="57">
        <f>+SUMIF('Chi tiết NVL'!$I:$I,$A793,'Chi tiết NVL'!L:L)</f>
        <v/>
      </c>
      <c r="D793" s="57">
        <f>+SUMIF('Chi tiết NVL'!$I:$I,$A793,'Chi tiết NVL'!M:M)</f>
        <v/>
      </c>
      <c r="E793" s="57">
        <f>+SUMIF('Chi tiết NVL'!$I:$I,$A793,'Chi tiết NVL'!N:N)</f>
        <v/>
      </c>
      <c r="F793" s="57">
        <f>+SUMIF('Chi tiết NVL'!$I:$I,$A793,'Chi tiết NVL'!O:O)</f>
        <v/>
      </c>
      <c r="G793" s="57">
        <f>+SUMIF('Chi tiết NVL'!$I:$I,$A793,'Chi tiết NVL'!P:P)</f>
        <v/>
      </c>
      <c r="H793" s="57">
        <f>+SUMIF('Chi tiết NVL'!$I:$I,$A793,'Chi tiết NVL'!Q:Q)</f>
        <v/>
      </c>
      <c r="I793" s="57">
        <f>+SUMIF('Chi tiết NVL'!$I:$I,$A793,'Chi tiết NVL'!R:R)</f>
        <v/>
      </c>
      <c r="J793" s="57">
        <f>+SUMIF('Chi tiết NVL'!$I:$I,$A793,'Chi tiết NVL'!S:S)</f>
        <v/>
      </c>
    </row>
    <row r="794" ht="63" customHeight="1">
      <c r="A794" s="56" t="inlineStr">
        <is>
          <t>Quyết toán Hợp đồng mua bán số 1209/2025/HĐMB/STEELTECH-DS-G01 ký ngày 12/09/2025 về việc cung cấp vật tư cung cấp kết cấu lan can thép</t>
        </is>
      </c>
      <c r="B794" s="56">
        <f>+VLOOKUP(A794,'Chi tiết NVL'!$I$10:$J$4158,2,0)</f>
        <v/>
      </c>
      <c r="C794" s="57">
        <f>+SUMIF('Chi tiết NVL'!$I:$I,$A794,'Chi tiết NVL'!L:L)</f>
        <v/>
      </c>
      <c r="D794" s="57">
        <f>+SUMIF('Chi tiết NVL'!$I:$I,$A794,'Chi tiết NVL'!M:M)</f>
        <v/>
      </c>
      <c r="E794" s="57">
        <f>+SUMIF('Chi tiết NVL'!$I:$I,$A794,'Chi tiết NVL'!N:N)</f>
        <v/>
      </c>
      <c r="F794" s="57">
        <f>+SUMIF('Chi tiết NVL'!$I:$I,$A794,'Chi tiết NVL'!O:O)</f>
        <v/>
      </c>
      <c r="G794" s="57">
        <f>+SUMIF('Chi tiết NVL'!$I:$I,$A794,'Chi tiết NVL'!P:P)</f>
        <v/>
      </c>
      <c r="H794" s="57">
        <f>+SUMIF('Chi tiết NVL'!$I:$I,$A794,'Chi tiết NVL'!Q:Q)</f>
        <v/>
      </c>
      <c r="I794" s="57">
        <f>+SUMIF('Chi tiết NVL'!$I:$I,$A794,'Chi tiết NVL'!R:R)</f>
        <v/>
      </c>
      <c r="J794" s="57">
        <f>+SUMIF('Chi tiết NVL'!$I:$I,$A794,'Chi tiết NVL'!S:S)</f>
        <v/>
      </c>
    </row>
    <row r="795">
      <c r="A795" s="56" t="inlineStr">
        <is>
          <t>Ty ren suốt 5.6 (đầu vát-đầu lục giác) ZP M24x260</t>
        </is>
      </c>
      <c r="B795" s="56">
        <f>+VLOOKUP(A795,'Chi tiết NVL'!$I$10:$J$4158,2,0)</f>
        <v/>
      </c>
      <c r="C795" s="57">
        <f>+SUMIF('Chi tiết NVL'!$I:$I,$A795,'Chi tiết NVL'!L:L)</f>
        <v/>
      </c>
      <c r="D795" s="57">
        <f>+SUMIF('Chi tiết NVL'!$I:$I,$A795,'Chi tiết NVL'!M:M)</f>
        <v/>
      </c>
      <c r="E795" s="57">
        <f>+SUMIF('Chi tiết NVL'!$I:$I,$A795,'Chi tiết NVL'!N:N)</f>
        <v/>
      </c>
      <c r="F795" s="57">
        <f>+SUMIF('Chi tiết NVL'!$I:$I,$A795,'Chi tiết NVL'!O:O)</f>
        <v/>
      </c>
      <c r="G795" s="57">
        <f>+SUMIF('Chi tiết NVL'!$I:$I,$A795,'Chi tiết NVL'!P:P)</f>
        <v/>
      </c>
      <c r="H795" s="57">
        <f>+SUMIF('Chi tiết NVL'!$I:$I,$A795,'Chi tiết NVL'!Q:Q)</f>
        <v/>
      </c>
      <c r="I795" s="57">
        <f>+SUMIF('Chi tiết NVL'!$I:$I,$A795,'Chi tiết NVL'!R:R)</f>
        <v/>
      </c>
      <c r="J795" s="57">
        <f>+SUMIF('Chi tiết NVL'!$I:$I,$A795,'Chi tiết NVL'!S:S)</f>
        <v/>
      </c>
    </row>
    <row r="796">
      <c r="A796" s="56" t="inlineStr">
        <is>
          <t>Đai ốc Din 934 5 ZP M30</t>
        </is>
      </c>
      <c r="B796" s="56">
        <f>+VLOOKUP(A796,'Chi tiết NVL'!$I$10:$J$4158,2,0)</f>
        <v/>
      </c>
      <c r="C796" s="57">
        <f>+SUMIF('Chi tiết NVL'!$I:$I,$A796,'Chi tiết NVL'!L:L)</f>
        <v/>
      </c>
      <c r="D796" s="57">
        <f>+SUMIF('Chi tiết NVL'!$I:$I,$A796,'Chi tiết NVL'!M:M)</f>
        <v/>
      </c>
      <c r="E796" s="57">
        <f>+SUMIF('Chi tiết NVL'!$I:$I,$A796,'Chi tiết NVL'!N:N)</f>
        <v/>
      </c>
      <c r="F796" s="57">
        <f>+SUMIF('Chi tiết NVL'!$I:$I,$A796,'Chi tiết NVL'!O:O)</f>
        <v/>
      </c>
      <c r="G796" s="57">
        <f>+SUMIF('Chi tiết NVL'!$I:$I,$A796,'Chi tiết NVL'!P:P)</f>
        <v/>
      </c>
      <c r="H796" s="57">
        <f>+SUMIF('Chi tiết NVL'!$I:$I,$A796,'Chi tiết NVL'!Q:Q)</f>
        <v/>
      </c>
      <c r="I796" s="57">
        <f>+SUMIF('Chi tiết NVL'!$I:$I,$A796,'Chi tiết NVL'!R:R)</f>
        <v/>
      </c>
      <c r="J796" s="57">
        <f>+SUMIF('Chi tiết NVL'!$I:$I,$A796,'Chi tiết NVL'!S:S)</f>
        <v/>
      </c>
    </row>
    <row r="797">
      <c r="A797" s="56" t="inlineStr">
        <is>
          <t>Ty ren suốt 5.6 (đầu vát-đầu lục giác) ZP M30x300</t>
        </is>
      </c>
      <c r="B797" s="56">
        <f>+VLOOKUP(A797,'Chi tiết NVL'!$I$10:$J$4158,2,0)</f>
        <v/>
      </c>
      <c r="C797" s="57">
        <f>+SUMIF('Chi tiết NVL'!$I:$I,$A797,'Chi tiết NVL'!L:L)</f>
        <v/>
      </c>
      <c r="D797" s="57">
        <f>+SUMIF('Chi tiết NVL'!$I:$I,$A797,'Chi tiết NVL'!M:M)</f>
        <v/>
      </c>
      <c r="E797" s="57">
        <f>+SUMIF('Chi tiết NVL'!$I:$I,$A797,'Chi tiết NVL'!N:N)</f>
        <v/>
      </c>
      <c r="F797" s="57">
        <f>+SUMIF('Chi tiết NVL'!$I:$I,$A797,'Chi tiết NVL'!O:O)</f>
        <v/>
      </c>
      <c r="G797" s="57">
        <f>+SUMIF('Chi tiết NVL'!$I:$I,$A797,'Chi tiết NVL'!P:P)</f>
        <v/>
      </c>
      <c r="H797" s="57">
        <f>+SUMIF('Chi tiết NVL'!$I:$I,$A797,'Chi tiết NVL'!Q:Q)</f>
        <v/>
      </c>
      <c r="I797" s="57">
        <f>+SUMIF('Chi tiết NVL'!$I:$I,$A797,'Chi tiết NVL'!R:R)</f>
        <v/>
      </c>
      <c r="J797" s="57">
        <f>+SUMIF('Chi tiết NVL'!$I:$I,$A797,'Chi tiết NVL'!S:S)</f>
        <v/>
      </c>
    </row>
    <row r="798">
      <c r="A798" s="56" t="inlineStr">
        <is>
          <t>Cửa thép</t>
        </is>
      </c>
      <c r="B798" s="56">
        <f>+VLOOKUP(A798,'Chi tiết NVL'!$I$10:$J$4158,2,0)</f>
        <v/>
      </c>
      <c r="C798" s="57">
        <f>+SUMIF('Chi tiết NVL'!$I:$I,$A798,'Chi tiết NVL'!L:L)</f>
        <v/>
      </c>
      <c r="D798" s="57">
        <f>+SUMIF('Chi tiết NVL'!$I:$I,$A798,'Chi tiết NVL'!M:M)</f>
        <v/>
      </c>
      <c r="E798" s="57">
        <f>+SUMIF('Chi tiết NVL'!$I:$I,$A798,'Chi tiết NVL'!N:N)</f>
        <v/>
      </c>
      <c r="F798" s="57">
        <f>+SUMIF('Chi tiết NVL'!$I:$I,$A798,'Chi tiết NVL'!O:O)</f>
        <v/>
      </c>
      <c r="G798" s="57">
        <f>+SUMIF('Chi tiết NVL'!$I:$I,$A798,'Chi tiết NVL'!P:P)</f>
        <v/>
      </c>
      <c r="H798" s="57">
        <f>+SUMIF('Chi tiết NVL'!$I:$I,$A798,'Chi tiết NVL'!Q:Q)</f>
        <v/>
      </c>
      <c r="I798" s="57">
        <f>+SUMIF('Chi tiết NVL'!$I:$I,$A798,'Chi tiết NVL'!R:R)</f>
        <v/>
      </c>
      <c r="J798" s="57">
        <f>+SUMIF('Chi tiết NVL'!$I:$I,$A798,'Chi tiết NVL'!S:S)</f>
        <v/>
      </c>
    </row>
    <row r="799">
      <c r="A799" s="56" t="inlineStr">
        <is>
          <t>CÂY CHỐNG NÊM 2.6M KHÔNG ĐẦU 7.2KG</t>
        </is>
      </c>
      <c r="B799" s="56">
        <f>+VLOOKUP(A799,'Chi tiết NVL'!$I$10:$J$4158,2,0)</f>
        <v/>
      </c>
      <c r="C799" s="57">
        <f>+SUMIF('Chi tiết NVL'!$I:$I,$A799,'Chi tiết NVL'!L:L)</f>
        <v/>
      </c>
      <c r="D799" s="57">
        <f>+SUMIF('Chi tiết NVL'!$I:$I,$A799,'Chi tiết NVL'!M:M)</f>
        <v/>
      </c>
      <c r="E799" s="57">
        <f>+SUMIF('Chi tiết NVL'!$I:$I,$A799,'Chi tiết NVL'!N:N)</f>
        <v/>
      </c>
      <c r="F799" s="57">
        <f>+SUMIF('Chi tiết NVL'!$I:$I,$A799,'Chi tiết NVL'!O:O)</f>
        <v/>
      </c>
      <c r="G799" s="57">
        <f>+SUMIF('Chi tiết NVL'!$I:$I,$A799,'Chi tiết NVL'!P:P)</f>
        <v/>
      </c>
      <c r="H799" s="57">
        <f>+SUMIF('Chi tiết NVL'!$I:$I,$A799,'Chi tiết NVL'!Q:Q)</f>
        <v/>
      </c>
      <c r="I799" s="57">
        <f>+SUMIF('Chi tiết NVL'!$I:$I,$A799,'Chi tiết NVL'!R:R)</f>
        <v/>
      </c>
      <c r="J799" s="57">
        <f>+SUMIF('Chi tiết NVL'!$I:$I,$A799,'Chi tiết NVL'!S:S)</f>
        <v/>
      </c>
    </row>
    <row r="800">
      <c r="A800" s="56" t="inlineStr">
        <is>
          <t>CƯỚC VẬN CHUYỂN</t>
        </is>
      </c>
      <c r="B800" s="56">
        <f>+VLOOKUP(A800,'Chi tiết NVL'!$I$10:$J$4158,2,0)</f>
        <v/>
      </c>
      <c r="C800" s="57">
        <f>+SUMIF('Chi tiết NVL'!$I:$I,$A800,'Chi tiết NVL'!L:L)</f>
        <v/>
      </c>
      <c r="D800" s="57">
        <f>+SUMIF('Chi tiết NVL'!$I:$I,$A800,'Chi tiết NVL'!M:M)</f>
        <v/>
      </c>
      <c r="E800" s="57">
        <f>+SUMIF('Chi tiết NVL'!$I:$I,$A800,'Chi tiết NVL'!N:N)</f>
        <v/>
      </c>
      <c r="F800" s="57">
        <f>+SUMIF('Chi tiết NVL'!$I:$I,$A800,'Chi tiết NVL'!O:O)</f>
        <v/>
      </c>
      <c r="G800" s="57">
        <f>+SUMIF('Chi tiết NVL'!$I:$I,$A800,'Chi tiết NVL'!P:P)</f>
        <v/>
      </c>
      <c r="H800" s="57">
        <f>+SUMIF('Chi tiết NVL'!$I:$I,$A800,'Chi tiết NVL'!Q:Q)</f>
        <v/>
      </c>
      <c r="I800" s="57">
        <f>+SUMIF('Chi tiết NVL'!$I:$I,$A800,'Chi tiết NVL'!R:R)</f>
        <v/>
      </c>
      <c r="J800" s="57">
        <f>+SUMIF('Chi tiết NVL'!$I:$I,$A800,'Chi tiết NVL'!S:S)</f>
        <v/>
      </c>
    </row>
    <row r="801">
      <c r="A801" s="56" t="inlineStr">
        <is>
          <t>Vít B3stek 12-24x38 WAF</t>
        </is>
      </c>
      <c r="B801" s="56">
        <f>+VLOOKUP(A801,'Chi tiết NVL'!$I$10:$J$4158,2,0)</f>
        <v/>
      </c>
      <c r="C801" s="57">
        <f>+SUMIF('Chi tiết NVL'!$I:$I,$A801,'Chi tiết NVL'!L:L)</f>
        <v/>
      </c>
      <c r="D801" s="57">
        <f>+SUMIF('Chi tiết NVL'!$I:$I,$A801,'Chi tiết NVL'!M:M)</f>
        <v/>
      </c>
      <c r="E801" s="57">
        <f>+SUMIF('Chi tiết NVL'!$I:$I,$A801,'Chi tiết NVL'!N:N)</f>
        <v/>
      </c>
      <c r="F801" s="57">
        <f>+SUMIF('Chi tiết NVL'!$I:$I,$A801,'Chi tiết NVL'!O:O)</f>
        <v/>
      </c>
      <c r="G801" s="57">
        <f>+SUMIF('Chi tiết NVL'!$I:$I,$A801,'Chi tiết NVL'!P:P)</f>
        <v/>
      </c>
      <c r="H801" s="57">
        <f>+SUMIF('Chi tiết NVL'!$I:$I,$A801,'Chi tiết NVL'!Q:Q)</f>
        <v/>
      </c>
      <c r="I801" s="57">
        <f>+SUMIF('Chi tiết NVL'!$I:$I,$A801,'Chi tiết NVL'!R:R)</f>
        <v/>
      </c>
      <c r="J801" s="57">
        <f>+SUMIF('Chi tiết NVL'!$I:$I,$A801,'Chi tiết NVL'!S:S)</f>
        <v/>
      </c>
    </row>
    <row r="802">
      <c r="A802" s="56" t="inlineStr">
        <is>
          <t>Ma tít gắn thép Ramset Epcon G5 PRO</t>
        </is>
      </c>
      <c r="B802" s="56">
        <f>+VLOOKUP(A802,'Chi tiết NVL'!$I$10:$J$4158,2,0)</f>
        <v/>
      </c>
      <c r="C802" s="57">
        <f>+SUMIF('Chi tiết NVL'!$I:$I,$A802,'Chi tiết NVL'!L:L)</f>
        <v/>
      </c>
      <c r="D802" s="57">
        <f>+SUMIF('Chi tiết NVL'!$I:$I,$A802,'Chi tiết NVL'!M:M)</f>
        <v/>
      </c>
      <c r="E802" s="57">
        <f>+SUMIF('Chi tiết NVL'!$I:$I,$A802,'Chi tiết NVL'!N:N)</f>
        <v/>
      </c>
      <c r="F802" s="57">
        <f>+SUMIF('Chi tiết NVL'!$I:$I,$A802,'Chi tiết NVL'!O:O)</f>
        <v/>
      </c>
      <c r="G802" s="57">
        <f>+SUMIF('Chi tiết NVL'!$I:$I,$A802,'Chi tiết NVL'!P:P)</f>
        <v/>
      </c>
      <c r="H802" s="57">
        <f>+SUMIF('Chi tiết NVL'!$I:$I,$A802,'Chi tiết NVL'!Q:Q)</f>
        <v/>
      </c>
      <c r="I802" s="57">
        <f>+SUMIF('Chi tiết NVL'!$I:$I,$A802,'Chi tiết NVL'!R:R)</f>
        <v/>
      </c>
      <c r="J802" s="57">
        <f>+SUMIF('Chi tiết NVL'!$I:$I,$A802,'Chi tiết NVL'!S:S)</f>
        <v/>
      </c>
    </row>
    <row r="803">
      <c r="A803" s="56" t="inlineStr">
        <is>
          <t>Tấm inox 304: 10.0mm x 680 x 250</t>
        </is>
      </c>
      <c r="B803" s="56">
        <f>+VLOOKUP(A803,'Chi tiết NVL'!$I$10:$J$4158,2,0)</f>
        <v/>
      </c>
      <c r="C803" s="57">
        <f>+SUMIF('Chi tiết NVL'!$I:$I,$A803,'Chi tiết NVL'!L:L)</f>
        <v/>
      </c>
      <c r="D803" s="57">
        <f>+SUMIF('Chi tiết NVL'!$I:$I,$A803,'Chi tiết NVL'!M:M)</f>
        <v/>
      </c>
      <c r="E803" s="57">
        <f>+SUMIF('Chi tiết NVL'!$I:$I,$A803,'Chi tiết NVL'!N:N)</f>
        <v/>
      </c>
      <c r="F803" s="57">
        <f>+SUMIF('Chi tiết NVL'!$I:$I,$A803,'Chi tiết NVL'!O:O)</f>
        <v/>
      </c>
      <c r="G803" s="57">
        <f>+SUMIF('Chi tiết NVL'!$I:$I,$A803,'Chi tiết NVL'!P:P)</f>
        <v/>
      </c>
      <c r="H803" s="57">
        <f>+SUMIF('Chi tiết NVL'!$I:$I,$A803,'Chi tiết NVL'!Q:Q)</f>
        <v/>
      </c>
      <c r="I803" s="57">
        <f>+SUMIF('Chi tiết NVL'!$I:$I,$A803,'Chi tiết NVL'!R:R)</f>
        <v/>
      </c>
      <c r="J803" s="57">
        <f>+SUMIF('Chi tiết NVL'!$I:$I,$A803,'Chi tiết NVL'!S:S)</f>
        <v/>
      </c>
    </row>
    <row r="804">
      <c r="A804" s="56" t="inlineStr">
        <is>
          <t>Thép tấm 12x2000x12000mm Q355B</t>
        </is>
      </c>
      <c r="B804" s="56">
        <f>+VLOOKUP(A804,'Chi tiết NVL'!$I$10:$J$4158,2,0)</f>
        <v/>
      </c>
      <c r="C804" s="57">
        <f>+SUMIF('Chi tiết NVL'!$I:$I,$A804,'Chi tiết NVL'!L:L)</f>
        <v/>
      </c>
      <c r="D804" s="57">
        <f>+SUMIF('Chi tiết NVL'!$I:$I,$A804,'Chi tiết NVL'!M:M)</f>
        <v/>
      </c>
      <c r="E804" s="57">
        <f>+SUMIF('Chi tiết NVL'!$I:$I,$A804,'Chi tiết NVL'!N:N)</f>
        <v/>
      </c>
      <c r="F804" s="57">
        <f>+SUMIF('Chi tiết NVL'!$I:$I,$A804,'Chi tiết NVL'!O:O)</f>
        <v/>
      </c>
      <c r="G804" s="57">
        <f>+SUMIF('Chi tiết NVL'!$I:$I,$A804,'Chi tiết NVL'!P:P)</f>
        <v/>
      </c>
      <c r="H804" s="57">
        <f>+SUMIF('Chi tiết NVL'!$I:$I,$A804,'Chi tiết NVL'!Q:Q)</f>
        <v/>
      </c>
      <c r="I804" s="57">
        <f>+SUMIF('Chi tiết NVL'!$I:$I,$A804,'Chi tiết NVL'!R:R)</f>
        <v/>
      </c>
      <c r="J804" s="57">
        <f>+SUMIF('Chi tiết NVL'!$I:$I,$A804,'Chi tiết NVL'!S:S)</f>
        <v/>
      </c>
    </row>
    <row r="805">
      <c r="A805" s="56" t="inlineStr">
        <is>
          <t>Thép V50</t>
        </is>
      </c>
      <c r="B805" s="56">
        <f>+VLOOKUP(A805,'Chi tiết NVL'!$I$10:$J$4158,2,0)</f>
        <v/>
      </c>
      <c r="C805" s="57">
        <f>+SUMIF('Chi tiết NVL'!$I:$I,$A805,'Chi tiết NVL'!L:L)</f>
        <v/>
      </c>
      <c r="D805" s="57">
        <f>+SUMIF('Chi tiết NVL'!$I:$I,$A805,'Chi tiết NVL'!M:M)</f>
        <v/>
      </c>
      <c r="E805" s="57">
        <f>+SUMIF('Chi tiết NVL'!$I:$I,$A805,'Chi tiết NVL'!N:N)</f>
        <v/>
      </c>
      <c r="F805" s="57">
        <f>+SUMIF('Chi tiết NVL'!$I:$I,$A805,'Chi tiết NVL'!O:O)</f>
        <v/>
      </c>
      <c r="G805" s="57">
        <f>+SUMIF('Chi tiết NVL'!$I:$I,$A805,'Chi tiết NVL'!P:P)</f>
        <v/>
      </c>
      <c r="H805" s="57">
        <f>+SUMIF('Chi tiết NVL'!$I:$I,$A805,'Chi tiết NVL'!Q:Q)</f>
        <v/>
      </c>
      <c r="I805" s="57">
        <f>+SUMIF('Chi tiết NVL'!$I:$I,$A805,'Chi tiết NVL'!R:R)</f>
        <v/>
      </c>
      <c r="J805" s="57">
        <f>+SUMIF('Chi tiết NVL'!$I:$I,$A805,'Chi tiết NVL'!S:S)</f>
        <v/>
      </c>
    </row>
    <row r="806">
      <c r="A806" s="56" t="inlineStr">
        <is>
          <t>Thép tấm gân 5.0</t>
        </is>
      </c>
      <c r="B806" s="56">
        <f>+VLOOKUP(A806,'Chi tiết NVL'!$I$10:$J$4158,2,0)</f>
        <v/>
      </c>
      <c r="C806" s="57">
        <f>+SUMIF('Chi tiết NVL'!$I:$I,$A806,'Chi tiết NVL'!L:L)</f>
        <v/>
      </c>
      <c r="D806" s="57">
        <f>+SUMIF('Chi tiết NVL'!$I:$I,$A806,'Chi tiết NVL'!M:M)</f>
        <v/>
      </c>
      <c r="E806" s="57">
        <f>+SUMIF('Chi tiết NVL'!$I:$I,$A806,'Chi tiết NVL'!N:N)</f>
        <v/>
      </c>
      <c r="F806" s="57">
        <f>+SUMIF('Chi tiết NVL'!$I:$I,$A806,'Chi tiết NVL'!O:O)</f>
        <v/>
      </c>
      <c r="G806" s="57">
        <f>+SUMIF('Chi tiết NVL'!$I:$I,$A806,'Chi tiết NVL'!P:P)</f>
        <v/>
      </c>
      <c r="H806" s="57">
        <f>+SUMIF('Chi tiết NVL'!$I:$I,$A806,'Chi tiết NVL'!Q:Q)</f>
        <v/>
      </c>
      <c r="I806" s="57">
        <f>+SUMIF('Chi tiết NVL'!$I:$I,$A806,'Chi tiết NVL'!R:R)</f>
        <v/>
      </c>
      <c r="J806" s="57">
        <f>+SUMIF('Chi tiết NVL'!$I:$I,$A806,'Chi tiết NVL'!S:S)</f>
        <v/>
      </c>
    </row>
    <row r="807">
      <c r="A807" s="56" t="inlineStr">
        <is>
          <t>Lan can cầu thang</t>
        </is>
      </c>
      <c r="B807" s="56">
        <f>+VLOOKUP(A807,'Chi tiết NVL'!$I$10:$J$4158,2,0)</f>
        <v/>
      </c>
      <c r="C807" s="57">
        <f>+SUMIF('Chi tiết NVL'!$I:$I,$A807,'Chi tiết NVL'!L:L)</f>
        <v/>
      </c>
      <c r="D807" s="57">
        <f>+SUMIF('Chi tiết NVL'!$I:$I,$A807,'Chi tiết NVL'!M:M)</f>
        <v/>
      </c>
      <c r="E807" s="57">
        <f>+SUMIF('Chi tiết NVL'!$I:$I,$A807,'Chi tiết NVL'!N:N)</f>
        <v/>
      </c>
      <c r="F807" s="57">
        <f>+SUMIF('Chi tiết NVL'!$I:$I,$A807,'Chi tiết NVL'!O:O)</f>
        <v/>
      </c>
      <c r="G807" s="57">
        <f>+SUMIF('Chi tiết NVL'!$I:$I,$A807,'Chi tiết NVL'!P:P)</f>
        <v/>
      </c>
      <c r="H807" s="57">
        <f>+SUMIF('Chi tiết NVL'!$I:$I,$A807,'Chi tiết NVL'!Q:Q)</f>
        <v/>
      </c>
      <c r="I807" s="57">
        <f>+SUMIF('Chi tiết NVL'!$I:$I,$A807,'Chi tiết NVL'!R:R)</f>
        <v/>
      </c>
      <c r="J807" s="57">
        <f>+SUMIF('Chi tiết NVL'!$I:$I,$A807,'Chi tiết NVL'!S:S)</f>
        <v/>
      </c>
    </row>
    <row r="808">
      <c r="A808" s="56" t="inlineStr">
        <is>
          <t>Thép tấm gân 3ly</t>
        </is>
      </c>
      <c r="B808" s="56">
        <f>+VLOOKUP(A808,'Chi tiết NVL'!$I$10:$J$4158,2,0)</f>
        <v/>
      </c>
      <c r="C808" s="57">
        <f>+SUMIF('Chi tiết NVL'!$I:$I,$A808,'Chi tiết NVL'!L:L)</f>
        <v/>
      </c>
      <c r="D808" s="57">
        <f>+SUMIF('Chi tiết NVL'!$I:$I,$A808,'Chi tiết NVL'!M:M)</f>
        <v/>
      </c>
      <c r="E808" s="57">
        <f>+SUMIF('Chi tiết NVL'!$I:$I,$A808,'Chi tiết NVL'!N:N)</f>
        <v/>
      </c>
      <c r="F808" s="57">
        <f>+SUMIF('Chi tiết NVL'!$I:$I,$A808,'Chi tiết NVL'!O:O)</f>
        <v/>
      </c>
      <c r="G808" s="57">
        <f>+SUMIF('Chi tiết NVL'!$I:$I,$A808,'Chi tiết NVL'!P:P)</f>
        <v/>
      </c>
      <c r="H808" s="57">
        <f>+SUMIF('Chi tiết NVL'!$I:$I,$A808,'Chi tiết NVL'!Q:Q)</f>
        <v/>
      </c>
      <c r="I808" s="57">
        <f>+SUMIF('Chi tiết NVL'!$I:$I,$A808,'Chi tiết NVL'!R:R)</f>
        <v/>
      </c>
      <c r="J808" s="57">
        <f>+SUMIF('Chi tiết NVL'!$I:$I,$A808,'Chi tiết NVL'!S:S)</f>
        <v/>
      </c>
    </row>
    <row r="809">
      <c r="A809" s="56" t="inlineStr">
        <is>
          <t>Bulong Din 933 8.8 M14x35</t>
        </is>
      </c>
      <c r="B809" s="56">
        <f>+VLOOKUP(A809,'Chi tiết NVL'!$I$10:$J$4158,2,0)</f>
        <v/>
      </c>
      <c r="C809" s="57">
        <f>+SUMIF('Chi tiết NVL'!$I:$I,$A809,'Chi tiết NVL'!L:L)</f>
        <v/>
      </c>
      <c r="D809" s="57">
        <f>+SUMIF('Chi tiết NVL'!$I:$I,$A809,'Chi tiết NVL'!M:M)</f>
        <v/>
      </c>
      <c r="E809" s="57">
        <f>+SUMIF('Chi tiết NVL'!$I:$I,$A809,'Chi tiết NVL'!N:N)</f>
        <v/>
      </c>
      <c r="F809" s="57">
        <f>+SUMIF('Chi tiết NVL'!$I:$I,$A809,'Chi tiết NVL'!O:O)</f>
        <v/>
      </c>
      <c r="G809" s="57">
        <f>+SUMIF('Chi tiết NVL'!$I:$I,$A809,'Chi tiết NVL'!P:P)</f>
        <v/>
      </c>
      <c r="H809" s="57">
        <f>+SUMIF('Chi tiết NVL'!$I:$I,$A809,'Chi tiết NVL'!Q:Q)</f>
        <v/>
      </c>
      <c r="I809" s="57">
        <f>+SUMIF('Chi tiết NVL'!$I:$I,$A809,'Chi tiết NVL'!R:R)</f>
        <v/>
      </c>
      <c r="J809" s="57">
        <f>+SUMIF('Chi tiết NVL'!$I:$I,$A809,'Chi tiết NVL'!S:S)</f>
        <v/>
      </c>
    </row>
    <row r="810">
      <c r="A810" s="56" t="inlineStr">
        <is>
          <t>Thép ống 114.3x3.96x6m</t>
        </is>
      </c>
      <c r="B810" s="56">
        <f>+VLOOKUP(A810,'Chi tiết NVL'!$I$10:$J$4158,2,0)</f>
        <v/>
      </c>
      <c r="C810" s="57">
        <f>+SUMIF('Chi tiết NVL'!$I:$I,$A810,'Chi tiết NVL'!L:L)</f>
        <v/>
      </c>
      <c r="D810" s="57">
        <f>+SUMIF('Chi tiết NVL'!$I:$I,$A810,'Chi tiết NVL'!M:M)</f>
        <v/>
      </c>
      <c r="E810" s="57">
        <f>+SUMIF('Chi tiết NVL'!$I:$I,$A810,'Chi tiết NVL'!N:N)</f>
        <v/>
      </c>
      <c r="F810" s="57">
        <f>+SUMIF('Chi tiết NVL'!$I:$I,$A810,'Chi tiết NVL'!O:O)</f>
        <v/>
      </c>
      <c r="G810" s="57">
        <f>+SUMIF('Chi tiết NVL'!$I:$I,$A810,'Chi tiết NVL'!P:P)</f>
        <v/>
      </c>
      <c r="H810" s="57">
        <f>+SUMIF('Chi tiết NVL'!$I:$I,$A810,'Chi tiết NVL'!Q:Q)</f>
        <v/>
      </c>
      <c r="I810" s="57">
        <f>+SUMIF('Chi tiết NVL'!$I:$I,$A810,'Chi tiết NVL'!R:R)</f>
        <v/>
      </c>
      <c r="J810" s="57">
        <f>+SUMIF('Chi tiết NVL'!$I:$I,$A810,'Chi tiết NVL'!S:S)</f>
        <v/>
      </c>
    </row>
    <row r="811">
      <c r="A811" s="56" t="inlineStr">
        <is>
          <t>Thép hình I250</t>
        </is>
      </c>
      <c r="B811" s="56">
        <f>+VLOOKUP(A811,'Chi tiết NVL'!$I$10:$J$4158,2,0)</f>
        <v/>
      </c>
      <c r="C811" s="57">
        <f>+SUMIF('Chi tiết NVL'!$I:$I,$A811,'Chi tiết NVL'!L:L)</f>
        <v/>
      </c>
      <c r="D811" s="57">
        <f>+SUMIF('Chi tiết NVL'!$I:$I,$A811,'Chi tiết NVL'!M:M)</f>
        <v/>
      </c>
      <c r="E811" s="57">
        <f>+SUMIF('Chi tiết NVL'!$I:$I,$A811,'Chi tiết NVL'!N:N)</f>
        <v/>
      </c>
      <c r="F811" s="57">
        <f>+SUMIF('Chi tiết NVL'!$I:$I,$A811,'Chi tiết NVL'!O:O)</f>
        <v/>
      </c>
      <c r="G811" s="57">
        <f>+SUMIF('Chi tiết NVL'!$I:$I,$A811,'Chi tiết NVL'!P:P)</f>
        <v/>
      </c>
      <c r="H811" s="57">
        <f>+SUMIF('Chi tiết NVL'!$I:$I,$A811,'Chi tiết NVL'!Q:Q)</f>
        <v/>
      </c>
      <c r="I811" s="57">
        <f>+SUMIF('Chi tiết NVL'!$I:$I,$A811,'Chi tiết NVL'!R:R)</f>
        <v/>
      </c>
      <c r="J811" s="57">
        <f>+SUMIF('Chi tiết NVL'!$I:$I,$A811,'Chi tiết NVL'!S:S)</f>
        <v/>
      </c>
    </row>
    <row r="812">
      <c r="A812" s="56" t="inlineStr">
        <is>
          <t>Thép hình I298</t>
        </is>
      </c>
      <c r="B812" s="56">
        <f>+VLOOKUP(A812,'Chi tiết NVL'!$I$10:$J$4158,2,0)</f>
        <v/>
      </c>
      <c r="C812" s="57">
        <f>+SUMIF('Chi tiết NVL'!$I:$I,$A812,'Chi tiết NVL'!L:L)</f>
        <v/>
      </c>
      <c r="D812" s="57">
        <f>+SUMIF('Chi tiết NVL'!$I:$I,$A812,'Chi tiết NVL'!M:M)</f>
        <v/>
      </c>
      <c r="E812" s="57">
        <f>+SUMIF('Chi tiết NVL'!$I:$I,$A812,'Chi tiết NVL'!N:N)</f>
        <v/>
      </c>
      <c r="F812" s="57">
        <f>+SUMIF('Chi tiết NVL'!$I:$I,$A812,'Chi tiết NVL'!O:O)</f>
        <v/>
      </c>
      <c r="G812" s="57">
        <f>+SUMIF('Chi tiết NVL'!$I:$I,$A812,'Chi tiết NVL'!P:P)</f>
        <v/>
      </c>
      <c r="H812" s="57">
        <f>+SUMIF('Chi tiết NVL'!$I:$I,$A812,'Chi tiết NVL'!Q:Q)</f>
        <v/>
      </c>
      <c r="I812" s="57">
        <f>+SUMIF('Chi tiết NVL'!$I:$I,$A812,'Chi tiết NVL'!R:R)</f>
        <v/>
      </c>
      <c r="J812" s="57">
        <f>+SUMIF('Chi tiết NVL'!$I:$I,$A812,'Chi tiết NVL'!S:S)</f>
        <v/>
      </c>
    </row>
    <row r="813">
      <c r="A813" s="56" t="inlineStr">
        <is>
          <t>Thép hình I300</t>
        </is>
      </c>
      <c r="B813" s="56">
        <f>+VLOOKUP(A813,'Chi tiết NVL'!$I$10:$J$4158,2,0)</f>
        <v/>
      </c>
      <c r="C813" s="57">
        <f>+SUMIF('Chi tiết NVL'!$I:$I,$A813,'Chi tiết NVL'!L:L)</f>
        <v/>
      </c>
      <c r="D813" s="57">
        <f>+SUMIF('Chi tiết NVL'!$I:$I,$A813,'Chi tiết NVL'!M:M)</f>
        <v/>
      </c>
      <c r="E813" s="57">
        <f>+SUMIF('Chi tiết NVL'!$I:$I,$A813,'Chi tiết NVL'!N:N)</f>
        <v/>
      </c>
      <c r="F813" s="57">
        <f>+SUMIF('Chi tiết NVL'!$I:$I,$A813,'Chi tiết NVL'!O:O)</f>
        <v/>
      </c>
      <c r="G813" s="57">
        <f>+SUMIF('Chi tiết NVL'!$I:$I,$A813,'Chi tiết NVL'!P:P)</f>
        <v/>
      </c>
      <c r="H813" s="57">
        <f>+SUMIF('Chi tiết NVL'!$I:$I,$A813,'Chi tiết NVL'!Q:Q)</f>
        <v/>
      </c>
      <c r="I813" s="57">
        <f>+SUMIF('Chi tiết NVL'!$I:$I,$A813,'Chi tiết NVL'!R:R)</f>
        <v/>
      </c>
      <c r="J813" s="57">
        <f>+SUMIF('Chi tiết NVL'!$I:$I,$A813,'Chi tiết NVL'!S:S)</f>
        <v/>
      </c>
    </row>
    <row r="814">
      <c r="A814" s="56" t="inlineStr">
        <is>
          <t>Thép hình I350</t>
        </is>
      </c>
      <c r="B814" s="56">
        <f>+VLOOKUP(A814,'Chi tiết NVL'!$I$10:$J$4158,2,0)</f>
        <v/>
      </c>
      <c r="C814" s="57">
        <f>+SUMIF('Chi tiết NVL'!$I:$I,$A814,'Chi tiết NVL'!L:L)</f>
        <v/>
      </c>
      <c r="D814" s="57">
        <f>+SUMIF('Chi tiết NVL'!$I:$I,$A814,'Chi tiết NVL'!M:M)</f>
        <v/>
      </c>
      <c r="E814" s="57">
        <f>+SUMIF('Chi tiết NVL'!$I:$I,$A814,'Chi tiết NVL'!N:N)</f>
        <v/>
      </c>
      <c r="F814" s="57">
        <f>+SUMIF('Chi tiết NVL'!$I:$I,$A814,'Chi tiết NVL'!O:O)</f>
        <v/>
      </c>
      <c r="G814" s="57">
        <f>+SUMIF('Chi tiết NVL'!$I:$I,$A814,'Chi tiết NVL'!P:P)</f>
        <v/>
      </c>
      <c r="H814" s="57">
        <f>+SUMIF('Chi tiết NVL'!$I:$I,$A814,'Chi tiết NVL'!Q:Q)</f>
        <v/>
      </c>
      <c r="I814" s="57">
        <f>+SUMIF('Chi tiết NVL'!$I:$I,$A814,'Chi tiết NVL'!R:R)</f>
        <v/>
      </c>
      <c r="J814" s="57">
        <f>+SUMIF('Chi tiết NVL'!$I:$I,$A814,'Chi tiết NVL'!S:S)</f>
        <v/>
      </c>
    </row>
    <row r="815">
      <c r="A815" s="56" t="inlineStr">
        <is>
          <t>Thép hình I396</t>
        </is>
      </c>
      <c r="B815" s="56">
        <f>+VLOOKUP(A815,'Chi tiết NVL'!$I$10:$J$4158,2,0)</f>
        <v/>
      </c>
      <c r="C815" s="57">
        <f>+SUMIF('Chi tiết NVL'!$I:$I,$A815,'Chi tiết NVL'!L:L)</f>
        <v/>
      </c>
      <c r="D815" s="57">
        <f>+SUMIF('Chi tiết NVL'!$I:$I,$A815,'Chi tiết NVL'!M:M)</f>
        <v/>
      </c>
      <c r="E815" s="57">
        <f>+SUMIF('Chi tiết NVL'!$I:$I,$A815,'Chi tiết NVL'!N:N)</f>
        <v/>
      </c>
      <c r="F815" s="57">
        <f>+SUMIF('Chi tiết NVL'!$I:$I,$A815,'Chi tiết NVL'!O:O)</f>
        <v/>
      </c>
      <c r="G815" s="57">
        <f>+SUMIF('Chi tiết NVL'!$I:$I,$A815,'Chi tiết NVL'!P:P)</f>
        <v/>
      </c>
      <c r="H815" s="57">
        <f>+SUMIF('Chi tiết NVL'!$I:$I,$A815,'Chi tiết NVL'!Q:Q)</f>
        <v/>
      </c>
      <c r="I815" s="57">
        <f>+SUMIF('Chi tiết NVL'!$I:$I,$A815,'Chi tiết NVL'!R:R)</f>
        <v/>
      </c>
      <c r="J815" s="57">
        <f>+SUMIF('Chi tiết NVL'!$I:$I,$A815,'Chi tiết NVL'!S:S)</f>
        <v/>
      </c>
    </row>
    <row r="816">
      <c r="A816" s="56" t="inlineStr">
        <is>
          <t>Thép hình I450</t>
        </is>
      </c>
      <c r="B816" s="56">
        <f>+VLOOKUP(A816,'Chi tiết NVL'!$I$10:$J$4158,2,0)</f>
        <v/>
      </c>
      <c r="C816" s="57">
        <f>+SUMIF('Chi tiết NVL'!$I:$I,$A816,'Chi tiết NVL'!L:L)</f>
        <v/>
      </c>
      <c r="D816" s="57">
        <f>+SUMIF('Chi tiết NVL'!$I:$I,$A816,'Chi tiết NVL'!M:M)</f>
        <v/>
      </c>
      <c r="E816" s="57">
        <f>+SUMIF('Chi tiết NVL'!$I:$I,$A816,'Chi tiết NVL'!N:N)</f>
        <v/>
      </c>
      <c r="F816" s="57">
        <f>+SUMIF('Chi tiết NVL'!$I:$I,$A816,'Chi tiết NVL'!O:O)</f>
        <v/>
      </c>
      <c r="G816" s="57">
        <f>+SUMIF('Chi tiết NVL'!$I:$I,$A816,'Chi tiết NVL'!P:P)</f>
        <v/>
      </c>
      <c r="H816" s="57">
        <f>+SUMIF('Chi tiết NVL'!$I:$I,$A816,'Chi tiết NVL'!Q:Q)</f>
        <v/>
      </c>
      <c r="I816" s="57">
        <f>+SUMIF('Chi tiết NVL'!$I:$I,$A816,'Chi tiết NVL'!R:R)</f>
        <v/>
      </c>
      <c r="J816" s="57">
        <f>+SUMIF('Chi tiết NVL'!$I:$I,$A816,'Chi tiết NVL'!S:S)</f>
        <v/>
      </c>
    </row>
    <row r="817">
      <c r="A817" s="56" t="inlineStr">
        <is>
          <t>Thép hình I500</t>
        </is>
      </c>
      <c r="B817" s="56">
        <f>+VLOOKUP(A817,'Chi tiết NVL'!$I$10:$J$4158,2,0)</f>
        <v/>
      </c>
      <c r="C817" s="57">
        <f>+SUMIF('Chi tiết NVL'!$I:$I,$A817,'Chi tiết NVL'!L:L)</f>
        <v/>
      </c>
      <c r="D817" s="57">
        <f>+SUMIF('Chi tiết NVL'!$I:$I,$A817,'Chi tiết NVL'!M:M)</f>
        <v/>
      </c>
      <c r="E817" s="57">
        <f>+SUMIF('Chi tiết NVL'!$I:$I,$A817,'Chi tiết NVL'!N:N)</f>
        <v/>
      </c>
      <c r="F817" s="57">
        <f>+SUMIF('Chi tiết NVL'!$I:$I,$A817,'Chi tiết NVL'!O:O)</f>
        <v/>
      </c>
      <c r="G817" s="57">
        <f>+SUMIF('Chi tiết NVL'!$I:$I,$A817,'Chi tiết NVL'!P:P)</f>
        <v/>
      </c>
      <c r="H817" s="57">
        <f>+SUMIF('Chi tiết NVL'!$I:$I,$A817,'Chi tiết NVL'!Q:Q)</f>
        <v/>
      </c>
      <c r="I817" s="57">
        <f>+SUMIF('Chi tiết NVL'!$I:$I,$A817,'Chi tiết NVL'!R:R)</f>
        <v/>
      </c>
      <c r="J817" s="57">
        <f>+SUMIF('Chi tiết NVL'!$I:$I,$A817,'Chi tiết NVL'!S:S)</f>
        <v/>
      </c>
    </row>
    <row r="818">
      <c r="A818" s="56" t="inlineStr">
        <is>
          <t>Đai ốc A563M 10 ZP M16</t>
        </is>
      </c>
      <c r="B818" s="56">
        <f>+VLOOKUP(A818,'Chi tiết NVL'!$I$10:$J$4158,2,0)</f>
        <v/>
      </c>
      <c r="C818" s="57">
        <f>+SUMIF('Chi tiết NVL'!$I:$I,$A818,'Chi tiết NVL'!L:L)</f>
        <v/>
      </c>
      <c r="D818" s="57">
        <f>+SUMIF('Chi tiết NVL'!$I:$I,$A818,'Chi tiết NVL'!M:M)</f>
        <v/>
      </c>
      <c r="E818" s="57">
        <f>+SUMIF('Chi tiết NVL'!$I:$I,$A818,'Chi tiết NVL'!N:N)</f>
        <v/>
      </c>
      <c r="F818" s="57">
        <f>+SUMIF('Chi tiết NVL'!$I:$I,$A818,'Chi tiết NVL'!O:O)</f>
        <v/>
      </c>
      <c r="G818" s="57">
        <f>+SUMIF('Chi tiết NVL'!$I:$I,$A818,'Chi tiết NVL'!P:P)</f>
        <v/>
      </c>
      <c r="H818" s="57">
        <f>+SUMIF('Chi tiết NVL'!$I:$I,$A818,'Chi tiết NVL'!Q:Q)</f>
        <v/>
      </c>
      <c r="I818" s="57">
        <f>+SUMIF('Chi tiết NVL'!$I:$I,$A818,'Chi tiết NVL'!R:R)</f>
        <v/>
      </c>
      <c r="J818" s="57">
        <f>+SUMIF('Chi tiết NVL'!$I:$I,$A818,'Chi tiết NVL'!S:S)</f>
        <v/>
      </c>
    </row>
    <row r="819">
      <c r="A819" s="56" t="inlineStr">
        <is>
          <t>Bulong A325M Type 1 ZP M16x200(200)</t>
        </is>
      </c>
      <c r="B819" s="56">
        <f>+VLOOKUP(A819,'Chi tiết NVL'!$I$10:$J$4158,2,0)</f>
        <v/>
      </c>
      <c r="C819" s="57">
        <f>+SUMIF('Chi tiết NVL'!$I:$I,$A819,'Chi tiết NVL'!L:L)</f>
        <v/>
      </c>
      <c r="D819" s="57">
        <f>+SUMIF('Chi tiết NVL'!$I:$I,$A819,'Chi tiết NVL'!M:M)</f>
        <v/>
      </c>
      <c r="E819" s="57">
        <f>+SUMIF('Chi tiết NVL'!$I:$I,$A819,'Chi tiết NVL'!N:N)</f>
        <v/>
      </c>
      <c r="F819" s="57">
        <f>+SUMIF('Chi tiết NVL'!$I:$I,$A819,'Chi tiết NVL'!O:O)</f>
        <v/>
      </c>
      <c r="G819" s="57">
        <f>+SUMIF('Chi tiết NVL'!$I:$I,$A819,'Chi tiết NVL'!P:P)</f>
        <v/>
      </c>
      <c r="H819" s="57">
        <f>+SUMIF('Chi tiết NVL'!$I:$I,$A819,'Chi tiết NVL'!Q:Q)</f>
        <v/>
      </c>
      <c r="I819" s="57">
        <f>+SUMIF('Chi tiết NVL'!$I:$I,$A819,'Chi tiết NVL'!R:R)</f>
        <v/>
      </c>
      <c r="J819" s="57">
        <f>+SUMIF('Chi tiết NVL'!$I:$I,$A819,'Chi tiết NVL'!S:S)</f>
        <v/>
      </c>
    </row>
    <row r="820">
      <c r="A820" s="56" t="inlineStr">
        <is>
          <t>Bulong A325M Type 1 ZP M24x80(80)</t>
        </is>
      </c>
      <c r="B820" s="56">
        <f>+VLOOKUP(A820,'Chi tiết NVL'!$I$10:$J$4158,2,0)</f>
        <v/>
      </c>
      <c r="C820" s="57">
        <f>+SUMIF('Chi tiết NVL'!$I:$I,$A820,'Chi tiết NVL'!L:L)</f>
        <v/>
      </c>
      <c r="D820" s="57">
        <f>+SUMIF('Chi tiết NVL'!$I:$I,$A820,'Chi tiết NVL'!M:M)</f>
        <v/>
      </c>
      <c r="E820" s="57">
        <f>+SUMIF('Chi tiết NVL'!$I:$I,$A820,'Chi tiết NVL'!N:N)</f>
        <v/>
      </c>
      <c r="F820" s="57">
        <f>+SUMIF('Chi tiết NVL'!$I:$I,$A820,'Chi tiết NVL'!O:O)</f>
        <v/>
      </c>
      <c r="G820" s="57">
        <f>+SUMIF('Chi tiết NVL'!$I:$I,$A820,'Chi tiết NVL'!P:P)</f>
        <v/>
      </c>
      <c r="H820" s="57">
        <f>+SUMIF('Chi tiết NVL'!$I:$I,$A820,'Chi tiết NVL'!Q:Q)</f>
        <v/>
      </c>
      <c r="I820" s="57">
        <f>+SUMIF('Chi tiết NVL'!$I:$I,$A820,'Chi tiết NVL'!R:R)</f>
        <v/>
      </c>
      <c r="J820" s="57">
        <f>+SUMIF('Chi tiết NVL'!$I:$I,$A820,'Chi tiết NVL'!S:S)</f>
        <v/>
      </c>
    </row>
    <row r="821">
      <c r="A821" s="56" t="inlineStr">
        <is>
          <t>Đai ốc A563M 10 ZP M24</t>
        </is>
      </c>
      <c r="B821" s="56">
        <f>+VLOOKUP(A821,'Chi tiết NVL'!$I$10:$J$4158,2,0)</f>
        <v/>
      </c>
      <c r="C821" s="57">
        <f>+SUMIF('Chi tiết NVL'!$I:$I,$A821,'Chi tiết NVL'!L:L)</f>
        <v/>
      </c>
      <c r="D821" s="57">
        <f>+SUMIF('Chi tiết NVL'!$I:$I,$A821,'Chi tiết NVL'!M:M)</f>
        <v/>
      </c>
      <c r="E821" s="57">
        <f>+SUMIF('Chi tiết NVL'!$I:$I,$A821,'Chi tiết NVL'!N:N)</f>
        <v/>
      </c>
      <c r="F821" s="57">
        <f>+SUMIF('Chi tiết NVL'!$I:$I,$A821,'Chi tiết NVL'!O:O)</f>
        <v/>
      </c>
      <c r="G821" s="57">
        <f>+SUMIF('Chi tiết NVL'!$I:$I,$A821,'Chi tiết NVL'!P:P)</f>
        <v/>
      </c>
      <c r="H821" s="57">
        <f>+SUMIF('Chi tiết NVL'!$I:$I,$A821,'Chi tiết NVL'!Q:Q)</f>
        <v/>
      </c>
      <c r="I821" s="57">
        <f>+SUMIF('Chi tiết NVL'!$I:$I,$A821,'Chi tiết NVL'!R:R)</f>
        <v/>
      </c>
      <c r="J821" s="57">
        <f>+SUMIF('Chi tiết NVL'!$I:$I,$A821,'Chi tiết NVL'!S:S)</f>
        <v/>
      </c>
    </row>
    <row r="822">
      <c r="A822" s="56" t="inlineStr">
        <is>
          <t>Bulong A325M Type 1 ZP M16x80(80)</t>
        </is>
      </c>
      <c r="B822" s="56">
        <f>+VLOOKUP(A822,'Chi tiết NVL'!$I$10:$J$4158,2,0)</f>
        <v/>
      </c>
      <c r="C822" s="57">
        <f>+SUMIF('Chi tiết NVL'!$I:$I,$A822,'Chi tiết NVL'!L:L)</f>
        <v/>
      </c>
      <c r="D822" s="57">
        <f>+SUMIF('Chi tiết NVL'!$I:$I,$A822,'Chi tiết NVL'!M:M)</f>
        <v/>
      </c>
      <c r="E822" s="57">
        <f>+SUMIF('Chi tiết NVL'!$I:$I,$A822,'Chi tiết NVL'!N:N)</f>
        <v/>
      </c>
      <c r="F822" s="57">
        <f>+SUMIF('Chi tiết NVL'!$I:$I,$A822,'Chi tiết NVL'!O:O)</f>
        <v/>
      </c>
      <c r="G822" s="57">
        <f>+SUMIF('Chi tiết NVL'!$I:$I,$A822,'Chi tiết NVL'!P:P)</f>
        <v/>
      </c>
      <c r="H822" s="57">
        <f>+SUMIF('Chi tiết NVL'!$I:$I,$A822,'Chi tiết NVL'!Q:Q)</f>
        <v/>
      </c>
      <c r="I822" s="57">
        <f>+SUMIF('Chi tiết NVL'!$I:$I,$A822,'Chi tiết NVL'!R:R)</f>
        <v/>
      </c>
      <c r="J822" s="57">
        <f>+SUMIF('Chi tiết NVL'!$I:$I,$A822,'Chi tiết NVL'!S:S)</f>
        <v/>
      </c>
    </row>
    <row r="823">
      <c r="A823" s="56" t="inlineStr">
        <is>
          <t>Bulong Din 931 8.8 M20x150</t>
        </is>
      </c>
      <c r="B823" s="56">
        <f>+VLOOKUP(A823,'Chi tiết NVL'!$I$10:$J$4158,2,0)</f>
        <v/>
      </c>
      <c r="C823" s="57">
        <f>+SUMIF('Chi tiết NVL'!$I:$I,$A823,'Chi tiết NVL'!L:L)</f>
        <v/>
      </c>
      <c r="D823" s="57">
        <f>+SUMIF('Chi tiết NVL'!$I:$I,$A823,'Chi tiết NVL'!M:M)</f>
        <v/>
      </c>
      <c r="E823" s="57">
        <f>+SUMIF('Chi tiết NVL'!$I:$I,$A823,'Chi tiết NVL'!N:N)</f>
        <v/>
      </c>
      <c r="F823" s="57">
        <f>+SUMIF('Chi tiết NVL'!$I:$I,$A823,'Chi tiết NVL'!O:O)</f>
        <v/>
      </c>
      <c r="G823" s="57">
        <f>+SUMIF('Chi tiết NVL'!$I:$I,$A823,'Chi tiết NVL'!P:P)</f>
        <v/>
      </c>
      <c r="H823" s="57">
        <f>+SUMIF('Chi tiết NVL'!$I:$I,$A823,'Chi tiết NVL'!Q:Q)</f>
        <v/>
      </c>
      <c r="I823" s="57">
        <f>+SUMIF('Chi tiết NVL'!$I:$I,$A823,'Chi tiết NVL'!R:R)</f>
        <v/>
      </c>
      <c r="J823" s="57">
        <f>+SUMIF('Chi tiết NVL'!$I:$I,$A823,'Chi tiết NVL'!S:S)</f>
        <v/>
      </c>
    </row>
    <row r="824">
      <c r="A824" s="56" t="inlineStr">
        <is>
          <t>Ty ren suốt 5.8 (đầu vát-đầu lục giác) ZP M24x300</t>
        </is>
      </c>
      <c r="B824" s="56">
        <f>+VLOOKUP(A824,'Chi tiết NVL'!$I$10:$J$4158,2,0)</f>
        <v/>
      </c>
      <c r="C824" s="57">
        <f>+SUMIF('Chi tiết NVL'!$I:$I,$A824,'Chi tiết NVL'!L:L)</f>
        <v/>
      </c>
      <c r="D824" s="57">
        <f>+SUMIF('Chi tiết NVL'!$I:$I,$A824,'Chi tiết NVL'!M:M)</f>
        <v/>
      </c>
      <c r="E824" s="57">
        <f>+SUMIF('Chi tiết NVL'!$I:$I,$A824,'Chi tiết NVL'!N:N)</f>
        <v/>
      </c>
      <c r="F824" s="57">
        <f>+SUMIF('Chi tiết NVL'!$I:$I,$A824,'Chi tiết NVL'!O:O)</f>
        <v/>
      </c>
      <c r="G824" s="57">
        <f>+SUMIF('Chi tiết NVL'!$I:$I,$A824,'Chi tiết NVL'!P:P)</f>
        <v/>
      </c>
      <c r="H824" s="57">
        <f>+SUMIF('Chi tiết NVL'!$I:$I,$A824,'Chi tiết NVL'!Q:Q)</f>
        <v/>
      </c>
      <c r="I824" s="57">
        <f>+SUMIF('Chi tiết NVL'!$I:$I,$A824,'Chi tiết NVL'!R:R)</f>
        <v/>
      </c>
      <c r="J824" s="57">
        <f>+SUMIF('Chi tiết NVL'!$I:$I,$A824,'Chi tiết NVL'!S:S)</f>
        <v/>
      </c>
    </row>
    <row r="825">
      <c r="A825" s="56" t="inlineStr">
        <is>
          <t>Ty ren suốt 5.8 (đầu vát-đầu lục giác) ZP M30x380</t>
        </is>
      </c>
      <c r="B825" s="56">
        <f>+VLOOKUP(A825,'Chi tiết NVL'!$I$10:$J$4158,2,0)</f>
        <v/>
      </c>
      <c r="C825" s="57">
        <f>+SUMIF('Chi tiết NVL'!$I:$I,$A825,'Chi tiết NVL'!L:L)</f>
        <v/>
      </c>
      <c r="D825" s="57">
        <f>+SUMIF('Chi tiết NVL'!$I:$I,$A825,'Chi tiết NVL'!M:M)</f>
        <v/>
      </c>
      <c r="E825" s="57">
        <f>+SUMIF('Chi tiết NVL'!$I:$I,$A825,'Chi tiết NVL'!N:N)</f>
        <v/>
      </c>
      <c r="F825" s="57">
        <f>+SUMIF('Chi tiết NVL'!$I:$I,$A825,'Chi tiết NVL'!O:O)</f>
        <v/>
      </c>
      <c r="G825" s="57">
        <f>+SUMIF('Chi tiết NVL'!$I:$I,$A825,'Chi tiết NVL'!P:P)</f>
        <v/>
      </c>
      <c r="H825" s="57">
        <f>+SUMIF('Chi tiết NVL'!$I:$I,$A825,'Chi tiết NVL'!Q:Q)</f>
        <v/>
      </c>
      <c r="I825" s="57">
        <f>+SUMIF('Chi tiết NVL'!$I:$I,$A825,'Chi tiết NVL'!R:R)</f>
        <v/>
      </c>
      <c r="J825" s="57">
        <f>+SUMIF('Chi tiết NVL'!$I:$I,$A825,'Chi tiết NVL'!S:S)</f>
        <v/>
      </c>
    </row>
    <row r="826">
      <c r="A826" s="56" t="inlineStr">
        <is>
          <t>Súng bơm SG600</t>
        </is>
      </c>
      <c r="B826" s="56">
        <f>+VLOOKUP(A826,'Chi tiết NVL'!$I$10:$J$4158,2,0)</f>
        <v/>
      </c>
      <c r="C826" s="57">
        <f>+SUMIF('Chi tiết NVL'!$I:$I,$A826,'Chi tiết NVL'!L:L)</f>
        <v/>
      </c>
      <c r="D826" s="57">
        <f>+SUMIF('Chi tiết NVL'!$I:$I,$A826,'Chi tiết NVL'!M:M)</f>
        <v/>
      </c>
      <c r="E826" s="57">
        <f>+SUMIF('Chi tiết NVL'!$I:$I,$A826,'Chi tiết NVL'!N:N)</f>
        <v/>
      </c>
      <c r="F826" s="57">
        <f>+SUMIF('Chi tiết NVL'!$I:$I,$A826,'Chi tiết NVL'!O:O)</f>
        <v/>
      </c>
      <c r="G826" s="57">
        <f>+SUMIF('Chi tiết NVL'!$I:$I,$A826,'Chi tiết NVL'!P:P)</f>
        <v/>
      </c>
      <c r="H826" s="57">
        <f>+SUMIF('Chi tiết NVL'!$I:$I,$A826,'Chi tiết NVL'!Q:Q)</f>
        <v/>
      </c>
      <c r="I826" s="57">
        <f>+SUMIF('Chi tiết NVL'!$I:$I,$A826,'Chi tiết NVL'!R:R)</f>
        <v/>
      </c>
      <c r="J826" s="57">
        <f>+SUMIF('Chi tiết NVL'!$I:$I,$A826,'Chi tiết NVL'!S:S)</f>
        <v/>
      </c>
    </row>
    <row r="827">
      <c r="A827" s="56" t="inlineStr">
        <is>
          <t>Thép vuông 150x150x3x6m</t>
        </is>
      </c>
      <c r="B827" s="56">
        <f>+VLOOKUP(A827,'Chi tiết NVL'!$I$10:$J$4158,2,0)</f>
        <v/>
      </c>
      <c r="C827" s="57">
        <f>+SUMIF('Chi tiết NVL'!$I:$I,$A827,'Chi tiết NVL'!L:L)</f>
        <v/>
      </c>
      <c r="D827" s="57">
        <f>+SUMIF('Chi tiết NVL'!$I:$I,$A827,'Chi tiết NVL'!M:M)</f>
        <v/>
      </c>
      <c r="E827" s="57">
        <f>+SUMIF('Chi tiết NVL'!$I:$I,$A827,'Chi tiết NVL'!N:N)</f>
        <v/>
      </c>
      <c r="F827" s="57">
        <f>+SUMIF('Chi tiết NVL'!$I:$I,$A827,'Chi tiết NVL'!O:O)</f>
        <v/>
      </c>
      <c r="G827" s="57">
        <f>+SUMIF('Chi tiết NVL'!$I:$I,$A827,'Chi tiết NVL'!P:P)</f>
        <v/>
      </c>
      <c r="H827" s="57">
        <f>+SUMIF('Chi tiết NVL'!$I:$I,$A827,'Chi tiết NVL'!Q:Q)</f>
        <v/>
      </c>
      <c r="I827" s="57">
        <f>+SUMIF('Chi tiết NVL'!$I:$I,$A827,'Chi tiết NVL'!R:R)</f>
        <v/>
      </c>
      <c r="J827" s="57">
        <f>+SUMIF('Chi tiết NVL'!$I:$I,$A827,'Chi tiết NVL'!S:S)</f>
        <v/>
      </c>
    </row>
    <row r="828">
      <c r="A828" s="56" t="inlineStr">
        <is>
          <t>Thép vuông 200x200x4x6m</t>
        </is>
      </c>
      <c r="B828" s="56">
        <f>+VLOOKUP(A828,'Chi tiết NVL'!$I$10:$J$4158,2,0)</f>
        <v/>
      </c>
      <c r="C828" s="57">
        <f>+SUMIF('Chi tiết NVL'!$I:$I,$A828,'Chi tiết NVL'!L:L)</f>
        <v/>
      </c>
      <c r="D828" s="57">
        <f>+SUMIF('Chi tiết NVL'!$I:$I,$A828,'Chi tiết NVL'!M:M)</f>
        <v/>
      </c>
      <c r="E828" s="57">
        <f>+SUMIF('Chi tiết NVL'!$I:$I,$A828,'Chi tiết NVL'!N:N)</f>
        <v/>
      </c>
      <c r="F828" s="57">
        <f>+SUMIF('Chi tiết NVL'!$I:$I,$A828,'Chi tiết NVL'!O:O)</f>
        <v/>
      </c>
      <c r="G828" s="57">
        <f>+SUMIF('Chi tiết NVL'!$I:$I,$A828,'Chi tiết NVL'!P:P)</f>
        <v/>
      </c>
      <c r="H828" s="57">
        <f>+SUMIF('Chi tiết NVL'!$I:$I,$A828,'Chi tiết NVL'!Q:Q)</f>
        <v/>
      </c>
      <c r="I828" s="57">
        <f>+SUMIF('Chi tiết NVL'!$I:$I,$A828,'Chi tiết NVL'!R:R)</f>
        <v/>
      </c>
      <c r="J828" s="57">
        <f>+SUMIF('Chi tiết NVL'!$I:$I,$A828,'Chi tiết NVL'!S:S)</f>
        <v/>
      </c>
    </row>
    <row r="829">
      <c r="A829" s="56" t="inlineStr">
        <is>
          <t>Thép vuông 150x150x3.5x6m</t>
        </is>
      </c>
      <c r="B829" s="56">
        <f>+VLOOKUP(A829,'Chi tiết NVL'!$I$10:$J$4158,2,0)</f>
        <v/>
      </c>
      <c r="C829" s="57">
        <f>+SUMIF('Chi tiết NVL'!$I:$I,$A829,'Chi tiết NVL'!L:L)</f>
        <v/>
      </c>
      <c r="D829" s="57">
        <f>+SUMIF('Chi tiết NVL'!$I:$I,$A829,'Chi tiết NVL'!M:M)</f>
        <v/>
      </c>
      <c r="E829" s="57">
        <f>+SUMIF('Chi tiết NVL'!$I:$I,$A829,'Chi tiết NVL'!N:N)</f>
        <v/>
      </c>
      <c r="F829" s="57">
        <f>+SUMIF('Chi tiết NVL'!$I:$I,$A829,'Chi tiết NVL'!O:O)</f>
        <v/>
      </c>
      <c r="G829" s="57">
        <f>+SUMIF('Chi tiết NVL'!$I:$I,$A829,'Chi tiết NVL'!P:P)</f>
        <v/>
      </c>
      <c r="H829" s="57">
        <f>+SUMIF('Chi tiết NVL'!$I:$I,$A829,'Chi tiết NVL'!Q:Q)</f>
        <v/>
      </c>
      <c r="I829" s="57">
        <f>+SUMIF('Chi tiết NVL'!$I:$I,$A829,'Chi tiết NVL'!R:R)</f>
        <v/>
      </c>
      <c r="J829" s="57">
        <f>+SUMIF('Chi tiết NVL'!$I:$I,$A829,'Chi tiết NVL'!S:S)</f>
        <v/>
      </c>
    </row>
    <row r="830">
      <c r="A830" s="56" t="inlineStr">
        <is>
          <t>Thép vuông 150x150x4x6m</t>
        </is>
      </c>
      <c r="B830" s="56">
        <f>+VLOOKUP(A830,'Chi tiết NVL'!$I$10:$J$4158,2,0)</f>
        <v/>
      </c>
      <c r="C830" s="57">
        <f>+SUMIF('Chi tiết NVL'!$I:$I,$A830,'Chi tiết NVL'!L:L)</f>
        <v/>
      </c>
      <c r="D830" s="57">
        <f>+SUMIF('Chi tiết NVL'!$I:$I,$A830,'Chi tiết NVL'!M:M)</f>
        <v/>
      </c>
      <c r="E830" s="57">
        <f>+SUMIF('Chi tiết NVL'!$I:$I,$A830,'Chi tiết NVL'!N:N)</f>
        <v/>
      </c>
      <c r="F830" s="57">
        <f>+SUMIF('Chi tiết NVL'!$I:$I,$A830,'Chi tiết NVL'!O:O)</f>
        <v/>
      </c>
      <c r="G830" s="57">
        <f>+SUMIF('Chi tiết NVL'!$I:$I,$A830,'Chi tiết NVL'!P:P)</f>
        <v/>
      </c>
      <c r="H830" s="57">
        <f>+SUMIF('Chi tiết NVL'!$I:$I,$A830,'Chi tiết NVL'!Q:Q)</f>
        <v/>
      </c>
      <c r="I830" s="57">
        <f>+SUMIF('Chi tiết NVL'!$I:$I,$A830,'Chi tiết NVL'!R:R)</f>
        <v/>
      </c>
      <c r="J830" s="57">
        <f>+SUMIF('Chi tiết NVL'!$I:$I,$A830,'Chi tiết NVL'!S:S)</f>
        <v/>
      </c>
    </row>
    <row r="831">
      <c r="A831" s="56" t="inlineStr">
        <is>
          <t>Thép vuông 200x200x5x6m</t>
        </is>
      </c>
      <c r="B831" s="56">
        <f>+VLOOKUP(A831,'Chi tiết NVL'!$I$10:$J$4158,2,0)</f>
        <v/>
      </c>
      <c r="C831" s="57">
        <f>+SUMIF('Chi tiết NVL'!$I:$I,$A831,'Chi tiết NVL'!L:L)</f>
        <v/>
      </c>
      <c r="D831" s="57">
        <f>+SUMIF('Chi tiết NVL'!$I:$I,$A831,'Chi tiết NVL'!M:M)</f>
        <v/>
      </c>
      <c r="E831" s="57">
        <f>+SUMIF('Chi tiết NVL'!$I:$I,$A831,'Chi tiết NVL'!N:N)</f>
        <v/>
      </c>
      <c r="F831" s="57">
        <f>+SUMIF('Chi tiết NVL'!$I:$I,$A831,'Chi tiết NVL'!O:O)</f>
        <v/>
      </c>
      <c r="G831" s="57">
        <f>+SUMIF('Chi tiết NVL'!$I:$I,$A831,'Chi tiết NVL'!P:P)</f>
        <v/>
      </c>
      <c r="H831" s="57">
        <f>+SUMIF('Chi tiết NVL'!$I:$I,$A831,'Chi tiết NVL'!Q:Q)</f>
        <v/>
      </c>
      <c r="I831" s="57">
        <f>+SUMIF('Chi tiết NVL'!$I:$I,$A831,'Chi tiết NVL'!R:R)</f>
        <v/>
      </c>
      <c r="J831" s="57">
        <f>+SUMIF('Chi tiết NVL'!$I:$I,$A831,'Chi tiết NVL'!S:S)</f>
        <v/>
      </c>
    </row>
    <row r="832">
      <c r="A832" s="56" t="inlineStr">
        <is>
          <t>Thép vuông 200x200x6x6m</t>
        </is>
      </c>
      <c r="B832" s="56">
        <f>+VLOOKUP(A832,'Chi tiết NVL'!$I$10:$J$4158,2,0)</f>
        <v/>
      </c>
      <c r="C832" s="57">
        <f>+SUMIF('Chi tiết NVL'!$I:$I,$A832,'Chi tiết NVL'!L:L)</f>
        <v/>
      </c>
      <c r="D832" s="57">
        <f>+SUMIF('Chi tiết NVL'!$I:$I,$A832,'Chi tiết NVL'!M:M)</f>
        <v/>
      </c>
      <c r="E832" s="57">
        <f>+SUMIF('Chi tiết NVL'!$I:$I,$A832,'Chi tiết NVL'!N:N)</f>
        <v/>
      </c>
      <c r="F832" s="57">
        <f>+SUMIF('Chi tiết NVL'!$I:$I,$A832,'Chi tiết NVL'!O:O)</f>
        <v/>
      </c>
      <c r="G832" s="57">
        <f>+SUMIF('Chi tiết NVL'!$I:$I,$A832,'Chi tiết NVL'!P:P)</f>
        <v/>
      </c>
      <c r="H832" s="57">
        <f>+SUMIF('Chi tiết NVL'!$I:$I,$A832,'Chi tiết NVL'!Q:Q)</f>
        <v/>
      </c>
      <c r="I832" s="57">
        <f>+SUMIF('Chi tiết NVL'!$I:$I,$A832,'Chi tiết NVL'!R:R)</f>
        <v/>
      </c>
      <c r="J832" s="57">
        <f>+SUMIF('Chi tiết NVL'!$I:$I,$A832,'Chi tiết NVL'!S:S)</f>
        <v/>
      </c>
    </row>
    <row r="833">
      <c r="A833" s="56" t="inlineStr">
        <is>
          <t>Cọc cứu sinh</t>
        </is>
      </c>
      <c r="B833" s="56">
        <f>+VLOOKUP(A833,'Chi tiết NVL'!$I$10:$J$4158,2,0)</f>
        <v/>
      </c>
      <c r="C833" s="57">
        <f>+SUMIF('Chi tiết NVL'!$I:$I,$A833,'Chi tiết NVL'!L:L)</f>
        <v/>
      </c>
      <c r="D833" s="57">
        <f>+SUMIF('Chi tiết NVL'!$I:$I,$A833,'Chi tiết NVL'!M:M)</f>
        <v/>
      </c>
      <c r="E833" s="57">
        <f>+SUMIF('Chi tiết NVL'!$I:$I,$A833,'Chi tiết NVL'!N:N)</f>
        <v/>
      </c>
      <c r="F833" s="57">
        <f>+SUMIF('Chi tiết NVL'!$I:$I,$A833,'Chi tiết NVL'!O:O)</f>
        <v/>
      </c>
      <c r="G833" s="57">
        <f>+SUMIF('Chi tiết NVL'!$I:$I,$A833,'Chi tiết NVL'!P:P)</f>
        <v/>
      </c>
      <c r="H833" s="57">
        <f>+SUMIF('Chi tiết NVL'!$I:$I,$A833,'Chi tiết NVL'!Q:Q)</f>
        <v/>
      </c>
      <c r="I833" s="57">
        <f>+SUMIF('Chi tiết NVL'!$I:$I,$A833,'Chi tiết NVL'!R:R)</f>
        <v/>
      </c>
      <c r="J833" s="57">
        <f>+SUMIF('Chi tiết NVL'!$I:$I,$A833,'Chi tiết NVL'!S:S)</f>
        <v/>
      </c>
    </row>
    <row r="834">
      <c r="A834" s="56" t="inlineStr">
        <is>
          <t>SƠN HARDTOP XPL STD 4056 18.98L</t>
        </is>
      </c>
      <c r="B834" s="56">
        <f>+VLOOKUP(A834,'Chi tiết NVL'!$I$10:$J$4158,2,0)</f>
        <v/>
      </c>
      <c r="C834" s="57">
        <f>+SUMIF('Chi tiết NVL'!$I:$I,$A834,'Chi tiết NVL'!L:L)</f>
        <v/>
      </c>
      <c r="D834" s="57">
        <f>+SUMIF('Chi tiết NVL'!$I:$I,$A834,'Chi tiết NVL'!M:M)</f>
        <v/>
      </c>
      <c r="E834" s="57">
        <f>+SUMIF('Chi tiết NVL'!$I:$I,$A834,'Chi tiết NVL'!N:N)</f>
        <v/>
      </c>
      <c r="F834" s="57">
        <f>+SUMIF('Chi tiết NVL'!$I:$I,$A834,'Chi tiết NVL'!O:O)</f>
        <v/>
      </c>
      <c r="G834" s="57">
        <f>+SUMIF('Chi tiết NVL'!$I:$I,$A834,'Chi tiết NVL'!P:P)</f>
        <v/>
      </c>
      <c r="H834" s="57">
        <f>+SUMIF('Chi tiết NVL'!$I:$I,$A834,'Chi tiết NVL'!Q:Q)</f>
        <v/>
      </c>
      <c r="I834" s="57">
        <f>+SUMIF('Chi tiết NVL'!$I:$I,$A834,'Chi tiết NVL'!R:R)</f>
        <v/>
      </c>
      <c r="J834" s="57">
        <f>+SUMIF('Chi tiết NVL'!$I:$I,$A834,'Chi tiết NVL'!S:S)</f>
        <v/>
      </c>
    </row>
    <row r="835">
      <c r="A835" s="56" t="inlineStr">
        <is>
          <t>Bulong Din 933 8.8 ZP M24x120</t>
        </is>
      </c>
      <c r="B835" s="56">
        <f>+VLOOKUP(A835,'Chi tiết NVL'!$I$10:$J$4158,2,0)</f>
        <v/>
      </c>
      <c r="C835" s="57">
        <f>+SUMIF('Chi tiết NVL'!$I:$I,$A835,'Chi tiết NVL'!L:L)</f>
        <v/>
      </c>
      <c r="D835" s="57">
        <f>+SUMIF('Chi tiết NVL'!$I:$I,$A835,'Chi tiết NVL'!M:M)</f>
        <v/>
      </c>
      <c r="E835" s="57">
        <f>+SUMIF('Chi tiết NVL'!$I:$I,$A835,'Chi tiết NVL'!N:N)</f>
        <v/>
      </c>
      <c r="F835" s="57">
        <f>+SUMIF('Chi tiết NVL'!$I:$I,$A835,'Chi tiết NVL'!O:O)</f>
        <v/>
      </c>
      <c r="G835" s="57">
        <f>+SUMIF('Chi tiết NVL'!$I:$I,$A835,'Chi tiết NVL'!P:P)</f>
        <v/>
      </c>
      <c r="H835" s="57">
        <f>+SUMIF('Chi tiết NVL'!$I:$I,$A835,'Chi tiết NVL'!Q:Q)</f>
        <v/>
      </c>
      <c r="I835" s="57">
        <f>+SUMIF('Chi tiết NVL'!$I:$I,$A835,'Chi tiết NVL'!R:R)</f>
        <v/>
      </c>
      <c r="J835" s="57">
        <f>+SUMIF('Chi tiết NVL'!$I:$I,$A835,'Chi tiết NVL'!S:S)</f>
        <v/>
      </c>
    </row>
    <row r="836">
      <c r="A836" s="56" t="inlineStr">
        <is>
          <t>Bulong thường ZP M6x50</t>
        </is>
      </c>
      <c r="B836" s="56">
        <f>+VLOOKUP(A836,'Chi tiết NVL'!$I$10:$J$4158,2,0)</f>
        <v/>
      </c>
      <c r="C836" s="57">
        <f>+SUMIF('Chi tiết NVL'!$I:$I,$A836,'Chi tiết NVL'!L:L)</f>
        <v/>
      </c>
      <c r="D836" s="57">
        <f>+SUMIF('Chi tiết NVL'!$I:$I,$A836,'Chi tiết NVL'!M:M)</f>
        <v/>
      </c>
      <c r="E836" s="57">
        <f>+SUMIF('Chi tiết NVL'!$I:$I,$A836,'Chi tiết NVL'!N:N)</f>
        <v/>
      </c>
      <c r="F836" s="57">
        <f>+SUMIF('Chi tiết NVL'!$I:$I,$A836,'Chi tiết NVL'!O:O)</f>
        <v/>
      </c>
      <c r="G836" s="57">
        <f>+SUMIF('Chi tiết NVL'!$I:$I,$A836,'Chi tiết NVL'!P:P)</f>
        <v/>
      </c>
      <c r="H836" s="57">
        <f>+SUMIF('Chi tiết NVL'!$I:$I,$A836,'Chi tiết NVL'!Q:Q)</f>
        <v/>
      </c>
      <c r="I836" s="57">
        <f>+SUMIF('Chi tiết NVL'!$I:$I,$A836,'Chi tiết NVL'!R:R)</f>
        <v/>
      </c>
      <c r="J836" s="57">
        <f>+SUMIF('Chi tiết NVL'!$I:$I,$A836,'Chi tiết NVL'!S:S)</f>
        <v/>
      </c>
    </row>
    <row r="837">
      <c r="A837" s="56" t="inlineStr">
        <is>
          <t>Long đền thường ZP M6B17D1</t>
        </is>
      </c>
      <c r="B837" s="56">
        <f>+VLOOKUP(A837,'Chi tiết NVL'!$I$10:$J$4158,2,0)</f>
        <v/>
      </c>
      <c r="C837" s="57">
        <f>+SUMIF('Chi tiết NVL'!$I:$I,$A837,'Chi tiết NVL'!L:L)</f>
        <v/>
      </c>
      <c r="D837" s="57">
        <f>+SUMIF('Chi tiết NVL'!$I:$I,$A837,'Chi tiết NVL'!M:M)</f>
        <v/>
      </c>
      <c r="E837" s="57">
        <f>+SUMIF('Chi tiết NVL'!$I:$I,$A837,'Chi tiết NVL'!N:N)</f>
        <v/>
      </c>
      <c r="F837" s="57">
        <f>+SUMIF('Chi tiết NVL'!$I:$I,$A837,'Chi tiết NVL'!O:O)</f>
        <v/>
      </c>
      <c r="G837" s="57">
        <f>+SUMIF('Chi tiết NVL'!$I:$I,$A837,'Chi tiết NVL'!P:P)</f>
        <v/>
      </c>
      <c r="H837" s="57">
        <f>+SUMIF('Chi tiết NVL'!$I:$I,$A837,'Chi tiết NVL'!Q:Q)</f>
        <v/>
      </c>
      <c r="I837" s="57">
        <f>+SUMIF('Chi tiết NVL'!$I:$I,$A837,'Chi tiết NVL'!R:R)</f>
        <v/>
      </c>
      <c r="J837" s="57">
        <f>+SUMIF('Chi tiết NVL'!$I:$I,$A837,'Chi tiết NVL'!S:S)</f>
        <v/>
      </c>
    </row>
    <row r="838" ht="31.5" customHeight="1">
      <c r="A838" s="56" t="inlineStr">
        <is>
          <t>Thép lá mạ nhôm kẽm PN 0,35mm  tôn 9 sóng- 1.000mm</t>
        </is>
      </c>
      <c r="B838" s="56">
        <f>+VLOOKUP(A838,'Chi tiết NVL'!$I$10:$J$4158,2,0)</f>
        <v/>
      </c>
      <c r="C838" s="57">
        <f>+SUMIF('Chi tiết NVL'!$I:$I,$A838,'Chi tiết NVL'!L:L)</f>
        <v/>
      </c>
      <c r="D838" s="57">
        <f>+SUMIF('Chi tiết NVL'!$I:$I,$A838,'Chi tiết NVL'!M:M)</f>
        <v/>
      </c>
      <c r="E838" s="57">
        <f>+SUMIF('Chi tiết NVL'!$I:$I,$A838,'Chi tiết NVL'!N:N)</f>
        <v/>
      </c>
      <c r="F838" s="57">
        <f>+SUMIF('Chi tiết NVL'!$I:$I,$A838,'Chi tiết NVL'!O:O)</f>
        <v/>
      </c>
      <c r="G838" s="57">
        <f>+SUMIF('Chi tiết NVL'!$I:$I,$A838,'Chi tiết NVL'!P:P)</f>
        <v/>
      </c>
      <c r="H838" s="57">
        <f>+SUMIF('Chi tiết NVL'!$I:$I,$A838,'Chi tiết NVL'!Q:Q)</f>
        <v/>
      </c>
      <c r="I838" s="57">
        <f>+SUMIF('Chi tiết NVL'!$I:$I,$A838,'Chi tiết NVL'!R:R)</f>
        <v/>
      </c>
      <c r="J838" s="57">
        <f>+SUMIF('Chi tiết NVL'!$I:$I,$A838,'Chi tiết NVL'!S:S)</f>
        <v/>
      </c>
    </row>
    <row r="839">
      <c r="A839" s="56" t="inlineStr">
        <is>
          <t>Thép ống đen 60</t>
        </is>
      </c>
      <c r="B839" s="56">
        <f>+VLOOKUP(A839,'Chi tiết NVL'!$I$10:$J$4158,2,0)</f>
        <v/>
      </c>
      <c r="C839" s="57">
        <f>+SUMIF('Chi tiết NVL'!$I:$I,$A839,'Chi tiết NVL'!L:L)</f>
        <v/>
      </c>
      <c r="D839" s="57">
        <f>+SUMIF('Chi tiết NVL'!$I:$I,$A839,'Chi tiết NVL'!M:M)</f>
        <v/>
      </c>
      <c r="E839" s="57">
        <f>+SUMIF('Chi tiết NVL'!$I:$I,$A839,'Chi tiết NVL'!N:N)</f>
        <v/>
      </c>
      <c r="F839" s="57">
        <f>+SUMIF('Chi tiết NVL'!$I:$I,$A839,'Chi tiết NVL'!O:O)</f>
        <v/>
      </c>
      <c r="G839" s="57">
        <f>+SUMIF('Chi tiết NVL'!$I:$I,$A839,'Chi tiết NVL'!P:P)</f>
        <v/>
      </c>
      <c r="H839" s="57">
        <f>+SUMIF('Chi tiết NVL'!$I:$I,$A839,'Chi tiết NVL'!Q:Q)</f>
        <v/>
      </c>
      <c r="I839" s="57">
        <f>+SUMIF('Chi tiết NVL'!$I:$I,$A839,'Chi tiết NVL'!R:R)</f>
        <v/>
      </c>
      <c r="J839" s="57">
        <f>+SUMIF('Chi tiết NVL'!$I:$I,$A839,'Chi tiết NVL'!S:S)</f>
        <v/>
      </c>
    </row>
    <row r="840">
      <c r="A840" s="56" t="inlineStr">
        <is>
          <t>Bulong neo I 8.8 M16x400</t>
        </is>
      </c>
      <c r="B840" s="56">
        <f>+VLOOKUP(A840,'Chi tiết NVL'!$I$10:$J$4158,2,0)</f>
        <v/>
      </c>
      <c r="C840" s="57">
        <f>+SUMIF('Chi tiết NVL'!$I:$I,$A840,'Chi tiết NVL'!L:L)</f>
        <v/>
      </c>
      <c r="D840" s="57">
        <f>+SUMIF('Chi tiết NVL'!$I:$I,$A840,'Chi tiết NVL'!M:M)</f>
        <v/>
      </c>
      <c r="E840" s="57">
        <f>+SUMIF('Chi tiết NVL'!$I:$I,$A840,'Chi tiết NVL'!N:N)</f>
        <v/>
      </c>
      <c r="F840" s="57">
        <f>+SUMIF('Chi tiết NVL'!$I:$I,$A840,'Chi tiết NVL'!O:O)</f>
        <v/>
      </c>
      <c r="G840" s="57">
        <f>+SUMIF('Chi tiết NVL'!$I:$I,$A840,'Chi tiết NVL'!P:P)</f>
        <v/>
      </c>
      <c r="H840" s="57">
        <f>+SUMIF('Chi tiết NVL'!$I:$I,$A840,'Chi tiết NVL'!Q:Q)</f>
        <v/>
      </c>
      <c r="I840" s="57">
        <f>+SUMIF('Chi tiết NVL'!$I:$I,$A840,'Chi tiết NVL'!R:R)</f>
        <v/>
      </c>
      <c r="J840" s="57">
        <f>+SUMIF('Chi tiết NVL'!$I:$I,$A840,'Chi tiết NVL'!S:S)</f>
        <v/>
      </c>
    </row>
    <row r="841">
      <c r="A841" s="56" t="inlineStr">
        <is>
          <t>Bulong neo I 8.8 M20x450</t>
        </is>
      </c>
      <c r="B841" s="56">
        <f>+VLOOKUP(A841,'Chi tiết NVL'!$I$10:$J$4158,2,0)</f>
        <v/>
      </c>
      <c r="C841" s="57">
        <f>+SUMIF('Chi tiết NVL'!$I:$I,$A841,'Chi tiết NVL'!L:L)</f>
        <v/>
      </c>
      <c r="D841" s="57">
        <f>+SUMIF('Chi tiết NVL'!$I:$I,$A841,'Chi tiết NVL'!M:M)</f>
        <v/>
      </c>
      <c r="E841" s="57">
        <f>+SUMIF('Chi tiết NVL'!$I:$I,$A841,'Chi tiết NVL'!N:N)</f>
        <v/>
      </c>
      <c r="F841" s="57">
        <f>+SUMIF('Chi tiết NVL'!$I:$I,$A841,'Chi tiết NVL'!O:O)</f>
        <v/>
      </c>
      <c r="G841" s="57">
        <f>+SUMIF('Chi tiết NVL'!$I:$I,$A841,'Chi tiết NVL'!P:P)</f>
        <v/>
      </c>
      <c r="H841" s="57">
        <f>+SUMIF('Chi tiết NVL'!$I:$I,$A841,'Chi tiết NVL'!Q:Q)</f>
        <v/>
      </c>
      <c r="I841" s="57">
        <f>+SUMIF('Chi tiết NVL'!$I:$I,$A841,'Chi tiết NVL'!R:R)</f>
        <v/>
      </c>
      <c r="J841" s="57">
        <f>+SUMIF('Chi tiết NVL'!$I:$I,$A841,'Chi tiết NVL'!S:S)</f>
        <v/>
      </c>
    </row>
    <row r="842">
      <c r="A842" s="56" t="inlineStr">
        <is>
          <t>Bulong neo I 8.8 M24x600</t>
        </is>
      </c>
      <c r="B842" s="56">
        <f>+VLOOKUP(A842,'Chi tiết NVL'!$I$10:$J$4158,2,0)</f>
        <v/>
      </c>
      <c r="C842" s="57">
        <f>+SUMIF('Chi tiết NVL'!$I:$I,$A842,'Chi tiết NVL'!L:L)</f>
        <v/>
      </c>
      <c r="D842" s="57">
        <f>+SUMIF('Chi tiết NVL'!$I:$I,$A842,'Chi tiết NVL'!M:M)</f>
        <v/>
      </c>
      <c r="E842" s="57">
        <f>+SUMIF('Chi tiết NVL'!$I:$I,$A842,'Chi tiết NVL'!N:N)</f>
        <v/>
      </c>
      <c r="F842" s="57">
        <f>+SUMIF('Chi tiết NVL'!$I:$I,$A842,'Chi tiết NVL'!O:O)</f>
        <v/>
      </c>
      <c r="G842" s="57">
        <f>+SUMIF('Chi tiết NVL'!$I:$I,$A842,'Chi tiết NVL'!P:P)</f>
        <v/>
      </c>
      <c r="H842" s="57">
        <f>+SUMIF('Chi tiết NVL'!$I:$I,$A842,'Chi tiết NVL'!Q:Q)</f>
        <v/>
      </c>
      <c r="I842" s="57">
        <f>+SUMIF('Chi tiết NVL'!$I:$I,$A842,'Chi tiết NVL'!R:R)</f>
        <v/>
      </c>
      <c r="J842" s="57">
        <f>+SUMIF('Chi tiết NVL'!$I:$I,$A842,'Chi tiết NVL'!S:S)</f>
        <v/>
      </c>
    </row>
    <row r="843">
      <c r="A843" s="56" t="inlineStr">
        <is>
          <t>Bulong neo I 8.8 M30x650</t>
        </is>
      </c>
      <c r="B843" s="56">
        <f>+VLOOKUP(A843,'Chi tiết NVL'!$I$10:$J$4158,2,0)</f>
        <v/>
      </c>
      <c r="C843" s="57">
        <f>+SUMIF('Chi tiết NVL'!$I:$I,$A843,'Chi tiết NVL'!L:L)</f>
        <v/>
      </c>
      <c r="D843" s="57">
        <f>+SUMIF('Chi tiết NVL'!$I:$I,$A843,'Chi tiết NVL'!M:M)</f>
        <v/>
      </c>
      <c r="E843" s="57">
        <f>+SUMIF('Chi tiết NVL'!$I:$I,$A843,'Chi tiết NVL'!N:N)</f>
        <v/>
      </c>
      <c r="F843" s="57">
        <f>+SUMIF('Chi tiết NVL'!$I:$I,$A843,'Chi tiết NVL'!O:O)</f>
        <v/>
      </c>
      <c r="G843" s="57">
        <f>+SUMIF('Chi tiết NVL'!$I:$I,$A843,'Chi tiết NVL'!P:P)</f>
        <v/>
      </c>
      <c r="H843" s="57">
        <f>+SUMIF('Chi tiết NVL'!$I:$I,$A843,'Chi tiết NVL'!Q:Q)</f>
        <v/>
      </c>
      <c r="I843" s="57">
        <f>+SUMIF('Chi tiết NVL'!$I:$I,$A843,'Chi tiết NVL'!R:R)</f>
        <v/>
      </c>
      <c r="J843" s="57">
        <f>+SUMIF('Chi tiết NVL'!$I:$I,$A843,'Chi tiết NVL'!S:S)</f>
        <v/>
      </c>
    </row>
    <row r="844">
      <c r="A844" s="56" t="inlineStr">
        <is>
          <t>Đai ốc Din 934 8 M16</t>
        </is>
      </c>
      <c r="B844" s="56">
        <f>+VLOOKUP(A844,'Chi tiết NVL'!$I$10:$J$4158,2,0)</f>
        <v/>
      </c>
      <c r="C844" s="57">
        <f>+SUMIF('Chi tiết NVL'!$I:$I,$A844,'Chi tiết NVL'!L:L)</f>
        <v/>
      </c>
      <c r="D844" s="57">
        <f>+SUMIF('Chi tiết NVL'!$I:$I,$A844,'Chi tiết NVL'!M:M)</f>
        <v/>
      </c>
      <c r="E844" s="57">
        <f>+SUMIF('Chi tiết NVL'!$I:$I,$A844,'Chi tiết NVL'!N:N)</f>
        <v/>
      </c>
      <c r="F844" s="57">
        <f>+SUMIF('Chi tiết NVL'!$I:$I,$A844,'Chi tiết NVL'!O:O)</f>
        <v/>
      </c>
      <c r="G844" s="57">
        <f>+SUMIF('Chi tiết NVL'!$I:$I,$A844,'Chi tiết NVL'!P:P)</f>
        <v/>
      </c>
      <c r="H844" s="57">
        <f>+SUMIF('Chi tiết NVL'!$I:$I,$A844,'Chi tiết NVL'!Q:Q)</f>
        <v/>
      </c>
      <c r="I844" s="57">
        <f>+SUMIF('Chi tiết NVL'!$I:$I,$A844,'Chi tiết NVL'!R:R)</f>
        <v/>
      </c>
      <c r="J844" s="57">
        <f>+SUMIF('Chi tiết NVL'!$I:$I,$A844,'Chi tiết NVL'!S:S)</f>
        <v/>
      </c>
    </row>
    <row r="845">
      <c r="A845" s="56" t="inlineStr">
        <is>
          <t>Đai ốc Din 934 8 M24</t>
        </is>
      </c>
      <c r="B845" s="56">
        <f>+VLOOKUP(A845,'Chi tiết NVL'!$I$10:$J$4158,2,0)</f>
        <v/>
      </c>
      <c r="C845" s="57">
        <f>+SUMIF('Chi tiết NVL'!$I:$I,$A845,'Chi tiết NVL'!L:L)</f>
        <v/>
      </c>
      <c r="D845" s="57">
        <f>+SUMIF('Chi tiết NVL'!$I:$I,$A845,'Chi tiết NVL'!M:M)</f>
        <v/>
      </c>
      <c r="E845" s="57">
        <f>+SUMIF('Chi tiết NVL'!$I:$I,$A845,'Chi tiết NVL'!N:N)</f>
        <v/>
      </c>
      <c r="F845" s="57">
        <f>+SUMIF('Chi tiết NVL'!$I:$I,$A845,'Chi tiết NVL'!O:O)</f>
        <v/>
      </c>
      <c r="G845" s="57">
        <f>+SUMIF('Chi tiết NVL'!$I:$I,$A845,'Chi tiết NVL'!P:P)</f>
        <v/>
      </c>
      <c r="H845" s="57">
        <f>+SUMIF('Chi tiết NVL'!$I:$I,$A845,'Chi tiết NVL'!Q:Q)</f>
        <v/>
      </c>
      <c r="I845" s="57">
        <f>+SUMIF('Chi tiết NVL'!$I:$I,$A845,'Chi tiết NVL'!R:R)</f>
        <v/>
      </c>
      <c r="J845" s="57">
        <f>+SUMIF('Chi tiết NVL'!$I:$I,$A845,'Chi tiết NVL'!S:S)</f>
        <v/>
      </c>
    </row>
    <row r="846">
      <c r="A846" s="56" t="inlineStr">
        <is>
          <t>Đai ốc Din 934 8 M30</t>
        </is>
      </c>
      <c r="B846" s="56">
        <f>+VLOOKUP(A846,'Chi tiết NVL'!$I$10:$J$4158,2,0)</f>
        <v/>
      </c>
      <c r="C846" s="57">
        <f>+SUMIF('Chi tiết NVL'!$I:$I,$A846,'Chi tiết NVL'!L:L)</f>
        <v/>
      </c>
      <c r="D846" s="57">
        <f>+SUMIF('Chi tiết NVL'!$I:$I,$A846,'Chi tiết NVL'!M:M)</f>
        <v/>
      </c>
      <c r="E846" s="57">
        <f>+SUMIF('Chi tiết NVL'!$I:$I,$A846,'Chi tiết NVL'!N:N)</f>
        <v/>
      </c>
      <c r="F846" s="57">
        <f>+SUMIF('Chi tiết NVL'!$I:$I,$A846,'Chi tiết NVL'!O:O)</f>
        <v/>
      </c>
      <c r="G846" s="57">
        <f>+SUMIF('Chi tiết NVL'!$I:$I,$A846,'Chi tiết NVL'!P:P)</f>
        <v/>
      </c>
      <c r="H846" s="57">
        <f>+SUMIF('Chi tiết NVL'!$I:$I,$A846,'Chi tiết NVL'!Q:Q)</f>
        <v/>
      </c>
      <c r="I846" s="57">
        <f>+SUMIF('Chi tiết NVL'!$I:$I,$A846,'Chi tiết NVL'!R:R)</f>
        <v/>
      </c>
      <c r="J846" s="57">
        <f>+SUMIF('Chi tiết NVL'!$I:$I,$A846,'Chi tiết NVL'!S:S)</f>
        <v/>
      </c>
    </row>
    <row r="847">
      <c r="A847" s="56" t="inlineStr">
        <is>
          <t>Long đền thường M16B42D2</t>
        </is>
      </c>
      <c r="B847" s="56">
        <f>+VLOOKUP(A847,'Chi tiết NVL'!$I$10:$J$4158,2,0)</f>
        <v/>
      </c>
      <c r="C847" s="57">
        <f>+SUMIF('Chi tiết NVL'!$I:$I,$A847,'Chi tiết NVL'!L:L)</f>
        <v/>
      </c>
      <c r="D847" s="57">
        <f>+SUMIF('Chi tiết NVL'!$I:$I,$A847,'Chi tiết NVL'!M:M)</f>
        <v/>
      </c>
      <c r="E847" s="57">
        <f>+SUMIF('Chi tiết NVL'!$I:$I,$A847,'Chi tiết NVL'!N:N)</f>
        <v/>
      </c>
      <c r="F847" s="57">
        <f>+SUMIF('Chi tiết NVL'!$I:$I,$A847,'Chi tiết NVL'!O:O)</f>
        <v/>
      </c>
      <c r="G847" s="57">
        <f>+SUMIF('Chi tiết NVL'!$I:$I,$A847,'Chi tiết NVL'!P:P)</f>
        <v/>
      </c>
      <c r="H847" s="57">
        <f>+SUMIF('Chi tiết NVL'!$I:$I,$A847,'Chi tiết NVL'!Q:Q)</f>
        <v/>
      </c>
      <c r="I847" s="57">
        <f>+SUMIF('Chi tiết NVL'!$I:$I,$A847,'Chi tiết NVL'!R:R)</f>
        <v/>
      </c>
      <c r="J847" s="57">
        <f>+SUMIF('Chi tiết NVL'!$I:$I,$A847,'Chi tiết NVL'!S:S)</f>
        <v/>
      </c>
    </row>
    <row r="848">
      <c r="A848" s="56" t="inlineStr">
        <is>
          <t>Long đền thường M20B42D2</t>
        </is>
      </c>
      <c r="B848" s="56">
        <f>+VLOOKUP(A848,'Chi tiết NVL'!$I$10:$J$4158,2,0)</f>
        <v/>
      </c>
      <c r="C848" s="57">
        <f>+SUMIF('Chi tiết NVL'!$I:$I,$A848,'Chi tiết NVL'!L:L)</f>
        <v/>
      </c>
      <c r="D848" s="57">
        <f>+SUMIF('Chi tiết NVL'!$I:$I,$A848,'Chi tiết NVL'!M:M)</f>
        <v/>
      </c>
      <c r="E848" s="57">
        <f>+SUMIF('Chi tiết NVL'!$I:$I,$A848,'Chi tiết NVL'!N:N)</f>
        <v/>
      </c>
      <c r="F848" s="57">
        <f>+SUMIF('Chi tiết NVL'!$I:$I,$A848,'Chi tiết NVL'!O:O)</f>
        <v/>
      </c>
      <c r="G848" s="57">
        <f>+SUMIF('Chi tiết NVL'!$I:$I,$A848,'Chi tiết NVL'!P:P)</f>
        <v/>
      </c>
      <c r="H848" s="57">
        <f>+SUMIF('Chi tiết NVL'!$I:$I,$A848,'Chi tiết NVL'!Q:Q)</f>
        <v/>
      </c>
      <c r="I848" s="57">
        <f>+SUMIF('Chi tiết NVL'!$I:$I,$A848,'Chi tiết NVL'!R:R)</f>
        <v/>
      </c>
      <c r="J848" s="57">
        <f>+SUMIF('Chi tiết NVL'!$I:$I,$A848,'Chi tiết NVL'!S:S)</f>
        <v/>
      </c>
    </row>
    <row r="849">
      <c r="A849" s="56" t="inlineStr">
        <is>
          <t>Long đền thường M24B45D2</t>
        </is>
      </c>
      <c r="B849" s="56">
        <f>+VLOOKUP(A849,'Chi tiết NVL'!$I$10:$J$4158,2,0)</f>
        <v/>
      </c>
      <c r="C849" s="57">
        <f>+SUMIF('Chi tiết NVL'!$I:$I,$A849,'Chi tiết NVL'!L:L)</f>
        <v/>
      </c>
      <c r="D849" s="57">
        <f>+SUMIF('Chi tiết NVL'!$I:$I,$A849,'Chi tiết NVL'!M:M)</f>
        <v/>
      </c>
      <c r="E849" s="57">
        <f>+SUMIF('Chi tiết NVL'!$I:$I,$A849,'Chi tiết NVL'!N:N)</f>
        <v/>
      </c>
      <c r="F849" s="57">
        <f>+SUMIF('Chi tiết NVL'!$I:$I,$A849,'Chi tiết NVL'!O:O)</f>
        <v/>
      </c>
      <c r="G849" s="57">
        <f>+SUMIF('Chi tiết NVL'!$I:$I,$A849,'Chi tiết NVL'!P:P)</f>
        <v/>
      </c>
      <c r="H849" s="57">
        <f>+SUMIF('Chi tiết NVL'!$I:$I,$A849,'Chi tiết NVL'!Q:Q)</f>
        <v/>
      </c>
      <c r="I849" s="57">
        <f>+SUMIF('Chi tiết NVL'!$I:$I,$A849,'Chi tiết NVL'!R:R)</f>
        <v/>
      </c>
      <c r="J849" s="57">
        <f>+SUMIF('Chi tiết NVL'!$I:$I,$A849,'Chi tiết NVL'!S:S)</f>
        <v/>
      </c>
    </row>
    <row r="850">
      <c r="A850" s="56" t="inlineStr">
        <is>
          <t>Long đền thường M30B60D2</t>
        </is>
      </c>
      <c r="B850" s="56">
        <f>+VLOOKUP(A850,'Chi tiết NVL'!$I$10:$J$4158,2,0)</f>
        <v/>
      </c>
      <c r="C850" s="57">
        <f>+SUMIF('Chi tiết NVL'!$I:$I,$A850,'Chi tiết NVL'!L:L)</f>
        <v/>
      </c>
      <c r="D850" s="57">
        <f>+SUMIF('Chi tiết NVL'!$I:$I,$A850,'Chi tiết NVL'!M:M)</f>
        <v/>
      </c>
      <c r="E850" s="57">
        <f>+SUMIF('Chi tiết NVL'!$I:$I,$A850,'Chi tiết NVL'!N:N)</f>
        <v/>
      </c>
      <c r="F850" s="57">
        <f>+SUMIF('Chi tiết NVL'!$I:$I,$A850,'Chi tiết NVL'!O:O)</f>
        <v/>
      </c>
      <c r="G850" s="57">
        <f>+SUMIF('Chi tiết NVL'!$I:$I,$A850,'Chi tiết NVL'!P:P)</f>
        <v/>
      </c>
      <c r="H850" s="57">
        <f>+SUMIF('Chi tiết NVL'!$I:$I,$A850,'Chi tiết NVL'!Q:Q)</f>
        <v/>
      </c>
      <c r="I850" s="57">
        <f>+SUMIF('Chi tiết NVL'!$I:$I,$A850,'Chi tiết NVL'!R:R)</f>
        <v/>
      </c>
      <c r="J850" s="57">
        <f>+SUMIF('Chi tiết NVL'!$I:$I,$A850,'Chi tiết NVL'!S:S)</f>
        <v/>
      </c>
    </row>
    <row r="851">
      <c r="A851" s="56" t="inlineStr">
        <is>
          <t>Bulong Din 931 8.8 M24x150</t>
        </is>
      </c>
      <c r="B851" s="56">
        <f>+VLOOKUP(A851,'Chi tiết NVL'!$I$10:$J$4158,2,0)</f>
        <v/>
      </c>
      <c r="C851" s="57">
        <f>+SUMIF('Chi tiết NVL'!$I:$I,$A851,'Chi tiết NVL'!L:L)</f>
        <v/>
      </c>
      <c r="D851" s="57">
        <f>+SUMIF('Chi tiết NVL'!$I:$I,$A851,'Chi tiết NVL'!M:M)</f>
        <v/>
      </c>
      <c r="E851" s="57">
        <f>+SUMIF('Chi tiết NVL'!$I:$I,$A851,'Chi tiết NVL'!N:N)</f>
        <v/>
      </c>
      <c r="F851" s="57">
        <f>+SUMIF('Chi tiết NVL'!$I:$I,$A851,'Chi tiết NVL'!O:O)</f>
        <v/>
      </c>
      <c r="G851" s="57">
        <f>+SUMIF('Chi tiết NVL'!$I:$I,$A851,'Chi tiết NVL'!P:P)</f>
        <v/>
      </c>
      <c r="H851" s="57">
        <f>+SUMIF('Chi tiết NVL'!$I:$I,$A851,'Chi tiết NVL'!Q:Q)</f>
        <v/>
      </c>
      <c r="I851" s="57">
        <f>+SUMIF('Chi tiết NVL'!$I:$I,$A851,'Chi tiết NVL'!R:R)</f>
        <v/>
      </c>
      <c r="J851" s="57">
        <f>+SUMIF('Chi tiết NVL'!$I:$I,$A851,'Chi tiết NVL'!S:S)</f>
        <v/>
      </c>
    </row>
    <row r="852">
      <c r="A852" s="56" t="inlineStr">
        <is>
          <t>Thép ống đen 114x3.96x6m</t>
        </is>
      </c>
      <c r="B852" s="56">
        <f>+VLOOKUP(A852,'Chi tiết NVL'!$I$10:$J$4158,2,0)</f>
        <v/>
      </c>
      <c r="C852" s="57">
        <f>+SUMIF('Chi tiết NVL'!$I:$I,$A852,'Chi tiết NVL'!L:L)</f>
        <v/>
      </c>
      <c r="D852" s="57">
        <f>+SUMIF('Chi tiết NVL'!$I:$I,$A852,'Chi tiết NVL'!M:M)</f>
        <v/>
      </c>
      <c r="E852" s="57">
        <f>+SUMIF('Chi tiết NVL'!$I:$I,$A852,'Chi tiết NVL'!N:N)</f>
        <v/>
      </c>
      <c r="F852" s="57">
        <f>+SUMIF('Chi tiết NVL'!$I:$I,$A852,'Chi tiết NVL'!O:O)</f>
        <v/>
      </c>
      <c r="G852" s="57">
        <f>+SUMIF('Chi tiết NVL'!$I:$I,$A852,'Chi tiết NVL'!P:P)</f>
        <v/>
      </c>
      <c r="H852" s="57">
        <f>+SUMIF('Chi tiết NVL'!$I:$I,$A852,'Chi tiết NVL'!Q:Q)</f>
        <v/>
      </c>
      <c r="I852" s="57">
        <f>+SUMIF('Chi tiết NVL'!$I:$I,$A852,'Chi tiết NVL'!R:R)</f>
        <v/>
      </c>
      <c r="J852" s="57">
        <f>+SUMIF('Chi tiết NVL'!$I:$I,$A852,'Chi tiết NVL'!S:S)</f>
        <v/>
      </c>
    </row>
    <row r="853">
      <c r="A853" s="56" t="inlineStr">
        <is>
          <t>Thép ống đen 141x3.96x6m</t>
        </is>
      </c>
      <c r="B853" s="56">
        <f>+VLOOKUP(A853,'Chi tiết NVL'!$I$10:$J$4158,2,0)</f>
        <v/>
      </c>
      <c r="C853" s="57">
        <f>+SUMIF('Chi tiết NVL'!$I:$I,$A853,'Chi tiết NVL'!L:L)</f>
        <v/>
      </c>
      <c r="D853" s="57">
        <f>+SUMIF('Chi tiết NVL'!$I:$I,$A853,'Chi tiết NVL'!M:M)</f>
        <v/>
      </c>
      <c r="E853" s="57">
        <f>+SUMIF('Chi tiết NVL'!$I:$I,$A853,'Chi tiết NVL'!N:N)</f>
        <v/>
      </c>
      <c r="F853" s="57">
        <f>+SUMIF('Chi tiết NVL'!$I:$I,$A853,'Chi tiết NVL'!O:O)</f>
        <v/>
      </c>
      <c r="G853" s="57">
        <f>+SUMIF('Chi tiết NVL'!$I:$I,$A853,'Chi tiết NVL'!P:P)</f>
        <v/>
      </c>
      <c r="H853" s="57">
        <f>+SUMIF('Chi tiết NVL'!$I:$I,$A853,'Chi tiết NVL'!Q:Q)</f>
        <v/>
      </c>
      <c r="I853" s="57">
        <f>+SUMIF('Chi tiết NVL'!$I:$I,$A853,'Chi tiết NVL'!R:R)</f>
        <v/>
      </c>
      <c r="J853" s="57">
        <f>+SUMIF('Chi tiết NVL'!$I:$I,$A853,'Chi tiết NVL'!S:S)</f>
        <v/>
      </c>
    </row>
    <row r="854">
      <c r="A854" s="56" t="inlineStr">
        <is>
          <t>Thép ống đen 141x5.16x6m</t>
        </is>
      </c>
      <c r="B854" s="56">
        <f>+VLOOKUP(A854,'Chi tiết NVL'!$I$10:$J$4158,2,0)</f>
        <v/>
      </c>
      <c r="C854" s="57">
        <f>+SUMIF('Chi tiết NVL'!$I:$I,$A854,'Chi tiết NVL'!L:L)</f>
        <v/>
      </c>
      <c r="D854" s="57">
        <f>+SUMIF('Chi tiết NVL'!$I:$I,$A854,'Chi tiết NVL'!M:M)</f>
        <v/>
      </c>
      <c r="E854" s="57">
        <f>+SUMIF('Chi tiết NVL'!$I:$I,$A854,'Chi tiết NVL'!N:N)</f>
        <v/>
      </c>
      <c r="F854" s="57">
        <f>+SUMIF('Chi tiết NVL'!$I:$I,$A854,'Chi tiết NVL'!O:O)</f>
        <v/>
      </c>
      <c r="G854" s="57">
        <f>+SUMIF('Chi tiết NVL'!$I:$I,$A854,'Chi tiết NVL'!P:P)</f>
        <v/>
      </c>
      <c r="H854" s="57">
        <f>+SUMIF('Chi tiết NVL'!$I:$I,$A854,'Chi tiết NVL'!Q:Q)</f>
        <v/>
      </c>
      <c r="I854" s="57">
        <f>+SUMIF('Chi tiết NVL'!$I:$I,$A854,'Chi tiết NVL'!R:R)</f>
        <v/>
      </c>
      <c r="J854" s="57">
        <f>+SUMIF('Chi tiết NVL'!$I:$I,$A854,'Chi tiết NVL'!S:S)</f>
        <v/>
      </c>
    </row>
    <row r="855">
      <c r="A855" s="56" t="inlineStr">
        <is>
          <t>Thép ống đen 168x7.11x6m</t>
        </is>
      </c>
      <c r="B855" s="56">
        <f>+VLOOKUP(A855,'Chi tiết NVL'!$I$10:$J$4158,2,0)</f>
        <v/>
      </c>
      <c r="C855" s="57">
        <f>+SUMIF('Chi tiết NVL'!$I:$I,$A855,'Chi tiết NVL'!L:L)</f>
        <v/>
      </c>
      <c r="D855" s="57">
        <f>+SUMIF('Chi tiết NVL'!$I:$I,$A855,'Chi tiết NVL'!M:M)</f>
        <v/>
      </c>
      <c r="E855" s="57">
        <f>+SUMIF('Chi tiết NVL'!$I:$I,$A855,'Chi tiết NVL'!N:N)</f>
        <v/>
      </c>
      <c r="F855" s="57">
        <f>+SUMIF('Chi tiết NVL'!$I:$I,$A855,'Chi tiết NVL'!O:O)</f>
        <v/>
      </c>
      <c r="G855" s="57">
        <f>+SUMIF('Chi tiết NVL'!$I:$I,$A855,'Chi tiết NVL'!P:P)</f>
        <v/>
      </c>
      <c r="H855" s="57">
        <f>+SUMIF('Chi tiết NVL'!$I:$I,$A855,'Chi tiết NVL'!Q:Q)</f>
        <v/>
      </c>
      <c r="I855" s="57">
        <f>+SUMIF('Chi tiết NVL'!$I:$I,$A855,'Chi tiết NVL'!R:R)</f>
        <v/>
      </c>
      <c r="J855" s="57">
        <f>+SUMIF('Chi tiết NVL'!$I:$I,$A855,'Chi tiết NVL'!S:S)</f>
        <v/>
      </c>
    </row>
    <row r="856">
      <c r="A856" s="56" t="inlineStr">
        <is>
          <t>Thép ống đen 168x5.56x6m</t>
        </is>
      </c>
      <c r="B856" s="56">
        <f>+VLOOKUP(A856,'Chi tiết NVL'!$I$10:$J$4158,2,0)</f>
        <v/>
      </c>
      <c r="C856" s="57">
        <f>+SUMIF('Chi tiết NVL'!$I:$I,$A856,'Chi tiết NVL'!L:L)</f>
        <v/>
      </c>
      <c r="D856" s="57">
        <f>+SUMIF('Chi tiết NVL'!$I:$I,$A856,'Chi tiết NVL'!M:M)</f>
        <v/>
      </c>
      <c r="E856" s="57">
        <f>+SUMIF('Chi tiết NVL'!$I:$I,$A856,'Chi tiết NVL'!N:N)</f>
        <v/>
      </c>
      <c r="F856" s="57">
        <f>+SUMIF('Chi tiết NVL'!$I:$I,$A856,'Chi tiết NVL'!O:O)</f>
        <v/>
      </c>
      <c r="G856" s="57">
        <f>+SUMIF('Chi tiết NVL'!$I:$I,$A856,'Chi tiết NVL'!P:P)</f>
        <v/>
      </c>
      <c r="H856" s="57">
        <f>+SUMIF('Chi tiết NVL'!$I:$I,$A856,'Chi tiết NVL'!Q:Q)</f>
        <v/>
      </c>
      <c r="I856" s="57">
        <f>+SUMIF('Chi tiết NVL'!$I:$I,$A856,'Chi tiết NVL'!R:R)</f>
        <v/>
      </c>
      <c r="J856" s="57">
        <f>+SUMIF('Chi tiết NVL'!$I:$I,$A856,'Chi tiết NVL'!S:S)</f>
        <v/>
      </c>
    </row>
    <row r="857">
      <c r="A857" s="56" t="inlineStr">
        <is>
          <t>Xà gồ mạ kẽm 1.5mm</t>
        </is>
      </c>
      <c r="B857" s="56">
        <f>+VLOOKUP(A857,'Chi tiết NVL'!$I$10:$J$4158,2,0)</f>
        <v/>
      </c>
      <c r="C857" s="57">
        <f>+SUMIF('Chi tiết NVL'!$I:$I,$A857,'Chi tiết NVL'!L:L)</f>
        <v/>
      </c>
      <c r="D857" s="57">
        <f>+SUMIF('Chi tiết NVL'!$I:$I,$A857,'Chi tiết NVL'!M:M)</f>
        <v/>
      </c>
      <c r="E857" s="57">
        <f>+SUMIF('Chi tiết NVL'!$I:$I,$A857,'Chi tiết NVL'!N:N)</f>
        <v/>
      </c>
      <c r="F857" s="57">
        <f>+SUMIF('Chi tiết NVL'!$I:$I,$A857,'Chi tiết NVL'!O:O)</f>
        <v/>
      </c>
      <c r="G857" s="57">
        <f>+SUMIF('Chi tiết NVL'!$I:$I,$A857,'Chi tiết NVL'!P:P)</f>
        <v/>
      </c>
      <c r="H857" s="57">
        <f>+SUMIF('Chi tiết NVL'!$I:$I,$A857,'Chi tiết NVL'!Q:Q)</f>
        <v/>
      </c>
      <c r="I857" s="57">
        <f>+SUMIF('Chi tiết NVL'!$I:$I,$A857,'Chi tiết NVL'!R:R)</f>
        <v/>
      </c>
      <c r="J857" s="57">
        <f>+SUMIF('Chi tiết NVL'!$I:$I,$A857,'Chi tiết NVL'!S:S)</f>
        <v/>
      </c>
    </row>
    <row r="858">
      <c r="A858" s="56" t="inlineStr">
        <is>
          <t>Xà gồ mạ kẽm 1.95mm</t>
        </is>
      </c>
      <c r="B858" s="56">
        <f>+VLOOKUP(A858,'Chi tiết NVL'!$I$10:$J$4158,2,0)</f>
        <v/>
      </c>
      <c r="C858" s="57">
        <f>+SUMIF('Chi tiết NVL'!$I:$I,$A858,'Chi tiết NVL'!L:L)</f>
        <v/>
      </c>
      <c r="D858" s="57">
        <f>+SUMIF('Chi tiết NVL'!$I:$I,$A858,'Chi tiết NVL'!M:M)</f>
        <v/>
      </c>
      <c r="E858" s="57">
        <f>+SUMIF('Chi tiết NVL'!$I:$I,$A858,'Chi tiết NVL'!N:N)</f>
        <v/>
      </c>
      <c r="F858" s="57">
        <f>+SUMIF('Chi tiết NVL'!$I:$I,$A858,'Chi tiết NVL'!O:O)</f>
        <v/>
      </c>
      <c r="G858" s="57">
        <f>+SUMIF('Chi tiết NVL'!$I:$I,$A858,'Chi tiết NVL'!P:P)</f>
        <v/>
      </c>
      <c r="H858" s="57">
        <f>+SUMIF('Chi tiết NVL'!$I:$I,$A858,'Chi tiết NVL'!Q:Q)</f>
        <v/>
      </c>
      <c r="I858" s="57">
        <f>+SUMIF('Chi tiết NVL'!$I:$I,$A858,'Chi tiết NVL'!R:R)</f>
        <v/>
      </c>
      <c r="J858" s="57">
        <f>+SUMIF('Chi tiết NVL'!$I:$I,$A858,'Chi tiết NVL'!S:S)</f>
        <v/>
      </c>
    </row>
    <row r="859">
      <c r="A859" s="56" t="inlineStr">
        <is>
          <t>Xà gồ mạ kẽm 2.4mm</t>
        </is>
      </c>
      <c r="B859" s="56">
        <f>+VLOOKUP(A859,'Chi tiết NVL'!$I$10:$J$4158,2,0)</f>
        <v/>
      </c>
      <c r="C859" s="57">
        <f>+SUMIF('Chi tiết NVL'!$I:$I,$A859,'Chi tiết NVL'!L:L)</f>
        <v/>
      </c>
      <c r="D859" s="57">
        <f>+SUMIF('Chi tiết NVL'!$I:$I,$A859,'Chi tiết NVL'!M:M)</f>
        <v/>
      </c>
      <c r="E859" s="57">
        <f>+SUMIF('Chi tiết NVL'!$I:$I,$A859,'Chi tiết NVL'!N:N)</f>
        <v/>
      </c>
      <c r="F859" s="57">
        <f>+SUMIF('Chi tiết NVL'!$I:$I,$A859,'Chi tiết NVL'!O:O)</f>
        <v/>
      </c>
      <c r="G859" s="57">
        <f>+SUMIF('Chi tiết NVL'!$I:$I,$A859,'Chi tiết NVL'!P:P)</f>
        <v/>
      </c>
      <c r="H859" s="57">
        <f>+SUMIF('Chi tiết NVL'!$I:$I,$A859,'Chi tiết NVL'!Q:Q)</f>
        <v/>
      </c>
      <c r="I859" s="57">
        <f>+SUMIF('Chi tiết NVL'!$I:$I,$A859,'Chi tiết NVL'!R:R)</f>
        <v/>
      </c>
      <c r="J859" s="57">
        <f>+SUMIF('Chi tiết NVL'!$I:$I,$A859,'Chi tiết NVL'!S:S)</f>
        <v/>
      </c>
    </row>
    <row r="860">
      <c r="A860" s="56" t="inlineStr">
        <is>
          <t>Thép lá 2ly</t>
        </is>
      </c>
      <c r="B860" s="56">
        <f>+VLOOKUP(A860,'Chi tiết NVL'!$I$10:$J$4158,2,0)</f>
        <v/>
      </c>
      <c r="C860" s="57">
        <f>+SUMIF('Chi tiết NVL'!$I:$I,$A860,'Chi tiết NVL'!L:L)</f>
        <v/>
      </c>
      <c r="D860" s="57">
        <f>+SUMIF('Chi tiết NVL'!$I:$I,$A860,'Chi tiết NVL'!M:M)</f>
        <v/>
      </c>
      <c r="E860" s="57">
        <f>+SUMIF('Chi tiết NVL'!$I:$I,$A860,'Chi tiết NVL'!N:N)</f>
        <v/>
      </c>
      <c r="F860" s="57">
        <f>+SUMIF('Chi tiết NVL'!$I:$I,$A860,'Chi tiết NVL'!O:O)</f>
        <v/>
      </c>
      <c r="G860" s="57">
        <f>+SUMIF('Chi tiết NVL'!$I:$I,$A860,'Chi tiết NVL'!P:P)</f>
        <v/>
      </c>
      <c r="H860" s="57">
        <f>+SUMIF('Chi tiết NVL'!$I:$I,$A860,'Chi tiết NVL'!Q:Q)</f>
        <v/>
      </c>
      <c r="I860" s="57">
        <f>+SUMIF('Chi tiết NVL'!$I:$I,$A860,'Chi tiết NVL'!R:R)</f>
        <v/>
      </c>
      <c r="J860" s="57">
        <f>+SUMIF('Chi tiết NVL'!$I:$I,$A860,'Chi tiết NVL'!S:S)</f>
        <v/>
      </c>
    </row>
    <row r="861">
      <c r="A861" s="56" t="inlineStr">
        <is>
          <t>Bulong Din 933 8.8 HDG M12x50</t>
        </is>
      </c>
      <c r="B861" s="56">
        <f>+VLOOKUP(A861,'Chi tiết NVL'!$I$10:$J$4158,2,0)</f>
        <v/>
      </c>
      <c r="C861" s="57">
        <f>+SUMIF('Chi tiết NVL'!$I:$I,$A861,'Chi tiết NVL'!L:L)</f>
        <v/>
      </c>
      <c r="D861" s="57">
        <f>+SUMIF('Chi tiết NVL'!$I:$I,$A861,'Chi tiết NVL'!M:M)</f>
        <v/>
      </c>
      <c r="E861" s="57">
        <f>+SUMIF('Chi tiết NVL'!$I:$I,$A861,'Chi tiết NVL'!N:N)</f>
        <v/>
      </c>
      <c r="F861" s="57">
        <f>+SUMIF('Chi tiết NVL'!$I:$I,$A861,'Chi tiết NVL'!O:O)</f>
        <v/>
      </c>
      <c r="G861" s="57">
        <f>+SUMIF('Chi tiết NVL'!$I:$I,$A861,'Chi tiết NVL'!P:P)</f>
        <v/>
      </c>
      <c r="H861" s="57">
        <f>+SUMIF('Chi tiết NVL'!$I:$I,$A861,'Chi tiết NVL'!Q:Q)</f>
        <v/>
      </c>
      <c r="I861" s="57">
        <f>+SUMIF('Chi tiết NVL'!$I:$I,$A861,'Chi tiết NVL'!R:R)</f>
        <v/>
      </c>
      <c r="J861" s="57">
        <f>+SUMIF('Chi tiết NVL'!$I:$I,$A861,'Chi tiết NVL'!S:S)</f>
        <v/>
      </c>
    </row>
    <row r="862">
      <c r="A862" s="56" t="inlineStr">
        <is>
          <t>Đai ốc ISO 4032 8 HDG M12</t>
        </is>
      </c>
      <c r="B862" s="56">
        <f>+VLOOKUP(A862,'Chi tiết NVL'!$I$10:$J$4158,2,0)</f>
        <v/>
      </c>
      <c r="C862" s="57">
        <f>+SUMIF('Chi tiết NVL'!$I:$I,$A862,'Chi tiết NVL'!L:L)</f>
        <v/>
      </c>
      <c r="D862" s="57">
        <f>+SUMIF('Chi tiết NVL'!$I:$I,$A862,'Chi tiết NVL'!M:M)</f>
        <v/>
      </c>
      <c r="E862" s="57">
        <f>+SUMIF('Chi tiết NVL'!$I:$I,$A862,'Chi tiết NVL'!N:N)</f>
        <v/>
      </c>
      <c r="F862" s="57">
        <f>+SUMIF('Chi tiết NVL'!$I:$I,$A862,'Chi tiết NVL'!O:O)</f>
        <v/>
      </c>
      <c r="G862" s="57">
        <f>+SUMIF('Chi tiết NVL'!$I:$I,$A862,'Chi tiết NVL'!P:P)</f>
        <v/>
      </c>
      <c r="H862" s="57">
        <f>+SUMIF('Chi tiết NVL'!$I:$I,$A862,'Chi tiết NVL'!Q:Q)</f>
        <v/>
      </c>
      <c r="I862" s="57">
        <f>+SUMIF('Chi tiết NVL'!$I:$I,$A862,'Chi tiết NVL'!R:R)</f>
        <v/>
      </c>
      <c r="J862" s="57">
        <f>+SUMIF('Chi tiết NVL'!$I:$I,$A862,'Chi tiết NVL'!S:S)</f>
        <v/>
      </c>
    </row>
    <row r="863">
      <c r="A863" s="56" t="inlineStr">
        <is>
          <t>Bulong Din 933 8.8 HDG M16x70</t>
        </is>
      </c>
      <c r="B863" s="56">
        <f>+VLOOKUP(A863,'Chi tiết NVL'!$I$10:$J$4158,2,0)</f>
        <v/>
      </c>
      <c r="C863" s="57">
        <f>+SUMIF('Chi tiết NVL'!$I:$I,$A863,'Chi tiết NVL'!L:L)</f>
        <v/>
      </c>
      <c r="D863" s="57">
        <f>+SUMIF('Chi tiết NVL'!$I:$I,$A863,'Chi tiết NVL'!M:M)</f>
        <v/>
      </c>
      <c r="E863" s="57">
        <f>+SUMIF('Chi tiết NVL'!$I:$I,$A863,'Chi tiết NVL'!N:N)</f>
        <v/>
      </c>
      <c r="F863" s="57">
        <f>+SUMIF('Chi tiết NVL'!$I:$I,$A863,'Chi tiết NVL'!O:O)</f>
        <v/>
      </c>
      <c r="G863" s="57">
        <f>+SUMIF('Chi tiết NVL'!$I:$I,$A863,'Chi tiết NVL'!P:P)</f>
        <v/>
      </c>
      <c r="H863" s="57">
        <f>+SUMIF('Chi tiết NVL'!$I:$I,$A863,'Chi tiết NVL'!Q:Q)</f>
        <v/>
      </c>
      <c r="I863" s="57">
        <f>+SUMIF('Chi tiết NVL'!$I:$I,$A863,'Chi tiết NVL'!R:R)</f>
        <v/>
      </c>
      <c r="J863" s="57">
        <f>+SUMIF('Chi tiết NVL'!$I:$I,$A863,'Chi tiết NVL'!S:S)</f>
        <v/>
      </c>
    </row>
    <row r="864">
      <c r="A864" s="56" t="inlineStr">
        <is>
          <t>Bulong nở 4.6 HDG M20x250</t>
        </is>
      </c>
      <c r="B864" s="56">
        <f>+VLOOKUP(A864,'Chi tiết NVL'!$I$10:$J$4158,2,0)</f>
        <v/>
      </c>
      <c r="C864" s="57">
        <f>+SUMIF('Chi tiết NVL'!$I:$I,$A864,'Chi tiết NVL'!L:L)</f>
        <v/>
      </c>
      <c r="D864" s="57">
        <f>+SUMIF('Chi tiết NVL'!$I:$I,$A864,'Chi tiết NVL'!M:M)</f>
        <v/>
      </c>
      <c r="E864" s="57">
        <f>+SUMIF('Chi tiết NVL'!$I:$I,$A864,'Chi tiết NVL'!N:N)</f>
        <v/>
      </c>
      <c r="F864" s="57">
        <f>+SUMIF('Chi tiết NVL'!$I:$I,$A864,'Chi tiết NVL'!O:O)</f>
        <v/>
      </c>
      <c r="G864" s="57">
        <f>+SUMIF('Chi tiết NVL'!$I:$I,$A864,'Chi tiết NVL'!P:P)</f>
        <v/>
      </c>
      <c r="H864" s="57">
        <f>+SUMIF('Chi tiết NVL'!$I:$I,$A864,'Chi tiết NVL'!Q:Q)</f>
        <v/>
      </c>
      <c r="I864" s="57">
        <f>+SUMIF('Chi tiết NVL'!$I:$I,$A864,'Chi tiết NVL'!R:R)</f>
        <v/>
      </c>
      <c r="J864" s="57">
        <f>+SUMIF('Chi tiết NVL'!$I:$I,$A864,'Chi tiết NVL'!S:S)</f>
        <v/>
      </c>
    </row>
    <row r="865">
      <c r="A865" s="56" t="inlineStr">
        <is>
          <t>Bulong nở 4.6 HDG M12x120</t>
        </is>
      </c>
      <c r="B865" s="56">
        <f>+VLOOKUP(A865,'Chi tiết NVL'!$I$10:$J$4158,2,0)</f>
        <v/>
      </c>
      <c r="C865" s="57">
        <f>+SUMIF('Chi tiết NVL'!$I:$I,$A865,'Chi tiết NVL'!L:L)</f>
        <v/>
      </c>
      <c r="D865" s="57">
        <f>+SUMIF('Chi tiết NVL'!$I:$I,$A865,'Chi tiết NVL'!M:M)</f>
        <v/>
      </c>
      <c r="E865" s="57">
        <f>+SUMIF('Chi tiết NVL'!$I:$I,$A865,'Chi tiết NVL'!N:N)</f>
        <v/>
      </c>
      <c r="F865" s="57">
        <f>+SUMIF('Chi tiết NVL'!$I:$I,$A865,'Chi tiết NVL'!O:O)</f>
        <v/>
      </c>
      <c r="G865" s="57">
        <f>+SUMIF('Chi tiết NVL'!$I:$I,$A865,'Chi tiết NVL'!P:P)</f>
        <v/>
      </c>
      <c r="H865" s="57">
        <f>+SUMIF('Chi tiết NVL'!$I:$I,$A865,'Chi tiết NVL'!Q:Q)</f>
        <v/>
      </c>
      <c r="I865" s="57">
        <f>+SUMIF('Chi tiết NVL'!$I:$I,$A865,'Chi tiết NVL'!R:R)</f>
        <v/>
      </c>
      <c r="J865" s="57">
        <f>+SUMIF('Chi tiết NVL'!$I:$I,$A865,'Chi tiết NVL'!S:S)</f>
        <v/>
      </c>
    </row>
    <row r="866">
      <c r="A866" s="56" t="inlineStr">
        <is>
          <t>Bulong Din 933 8.8 ZP M30x130</t>
        </is>
      </c>
      <c r="B866" s="56">
        <f>+VLOOKUP(A866,'Chi tiết NVL'!$I$10:$J$4158,2,0)</f>
        <v/>
      </c>
      <c r="C866" s="57">
        <f>+SUMIF('Chi tiết NVL'!$I:$I,$A866,'Chi tiết NVL'!L:L)</f>
        <v/>
      </c>
      <c r="D866" s="57">
        <f>+SUMIF('Chi tiết NVL'!$I:$I,$A866,'Chi tiết NVL'!M:M)</f>
        <v/>
      </c>
      <c r="E866" s="57">
        <f>+SUMIF('Chi tiết NVL'!$I:$I,$A866,'Chi tiết NVL'!N:N)</f>
        <v/>
      </c>
      <c r="F866" s="57">
        <f>+SUMIF('Chi tiết NVL'!$I:$I,$A866,'Chi tiết NVL'!O:O)</f>
        <v/>
      </c>
      <c r="G866" s="57">
        <f>+SUMIF('Chi tiết NVL'!$I:$I,$A866,'Chi tiết NVL'!P:P)</f>
        <v/>
      </c>
      <c r="H866" s="57">
        <f>+SUMIF('Chi tiết NVL'!$I:$I,$A866,'Chi tiết NVL'!Q:Q)</f>
        <v/>
      </c>
      <c r="I866" s="57">
        <f>+SUMIF('Chi tiết NVL'!$I:$I,$A866,'Chi tiết NVL'!R:R)</f>
        <v/>
      </c>
      <c r="J866" s="57">
        <f>+SUMIF('Chi tiết NVL'!$I:$I,$A866,'Chi tiết NVL'!S:S)</f>
        <v/>
      </c>
    </row>
    <row r="867">
      <c r="A867" s="56" t="inlineStr">
        <is>
          <t>Fischer Tuýp hóa chất FIS EB II 390S</t>
        </is>
      </c>
      <c r="B867" s="56">
        <f>+VLOOKUP(A867,'Chi tiết NVL'!$I$10:$J$4158,2,0)</f>
        <v/>
      </c>
      <c r="C867" s="57">
        <f>+SUMIF('Chi tiết NVL'!$I:$I,$A867,'Chi tiết NVL'!L:L)</f>
        <v/>
      </c>
      <c r="D867" s="57">
        <f>+SUMIF('Chi tiết NVL'!$I:$I,$A867,'Chi tiết NVL'!M:M)</f>
        <v/>
      </c>
      <c r="E867" s="57">
        <f>+SUMIF('Chi tiết NVL'!$I:$I,$A867,'Chi tiết NVL'!N:N)</f>
        <v/>
      </c>
      <c r="F867" s="57">
        <f>+SUMIF('Chi tiết NVL'!$I:$I,$A867,'Chi tiết NVL'!O:O)</f>
        <v/>
      </c>
      <c r="G867" s="57">
        <f>+SUMIF('Chi tiết NVL'!$I:$I,$A867,'Chi tiết NVL'!P:P)</f>
        <v/>
      </c>
      <c r="H867" s="57">
        <f>+SUMIF('Chi tiết NVL'!$I:$I,$A867,'Chi tiết NVL'!Q:Q)</f>
        <v/>
      </c>
      <c r="I867" s="57">
        <f>+SUMIF('Chi tiết NVL'!$I:$I,$A867,'Chi tiết NVL'!R:R)</f>
        <v/>
      </c>
      <c r="J867" s="57">
        <f>+SUMIF('Chi tiết NVL'!$I:$I,$A867,'Chi tiết NVL'!S:S)</f>
        <v/>
      </c>
    </row>
    <row r="868">
      <c r="A868" s="56" t="inlineStr">
        <is>
          <t>Fischer Súng bơm FIS AM</t>
        </is>
      </c>
      <c r="B868" s="56">
        <f>+VLOOKUP(A868,'Chi tiết NVL'!$I$10:$J$4158,2,0)</f>
        <v/>
      </c>
      <c r="C868" s="57">
        <f>+SUMIF('Chi tiết NVL'!$I:$I,$A868,'Chi tiết NVL'!L:L)</f>
        <v/>
      </c>
      <c r="D868" s="57">
        <f>+SUMIF('Chi tiết NVL'!$I:$I,$A868,'Chi tiết NVL'!M:M)</f>
        <v/>
      </c>
      <c r="E868" s="57">
        <f>+SUMIF('Chi tiết NVL'!$I:$I,$A868,'Chi tiết NVL'!N:N)</f>
        <v/>
      </c>
      <c r="F868" s="57">
        <f>+SUMIF('Chi tiết NVL'!$I:$I,$A868,'Chi tiết NVL'!O:O)</f>
        <v/>
      </c>
      <c r="G868" s="57">
        <f>+SUMIF('Chi tiết NVL'!$I:$I,$A868,'Chi tiết NVL'!P:P)</f>
        <v/>
      </c>
      <c r="H868" s="57">
        <f>+SUMIF('Chi tiết NVL'!$I:$I,$A868,'Chi tiết NVL'!Q:Q)</f>
        <v/>
      </c>
      <c r="I868" s="57">
        <f>+SUMIF('Chi tiết NVL'!$I:$I,$A868,'Chi tiết NVL'!R:R)</f>
        <v/>
      </c>
      <c r="J868" s="57">
        <f>+SUMIF('Chi tiết NVL'!$I:$I,$A868,'Chi tiết NVL'!S:S)</f>
        <v/>
      </c>
    </row>
    <row r="869">
      <c r="A869" s="56" t="inlineStr">
        <is>
          <t>Thép tấm 20x2000x12000</t>
        </is>
      </c>
      <c r="B869" s="56">
        <f>+VLOOKUP(A869,'Chi tiết NVL'!$I$10:$J$4158,2,0)</f>
        <v/>
      </c>
      <c r="C869" s="57">
        <f>+SUMIF('Chi tiết NVL'!$I:$I,$A869,'Chi tiết NVL'!L:L)</f>
        <v/>
      </c>
      <c r="D869" s="57">
        <f>+SUMIF('Chi tiết NVL'!$I:$I,$A869,'Chi tiết NVL'!M:M)</f>
        <v/>
      </c>
      <c r="E869" s="57">
        <f>+SUMIF('Chi tiết NVL'!$I:$I,$A869,'Chi tiết NVL'!N:N)</f>
        <v/>
      </c>
      <c r="F869" s="57">
        <f>+SUMIF('Chi tiết NVL'!$I:$I,$A869,'Chi tiết NVL'!O:O)</f>
        <v/>
      </c>
      <c r="G869" s="57">
        <f>+SUMIF('Chi tiết NVL'!$I:$I,$A869,'Chi tiết NVL'!P:P)</f>
        <v/>
      </c>
      <c r="H869" s="57">
        <f>+SUMIF('Chi tiết NVL'!$I:$I,$A869,'Chi tiết NVL'!Q:Q)</f>
        <v/>
      </c>
      <c r="I869" s="57">
        <f>+SUMIF('Chi tiết NVL'!$I:$I,$A869,'Chi tiết NVL'!R:R)</f>
        <v/>
      </c>
      <c r="J869" s="57">
        <f>+SUMIF('Chi tiết NVL'!$I:$I,$A869,'Chi tiết NVL'!S:S)</f>
        <v/>
      </c>
    </row>
    <row r="870">
      <c r="A870" s="56" t="inlineStr">
        <is>
          <t>Thép tấm 50x2000x6000mm A572</t>
        </is>
      </c>
      <c r="B870" s="56">
        <f>+VLOOKUP(A870,'Chi tiết NVL'!$I$10:$J$4158,2,0)</f>
        <v/>
      </c>
      <c r="C870" s="57">
        <f>+SUMIF('Chi tiết NVL'!$I:$I,$A870,'Chi tiết NVL'!L:L)</f>
        <v/>
      </c>
      <c r="D870" s="57">
        <f>+SUMIF('Chi tiết NVL'!$I:$I,$A870,'Chi tiết NVL'!M:M)</f>
        <v/>
      </c>
      <c r="E870" s="57">
        <f>+SUMIF('Chi tiết NVL'!$I:$I,$A870,'Chi tiết NVL'!N:N)</f>
        <v/>
      </c>
      <c r="F870" s="57">
        <f>+SUMIF('Chi tiết NVL'!$I:$I,$A870,'Chi tiết NVL'!O:O)</f>
        <v/>
      </c>
      <c r="G870" s="57">
        <f>+SUMIF('Chi tiết NVL'!$I:$I,$A870,'Chi tiết NVL'!P:P)</f>
        <v/>
      </c>
      <c r="H870" s="57">
        <f>+SUMIF('Chi tiết NVL'!$I:$I,$A870,'Chi tiết NVL'!Q:Q)</f>
        <v/>
      </c>
      <c r="I870" s="57">
        <f>+SUMIF('Chi tiết NVL'!$I:$I,$A870,'Chi tiết NVL'!R:R)</f>
        <v/>
      </c>
      <c r="J870" s="57">
        <f>+SUMIF('Chi tiết NVL'!$I:$I,$A870,'Chi tiết NVL'!S:S)</f>
        <v/>
      </c>
    </row>
    <row r="871">
      <c r="A871" s="56" t="inlineStr">
        <is>
          <t>Thép tấm 10x2000x12000mm Q355B</t>
        </is>
      </c>
      <c r="B871" s="56">
        <f>+VLOOKUP(A871,'Chi tiết NVL'!$I$10:$J$4158,2,0)</f>
        <v/>
      </c>
      <c r="C871" s="57">
        <f>+SUMIF('Chi tiết NVL'!$I:$I,$A871,'Chi tiết NVL'!L:L)</f>
        <v/>
      </c>
      <c r="D871" s="57">
        <f>+SUMIF('Chi tiết NVL'!$I:$I,$A871,'Chi tiết NVL'!M:M)</f>
        <v/>
      </c>
      <c r="E871" s="57">
        <f>+SUMIF('Chi tiết NVL'!$I:$I,$A871,'Chi tiết NVL'!N:N)</f>
        <v/>
      </c>
      <c r="F871" s="57">
        <f>+SUMIF('Chi tiết NVL'!$I:$I,$A871,'Chi tiết NVL'!O:O)</f>
        <v/>
      </c>
      <c r="G871" s="57">
        <f>+SUMIF('Chi tiết NVL'!$I:$I,$A871,'Chi tiết NVL'!P:P)</f>
        <v/>
      </c>
      <c r="H871" s="57">
        <f>+SUMIF('Chi tiết NVL'!$I:$I,$A871,'Chi tiết NVL'!Q:Q)</f>
        <v/>
      </c>
      <c r="I871" s="57">
        <f>+SUMIF('Chi tiết NVL'!$I:$I,$A871,'Chi tiết NVL'!R:R)</f>
        <v/>
      </c>
      <c r="J871" s="57">
        <f>+SUMIF('Chi tiết NVL'!$I:$I,$A871,'Chi tiết NVL'!S:S)</f>
        <v/>
      </c>
    </row>
    <row r="872" ht="31.5" customHeight="1">
      <c r="A872" s="56" t="inlineStr">
        <is>
          <t>Cung cấp cửa chớp thép theo báo giá số: 014425/BGXK/LTL-RM ký ngày 03/12/2025</t>
        </is>
      </c>
      <c r="B872" s="56">
        <f>+VLOOKUP(A872,'Chi tiết NVL'!$I$10:$J$4158,2,0)</f>
        <v/>
      </c>
      <c r="C872" s="57">
        <f>+SUMIF('Chi tiết NVL'!$I:$I,$A872,'Chi tiết NVL'!L:L)</f>
        <v/>
      </c>
      <c r="D872" s="57">
        <f>+SUMIF('Chi tiết NVL'!$I:$I,$A872,'Chi tiết NVL'!M:M)</f>
        <v/>
      </c>
      <c r="E872" s="57">
        <f>+SUMIF('Chi tiết NVL'!$I:$I,$A872,'Chi tiết NVL'!N:N)</f>
        <v/>
      </c>
      <c r="F872" s="57">
        <f>+SUMIF('Chi tiết NVL'!$I:$I,$A872,'Chi tiết NVL'!O:O)</f>
        <v/>
      </c>
      <c r="G872" s="57">
        <f>+SUMIF('Chi tiết NVL'!$I:$I,$A872,'Chi tiết NVL'!P:P)</f>
        <v/>
      </c>
      <c r="H872" s="57">
        <f>+SUMIF('Chi tiết NVL'!$I:$I,$A872,'Chi tiết NVL'!Q:Q)</f>
        <v/>
      </c>
      <c r="I872" s="57">
        <f>+SUMIF('Chi tiết NVL'!$I:$I,$A872,'Chi tiết NVL'!R:R)</f>
        <v/>
      </c>
      <c r="J872" s="57">
        <f>+SUMIF('Chi tiết NVL'!$I:$I,$A872,'Chi tiết NVL'!S:S)</f>
        <v/>
      </c>
    </row>
    <row r="873" customFormat="1" s="61">
      <c r="A873" s="58" t="inlineStr">
        <is>
          <t>Tổng cộng</t>
        </is>
      </c>
      <c r="B873" s="58" t="n"/>
      <c r="C873" s="60">
        <f>SUM(C11:C872)</f>
        <v/>
      </c>
      <c r="D873" s="60">
        <f>SUM(D11:D872)</f>
        <v/>
      </c>
      <c r="E873" s="60">
        <f>SUM(E11:E872)</f>
        <v/>
      </c>
      <c r="F873" s="60">
        <f>SUM(F11:F872)</f>
        <v/>
      </c>
      <c r="G873" s="60">
        <f>SUM(G11:G872)</f>
        <v/>
      </c>
      <c r="H873" s="60">
        <f>SUM(H11:H872)</f>
        <v/>
      </c>
      <c r="I873" s="60">
        <f>SUM(I11:I872)</f>
        <v/>
      </c>
      <c r="J873" s="60">
        <f>SUM(J11:J872)</f>
        <v/>
      </c>
    </row>
    <row r="874">
      <c r="C874" s="62" t="n"/>
      <c r="D874" s="62" t="n"/>
      <c r="E874" s="62" t="n"/>
      <c r="F874" s="62" t="n"/>
      <c r="G874" s="62" t="n"/>
      <c r="H874" s="62" t="n"/>
      <c r="I874" s="62" t="n"/>
      <c r="J874" s="62" t="n"/>
    </row>
    <row r="875"/>
    <row r="876">
      <c r="H876" s="46" t="inlineStr">
        <is>
          <t>Giám Đốc</t>
        </is>
      </c>
    </row>
    <row r="877">
      <c r="H877" s="46" t="n"/>
    </row>
    <row r="878">
      <c r="D878" s="63" t="n"/>
      <c r="E878" s="63" t="inlineStr">
        <is>
          <t>ĐK</t>
        </is>
      </c>
      <c r="F878" s="63" t="inlineStr">
        <is>
          <t>CK</t>
        </is>
      </c>
      <c r="H878" s="46" t="n"/>
    </row>
    <row r="879">
      <c r="D879" s="63" t="inlineStr">
        <is>
          <t>XNT</t>
        </is>
      </c>
      <c r="E879" s="64" t="n">
        <v>0</v>
      </c>
      <c r="F879" s="64" t="n">
        <v>0</v>
      </c>
      <c r="H879" s="46" t="n"/>
    </row>
    <row r="880">
      <c r="D880" s="63" t="inlineStr">
        <is>
          <t>TK 154</t>
        </is>
      </c>
      <c r="E880" s="64" t="n">
        <v>6071337046.7</v>
      </c>
      <c r="F880" s="64" t="n">
        <v>1471492471.7</v>
      </c>
      <c r="H880" s="46" t="n"/>
    </row>
    <row r="881">
      <c r="D881" s="58" t="inlineStr">
        <is>
          <t>Tổng cộng</t>
        </is>
      </c>
      <c r="E881" s="59">
        <f>+E879+E880</f>
        <v/>
      </c>
      <c r="F881" s="59">
        <f>+F879+F880</f>
        <v/>
      </c>
      <c r="H881" s="46" t="n"/>
    </row>
    <row r="882">
      <c r="H882" s="46" t="n"/>
    </row>
    <row r="883">
      <c r="H883" s="46" t="inlineStr">
        <is>
          <t>Nguyễn Văn Steeltech</t>
        </is>
      </c>
    </row>
  </sheetData>
  <autoFilter ref="A10:J10"/>
  <mergeCells count="8">
    <mergeCell ref="A5:J5"/>
    <mergeCell ref="A8:A9"/>
    <mergeCell ref="B8:B9"/>
    <mergeCell ref="A4:J4"/>
    <mergeCell ref="I8:J8"/>
    <mergeCell ref="G8:H8"/>
    <mergeCell ref="E8:F8"/>
    <mergeCell ref="C8:D8"/>
  </mergeCells>
  <pageMargins left="0.7" right="0.7" top="0.75" bottom="0.75" header="0.3" footer="0.3"/>
  <pageSetup orientation="landscape" scale="6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Thoa, Le Thi (HO.ACCOUNTING)</dc:creator>
  <dcterms:created xmlns:dcterms="http://purl.org/dc/terms/" xmlns:xsi="http://www.w3.org/2001/XMLSchema-instance" xsi:type="dcterms:W3CDTF">2025-07-30T06:36:05Z</dcterms:created>
  <dcterms:modified xmlns:dcterms="http://purl.org/dc/terms/" xmlns:xsi="http://www.w3.org/2001/XMLSchema-instance" xsi:type="dcterms:W3CDTF">2026-08-30T12:04:17Z</dcterms:modified>
  <cp:lastModifiedBy>Sen Vo Thi Huong (EB-GVA)</cp:lastModifiedBy>
  <cp:lastPrinted>2025-10-24T15:57:33Z</cp:lastPrinted>
</cp:coreProperties>
</file>